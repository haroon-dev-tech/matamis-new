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hidePivotFieldList="1"/>
  <xr:revisionPtr revIDLastSave="0" documentId="13_ncr:1_{6A55EBBD-CE13-4917-9F04-31EA8B998032}" xr6:coauthVersionLast="47" xr6:coauthVersionMax="47" xr10:uidLastSave="{00000000-0000-0000-0000-000000000000}"/>
  <bookViews>
    <workbookView xWindow="36" yWindow="0" windowWidth="12780" windowHeight="12240" tabRatio="957" firstSheet="5" activeTab="7" xr2:uid="{00000000-000D-0000-FFFF-FFFF00000000}"/>
  </bookViews>
  <sheets>
    <sheet name="Cover" sheetId="5" r:id="rId1"/>
    <sheet name="Contents" sheetId="1" r:id="rId2"/>
    <sheet name="Observations &amp; Recommendations " sheetId="47" r:id="rId3"/>
    <sheet name="Galance" sheetId="9" r:id="rId4"/>
    <sheet name="KPI Comparisons" sheetId="30" r:id="rId5"/>
    <sheet name="Credit Card Machines" sheetId="48" r:id="rId6"/>
    <sheet name="SOFP" sheetId="3" r:id="rId7"/>
    <sheet name="SOMFP" sheetId="25" r:id="rId8"/>
    <sheet name="SOCI" sheetId="7" r:id="rId9"/>
    <sheet name="SOMCI" sheetId="22" r:id="rId10"/>
    <sheet name="Budget" sheetId="46" state="hidden" r:id="rId11"/>
    <sheet name="Job P&amp;L" sheetId="41" state="hidden" r:id="rId12"/>
    <sheet name="SOCF" sheetId="8" state="hidden" r:id="rId13"/>
    <sheet name="Linked IS" sheetId="44" r:id="rId14"/>
    <sheet name="Linked BS" sheetId="45"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P" localSheetId="11">'[1]JULY-06'!#REF!</definedName>
    <definedName name="\P" localSheetId="4">'[1]JULY-06'!#REF!</definedName>
    <definedName name="\P" localSheetId="9">'[1]JULY-06'!#REF!</definedName>
    <definedName name="\P" localSheetId="7">'[1]JULY-06'!#REF!</definedName>
    <definedName name="\P">'[1]JULY-06'!#REF!</definedName>
    <definedName name="_" localSheetId="11">'[2]P&amp;L, CF and Notes'!#REF!</definedName>
    <definedName name="_" localSheetId="4">'[2]P&amp;L, CF and Notes'!#REF!</definedName>
    <definedName name="_" localSheetId="9">'[2]P&amp;L, CF and Notes'!#REF!</definedName>
    <definedName name="_" localSheetId="7">'[2]P&amp;L, CF and Notes'!#REF!</definedName>
    <definedName name="_">'[2]P&amp;L, CF and Notes'!#REF!</definedName>
    <definedName name="_______lkm2">#N/A</definedName>
    <definedName name="______J439643" localSheetId="11">[3]Notes!#REF!</definedName>
    <definedName name="______J439643" localSheetId="4">[3]Notes!#REF!</definedName>
    <definedName name="______J439643" localSheetId="9">[3]Notes!#REF!</definedName>
    <definedName name="______J439643" localSheetId="7">[3]Notes!#REF!</definedName>
    <definedName name="______J439643">[3]Notes!#REF!</definedName>
    <definedName name="______lkm2">#N/A</definedName>
    <definedName name="_____J439643" localSheetId="11">[3]Notes!#REF!</definedName>
    <definedName name="_____J439643" localSheetId="4">[3]Notes!#REF!</definedName>
    <definedName name="_____J439643" localSheetId="9">[3]Notes!#REF!</definedName>
    <definedName name="_____J439643" localSheetId="7">[3]Notes!#REF!</definedName>
    <definedName name="_____J439643">[3]Notes!#REF!</definedName>
    <definedName name="_____RSE1" localSheetId="11">#REF!</definedName>
    <definedName name="_____RSE1" localSheetId="4">#REF!</definedName>
    <definedName name="_____RSE1" localSheetId="9">#REF!</definedName>
    <definedName name="_____RSE1" localSheetId="7">#REF!</definedName>
    <definedName name="_____RSE1">#REF!</definedName>
    <definedName name="_____RSE2" localSheetId="11">#REF!</definedName>
    <definedName name="_____RSE2" localSheetId="4">#REF!</definedName>
    <definedName name="_____RSE2" localSheetId="9">#REF!</definedName>
    <definedName name="_____RSE2" localSheetId="7">#REF!</definedName>
    <definedName name="_____RSE2">#REF!</definedName>
    <definedName name="____DEC97">[4]SPIN!$A$105:$I$106</definedName>
    <definedName name="____FEB98">[4]SPIN!$A$155:$I$156</definedName>
    <definedName name="____JAN98">[4]SPIN!$A$135:$I$136</definedName>
    <definedName name="____lkm2">#N/A</definedName>
    <definedName name="____MAR98">[4]SPIN!$A$180:$I$181</definedName>
    <definedName name="____MAY98">[4]SPIN!$A$237:$I$238</definedName>
    <definedName name="____NOV97">[4]SPIN!$A$73:$I$74</definedName>
    <definedName name="____OCT97">[4]SPIN!$A$40:$I$41</definedName>
    <definedName name="____RSE1" localSheetId="11">#REF!</definedName>
    <definedName name="____RSE1" localSheetId="4">#REF!</definedName>
    <definedName name="____RSE1" localSheetId="9">#REF!</definedName>
    <definedName name="____RSE1" localSheetId="7">#REF!</definedName>
    <definedName name="____RSE1">#REF!</definedName>
    <definedName name="____RSE2" localSheetId="11">#REF!</definedName>
    <definedName name="____RSE2" localSheetId="4">#REF!</definedName>
    <definedName name="____RSE2" localSheetId="9">#REF!</definedName>
    <definedName name="____RSE2" localSheetId="7">#REF!</definedName>
    <definedName name="____RSE2">#REF!</definedName>
    <definedName name="____T2">'[5]Sugar tax dep'!$L$29</definedName>
    <definedName name="____T3" hidden="1">'[5]Sugar tax dep'!$AH$1:$AH$65536</definedName>
    <definedName name="____T4" hidden="1">'[5]Sugar tax dep'!$AF$1:$AF$65536</definedName>
    <definedName name="____T5" hidden="1">'[5]Sugar tax dep'!$AG$29</definedName>
    <definedName name="____T6" hidden="1">'[5]Sugar tax dep'!$L$29</definedName>
    <definedName name="___DEC97">[4]SPIN!$A$105:$I$106</definedName>
    <definedName name="___FEB98">[4]SPIN!$A$155:$I$156</definedName>
    <definedName name="___J439643" localSheetId="11">[3]Notes!#REF!</definedName>
    <definedName name="___J439643" localSheetId="4">[3]Notes!#REF!</definedName>
    <definedName name="___J439643" localSheetId="9">[3]Notes!#REF!</definedName>
    <definedName name="___J439643" localSheetId="7">[3]Notes!#REF!</definedName>
    <definedName name="___J439643">[3]Notes!#REF!</definedName>
    <definedName name="___JAN98">[4]SPIN!$A$135:$I$136</definedName>
    <definedName name="___MAR98">[4]SPIN!$A$180:$I$181</definedName>
    <definedName name="___MAY98">[4]SPIN!$A$237:$I$238</definedName>
    <definedName name="___NOV97">[4]SPIN!$A$73:$I$74</definedName>
    <definedName name="___OCT97">[4]SPIN!$A$40:$I$41</definedName>
    <definedName name="___RSE1" localSheetId="11">#REF!</definedName>
    <definedName name="___RSE1" localSheetId="4">#REF!</definedName>
    <definedName name="___RSE1" localSheetId="9">#REF!</definedName>
    <definedName name="___RSE1" localSheetId="7">#REF!</definedName>
    <definedName name="___RSE1">#REF!</definedName>
    <definedName name="___RSE2" localSheetId="11">#REF!</definedName>
    <definedName name="___RSE2" localSheetId="4">#REF!</definedName>
    <definedName name="___RSE2" localSheetId="9">#REF!</definedName>
    <definedName name="___RSE2" localSheetId="7">#REF!</definedName>
    <definedName name="___RSE2">#REF!</definedName>
    <definedName name="___T1" localSheetId="11">'[5]Deferred tax 2008'!#REF!</definedName>
    <definedName name="___T1" localSheetId="4">'[5]Deferred tax 2008'!#REF!</definedName>
    <definedName name="___T1" localSheetId="9">'[5]Deferred tax 2008'!#REF!</definedName>
    <definedName name="___T1" localSheetId="7">'[5]Deferred tax 2008'!#REF!</definedName>
    <definedName name="___T1">'[5]Deferred tax 2008'!#REF!</definedName>
    <definedName name="___T2">'[5]Sugar tax dep'!$L$29</definedName>
    <definedName name="___T3" hidden="1">'[5]Sugar tax dep'!$AH$1:$AH$65536</definedName>
    <definedName name="___T4" hidden="1">'[5]Sugar tax dep'!$AF$1:$AF$65536</definedName>
    <definedName name="___T5" hidden="1">'[5]Sugar tax dep'!$AG$29</definedName>
    <definedName name="___T6" hidden="1">'[5]Sugar tax dep'!$L$29</definedName>
    <definedName name="__DEC97">[4]SPIN!$A$105:$I$106</definedName>
    <definedName name="__FEB98">[4]SPIN!$A$155:$I$156</definedName>
    <definedName name="__J439643" localSheetId="11">[3]Notes!#REF!</definedName>
    <definedName name="__J439643" localSheetId="4">[3]Notes!#REF!</definedName>
    <definedName name="__J439643" localSheetId="9">[3]Notes!#REF!</definedName>
    <definedName name="__J439643" localSheetId="7">[3]Notes!#REF!</definedName>
    <definedName name="__J439643">[3]Notes!#REF!</definedName>
    <definedName name="__JAN98">[4]SPIN!$A$135:$I$136</definedName>
    <definedName name="__lkm2">#N/A</definedName>
    <definedName name="__MAR97" localSheetId="11">#REF!</definedName>
    <definedName name="__MAR97" localSheetId="4">#REF!</definedName>
    <definedName name="__MAR97" localSheetId="9">#REF!</definedName>
    <definedName name="__MAR97" localSheetId="7">#REF!</definedName>
    <definedName name="__MAR97">#REF!</definedName>
    <definedName name="__MAR98">[4]SPIN!$A$180:$I$181</definedName>
    <definedName name="__MAY98">[4]SPIN!$A$237:$I$238</definedName>
    <definedName name="__NOV97">[4]SPIN!$A$73:$I$74</definedName>
    <definedName name="__OCT97">[4]SPIN!$A$40:$I$41</definedName>
    <definedName name="__RSE1" localSheetId="11">#REF!</definedName>
    <definedName name="__RSE1" localSheetId="4">#REF!</definedName>
    <definedName name="__RSE1" localSheetId="9">#REF!</definedName>
    <definedName name="__RSE1" localSheetId="7">#REF!</definedName>
    <definedName name="__RSE1">#REF!</definedName>
    <definedName name="__RSE2" localSheetId="11">#REF!</definedName>
    <definedName name="__RSE2" localSheetId="4">#REF!</definedName>
    <definedName name="__RSE2" localSheetId="9">#REF!</definedName>
    <definedName name="__RSE2" localSheetId="7">#REF!</definedName>
    <definedName name="__RSE2">#REF!</definedName>
    <definedName name="__T1" localSheetId="11">'[5]Deferred tax 2008'!#REF!</definedName>
    <definedName name="__T1" localSheetId="4">'[5]Deferred tax 2008'!#REF!</definedName>
    <definedName name="__T1" localSheetId="9">'[5]Deferred tax 2008'!#REF!</definedName>
    <definedName name="__T1" localSheetId="7">'[5]Deferred tax 2008'!#REF!</definedName>
    <definedName name="__T1">'[5]Deferred tax 2008'!#REF!</definedName>
    <definedName name="__T2">'[5]Sugar tax dep'!$L$29</definedName>
    <definedName name="__T3" hidden="1">'[5]Sugar tax dep'!$AH$1:$AH$65536</definedName>
    <definedName name="__T4" hidden="1">'[5]Sugar tax dep'!$AF$1:$AF$65536</definedName>
    <definedName name="__T5" hidden="1">'[5]Sugar tax dep'!$AG$29</definedName>
    <definedName name="__T6" hidden="1">'[5]Sugar tax dep'!$L$29</definedName>
    <definedName name="_001">#N/A</definedName>
    <definedName name="_009">#N/A</definedName>
    <definedName name="_05__00010__01" localSheetId="11">#REF!</definedName>
    <definedName name="_05__00010__01" localSheetId="4">#REF!</definedName>
    <definedName name="_05__00010__01" localSheetId="9">#REF!</definedName>
    <definedName name="_05__00010__01" localSheetId="7">#REF!</definedName>
    <definedName name="_05__00010__01">#REF!</definedName>
    <definedName name="_05__00010__02" localSheetId="11">#REF!</definedName>
    <definedName name="_05__00010__02" localSheetId="4">#REF!</definedName>
    <definedName name="_05__00010__02" localSheetId="9">#REF!</definedName>
    <definedName name="_05__00010__02" localSheetId="7">#REF!</definedName>
    <definedName name="_05__00010__02">#REF!</definedName>
    <definedName name="_05__00017__02" localSheetId="11">#REF!</definedName>
    <definedName name="_05__00017__02" localSheetId="4">#REF!</definedName>
    <definedName name="_05__00017__02" localSheetId="9">#REF!</definedName>
    <definedName name="_05__00017__02" localSheetId="7">#REF!</definedName>
    <definedName name="_05__00017__02">#REF!</definedName>
    <definedName name="_05_00001_01" localSheetId="11">#REF!</definedName>
    <definedName name="_05_00001_01" localSheetId="9">#REF!</definedName>
    <definedName name="_05_00001_01" localSheetId="7">#REF!</definedName>
    <definedName name="_05_00001_01">#REF!</definedName>
    <definedName name="_05_00001_02" localSheetId="11">#REF!</definedName>
    <definedName name="_05_00001_02" localSheetId="9">#REF!</definedName>
    <definedName name="_05_00001_02" localSheetId="7">#REF!</definedName>
    <definedName name="_05_00001_02">#REF!</definedName>
    <definedName name="_05_00002_01" localSheetId="11">#REF!</definedName>
    <definedName name="_05_00002_01" localSheetId="9">#REF!</definedName>
    <definedName name="_05_00002_01" localSheetId="7">#REF!</definedName>
    <definedName name="_05_00002_01">#REF!</definedName>
    <definedName name="_05_00002_02" localSheetId="11">#REF!</definedName>
    <definedName name="_05_00002_02" localSheetId="9">#REF!</definedName>
    <definedName name="_05_00002_02" localSheetId="7">#REF!</definedName>
    <definedName name="_05_00002_02">#REF!</definedName>
    <definedName name="_05_00003_01" localSheetId="11">#REF!</definedName>
    <definedName name="_05_00003_01" localSheetId="9">#REF!</definedName>
    <definedName name="_05_00003_01" localSheetId="7">#REF!</definedName>
    <definedName name="_05_00003_01">#REF!</definedName>
    <definedName name="_05_00003_02" localSheetId="11">#REF!</definedName>
    <definedName name="_05_00003_02" localSheetId="9">#REF!</definedName>
    <definedName name="_05_00003_02" localSheetId="7">#REF!</definedName>
    <definedName name="_05_00003_02">#REF!</definedName>
    <definedName name="_05_00004_02" localSheetId="11">#REF!</definedName>
    <definedName name="_05_00004_02" localSheetId="9">#REF!</definedName>
    <definedName name="_05_00004_02" localSheetId="7">#REF!</definedName>
    <definedName name="_05_00004_02">#REF!</definedName>
    <definedName name="_05_00005_01" localSheetId="11">#REF!</definedName>
    <definedName name="_05_00005_01" localSheetId="9">#REF!</definedName>
    <definedName name="_05_00005_01" localSheetId="7">#REF!</definedName>
    <definedName name="_05_00005_01">#REF!</definedName>
    <definedName name="_05_00005_02" localSheetId="11">#REF!</definedName>
    <definedName name="_05_00005_02" localSheetId="9">#REF!</definedName>
    <definedName name="_05_00005_02" localSheetId="7">#REF!</definedName>
    <definedName name="_05_00005_02">#REF!</definedName>
    <definedName name="_05_00007_02" localSheetId="11">#REF!</definedName>
    <definedName name="_05_00007_02" localSheetId="9">#REF!</definedName>
    <definedName name="_05_00007_02" localSheetId="7">#REF!</definedName>
    <definedName name="_05_00007_02">#REF!</definedName>
    <definedName name="_05_00008_02" localSheetId="11">#REF!</definedName>
    <definedName name="_05_00008_02" localSheetId="9">#REF!</definedName>
    <definedName name="_05_00008_02" localSheetId="7">#REF!</definedName>
    <definedName name="_05_00008_02">#REF!</definedName>
    <definedName name="_05_00009_01" localSheetId="11">#REF!</definedName>
    <definedName name="_05_00009_01" localSheetId="9">#REF!</definedName>
    <definedName name="_05_00009_01" localSheetId="7">#REF!</definedName>
    <definedName name="_05_00009_01">#REF!</definedName>
    <definedName name="_05_00009_02" localSheetId="11">#REF!</definedName>
    <definedName name="_05_00009_02" localSheetId="9">#REF!</definedName>
    <definedName name="_05_00009_02" localSheetId="7">#REF!</definedName>
    <definedName name="_05_00009_02">#REF!</definedName>
    <definedName name="_05_00012_02" localSheetId="11">#REF!</definedName>
    <definedName name="_05_00012_02" localSheetId="9">#REF!</definedName>
    <definedName name="_05_00012_02" localSheetId="7">#REF!</definedName>
    <definedName name="_05_00012_02">#REF!</definedName>
    <definedName name="_05_00013_02" localSheetId="11">#REF!</definedName>
    <definedName name="_05_00013_02" localSheetId="9">#REF!</definedName>
    <definedName name="_05_00013_02" localSheetId="7">#REF!</definedName>
    <definedName name="_05_00013_02">#REF!</definedName>
    <definedName name="_05_00015_02" localSheetId="11">#REF!</definedName>
    <definedName name="_05_00015_02" localSheetId="9">#REF!</definedName>
    <definedName name="_05_00015_02" localSheetId="7">#REF!</definedName>
    <definedName name="_05_00015_02">#REF!</definedName>
    <definedName name="_05_00018_02" localSheetId="11">#REF!</definedName>
    <definedName name="_05_00018_02" localSheetId="9">#REF!</definedName>
    <definedName name="_05_00018_02" localSheetId="7">#REF!</definedName>
    <definedName name="_05_00018_02">#REF!</definedName>
    <definedName name="_05_00019_02" localSheetId="11">#REF!</definedName>
    <definedName name="_05_00019_02" localSheetId="9">#REF!</definedName>
    <definedName name="_05_00019_02" localSheetId="7">#REF!</definedName>
    <definedName name="_05_00019_02">#REF!</definedName>
    <definedName name="_05_00020_02" localSheetId="11">#REF!</definedName>
    <definedName name="_05_00020_02" localSheetId="9">#REF!</definedName>
    <definedName name="_05_00020_02" localSheetId="7">#REF!</definedName>
    <definedName name="_05_00020_02">#REF!</definedName>
    <definedName name="_05_00022_02" localSheetId="11">#REF!</definedName>
    <definedName name="_05_00022_02" localSheetId="9">#REF!</definedName>
    <definedName name="_05_00022_02" localSheetId="7">#REF!</definedName>
    <definedName name="_05_00022_02">#REF!</definedName>
    <definedName name="_05_00024_02" localSheetId="11">#REF!</definedName>
    <definedName name="_05_00024_02" localSheetId="9">#REF!</definedName>
    <definedName name="_05_00024_02" localSheetId="7">#REF!</definedName>
    <definedName name="_05_00024_02">#REF!</definedName>
    <definedName name="_05_00027_02" localSheetId="11">#REF!</definedName>
    <definedName name="_05_00027_02" localSheetId="9">#REF!</definedName>
    <definedName name="_05_00027_02" localSheetId="7">#REF!</definedName>
    <definedName name="_05_00027_02">#REF!</definedName>
    <definedName name="_1" localSheetId="11">#REF!</definedName>
    <definedName name="_1" localSheetId="9">#REF!</definedName>
    <definedName name="_1" localSheetId="7">#REF!</definedName>
    <definedName name="_1">#REF!</definedName>
    <definedName name="_1000">#N/A</definedName>
    <definedName name="_2" localSheetId="11">'[6]5 TO 36'!#REF!</definedName>
    <definedName name="_2" localSheetId="4">'[6]5 TO 36'!#REF!</definedName>
    <definedName name="_2" localSheetId="9">'[6]5 TO 36'!#REF!</definedName>
    <definedName name="_2" localSheetId="7">'[6]5 TO 36'!#REF!</definedName>
    <definedName name="_2">'[6]5 TO 36'!#REF!</definedName>
    <definedName name="_258">#N/A</definedName>
    <definedName name="_3" localSheetId="11">'[7]Note 6 to 35'!#REF!</definedName>
    <definedName name="_3" localSheetId="4">'[7]Note 6 to 35'!#REF!</definedName>
    <definedName name="_3" localSheetId="9">'[7]Note 6 to 35'!#REF!</definedName>
    <definedName name="_3" localSheetId="7">'[7]Note 6 to 35'!#REF!</definedName>
    <definedName name="_3">'[7]Note 6 to 35'!#REF!</definedName>
    <definedName name="_777" localSheetId="11">#REF!</definedName>
    <definedName name="_777" localSheetId="4">#REF!</definedName>
    <definedName name="_777" localSheetId="9">#REF!</definedName>
    <definedName name="_777" localSheetId="7">#REF!</definedName>
    <definedName name="_777">#REF!</definedName>
    <definedName name="_786" localSheetId="11">#REF!</definedName>
    <definedName name="_786" localSheetId="4">#REF!</definedName>
    <definedName name="_786" localSheetId="9">#REF!</definedName>
    <definedName name="_786" localSheetId="7">#REF!</definedName>
    <definedName name="_786">#REF!</definedName>
    <definedName name="_90" localSheetId="11">#REF!</definedName>
    <definedName name="_90" localSheetId="4">#REF!</definedName>
    <definedName name="_90" localSheetId="9">#REF!</definedName>
    <definedName name="_90" localSheetId="7">#REF!</definedName>
    <definedName name="_90">#REF!</definedName>
    <definedName name="_91" localSheetId="11">#REF!</definedName>
    <definedName name="_91" localSheetId="9">#REF!</definedName>
    <definedName name="_91" localSheetId="7">#REF!</definedName>
    <definedName name="_91">#REF!</definedName>
    <definedName name="_Acc..Dep" localSheetId="11">[8]Notes!#REF!</definedName>
    <definedName name="_Acc..Dep" localSheetId="4">[8]Notes!#REF!</definedName>
    <definedName name="_Acc..Dep" localSheetId="9">[8]Notes!#REF!</definedName>
    <definedName name="_Acc..Dep" localSheetId="7">[8]Notes!#REF!</definedName>
    <definedName name="_Acc..Dep">[8]Notes!#REF!</definedName>
    <definedName name="_ATX1" localSheetId="4" hidden="1">{"'FF'!$B$57:$B$58"}</definedName>
    <definedName name="_ATX1" hidden="1">{"'FF'!$B$57:$B$58"}</definedName>
    <definedName name="_DEC97">[4]SPIN!$A$105:$I$106</definedName>
    <definedName name="_F1" localSheetId="11">'[9]P&amp;L'!#REF!</definedName>
    <definedName name="_F1" localSheetId="4">'[9]P&amp;L'!#REF!</definedName>
    <definedName name="_F1" localSheetId="9">'[9]P&amp;L'!#REF!</definedName>
    <definedName name="_F1" localSheetId="7">'[9]P&amp;L'!#REF!</definedName>
    <definedName name="_F1">'[9]P&amp;L'!#REF!</definedName>
    <definedName name="_FEB98">[4]SPIN!$A$155:$I$156</definedName>
    <definedName name="_Fill" localSheetId="11" hidden="1">[10]Acct!#REF!</definedName>
    <definedName name="_Fill" localSheetId="4" hidden="1">[10]Acct!#REF!</definedName>
    <definedName name="_Fill" localSheetId="9" hidden="1">[10]Acct!#REF!</definedName>
    <definedName name="_Fill" localSheetId="7" hidden="1">[10]Acct!#REF!</definedName>
    <definedName name="_Fill" hidden="1">[10]Acct!#REF!</definedName>
    <definedName name="_xlnm._FilterDatabase" localSheetId="14" hidden="1">'Linked BS'!$C$1:$C$97</definedName>
    <definedName name="_J439643" localSheetId="11">[3]Notes!#REF!</definedName>
    <definedName name="_J439643" localSheetId="4">[3]Notes!#REF!</definedName>
    <definedName name="_J439643" localSheetId="9">[3]Notes!#REF!</definedName>
    <definedName name="_J439643" localSheetId="7">[3]Notes!#REF!</definedName>
    <definedName name="_J439643">[3]Notes!#REF!</definedName>
    <definedName name="_JAN98">[4]SPIN!$A$135:$I$136</definedName>
    <definedName name="_Key1" localSheetId="11" hidden="1">#REF!</definedName>
    <definedName name="_Key1" localSheetId="4" hidden="1">#REF!</definedName>
    <definedName name="_Key1" localSheetId="9" hidden="1">#REF!</definedName>
    <definedName name="_Key1" localSheetId="7" hidden="1">#REF!</definedName>
    <definedName name="_Key1" hidden="1">#REF!</definedName>
    <definedName name="_Key2" localSheetId="11" hidden="1">#REF!</definedName>
    <definedName name="_Key2" localSheetId="4" hidden="1">#REF!</definedName>
    <definedName name="_Key2" localSheetId="9" hidden="1">#REF!</definedName>
    <definedName name="_Key2" localSheetId="7" hidden="1">#REF!</definedName>
    <definedName name="_Key2" hidden="1">#REF!</definedName>
    <definedName name="_lkm2">#N/A</definedName>
    <definedName name="_MAR97" localSheetId="11">#REF!</definedName>
    <definedName name="_MAR97" localSheetId="4">#REF!</definedName>
    <definedName name="_MAR97" localSheetId="9">#REF!</definedName>
    <definedName name="_MAR97" localSheetId="7">#REF!</definedName>
    <definedName name="_MAR97">#REF!</definedName>
    <definedName name="_MAR98">[4]SPIN!$A$180:$I$181</definedName>
    <definedName name="_MAY98">[4]SPIN!$A$237:$I$238</definedName>
    <definedName name="_NOV97">[4]SPIN!$A$73:$I$74</definedName>
    <definedName name="_OCT97">[4]SPIN!$A$40:$I$41</definedName>
    <definedName name="_Order1" hidden="1">255</definedName>
    <definedName name="_Order2" hidden="1">255</definedName>
    <definedName name="_RSE1" localSheetId="11">#REF!</definedName>
    <definedName name="_RSE1" localSheetId="4">#REF!</definedName>
    <definedName name="_RSE1" localSheetId="9">#REF!</definedName>
    <definedName name="_RSE1" localSheetId="7">#REF!</definedName>
    <definedName name="_RSE1">#REF!</definedName>
    <definedName name="_RSE2" localSheetId="11">#REF!</definedName>
    <definedName name="_RSE2" localSheetId="4">#REF!</definedName>
    <definedName name="_RSE2" localSheetId="9">#REF!</definedName>
    <definedName name="_RSE2" localSheetId="7">#REF!</definedName>
    <definedName name="_RSE2">#REF!</definedName>
    <definedName name="_Sort" localSheetId="11" hidden="1">#REF!</definedName>
    <definedName name="_Sort" localSheetId="4" hidden="1">#REF!</definedName>
    <definedName name="_Sort" localSheetId="9" hidden="1">#REF!</definedName>
    <definedName name="_Sort" localSheetId="7" hidden="1">#REF!</definedName>
    <definedName name="_Sort" hidden="1">#REF!</definedName>
    <definedName name="_T1" localSheetId="11">'[5]Deferred tax 2008'!#REF!</definedName>
    <definedName name="_T1" localSheetId="4">'[5]Deferred tax 2008'!#REF!</definedName>
    <definedName name="_T1" localSheetId="9">'[5]Deferred tax 2008'!#REF!</definedName>
    <definedName name="_T1" localSheetId="7">'[5]Deferred tax 2008'!#REF!</definedName>
    <definedName name="_T1">'[5]Deferred tax 2008'!#REF!</definedName>
    <definedName name="_T2">'[5]Sugar tax dep'!$L$29</definedName>
    <definedName name="_T3" hidden="1">'[11]Sugar tax dep'!$AH$1:$AH$65536</definedName>
    <definedName name="_T4" hidden="1">'[11]Sugar tax dep'!$AF$1:$AF$65536</definedName>
    <definedName name="_T5" hidden="1">'[11]Sugar tax dep'!$AG$29</definedName>
    <definedName name="_T6" hidden="1">'[11]Sugar tax dep'!$L$29</definedName>
    <definedName name="_TAX1" localSheetId="4" hidden="1">{"'FF'!$B$57:$B$58"}</definedName>
    <definedName name="_TAX1" hidden="1">{"'FF'!$B$57:$B$58"}</definedName>
    <definedName name="_TEX10" localSheetId="11">'[12]P.L NOTES '!#REF!</definedName>
    <definedName name="_TEX10" localSheetId="9">'[12]P.L NOTES '!#REF!</definedName>
    <definedName name="_TEX10" localSheetId="7">'[12]P.L NOTES '!#REF!</definedName>
    <definedName name="_TEX10">'[12]P.L NOTES '!#REF!</definedName>
    <definedName name="_TEX2" localSheetId="11">'[12]P.L NOTES '!#REF!</definedName>
    <definedName name="_TEX2" localSheetId="9">'[12]P.L NOTES '!#REF!</definedName>
    <definedName name="_TEX2" localSheetId="7">'[12]P.L NOTES '!#REF!</definedName>
    <definedName name="_TEX2">'[12]P.L NOTES '!#REF!</definedName>
    <definedName name="_TEX999999" localSheetId="11">'[12]P.L NOTES '!#REF!</definedName>
    <definedName name="_TEX999999" localSheetId="9">'[12]P.L NOTES '!#REF!</definedName>
    <definedName name="_TEX999999" localSheetId="7">'[12]P.L NOTES '!#REF!</definedName>
    <definedName name="_TEX999999">'[12]P.L NOTES '!#REF!</definedName>
    <definedName name="A" localSheetId="11">#REF!</definedName>
    <definedName name="A" localSheetId="4">#REF!</definedName>
    <definedName name="A" localSheetId="9">#REF!</definedName>
    <definedName name="A" localSheetId="7">#REF!</definedName>
    <definedName name="A">#REF!</definedName>
    <definedName name="aa">#N/A</definedName>
    <definedName name="aaaaa" localSheetId="11">#REF!</definedName>
    <definedName name="aaaaa" localSheetId="4">#REF!</definedName>
    <definedName name="aaaaa" localSheetId="9">#REF!</definedName>
    <definedName name="aaaaa" localSheetId="7">#REF!</definedName>
    <definedName name="aaaaa">#REF!</definedName>
    <definedName name="Aasim" localSheetId="11">#REF!</definedName>
    <definedName name="Aasim" localSheetId="4">#REF!</definedName>
    <definedName name="Aasim" localSheetId="9">#REF!</definedName>
    <definedName name="Aasim" localSheetId="7">#REF!</definedName>
    <definedName name="Aasim">#REF!</definedName>
    <definedName name="abc" localSheetId="11">#REF!</definedName>
    <definedName name="abc" localSheetId="4">#REF!</definedName>
    <definedName name="abc" localSheetId="9">#REF!</definedName>
    <definedName name="abc" localSheetId="7">#REF!</definedName>
    <definedName name="abc">#REF!</definedName>
    <definedName name="abcdef" localSheetId="11">#REF!</definedName>
    <definedName name="abcdef" localSheetId="9">#REF!</definedName>
    <definedName name="abcdef" localSheetId="7">#REF!</definedName>
    <definedName name="abcdef">#REF!</definedName>
    <definedName name="acc" localSheetId="11">[13]Notes!#REF!</definedName>
    <definedName name="acc" localSheetId="4">[13]Notes!#REF!</definedName>
    <definedName name="acc" localSheetId="9">[13]Notes!#REF!</definedName>
    <definedName name="acc" localSheetId="7">[13]Notes!#REF!</definedName>
    <definedName name="acc">[13]Notes!#REF!</definedName>
    <definedName name="acc.dep" localSheetId="11">[14]Notes!#REF!</definedName>
    <definedName name="acc.dep" localSheetId="4">[14]Notes!#REF!</definedName>
    <definedName name="acc.dep" localSheetId="9">[14]Notes!#REF!</definedName>
    <definedName name="acc.dep" localSheetId="7">[14]Notes!#REF!</definedName>
    <definedName name="acc.dep">[14]Notes!#REF!</definedName>
    <definedName name="acclist" localSheetId="11">'Job P&amp;L'!$B$11:$B$50</definedName>
    <definedName name="acclist">SOMCI!$B$11:$B$66</definedName>
    <definedName name="adc">#N/A</definedName>
    <definedName name="ADJOURN">#N/A</definedName>
    <definedName name="ADMINISTRATION_EXPENSES" localSheetId="11">#REF!</definedName>
    <definedName name="ADMINISTRATION_EXPENSES" localSheetId="4">#REF!</definedName>
    <definedName name="ADMINISTRATION_EXPENSES" localSheetId="9">#REF!</definedName>
    <definedName name="ADMINISTRATION_EXPENSES" localSheetId="7">#REF!</definedName>
    <definedName name="ADMINISTRATION_EXPENSES">#REF!</definedName>
    <definedName name="afhgfjgahkjy5eryteaf" localSheetId="11">#REF!</definedName>
    <definedName name="afhgfjgahkjy5eryteaf" localSheetId="4">#REF!</definedName>
    <definedName name="afhgfjgahkjy5eryteaf" localSheetId="9">#REF!</definedName>
    <definedName name="afhgfjgahkjy5eryteaf" localSheetId="7">#REF!</definedName>
    <definedName name="afhgfjgahkjy5eryteaf">#REF!</definedName>
    <definedName name="AGGREGATE_TRANSACTIONS_WITH" localSheetId="11">[15]Notes!#REF!</definedName>
    <definedName name="AGGREGATE_TRANSACTIONS_WITH" localSheetId="4">[15]Notes!#REF!</definedName>
    <definedName name="AGGREGATE_TRANSACTIONS_WITH" localSheetId="9">[15]Notes!#REF!</definedName>
    <definedName name="AGGREGATE_TRANSACTIONS_WITH" localSheetId="7">[15]Notes!#REF!</definedName>
    <definedName name="AGGREGATE_TRANSACTIONS_WITH">[15]Notes!#REF!</definedName>
    <definedName name="AHC">#N/A</definedName>
    <definedName name="ALI" localSheetId="11">#REF!</definedName>
    <definedName name="ALI" localSheetId="4">#REF!</definedName>
    <definedName name="ALI" localSheetId="9">#REF!</definedName>
    <definedName name="ALI" localSheetId="7">#REF!</definedName>
    <definedName name="ALI">#REF!</definedName>
    <definedName name="aliam" localSheetId="11">#REF!</definedName>
    <definedName name="aliam" localSheetId="4">#REF!</definedName>
    <definedName name="aliam" localSheetId="9">#REF!</definedName>
    <definedName name="aliam" localSheetId="7">#REF!</definedName>
    <definedName name="aliam">#REF!</definedName>
    <definedName name="APR_00" localSheetId="11">#REF!</definedName>
    <definedName name="APR_00" localSheetId="4">#REF!</definedName>
    <definedName name="APR_00" localSheetId="9">#REF!</definedName>
    <definedName name="APR_00" localSheetId="7">#REF!</definedName>
    <definedName name="APR_00">#REF!</definedName>
    <definedName name="APRIL98">[4]SPIN!$A$207:$I$208</definedName>
    <definedName name="aqib">#N/A</definedName>
    <definedName name="ARA_Threshold" localSheetId="11">#REF!</definedName>
    <definedName name="ARA_Threshold" localSheetId="4">#REF!</definedName>
    <definedName name="ARA_Threshold" localSheetId="9">#REF!</definedName>
    <definedName name="ARA_Threshold" localSheetId="7">#REF!</definedName>
    <definedName name="ARA_Threshold">#REF!</definedName>
    <definedName name="ARP_Threshold" localSheetId="11">#REF!</definedName>
    <definedName name="ARP_Threshold" localSheetId="4">#REF!</definedName>
    <definedName name="ARP_Threshold" localSheetId="9">#REF!</definedName>
    <definedName name="ARP_Threshold" localSheetId="7">#REF!</definedName>
    <definedName name="ARP_Threshold">#REF!</definedName>
    <definedName name="as" localSheetId="4" hidden="1">{"'FF'!$B$57:$B$58"}</definedName>
    <definedName name="as" hidden="1">{"'FF'!$B$57:$B$58"}</definedName>
    <definedName name="AS2DocOpenMode" hidden="1">"AS2DocumentEdit"</definedName>
    <definedName name="AS2ReportLS" hidden="1">1</definedName>
    <definedName name="AS2StaticLS" localSheetId="11" hidden="1">#REF!</definedName>
    <definedName name="AS2StaticLS" localSheetId="4" hidden="1">#REF!</definedName>
    <definedName name="AS2StaticLS" localSheetId="9" hidden="1">#REF!</definedName>
    <definedName name="AS2StaticLS" localSheetId="7" hidden="1">#REF!</definedName>
    <definedName name="AS2StaticLS" hidden="1">#REF!</definedName>
    <definedName name="AS2SyncStepLS" hidden="1">0</definedName>
    <definedName name="AS2TickmarkLS" localSheetId="11" hidden="1">#REF!</definedName>
    <definedName name="AS2TickmarkLS" localSheetId="4" hidden="1">#REF!</definedName>
    <definedName name="AS2TickmarkLS" localSheetId="9" hidden="1">#REF!</definedName>
    <definedName name="AS2TickmarkLS" localSheetId="7" hidden="1">#REF!</definedName>
    <definedName name="AS2TickmarkLS" hidden="1">#REF!</definedName>
    <definedName name="AS2VersionLS" hidden="1">300</definedName>
    <definedName name="asad" localSheetId="11">#REF!</definedName>
    <definedName name="asad" localSheetId="4">#REF!</definedName>
    <definedName name="asad" localSheetId="9">#REF!</definedName>
    <definedName name="asad" localSheetId="7">#REF!</definedName>
    <definedName name="asad">#REF!</definedName>
    <definedName name="asd" localSheetId="11">'[16]JULY-06'!#REF!</definedName>
    <definedName name="asd" localSheetId="4">'[16]JULY-06'!#REF!</definedName>
    <definedName name="asd" localSheetId="9">'[16]JULY-06'!#REF!</definedName>
    <definedName name="asd" localSheetId="7">'[16]JULY-06'!#REF!</definedName>
    <definedName name="asd">'[16]JULY-06'!#REF!</definedName>
    <definedName name="asddasas" localSheetId="11" hidden="1">'[17]No revaluation June 30, 2009'!#REF!</definedName>
    <definedName name="asddasas" localSheetId="4" hidden="1">'[17]No revaluation June 30, 2009'!#REF!</definedName>
    <definedName name="asddasas" localSheetId="9" hidden="1">'[17]No revaluation June 30, 2009'!#REF!</definedName>
    <definedName name="asddasas" localSheetId="7" hidden="1">'[17]No revaluation June 30, 2009'!#REF!</definedName>
    <definedName name="asddasas" hidden="1">'[17]No revaluation June 30, 2009'!#REF!</definedName>
    <definedName name="asfdsfsda" localSheetId="11">#REF!</definedName>
    <definedName name="asfdsfsda" localSheetId="4">#REF!</definedName>
    <definedName name="asfdsfsda" localSheetId="9">#REF!</definedName>
    <definedName name="asfdsfsda" localSheetId="7">#REF!</definedName>
    <definedName name="asfdsfsda">#REF!</definedName>
    <definedName name="asghar">[18]Lead!$C$1:$C$65536</definedName>
    <definedName name="ASSETS" localSheetId="11">#REF!</definedName>
    <definedName name="ASSETS" localSheetId="4">#REF!</definedName>
    <definedName name="ASSETS" localSheetId="9">#REF!</definedName>
    <definedName name="ASSETS" localSheetId="7">#REF!</definedName>
    <definedName name="ASSETS">#REF!</definedName>
    <definedName name="Assets2007" localSheetId="11">#REF!</definedName>
    <definedName name="Assets2007" localSheetId="4">#REF!</definedName>
    <definedName name="Assets2007" localSheetId="9">#REF!</definedName>
    <definedName name="Assets2007" localSheetId="7">#REF!</definedName>
    <definedName name="Assets2007">#REF!</definedName>
    <definedName name="asxdasd">#N/A</definedName>
    <definedName name="AUG_99" localSheetId="11">#REF!</definedName>
    <definedName name="AUG_99" localSheetId="4">#REF!</definedName>
    <definedName name="AUG_99" localSheetId="9">#REF!</definedName>
    <definedName name="AUG_99" localSheetId="7">#REF!</definedName>
    <definedName name="AUG_99">#REF!</definedName>
    <definedName name="b">#N/A</definedName>
    <definedName name="B70A317" localSheetId="11">#REF!</definedName>
    <definedName name="B70A317" localSheetId="4">#REF!</definedName>
    <definedName name="B70A317" localSheetId="9">#REF!</definedName>
    <definedName name="B70A317" localSheetId="7">#REF!</definedName>
    <definedName name="B70A317">#REF!</definedName>
    <definedName name="Balance" localSheetId="11">#REF!</definedName>
    <definedName name="Balance" localSheetId="4">#REF!</definedName>
    <definedName name="Balance" localSheetId="9">#REF!</definedName>
    <definedName name="Balance" localSheetId="7">#REF!</definedName>
    <definedName name="Balance">#REF!</definedName>
    <definedName name="bb">#N/A</definedName>
    <definedName name="bbb" localSheetId="11">#REF!</definedName>
    <definedName name="bbb" localSheetId="4">#REF!</definedName>
    <definedName name="bbb" localSheetId="9">#REF!</definedName>
    <definedName name="bbb" localSheetId="7">#REF!</definedName>
    <definedName name="bbb">#REF!</definedName>
    <definedName name="BD" localSheetId="11">[6]BS!#REF!</definedName>
    <definedName name="BD" localSheetId="4">[6]BS!#REF!</definedName>
    <definedName name="BD" localSheetId="9">[6]BS!#REF!</definedName>
    <definedName name="BD" localSheetId="7">[6]BS!#REF!</definedName>
    <definedName name="BD">[6]BS!#REF!</definedName>
    <definedName name="BG_Del" hidden="1">15</definedName>
    <definedName name="BG_Ins" hidden="1">4</definedName>
    <definedName name="BG_Mod" hidden="1">6</definedName>
    <definedName name="bnnon" localSheetId="11">#REF!</definedName>
    <definedName name="bnnon">#REF!</definedName>
    <definedName name="bookAdjustment">"!$A$75"</definedName>
    <definedName name="BS" localSheetId="11">'[6]5 TO 36'!#REF!</definedName>
    <definedName name="BS" localSheetId="4">'[6]5 TO 36'!#REF!</definedName>
    <definedName name="BS" localSheetId="9">'[6]5 TO 36'!#REF!</definedName>
    <definedName name="BS" localSheetId="7">'[6]5 TO 36'!#REF!</definedName>
    <definedName name="BS">'[6]5 TO 36'!#REF!</definedName>
    <definedName name="C.Flow" localSheetId="11">#REF!</definedName>
    <definedName name="C.Flow" localSheetId="4">#REF!</definedName>
    <definedName name="C.Flow" localSheetId="9">#REF!</definedName>
    <definedName name="C.Flow" localSheetId="7">#REF!</definedName>
    <definedName name="C.Flow">#REF!</definedName>
    <definedName name="C_" localSheetId="11">#REF!</definedName>
    <definedName name="C_" localSheetId="4">#REF!</definedName>
    <definedName name="C_" localSheetId="9">#REF!</definedName>
    <definedName name="C_" localSheetId="7">#REF!</definedName>
    <definedName name="C_">#REF!</definedName>
    <definedName name="C_C_Balance" localSheetId="11">#REF!</definedName>
    <definedName name="C_C_Balance" localSheetId="4">#REF!</definedName>
    <definedName name="C_C_Balance" localSheetId="9">#REF!</definedName>
    <definedName name="C_C_Balance" localSheetId="7">#REF!</definedName>
    <definedName name="C_C_Balance">#REF!</definedName>
    <definedName name="Cap.exp" localSheetId="11">#REF!</definedName>
    <definedName name="Cap.exp" localSheetId="9">#REF!</definedName>
    <definedName name="Cap.exp" localSheetId="7">#REF!</definedName>
    <definedName name="Cap.exp">#REF!</definedName>
    <definedName name="CASH_AND_BANK_BALANCES" localSheetId="11">#REF!</definedName>
    <definedName name="CASH_AND_BANK_BALANCES" localSheetId="9">#REF!</definedName>
    <definedName name="CASH_AND_BANK_BALANCES" localSheetId="7">#REF!</definedName>
    <definedName name="CASH_AND_BANK_BALANCES">#REF!</definedName>
    <definedName name="cashflowdec" localSheetId="11">[19]Notes!#REF!</definedName>
    <definedName name="cashflowdec" localSheetId="4">[19]Notes!#REF!</definedName>
    <definedName name="cashflowdec" localSheetId="9">[19]Notes!#REF!</definedName>
    <definedName name="cashflowdec" localSheetId="7">[19]Notes!#REF!</definedName>
    <definedName name="cashflowdec">[19]Notes!#REF!</definedName>
    <definedName name="cc">#N/A</definedName>
    <definedName name="CCCCC" localSheetId="11">#REF!</definedName>
    <definedName name="CCCCC" localSheetId="4">#REF!</definedName>
    <definedName name="CCCCC" localSheetId="9">#REF!</definedName>
    <definedName name="CCCCC" localSheetId="7">#REF!</definedName>
    <definedName name="CCCCC">#REF!</definedName>
    <definedName name="cd">[20]A!$A$8:$G$65536</definedName>
    <definedName name="cf" localSheetId="11">[19]Notes!#REF!</definedName>
    <definedName name="cf" localSheetId="4">[19]Notes!#REF!</definedName>
    <definedName name="cf" localSheetId="9">[19]Notes!#REF!</definedName>
    <definedName name="cf" localSheetId="7">[19]Notes!#REF!</definedName>
    <definedName name="cf">[19]Notes!#REF!</definedName>
    <definedName name="CF_AccruedExpenses">'[21]Cash Flow - CY Workings'!$K$1</definedName>
    <definedName name="CF_Dividends">'[21]Cash Flow - CY Workings'!$S$1</definedName>
    <definedName name="CF_Intangibles">'[21]Cash Flow - CY Workings'!$H$1</definedName>
    <definedName name="CF_Inventories">'[21]Cash Flow - CY Workings'!$E$1</definedName>
    <definedName name="CF_Investments">'[21]Cash Flow - CY Workings'!$I$1</definedName>
    <definedName name="CF_LTDebt">'[21]Cash Flow - CY Workings'!$N$1</definedName>
    <definedName name="CF_Payables">'[21]Cash Flow - CY Workings'!$J$1</definedName>
    <definedName name="CF_PrepaidExpenses">'[21]Cash Flow - CY Workings'!$F$1</definedName>
    <definedName name="CF_Property">'[21]Cash Flow - CY Workings'!$G$1</definedName>
    <definedName name="CF_Receivables">'[21]Cash Flow - CY Workings'!$D$1</definedName>
    <definedName name="CF_Shares">'[21]Cash Flow - CY Workings'!$P$1</definedName>
    <definedName name="ch" localSheetId="11">#REF!</definedName>
    <definedName name="ch" localSheetId="4">#REF!</definedName>
    <definedName name="ch" localSheetId="9">#REF!</definedName>
    <definedName name="ch" localSheetId="7">#REF!</definedName>
    <definedName name="ch">#REF!</definedName>
    <definedName name="Check" localSheetId="11">#REF!</definedName>
    <definedName name="Check" localSheetId="4">#REF!</definedName>
    <definedName name="Check" localSheetId="9">#REF!</definedName>
    <definedName name="Check" localSheetId="7">#REF!</definedName>
    <definedName name="Check">#REF!</definedName>
    <definedName name="checks" localSheetId="11">#REF!</definedName>
    <definedName name="checks" localSheetId="4">#REF!</definedName>
    <definedName name="checks" localSheetId="9">#REF!</definedName>
    <definedName name="checks" localSheetId="7">#REF!</definedName>
    <definedName name="checks">#REF!</definedName>
    <definedName name="clearing" localSheetId="11">'[22]FEB 2000'!#REF!</definedName>
    <definedName name="clearing" localSheetId="4">'[22]FEB 2000'!#REF!</definedName>
    <definedName name="clearing" localSheetId="9">'[22]FEB 2000'!#REF!</definedName>
    <definedName name="clearing" localSheetId="7">'[22]FEB 2000'!#REF!</definedName>
    <definedName name="clearing">'[22]FEB 2000'!#REF!</definedName>
    <definedName name="CLEARING___FORWARDING_EXPENSES" localSheetId="11">'[23]FEB 2000'!#REF!</definedName>
    <definedName name="CLEARING___FORWARDING_EXPENSES" localSheetId="4">'[23]FEB 2000'!#REF!</definedName>
    <definedName name="CLEARING___FORWARDING_EXPENSES" localSheetId="9">'[23]FEB 2000'!#REF!</definedName>
    <definedName name="CLEARING___FORWARDING_EXPENSES" localSheetId="7">'[23]FEB 2000'!#REF!</definedName>
    <definedName name="CLEARING___FORWARDING_EXPENSES">'[23]FEB 2000'!#REF!</definedName>
    <definedName name="CONTINGENCIES_AND_COMMITMENTS" localSheetId="11">#REF!</definedName>
    <definedName name="CONTINGENCIES_AND_COMMITMENTS" localSheetId="4">#REF!</definedName>
    <definedName name="CONTINGENCIES_AND_COMMITMENTS" localSheetId="9">#REF!</definedName>
    <definedName name="CONTINGENCIES_AND_COMMITMENTS" localSheetId="7">#REF!</definedName>
    <definedName name="CONTINGENCIES_AND_COMMITMENTS">#REF!</definedName>
    <definedName name="CONTROL" localSheetId="11">#REF!</definedName>
    <definedName name="CONTROL" localSheetId="4">#REF!</definedName>
    <definedName name="CONTROL" localSheetId="9">#REF!</definedName>
    <definedName name="CONTROL" localSheetId="7">#REF!</definedName>
    <definedName name="CONTROL">#REF!</definedName>
    <definedName name="Controlbs" localSheetId="11">#REF!</definedName>
    <definedName name="Controlbs" localSheetId="4">#REF!</definedName>
    <definedName name="Controlbs" localSheetId="9">#REF!</definedName>
    <definedName name="Controlbs" localSheetId="7">#REF!</definedName>
    <definedName name="Controlbs">#REF!</definedName>
    <definedName name="controlpl" localSheetId="11">#REF!</definedName>
    <definedName name="controlpl" localSheetId="9">#REF!</definedName>
    <definedName name="controlpl" localSheetId="7">#REF!</definedName>
    <definedName name="controlpl">#REF!</definedName>
    <definedName name="copied" localSheetId="11">#REF!</definedName>
    <definedName name="copied" localSheetId="9">#REF!</definedName>
    <definedName name="copied" localSheetId="7">#REF!</definedName>
    <definedName name="copied">#REF!</definedName>
    <definedName name="COST_OF_GOODS_SOLD" localSheetId="11">#REF!</definedName>
    <definedName name="COST_OF_GOODS_SOLD" localSheetId="9">#REF!</definedName>
    <definedName name="COST_OF_GOODS_SOLD" localSheetId="7">#REF!</definedName>
    <definedName name="COST_OF_GOODS_SOLD">#REF!</definedName>
    <definedName name="CPY" localSheetId="11">'[12]P.L NOTES '!#REF!</definedName>
    <definedName name="CPY" localSheetId="4">'[12]P.L NOTES '!#REF!</definedName>
    <definedName name="CPY" localSheetId="9">'[12]P.L NOTES '!#REF!</definedName>
    <definedName name="CPY" localSheetId="7">'[12]P.L NOTES '!#REF!</definedName>
    <definedName name="CPY">'[12]P.L NOTES '!#REF!</definedName>
    <definedName name="CREDITO" localSheetId="11">'[24]NOTES 1-18'!#REF!</definedName>
    <definedName name="CREDITO" localSheetId="4">'[24]NOTES 1-18'!#REF!</definedName>
    <definedName name="CREDITO" localSheetId="9">'[24]NOTES 1-18'!#REF!</definedName>
    <definedName name="CREDITO" localSheetId="7">'[24]NOTES 1-18'!#REF!</definedName>
    <definedName name="CREDITO">'[24]NOTES 1-18'!#REF!</definedName>
    <definedName name="CREDITORS__ACCRUED" localSheetId="11">#REF!</definedName>
    <definedName name="CREDITORS__ACCRUED" localSheetId="4">#REF!</definedName>
    <definedName name="CREDITORS__ACCRUED" localSheetId="9">#REF!</definedName>
    <definedName name="CREDITORS__ACCRUED" localSheetId="7">#REF!</definedName>
    <definedName name="CREDITORS__ACCRUED">#REF!</definedName>
    <definedName name="Critical_Component" localSheetId="11">#REF!</definedName>
    <definedName name="Critical_Component" localSheetId="4">#REF!</definedName>
    <definedName name="Critical_Component" localSheetId="9">#REF!</definedName>
    <definedName name="Critical_Component" localSheetId="7">#REF!</definedName>
    <definedName name="Critical_Component">#REF!</definedName>
    <definedName name="CY_lik_Equity" localSheetId="11">#REF!</definedName>
    <definedName name="CY_lik_Equity" localSheetId="4">#REF!</definedName>
    <definedName name="CY_lik_Equity" localSheetId="9">#REF!</definedName>
    <definedName name="CY_lik_Equity" localSheetId="7">#REF!</definedName>
    <definedName name="CY_lik_Equity">#REF!</definedName>
    <definedName name="CY_lik_Income" localSheetId="11">#REF!</definedName>
    <definedName name="CY_lik_Income" localSheetId="9">#REF!</definedName>
    <definedName name="CY_lik_Income" localSheetId="7">#REF!</definedName>
    <definedName name="CY_lik_Income">#REF!</definedName>
    <definedName name="CY_lik_Liabs" localSheetId="11">#REF!</definedName>
    <definedName name="CY_lik_Liabs" localSheetId="9">#REF!</definedName>
    <definedName name="CY_lik_Liabs" localSheetId="7">#REF!</definedName>
    <definedName name="CY_lik_Liabs">#REF!</definedName>
    <definedName name="CY_lik_RetEarn_bf" localSheetId="11">#REF!</definedName>
    <definedName name="CY_lik_RetEarn_bf" localSheetId="9">#REF!</definedName>
    <definedName name="CY_lik_RetEarn_bf" localSheetId="7">#REF!</definedName>
    <definedName name="CY_lik_RetEarn_bf">#REF!</definedName>
    <definedName name="CY_tx_all_Equity" localSheetId="11">#REF!</definedName>
    <definedName name="CY_tx_all_Equity" localSheetId="9">#REF!</definedName>
    <definedName name="CY_tx_all_Equity" localSheetId="7">#REF!</definedName>
    <definedName name="CY_tx_all_Equity">#REF!</definedName>
    <definedName name="CY_tx_all_Income" localSheetId="11">#REF!</definedName>
    <definedName name="CY_tx_all_Income" localSheetId="9">#REF!</definedName>
    <definedName name="CY_tx_all_Income" localSheetId="7">#REF!</definedName>
    <definedName name="CY_tx_all_Income">#REF!</definedName>
    <definedName name="CY_tx_all_Liabs" localSheetId="11">#REF!</definedName>
    <definedName name="CY_tx_all_Liabs" localSheetId="9">#REF!</definedName>
    <definedName name="CY_tx_all_Liabs" localSheetId="7">#REF!</definedName>
    <definedName name="CY_tx_all_Liabs">#REF!</definedName>
    <definedName name="CY_tx_all_RetEarn_bf" localSheetId="11">#REF!</definedName>
    <definedName name="CY_tx_all_RetEarn_bf" localSheetId="9">#REF!</definedName>
    <definedName name="CY_tx_all_RetEarn_bf" localSheetId="7">#REF!</definedName>
    <definedName name="CY_tx_all_RetEarn_bf">#REF!</definedName>
    <definedName name="CY_tx_knw_Equity" localSheetId="11">#REF!</definedName>
    <definedName name="CY_tx_knw_Equity" localSheetId="9">#REF!</definedName>
    <definedName name="CY_tx_knw_Equity" localSheetId="7">#REF!</definedName>
    <definedName name="CY_tx_knw_Equity">#REF!</definedName>
    <definedName name="CY_tx_knw_Income" localSheetId="11">#REF!</definedName>
    <definedName name="CY_tx_knw_Income" localSheetId="9">#REF!</definedName>
    <definedName name="CY_tx_knw_Income" localSheetId="7">#REF!</definedName>
    <definedName name="CY_tx_knw_Income">#REF!</definedName>
    <definedName name="CY_tx_knw_Liabs" localSheetId="11">#REF!</definedName>
    <definedName name="CY_tx_knw_Liabs" localSheetId="9">#REF!</definedName>
    <definedName name="CY_tx_knw_Liabs" localSheetId="7">#REF!</definedName>
    <definedName name="CY_tx_knw_Liabs">#REF!</definedName>
    <definedName name="CY_tx_knw_RetEarn_bf" localSheetId="11">#REF!</definedName>
    <definedName name="CY_tx_knw_RetEarn_bf" localSheetId="9">#REF!</definedName>
    <definedName name="CY_tx_knw_RetEarn_bf" localSheetId="7">#REF!</definedName>
    <definedName name="CY_tx_knw_RetEarn_bf">#REF!</definedName>
    <definedName name="CY_tx_lik_Equity" localSheetId="11">#REF!</definedName>
    <definedName name="CY_tx_lik_Equity" localSheetId="9">#REF!</definedName>
    <definedName name="CY_tx_lik_Equity" localSheetId="7">#REF!</definedName>
    <definedName name="CY_tx_lik_Equity">#REF!</definedName>
    <definedName name="CY_tx_lik_Income" localSheetId="11">#REF!</definedName>
    <definedName name="CY_tx_lik_Income" localSheetId="9">#REF!</definedName>
    <definedName name="CY_tx_lik_Income" localSheetId="7">#REF!</definedName>
    <definedName name="CY_tx_lik_Income">#REF!</definedName>
    <definedName name="CY_tx_lik_Liabs" localSheetId="11">#REF!</definedName>
    <definedName name="CY_tx_lik_Liabs" localSheetId="9">#REF!</definedName>
    <definedName name="CY_tx_lik_Liabs" localSheetId="7">#REF!</definedName>
    <definedName name="CY_tx_lik_Liabs">#REF!</definedName>
    <definedName name="CY_tx_lik_RetEarn_bf" localSheetId="11">#REF!</definedName>
    <definedName name="CY_tx_lik_RetEarn_bf" localSheetId="9">#REF!</definedName>
    <definedName name="CY_tx_lik_RetEarn_bf" localSheetId="7">#REF!</definedName>
    <definedName name="CY_tx_lik_RetEarn_bf">#REF!</definedName>
    <definedName name="D" localSheetId="11">#REF!</definedName>
    <definedName name="D" localSheetId="9">#REF!</definedName>
    <definedName name="D" localSheetId="7">#REF!</definedName>
    <definedName name="D">#REF!</definedName>
    <definedName name="_xlnm.Database" localSheetId="11">#REF!</definedName>
    <definedName name="_xlnm.Database" localSheetId="9">#REF!</definedName>
    <definedName name="_xlnm.Database" localSheetId="7">#REF!</definedName>
    <definedName name="_xlnm.Database">#REF!</definedName>
    <definedName name="Date_data" localSheetId="4">[25]Cover!$H$5:$R$18</definedName>
    <definedName name="Date_data">Cover!$G$3:$Q$17</definedName>
    <definedName name="DD" localSheetId="11">'[23]FEB 2000'!#REF!</definedName>
    <definedName name="DD" localSheetId="4">'[23]FEB 2000'!#REF!</definedName>
    <definedName name="DD" localSheetId="9">'[23]FEB 2000'!#REF!</definedName>
    <definedName name="DD" localSheetId="7">'[23]FEB 2000'!#REF!</definedName>
    <definedName name="DD">'[23]FEB 2000'!#REF!</definedName>
    <definedName name="DEC_99" localSheetId="11">#REF!</definedName>
    <definedName name="DEC_99" localSheetId="4">#REF!</definedName>
    <definedName name="DEC_99" localSheetId="9">#REF!</definedName>
    <definedName name="DEC_99" localSheetId="7">#REF!</definedName>
    <definedName name="DEC_99">#REF!</definedName>
    <definedName name="DEFERRED_FINANCE_CHARGES" localSheetId="11">[15]Notes!#REF!</definedName>
    <definedName name="DEFERRED_FINANCE_CHARGES" localSheetId="4">[15]Notes!#REF!</definedName>
    <definedName name="DEFERRED_FINANCE_CHARGES" localSheetId="9">[15]Notes!#REF!</definedName>
    <definedName name="DEFERRED_FINANCE_CHARGES" localSheetId="7">[15]Notes!#REF!</definedName>
    <definedName name="DEFERRED_FINANCE_CHARGES">[15]Notes!#REF!</definedName>
    <definedName name="dep">#N/A</definedName>
    <definedName name="DEPOSITS_AND_PREPAYMENTS" localSheetId="11">#REF!</definedName>
    <definedName name="DEPOSITS_AND_PREPAYMENTS" localSheetId="4">#REF!</definedName>
    <definedName name="DEPOSITS_AND_PREPAYMENTS" localSheetId="9">#REF!</definedName>
    <definedName name="DEPOSITS_AND_PREPAYMENTS" localSheetId="7">#REF!</definedName>
    <definedName name="DEPOSITS_AND_PREPAYMENTS">#REF!</definedName>
    <definedName name="DETAIL" localSheetId="11">#REF!</definedName>
    <definedName name="DETAIL" localSheetId="4">#REF!</definedName>
    <definedName name="DETAIL" localSheetId="9">#REF!</definedName>
    <definedName name="DETAIL" localSheetId="7">#REF!</definedName>
    <definedName name="DETAIL">#REF!</definedName>
    <definedName name="dfs" localSheetId="11">#REF!</definedName>
    <definedName name="dfs" localSheetId="4">#REF!</definedName>
    <definedName name="dfs" localSheetId="9">#REF!</definedName>
    <definedName name="dfs" localSheetId="7">#REF!</definedName>
    <definedName name="dfs">#REF!</definedName>
    <definedName name="DILPASAND">#N/A</definedName>
    <definedName name="DISP_01" localSheetId="11">#REF!</definedName>
    <definedName name="DISP_01" localSheetId="4">#REF!</definedName>
    <definedName name="DISP_01" localSheetId="9">#REF!</definedName>
    <definedName name="DISP_01" localSheetId="7">#REF!</definedName>
    <definedName name="DISP_01">#REF!</definedName>
    <definedName name="DISP_02" localSheetId="11">#REF!</definedName>
    <definedName name="DISP_02" localSheetId="4">#REF!</definedName>
    <definedName name="DISP_02" localSheetId="9">#REF!</definedName>
    <definedName name="DISP_02" localSheetId="7">#REF!</definedName>
    <definedName name="DISP_02">#REF!</definedName>
    <definedName name="DISP_03" localSheetId="11">#REF!</definedName>
    <definedName name="DISP_03" localSheetId="4">#REF!</definedName>
    <definedName name="DISP_03" localSheetId="9">#REF!</definedName>
    <definedName name="DISP_03" localSheetId="7">#REF!</definedName>
    <definedName name="DISP_03">#REF!</definedName>
    <definedName name="DISP_AD_01" localSheetId="11">#REF!</definedName>
    <definedName name="DISP_AD_01" localSheetId="9">#REF!</definedName>
    <definedName name="DISP_AD_01" localSheetId="7">#REF!</definedName>
    <definedName name="DISP_AD_01">#REF!</definedName>
    <definedName name="DISP_AD_02" localSheetId="11">#REF!</definedName>
    <definedName name="DISP_AD_02" localSheetId="9">#REF!</definedName>
    <definedName name="DISP_AD_02" localSheetId="7">#REF!</definedName>
    <definedName name="DISP_AD_02">#REF!</definedName>
    <definedName name="DISP_AD_03" localSheetId="11">#REF!</definedName>
    <definedName name="DISP_AD_03" localSheetId="9">#REF!</definedName>
    <definedName name="DISP_AD_03" localSheetId="7">#REF!</definedName>
    <definedName name="DISP_AD_03">#REF!</definedName>
    <definedName name="disposal" localSheetId="11">#REF!</definedName>
    <definedName name="disposal" localSheetId="9">#REF!</definedName>
    <definedName name="disposal" localSheetId="7">#REF!</definedName>
    <definedName name="disposal">#REF!</definedName>
    <definedName name="DIV">#N/A</definedName>
    <definedName name="dqqdwdwqwe">#N/A</definedName>
    <definedName name="dtml" localSheetId="4" hidden="1">{"'FF'!$B$57:$B$58"}</definedName>
    <definedName name="dtml" hidden="1">{"'FF'!$B$57:$B$58"}</definedName>
    <definedName name="E.O.B.I" localSheetId="11">'[23]FEB 2000'!#REF!</definedName>
    <definedName name="E.O.B.I" localSheetId="9">'[23]FEB 2000'!#REF!</definedName>
    <definedName name="E.O.B.I" localSheetId="7">'[23]FEB 2000'!#REF!</definedName>
    <definedName name="E.O.B.I">'[23]FEB 2000'!#REF!</definedName>
    <definedName name="EARNINGS_PER_SHARE___BASIC" localSheetId="11">#REF!</definedName>
    <definedName name="EARNINGS_PER_SHARE___BASIC" localSheetId="4">#REF!</definedName>
    <definedName name="EARNINGS_PER_SHARE___BASIC" localSheetId="9">#REF!</definedName>
    <definedName name="EARNINGS_PER_SHARE___BASIC" localSheetId="7">#REF!</definedName>
    <definedName name="EARNINGS_PER_SHARE___BASIC">#REF!</definedName>
    <definedName name="EDUCATION_CESS" localSheetId="11">'[23]FEB 2000'!#REF!</definedName>
    <definedName name="EDUCATION_CESS" localSheetId="4">'[23]FEB 2000'!#REF!</definedName>
    <definedName name="EDUCATION_CESS" localSheetId="9">'[23]FEB 2000'!#REF!</definedName>
    <definedName name="EDUCATION_CESS" localSheetId="7">'[23]FEB 2000'!#REF!</definedName>
    <definedName name="EDUCATION_CESS">'[23]FEB 2000'!#REF!</definedName>
    <definedName name="Effective_Tax_Rate" localSheetId="11">#REF!</definedName>
    <definedName name="Effective_Tax_Rate" localSheetId="4">#REF!</definedName>
    <definedName name="Effective_Tax_Rate" localSheetId="9">#REF!</definedName>
    <definedName name="Effective_Tax_Rate" localSheetId="7">#REF!</definedName>
    <definedName name="Effective_Tax_Rate">#REF!</definedName>
    <definedName name="End_Bal">'[26]Amortization Table'!$I$18:$I$377</definedName>
    <definedName name="ePS" localSheetId="11">#REF!</definedName>
    <definedName name="ePS" localSheetId="4">#REF!</definedName>
    <definedName name="ePS" localSheetId="9">#REF!</definedName>
    <definedName name="ePS" localSheetId="7">#REF!</definedName>
    <definedName name="ePS">#REF!</definedName>
    <definedName name="eq" localSheetId="11">#REF!</definedName>
    <definedName name="eq" localSheetId="4">#REF!</definedName>
    <definedName name="eq" localSheetId="9">#REF!</definedName>
    <definedName name="eq" localSheetId="7">#REF!</definedName>
    <definedName name="eq">#REF!</definedName>
    <definedName name="Equity" localSheetId="11">[27]Acct!#REF!</definedName>
    <definedName name="Equity" localSheetId="4">[27]Acct!#REF!</definedName>
    <definedName name="Equity" localSheetId="9">[27]Acct!#REF!</definedName>
    <definedName name="Equity" localSheetId="7">[27]Acct!#REF!</definedName>
    <definedName name="Equity">[27]Acct!#REF!</definedName>
    <definedName name="Ex_rate" localSheetId="11">#REF!</definedName>
    <definedName name="Ex_rate" localSheetId="4">#REF!</definedName>
    <definedName name="Ex_rate" localSheetId="9">#REF!</definedName>
    <definedName name="Ex_rate" localSheetId="7">#REF!</definedName>
    <definedName name="Ex_rate">#REF!</definedName>
    <definedName name="EXI" localSheetId="11">'[12]P.L NOTES '!#REF!</definedName>
    <definedName name="EXI" localSheetId="4">'[12]P.L NOTES '!#REF!</definedName>
    <definedName name="EXI" localSheetId="9">'[12]P.L NOTES '!#REF!</definedName>
    <definedName name="EXI" localSheetId="7">'[12]P.L NOTES '!#REF!</definedName>
    <definedName name="EXI">'[12]P.L NOTES '!#REF!</definedName>
    <definedName name="Expected_Error_Rate" localSheetId="11">#REF!</definedName>
    <definedName name="Expected_Error_Rate" localSheetId="4">#REF!</definedName>
    <definedName name="Expected_Error_Rate" localSheetId="9">#REF!</definedName>
    <definedName name="Expected_Error_Rate" localSheetId="7">#REF!</definedName>
    <definedName name="Expected_Error_Rate">#REF!</definedName>
    <definedName name="EXPORT_DEVELOPMENT_SURCHARGE" localSheetId="11">'[23]FEB 2000'!#REF!</definedName>
    <definedName name="EXPORT_DEVELOPMENT_SURCHARGE" localSheetId="4">'[23]FEB 2000'!#REF!</definedName>
    <definedName name="EXPORT_DEVELOPMENT_SURCHARGE" localSheetId="9">'[23]FEB 2000'!#REF!</definedName>
    <definedName name="EXPORT_DEVELOPMENT_SURCHARGE" localSheetId="7">'[23]FEB 2000'!#REF!</definedName>
    <definedName name="EXPORT_DEVELOPMENT_SURCHARGE">'[23]FEB 2000'!#REF!</definedName>
    <definedName name="FA" localSheetId="11">'[6]5 TO 36'!#REF!</definedName>
    <definedName name="FA" localSheetId="4">'[6]5 TO 36'!#REF!</definedName>
    <definedName name="FA" localSheetId="9">'[6]5 TO 36'!#REF!</definedName>
    <definedName name="FA" localSheetId="7">'[6]5 TO 36'!#REF!</definedName>
    <definedName name="FA">'[6]5 TO 36'!#REF!</definedName>
    <definedName name="Factor" localSheetId="11">#REF!</definedName>
    <definedName name="Factor" localSheetId="4">#REF!</definedName>
    <definedName name="Factor" localSheetId="9">#REF!</definedName>
    <definedName name="Factor" localSheetId="7">#REF!</definedName>
    <definedName name="Factor">#REF!</definedName>
    <definedName name="FD" localSheetId="11">[6]FF!#REF!</definedName>
    <definedName name="FD" localSheetId="4">[6]FF!#REF!</definedName>
    <definedName name="FD" localSheetId="9">[6]FF!#REF!</definedName>
    <definedName name="FD" localSheetId="7">[6]FF!#REF!</definedName>
    <definedName name="FD">[6]FF!#REF!</definedName>
    <definedName name="FEB_00" localSheetId="11">#REF!</definedName>
    <definedName name="FEB_00" localSheetId="4">#REF!</definedName>
    <definedName name="FEB_00" localSheetId="9">#REF!</definedName>
    <definedName name="FEB_00" localSheetId="7">#REF!</definedName>
    <definedName name="FEB_00">#REF!</definedName>
    <definedName name="FF" localSheetId="11">'[6]5 TO 36'!#REF!</definedName>
    <definedName name="FF" localSheetId="4">'[6]5 TO 36'!#REF!</definedName>
    <definedName name="FF" localSheetId="9">'[6]5 TO 36'!#REF!</definedName>
    <definedName name="FF" localSheetId="7">'[6]5 TO 36'!#REF!</definedName>
    <definedName name="FF">'[6]5 TO 36'!#REF!</definedName>
    <definedName name="FI" localSheetId="11">#REF!</definedName>
    <definedName name="FI" localSheetId="4">#REF!</definedName>
    <definedName name="FI" localSheetId="9">#REF!</definedName>
    <definedName name="FI" localSheetId="7">#REF!</definedName>
    <definedName name="FI">#REF!</definedName>
    <definedName name="final" localSheetId="11">#REF!</definedName>
    <definedName name="final" localSheetId="4">#REF!</definedName>
    <definedName name="final" localSheetId="9">#REF!</definedName>
    <definedName name="final" localSheetId="7">#REF!</definedName>
    <definedName name="final">#REF!</definedName>
    <definedName name="FINANCIAL_CHARGES" localSheetId="11">#REF!</definedName>
    <definedName name="FINANCIAL_CHARGES" localSheetId="4">#REF!</definedName>
    <definedName name="FINANCIAL_CHARGES" localSheetId="9">#REF!</definedName>
    <definedName name="FINANCIAL_CHARGES" localSheetId="7">#REF!</definedName>
    <definedName name="FINANCIAL_CHARGES">#REF!</definedName>
    <definedName name="FinInstChanged" localSheetId="11">#REF!</definedName>
    <definedName name="FinInstChanged" localSheetId="9">#REF!</definedName>
    <definedName name="FinInstChanged" localSheetId="7">#REF!</definedName>
    <definedName name="FinInstChanged">#REF!</definedName>
    <definedName name="fix" localSheetId="11">#REF!</definedName>
    <definedName name="fix" localSheetId="9">#REF!</definedName>
    <definedName name="fix" localSheetId="7">#REF!</definedName>
    <definedName name="fix">#REF!</definedName>
    <definedName name="FSA">#N/A</definedName>
    <definedName name="FSC">#N/A</definedName>
    <definedName name="GAS_CHARGES" localSheetId="11">'[23]FEB 2000'!#REF!</definedName>
    <definedName name="GAS_CHARGES" localSheetId="4">'[23]FEB 2000'!#REF!</definedName>
    <definedName name="GAS_CHARGES" localSheetId="9">'[23]FEB 2000'!#REF!</definedName>
    <definedName name="GAS_CHARGES" localSheetId="7">'[23]FEB 2000'!#REF!</definedName>
    <definedName name="GAS_CHARGES">'[23]FEB 2000'!#REF!</definedName>
    <definedName name="good" localSheetId="11">#REF!</definedName>
    <definedName name="good" localSheetId="4">#REF!</definedName>
    <definedName name="good" localSheetId="9">#REF!</definedName>
    <definedName name="good" localSheetId="7">#REF!</definedName>
    <definedName name="good">#REF!</definedName>
    <definedName name="GRAND_TOTAL" localSheetId="11">#REF!</definedName>
    <definedName name="GRAND_TOTAL" localSheetId="4">#REF!</definedName>
    <definedName name="GRAND_TOTAL" localSheetId="9">#REF!</definedName>
    <definedName name="GRAND_TOTAL" localSheetId="7">#REF!</definedName>
    <definedName name="GRAND_TOTAL">#REF!</definedName>
    <definedName name="GRAs">[28]Graph!$AJ$1:$AL$1</definedName>
    <definedName name="GRATUITY" localSheetId="11">'[23]FEB 2000'!#REF!</definedName>
    <definedName name="GRATUITY" localSheetId="9">'[23]FEB 2000'!#REF!</definedName>
    <definedName name="GRATUITY" localSheetId="7">'[23]FEB 2000'!#REF!</definedName>
    <definedName name="GRATUITY">'[23]FEB 2000'!#REF!</definedName>
    <definedName name="Gratuity." localSheetId="11">'[29]FEB 2000'!#REF!</definedName>
    <definedName name="Gratuity." localSheetId="9">'[29]FEB 2000'!#REF!</definedName>
    <definedName name="Gratuity." localSheetId="7">'[29]FEB 2000'!#REF!</definedName>
    <definedName name="Gratuity.">'[29]FEB 2000'!#REF!</definedName>
    <definedName name="HASAN" localSheetId="11">#REF!</definedName>
    <definedName name="HASAN" localSheetId="4">#REF!</definedName>
    <definedName name="HASAN" localSheetId="9">#REF!</definedName>
    <definedName name="HASAN" localSheetId="7">#REF!</definedName>
    <definedName name="HASAN">#REF!</definedName>
    <definedName name="HEADDAYA3">[30]Calendar!$U$65:$AA$70,[30]Calendar!$L$65:$R$70,[30]Calendar!$C$65:$I$70,[30]Calendar!$C$51:$I$56,[30]Calendar!$L$51:$R$56,[30]Calendar!$U$51:$AA$56,[30]Calendar!$U$37:$AA$42,[30]Calendar!$L$37:$R$41,[30]Calendar!$L$42:$R$42,[30]Calendar!$C$37:$I$42,[30]Calendar!$C$23:$I$28,[30]Calendar!$L$23:$R$28,[30]Calendar!$U$23:$AA$28</definedName>
    <definedName name="HEADDAYA4">[30]Calendar!$C$23:$I$28,[30]Calendar!$L$23,[30]Calendar!$R$23,[30]Calendar!$L$23:$R$28,[30]Calendar!$U$23:$AA$28,[30]Calendar!$C$37:$I$42,[30]Calendar!$L$37:$R$42,[30]Calendar!$U$37:$AA$42,[30]Calendar!$C$51:$I$56,[30]Calendar!$L$51:$R$55,[30]Calendar!$L$51:$R$56,[30]Calendar!$U$51:$AA$55,[30]Calendar!$AA$55,[30]Calendar!$U$51:$AA$56,[30]Calendar!$C$65:$I$70,[30]Calendar!$L$65:$R$70,[30]Calendar!$U$65:$AA$70</definedName>
    <definedName name="Header_Row">ROW('[26]Amortization Table'!$A$17:$IV$17)</definedName>
    <definedName name="HEADWEEKA3">[30]Calendar!$C$22:$I$22,[30]Calendar!$L$22:$R$22,[30]Calendar!$U$22:$AA$22,[30]Calendar!$C$36:$I$36,[30]Calendar!$L$36:$R$36,[30]Calendar!$U$36:$AA$36,[30]Calendar!$C$50:$I$50,[30]Calendar!$L$50:$R$50,[30]Calendar!$U$50:$AA$50,[30]Calendar!$C$64:$I$64,[30]Calendar!$L$64:$R$64,[30]Calendar!$U$64:$AA$64</definedName>
    <definedName name="HEADWEEKA4">[30]Calendar!$C$22:$I$22,[30]Calendar!$L$22:$R$22,[30]Calendar!$U$22:$AA$22,[30]Calendar!$U$36:$AA$36,[30]Calendar!$L$36:$R$36,[30]Calendar!$C$36:$I$36,[30]Calendar!$U$50:$AA$50,[30]Calendar!$L$50:$R$50,[30]Calendar!$C$50:$I$50,[30]Calendar!$U$64:$AA$64,[30]Calendar!$L$64:$R$64,[30]Calendar!$C$64:$I$64</definedName>
    <definedName name="hfdfh" localSheetId="11">#REF!</definedName>
    <definedName name="hfdfh" localSheetId="4">#REF!</definedName>
    <definedName name="hfdfh" localSheetId="9">#REF!</definedName>
    <definedName name="hfdfh" localSheetId="7">#REF!</definedName>
    <definedName name="hfdfh">#REF!</definedName>
    <definedName name="hh" localSheetId="4" hidden="1">{"'FF'!$B$57:$B$58"}</definedName>
    <definedName name="hh" hidden="1">{"'FF'!$B$57:$B$58"}</definedName>
    <definedName name="hhf" localSheetId="11" hidden="1">#REF!</definedName>
    <definedName name="hhf" hidden="1">#REF!</definedName>
    <definedName name="hhh" localSheetId="4" hidden="1">{"'FF'!$B$57:$B$58"}</definedName>
    <definedName name="hhh" hidden="1">{"'FF'!$B$57:$B$58"}</definedName>
    <definedName name="HINA">#N/A</definedName>
    <definedName name="HOL">#N/A</definedName>
    <definedName name="HR" localSheetId="11">'[31]Note 8'!#REF!</definedName>
    <definedName name="HR" localSheetId="9">'[31]Note 8'!#REF!</definedName>
    <definedName name="HR" localSheetId="7">'[31]Note 8'!#REF!</definedName>
    <definedName name="HR">'[31]Note 8'!#REF!</definedName>
    <definedName name="HTML_CodePage" hidden="1">1252</definedName>
    <definedName name="HTML_Control" localSheetId="4" hidden="1">{"'FF'!$B$57:$B$58"}</definedName>
    <definedName name="HTML_Control" hidden="1">{"'FF'!$B$57:$B$58"}</definedName>
    <definedName name="HTML_Description" hidden="1">""</definedName>
    <definedName name="HTML_Email" hidden="1">""</definedName>
    <definedName name="HTML_Header" hidden="1">"FF"</definedName>
    <definedName name="HTML_LastUpdate" hidden="1">"2/1/01"</definedName>
    <definedName name="HTML_LineAfter" hidden="1">FALSE</definedName>
    <definedName name="HTML_LineBefore" hidden="1">FALSE</definedName>
    <definedName name="HTML_Name" hidden="1">"OPEY A."</definedName>
    <definedName name="HTML_OBDlg2" hidden="1">TRUE</definedName>
    <definedName name="HTML_OBDlg4" hidden="1">TRUE</definedName>
    <definedName name="HTML_OS" hidden="1">0</definedName>
    <definedName name="HTML_PathFile" hidden="1">"C:\My Documents\MyHTML.htm"</definedName>
    <definedName name="HTML_Title" hidden="1">"BSF00-7"</definedName>
    <definedName name="ICP" localSheetId="11">#REF!</definedName>
    <definedName name="ICP" localSheetId="4">#REF!</definedName>
    <definedName name="ICP" localSheetId="9">#REF!</definedName>
    <definedName name="ICP" localSheetId="7">#REF!</definedName>
    <definedName name="ICP">#REF!</definedName>
    <definedName name="imran" localSheetId="11">#REF!</definedName>
    <definedName name="imran" localSheetId="4">#REF!</definedName>
    <definedName name="imran" localSheetId="9">#REF!</definedName>
    <definedName name="imran" localSheetId="7">#REF!</definedName>
    <definedName name="imran">#REF!</definedName>
    <definedName name="INCREMENTAL" localSheetId="11" hidden="1">[32]Acct!#REF!</definedName>
    <definedName name="INCREMENTAL" localSheetId="4" hidden="1">[32]Acct!#REF!</definedName>
    <definedName name="INCREMENTAL" localSheetId="9" hidden="1">[32]Acct!#REF!</definedName>
    <definedName name="INCREMENTAL" localSheetId="7" hidden="1">[32]Acct!#REF!</definedName>
    <definedName name="INCREMENTAL" hidden="1">[32]Acct!#REF!</definedName>
    <definedName name="instchange" localSheetId="11">#REF!</definedName>
    <definedName name="instchange" localSheetId="4">#REF!</definedName>
    <definedName name="instchange" localSheetId="9">#REF!</definedName>
    <definedName name="instchange" localSheetId="7">#REF!</definedName>
    <definedName name="instchange">#REF!</definedName>
    <definedName name="Instrument" localSheetId="11">#REF!</definedName>
    <definedName name="Instrument" localSheetId="4">#REF!</definedName>
    <definedName name="Instrument" localSheetId="9">#REF!</definedName>
    <definedName name="Instrument" localSheetId="7">#REF!</definedName>
    <definedName name="Instrument">#REF!</definedName>
    <definedName name="INSUARANCE" localSheetId="11">'[23]FEB 2000'!#REF!</definedName>
    <definedName name="INSUARANCE" localSheetId="4">'[23]FEB 2000'!#REF!</definedName>
    <definedName name="INSUARANCE" localSheetId="9">'[23]FEB 2000'!#REF!</definedName>
    <definedName name="INSUARANCE" localSheetId="7">'[23]FEB 2000'!#REF!</definedName>
    <definedName name="INSUARANCE">'[23]FEB 2000'!#REF!</definedName>
    <definedName name="Interest_Rate">'[26]Amortization Table'!$D$7</definedName>
    <definedName name="INVEST" localSheetId="11">[27]Acct!#REF!</definedName>
    <definedName name="INVEST" localSheetId="4">[27]Acct!#REF!</definedName>
    <definedName name="INVEST" localSheetId="9">[27]Acct!#REF!</definedName>
    <definedName name="INVEST" localSheetId="7">[27]Acct!#REF!</definedName>
    <definedName name="INVEST">[27]Acct!#REF!</definedName>
    <definedName name="j" localSheetId="11">#REF!</definedName>
    <definedName name="j" localSheetId="4">#REF!</definedName>
    <definedName name="j" localSheetId="9">#REF!</definedName>
    <definedName name="j" localSheetId="7">#REF!</definedName>
    <definedName name="j">#REF!</definedName>
    <definedName name="JAN_00" localSheetId="11">#REF!</definedName>
    <definedName name="JAN_00" localSheetId="4">#REF!</definedName>
    <definedName name="JAN_00" localSheetId="9">#REF!</definedName>
    <definedName name="JAN_00" localSheetId="7">#REF!</definedName>
    <definedName name="JAN_00">#REF!</definedName>
    <definedName name="jav" localSheetId="11">#REF!</definedName>
    <definedName name="jav" localSheetId="4">#REF!</definedName>
    <definedName name="jav" localSheetId="9">#REF!</definedName>
    <definedName name="jav" localSheetId="7">#REF!</definedName>
    <definedName name="jav">#REF!</definedName>
    <definedName name="jljkl" hidden="1">[18]Lead!A1</definedName>
    <definedName name="JOHN" localSheetId="11">#REF!</definedName>
    <definedName name="JOHN" localSheetId="4">#REF!</definedName>
    <definedName name="JOHN" localSheetId="9">#REF!</definedName>
    <definedName name="JOHN" localSheetId="7">#REF!</definedName>
    <definedName name="JOHN">#REF!</definedName>
    <definedName name="JULY_99" localSheetId="11">#REF!</definedName>
    <definedName name="JULY_99" localSheetId="4">#REF!</definedName>
    <definedName name="JULY_99" localSheetId="9">#REF!</definedName>
    <definedName name="JULY_99" localSheetId="7">#REF!</definedName>
    <definedName name="JULY_99">#REF!</definedName>
    <definedName name="JUN_00" localSheetId="11">#REF!</definedName>
    <definedName name="JUN_00" localSheetId="4">#REF!</definedName>
    <definedName name="JUN_00" localSheetId="9">#REF!</definedName>
    <definedName name="JUN_00" localSheetId="7">#REF!</definedName>
    <definedName name="JUN_00">#REF!</definedName>
    <definedName name="k" localSheetId="11">#REF!</definedName>
    <definedName name="k" localSheetId="9">#REF!</definedName>
    <definedName name="k" localSheetId="7">#REF!</definedName>
    <definedName name="k">#REF!</definedName>
    <definedName name="KHALID" localSheetId="11">#REF!</definedName>
    <definedName name="KHALID" localSheetId="9">#REF!</definedName>
    <definedName name="KHALID" localSheetId="7">#REF!</definedName>
    <definedName name="KHALID">#REF!</definedName>
    <definedName name="kjlkj">[18]Lead!$F$978</definedName>
    <definedName name="kjsadhlasd" localSheetId="11">'[2]P&amp;L, CF and Notes'!#REF!</definedName>
    <definedName name="kjsadhlasd" localSheetId="4">'[2]P&amp;L, CF and Notes'!#REF!</definedName>
    <definedName name="kjsadhlasd" localSheetId="9">'[2]P&amp;L, CF and Notes'!#REF!</definedName>
    <definedName name="kjsadhlasd" localSheetId="7">'[2]P&amp;L, CF and Notes'!#REF!</definedName>
    <definedName name="kjsadhlasd">'[2]P&amp;L, CF and Notes'!#REF!</definedName>
    <definedName name="kkk" localSheetId="4" hidden="1">{"'FF'!$B$57:$B$58"}</definedName>
    <definedName name="kkk" hidden="1">{"'FF'!$B$57:$B$58"}</definedName>
    <definedName name="KOF" localSheetId="11">#REF!</definedName>
    <definedName name="KOF" localSheetId="4">#REF!</definedName>
    <definedName name="KOF" localSheetId="9">#REF!</definedName>
    <definedName name="KOF" localSheetId="7">#REF!</definedName>
    <definedName name="KOF">#REF!</definedName>
    <definedName name="L_Adjust">[33]Links!$H$1:$H$65536</definedName>
    <definedName name="L_AJE_Tot">[33]Links!$G$1:$G$65536</definedName>
    <definedName name="L_CY_Beg">[33]Links!$F$1:$F$65536</definedName>
    <definedName name="L_CY_End">[33]Links!$J$1:$J$65536</definedName>
    <definedName name="L_PY_End">[33]Links!$K$1:$K$65536</definedName>
    <definedName name="L_RJE_Tot">[33]Links!$I$1:$I$65536</definedName>
    <definedName name="Last_Row">#N/A</definedName>
    <definedName name="Lease" localSheetId="11">#REF!</definedName>
    <definedName name="Lease" localSheetId="4">#REF!</definedName>
    <definedName name="Lease" localSheetId="9">#REF!</definedName>
    <definedName name="Lease" localSheetId="7">#REF!</definedName>
    <definedName name="Lease">#REF!</definedName>
    <definedName name="LILY" localSheetId="11">#REF!</definedName>
    <definedName name="LILY" localSheetId="4">#REF!</definedName>
    <definedName name="LILY" localSheetId="9">#REF!</definedName>
    <definedName name="LILY" localSheetId="7">#REF!</definedName>
    <definedName name="LILY">#REF!</definedName>
    <definedName name="LLL">#N/A</definedName>
    <definedName name="LO" localSheetId="11">#REF!</definedName>
    <definedName name="LO" localSheetId="4">#REF!</definedName>
    <definedName name="LO" localSheetId="9">#REF!</definedName>
    <definedName name="LO" localSheetId="7">#REF!</definedName>
    <definedName name="LO">#REF!</definedName>
    <definedName name="Loan_Amount">'[26]Amortization Table'!$D$6</definedName>
    <definedName name="Loan_Start">'[26]Amortization Table'!$D$10</definedName>
    <definedName name="Loan_Years">'[26]Amortization Table'!$D$8</definedName>
    <definedName name="LOANS_AND_ADVANCES" localSheetId="11">#REF!</definedName>
    <definedName name="LOANS_AND_ADVANCES" localSheetId="4">#REF!</definedName>
    <definedName name="LOANS_AND_ADVANCES" localSheetId="9">#REF!</definedName>
    <definedName name="LOANS_AND_ADVANCES" localSheetId="7">#REF!</definedName>
    <definedName name="LOANS_AND_ADVANCES">#REF!</definedName>
    <definedName name="LOCAL_FREIGHT" localSheetId="11">'[23]FEB 2000'!#REF!</definedName>
    <definedName name="LOCAL_FREIGHT" localSheetId="4">'[23]FEB 2000'!#REF!</definedName>
    <definedName name="LOCAL_FREIGHT" localSheetId="9">'[23]FEB 2000'!#REF!</definedName>
    <definedName name="LOCAL_FREIGHT" localSheetId="7">'[23]FEB 2000'!#REF!</definedName>
    <definedName name="LOCAL_FREIGHT">'[23]FEB 2000'!#REF!</definedName>
    <definedName name="LOLA" localSheetId="11">#REF!</definedName>
    <definedName name="LOLA" localSheetId="4">#REF!</definedName>
    <definedName name="LOLA" localSheetId="9">#REF!</definedName>
    <definedName name="LOLA" localSheetId="7">#REF!</definedName>
    <definedName name="LOLA">#REF!</definedName>
    <definedName name="LONG_TERM_LIABILITIES" localSheetId="11">#REF!</definedName>
    <definedName name="LONG_TERM_LIABILITIES" localSheetId="4">#REF!</definedName>
    <definedName name="LONG_TERM_LIABILITIES" localSheetId="9">#REF!</definedName>
    <definedName name="LONG_TERM_LIABILITIES" localSheetId="7">#REF!</definedName>
    <definedName name="LONG_TERM_LIABILITIES">#REF!</definedName>
    <definedName name="LONG_TERM_LOANS" localSheetId="11">'[23]FEB 2000'!#REF!</definedName>
    <definedName name="LONG_TERM_LOANS" localSheetId="4">'[23]FEB 2000'!#REF!</definedName>
    <definedName name="LONG_TERM_LOANS" localSheetId="9">'[23]FEB 2000'!#REF!</definedName>
    <definedName name="LONG_TERM_LOANS" localSheetId="7">'[23]FEB 2000'!#REF!</definedName>
    <definedName name="LONG_TERM_LOANS">'[23]FEB 2000'!#REF!</definedName>
    <definedName name="LONG_TERM_LOANS_SECURED" localSheetId="11">#REF!</definedName>
    <definedName name="LONG_TERM_LOANS_SECURED" localSheetId="4">#REF!</definedName>
    <definedName name="LONG_TERM_LOANS_SECURED" localSheetId="9">#REF!</definedName>
    <definedName name="LONG_TERM_LOANS_SECURED" localSheetId="7">#REF!</definedName>
    <definedName name="LONG_TERM_LOANS_SECURED">#REF!</definedName>
    <definedName name="LOP" localSheetId="11">#REF!</definedName>
    <definedName name="LOP" localSheetId="4">#REF!</definedName>
    <definedName name="LOP" localSheetId="9">#REF!</definedName>
    <definedName name="LOP" localSheetId="7">#REF!</definedName>
    <definedName name="LOP">#REF!</definedName>
    <definedName name="LS" localSheetId="11">#REF!</definedName>
    <definedName name="LS" localSheetId="4">#REF!</definedName>
    <definedName name="LS" localSheetId="9">#REF!</definedName>
    <definedName name="LS" localSheetId="7">#REF!</definedName>
    <definedName name="LS">#REF!</definedName>
    <definedName name="LSS" localSheetId="11">'[34]L.SALE LOCAL COTTON '!#REF!</definedName>
    <definedName name="LSS" localSheetId="4">'[34]L.SALE LOCAL COTTON '!#REF!</definedName>
    <definedName name="LSS" localSheetId="9">'[34]L.SALE LOCAL COTTON '!#REF!</definedName>
    <definedName name="LSS" localSheetId="7">'[34]L.SALE LOCAL COTTON '!#REF!</definedName>
    <definedName name="LSS">'[34]L.SALE LOCAL COTTON '!#REF!</definedName>
    <definedName name="LT" localSheetId="11">#REF!</definedName>
    <definedName name="LT" localSheetId="4">#REF!</definedName>
    <definedName name="LT" localSheetId="9">#REF!</definedName>
    <definedName name="LT" localSheetId="7">#REF!</definedName>
    <definedName name="LT">#REF!</definedName>
    <definedName name="LTLoans" localSheetId="11">#REF!</definedName>
    <definedName name="LTLoans" localSheetId="4">#REF!</definedName>
    <definedName name="LTLoans" localSheetId="9">#REF!</definedName>
    <definedName name="LTLoans" localSheetId="7">#REF!</definedName>
    <definedName name="LTLoans">#REF!</definedName>
    <definedName name="MAR_00" localSheetId="11">#REF!</definedName>
    <definedName name="MAR_00" localSheetId="4">#REF!</definedName>
    <definedName name="MAR_00" localSheetId="9">#REF!</definedName>
    <definedName name="MAR_00" localSheetId="7">#REF!</definedName>
    <definedName name="MAR_00">#REF!</definedName>
    <definedName name="MARK_UP_ON_GENERATOR_LEASE" localSheetId="11">'[23]FEB 2000'!#REF!</definedName>
    <definedName name="MARK_UP_ON_GENERATOR_LEASE" localSheetId="4">'[23]FEB 2000'!#REF!</definedName>
    <definedName name="MARK_UP_ON_GENERATOR_LEASE" localSheetId="9">'[23]FEB 2000'!#REF!</definedName>
    <definedName name="MARK_UP_ON_GENERATOR_LEASE" localSheetId="7">'[23]FEB 2000'!#REF!</definedName>
    <definedName name="MARK_UP_ON_GENERATOR_LEASE">'[23]FEB 2000'!#REF!</definedName>
    <definedName name="Materiality" localSheetId="11">#REF!</definedName>
    <definedName name="Materiality" localSheetId="4">#REF!</definedName>
    <definedName name="Materiality" localSheetId="9">#REF!</definedName>
    <definedName name="Materiality" localSheetId="7">#REF!</definedName>
    <definedName name="Materiality">#REF!</definedName>
    <definedName name="MAY_00" localSheetId="11">#REF!</definedName>
    <definedName name="MAY_00" localSheetId="4">#REF!</definedName>
    <definedName name="MAY_00" localSheetId="9">#REF!</definedName>
    <definedName name="MAY_00" localSheetId="7">#REF!</definedName>
    <definedName name="MAY_00">#REF!</definedName>
    <definedName name="MISC._MANUFACTURING_EXPENSES" localSheetId="11">'[23]FEB 2000'!#REF!</definedName>
    <definedName name="MISC._MANUFACTURING_EXPENSES" localSheetId="4">'[23]FEB 2000'!#REF!</definedName>
    <definedName name="MISC._MANUFACTURING_EXPENSES" localSheetId="9">'[23]FEB 2000'!#REF!</definedName>
    <definedName name="MISC._MANUFACTURING_EXPENSES" localSheetId="7">'[23]FEB 2000'!#REF!</definedName>
    <definedName name="MISC._MANUFACTURING_EXPENSES">'[23]FEB 2000'!#REF!</definedName>
    <definedName name="Monetary_Precision" localSheetId="11">#REF!</definedName>
    <definedName name="Monetary_Precision" localSheetId="4">#REF!</definedName>
    <definedName name="Monetary_Precision" localSheetId="9">#REF!</definedName>
    <definedName name="Monetary_Precision" localSheetId="7">#REF!</definedName>
    <definedName name="Monetary_Precision">#REF!</definedName>
    <definedName name="Movement_of_Cost_of_Raw_Material_Consumed" localSheetId="11">#REF!</definedName>
    <definedName name="Movement_of_Cost_of_Raw_Material_Consumed" localSheetId="4">#REF!</definedName>
    <definedName name="Movement_of_Cost_of_Raw_Material_Consumed" localSheetId="9">#REF!</definedName>
    <definedName name="Movement_of_Cost_of_Raw_Material_Consumed" localSheetId="7">#REF!</definedName>
    <definedName name="Movement_of_Cost_of_Raw_Material_Consumed">#REF!</definedName>
    <definedName name="Muhaish" localSheetId="11">#REF!</definedName>
    <definedName name="Muhaish" localSheetId="4">#REF!</definedName>
    <definedName name="Muhaish" localSheetId="9">#REF!</definedName>
    <definedName name="Muhaish" localSheetId="7">#REF!</definedName>
    <definedName name="Muhaish">#REF!</definedName>
    <definedName name="N" localSheetId="11">'[12]P.L NOTES '!#REF!</definedName>
    <definedName name="N" localSheetId="4">'[12]P.L NOTES '!#REF!</definedName>
    <definedName name="N" localSheetId="9">'[12]P.L NOTES '!#REF!</definedName>
    <definedName name="N" localSheetId="7">'[12]P.L NOTES '!#REF!</definedName>
    <definedName name="N">'[12]P.L NOTES '!#REF!</definedName>
    <definedName name="NABILA">#N/A</definedName>
    <definedName name="nauman" localSheetId="11">#REF!</definedName>
    <definedName name="nauman" localSheetId="4">#REF!</definedName>
    <definedName name="nauman" localSheetId="9">#REF!</definedName>
    <definedName name="nauman" localSheetId="7">#REF!</definedName>
    <definedName name="nauman">#REF!</definedName>
    <definedName name="NEELAM">#N/A</definedName>
    <definedName name="New" localSheetId="11">#REF!</definedName>
    <definedName name="New" localSheetId="4">#REF!</definedName>
    <definedName name="New" localSheetId="9">#REF!</definedName>
    <definedName name="New" localSheetId="7">#REF!</definedName>
    <definedName name="New">#REF!</definedName>
    <definedName name="NEW." localSheetId="11">#REF!</definedName>
    <definedName name="NEW." localSheetId="4">#REF!</definedName>
    <definedName name="NEW." localSheetId="9">#REF!</definedName>
    <definedName name="NEW." localSheetId="7">#REF!</definedName>
    <definedName name="NEW.">#REF!</definedName>
    <definedName name="NINO">#N/A</definedName>
    <definedName name="nnn" localSheetId="11">#REF!</definedName>
    <definedName name="nnn" localSheetId="4">#REF!</definedName>
    <definedName name="nnn" localSheetId="9">#REF!</definedName>
    <definedName name="nnn" localSheetId="7">#REF!</definedName>
    <definedName name="nnn">#REF!</definedName>
    <definedName name="NOI">#N/A</definedName>
    <definedName name="not" localSheetId="11">#REF!</definedName>
    <definedName name="not" localSheetId="4">#REF!</definedName>
    <definedName name="not" localSheetId="9">#REF!</definedName>
    <definedName name="not" localSheetId="7">#REF!</definedName>
    <definedName name="not">#REF!</definedName>
    <definedName name="note" localSheetId="11">#REF!</definedName>
    <definedName name="note" localSheetId="4">#REF!</definedName>
    <definedName name="note" localSheetId="9">#REF!</definedName>
    <definedName name="note" localSheetId="7">#REF!</definedName>
    <definedName name="note">#REF!</definedName>
    <definedName name="note1" localSheetId="11">#REF!</definedName>
    <definedName name="note1" localSheetId="4">#REF!</definedName>
    <definedName name="note1" localSheetId="9">#REF!</definedName>
    <definedName name="note1" localSheetId="7">#REF!</definedName>
    <definedName name="note1">#REF!</definedName>
    <definedName name="note12" localSheetId="11">#REF!</definedName>
    <definedName name="note12" localSheetId="9">#REF!</definedName>
    <definedName name="note12" localSheetId="7">#REF!</definedName>
    <definedName name="note12">#REF!</definedName>
    <definedName name="note14" localSheetId="11">#REF!</definedName>
    <definedName name="note14" localSheetId="9">#REF!</definedName>
    <definedName name="note14" localSheetId="7">#REF!</definedName>
    <definedName name="note14">#REF!</definedName>
    <definedName name="Note15" localSheetId="11">[27]Acct!#REF!</definedName>
    <definedName name="Note15" localSheetId="4">[27]Acct!#REF!</definedName>
    <definedName name="Note15" localSheetId="9">[27]Acct!#REF!</definedName>
    <definedName name="Note15" localSheetId="7">[27]Acct!#REF!</definedName>
    <definedName name="Note15">[27]Acct!#REF!</definedName>
    <definedName name="note2" localSheetId="11">#REF!</definedName>
    <definedName name="note2" localSheetId="4">#REF!</definedName>
    <definedName name="note2" localSheetId="9">#REF!</definedName>
    <definedName name="note2" localSheetId="7">#REF!</definedName>
    <definedName name="note2">#REF!</definedName>
    <definedName name="Note2.19" localSheetId="11">[27]Acct!#REF!</definedName>
    <definedName name="Note2.19" localSheetId="4">[27]Acct!#REF!</definedName>
    <definedName name="Note2.19" localSheetId="9">[27]Acct!#REF!</definedName>
    <definedName name="Note2.19" localSheetId="7">[27]Acct!#REF!</definedName>
    <definedName name="Note2.19">[27]Acct!#REF!</definedName>
    <definedName name="note9" localSheetId="11">#REF!</definedName>
    <definedName name="note9" localSheetId="4">#REF!</definedName>
    <definedName name="note9" localSheetId="9">#REF!</definedName>
    <definedName name="note9" localSheetId="7">#REF!</definedName>
    <definedName name="note9">#REF!</definedName>
    <definedName name="NOU">#N/A</definedName>
    <definedName name="Nov_00" localSheetId="11">#REF!</definedName>
    <definedName name="Nov_00" localSheetId="4">#REF!</definedName>
    <definedName name="Nov_00" localSheetId="9">#REF!</definedName>
    <definedName name="Nov_00" localSheetId="7">#REF!</definedName>
    <definedName name="Nov_00">#REF!</definedName>
    <definedName name="NOV_99" localSheetId="11">#REF!</definedName>
    <definedName name="NOV_99" localSheetId="4">#REF!</definedName>
    <definedName name="NOV_99" localSheetId="9">#REF!</definedName>
    <definedName name="NOV_99" localSheetId="7">#REF!</definedName>
    <definedName name="NOV_99">#REF!</definedName>
    <definedName name="NUMBER_OF_EMPLOYEES" localSheetId="11">[35]Notes!#REF!</definedName>
    <definedName name="NUMBER_OF_EMPLOYEES" localSheetId="4">[35]Notes!#REF!</definedName>
    <definedName name="NUMBER_OF_EMPLOYEES" localSheetId="9">[35]Notes!#REF!</definedName>
    <definedName name="NUMBER_OF_EMPLOYEES" localSheetId="7">[35]Notes!#REF!</definedName>
    <definedName name="NUMBER_OF_EMPLOYEES">[35]Notes!#REF!</definedName>
    <definedName name="Number_of_Payments" localSheetId="4">MATCH(0.01,End_Bal,-1)+1</definedName>
    <definedName name="Number_of_Payments">MATCH(0.01,End_Bal,-1)+1</definedName>
    <definedName name="Number_of_Payments1" localSheetId="11">MATCH(0.01,'[36]Lead Current Portion of LTF'!End_Bal,-1)+1</definedName>
    <definedName name="Number_of_Payments1" localSheetId="9">MATCH(0.01,'[36]Lead Current Portion of LTF'!End_Bal,-1)+1</definedName>
    <definedName name="Number_of_Payments1" localSheetId="7">MATCH(0.01,'[36]Lead Current Portion of LTF'!End_Bal,-1)+1</definedName>
    <definedName name="Number_of_Payments1">MATCH(0.01,'[36]Lead Current Portion of LTF'!End_Bal,-1)+1</definedName>
    <definedName name="Number_of_Selections" localSheetId="11">#REF!</definedName>
    <definedName name="Number_of_Selections" localSheetId="4">#REF!</definedName>
    <definedName name="Number_of_Selections" localSheetId="9">#REF!</definedName>
    <definedName name="Number_of_Selections" localSheetId="7">#REF!</definedName>
    <definedName name="Number_of_Selections">#REF!</definedName>
    <definedName name="OCT_99" localSheetId="11">#REF!</definedName>
    <definedName name="OCT_99" localSheetId="4">#REF!</definedName>
    <definedName name="OCT_99" localSheetId="9">#REF!</definedName>
    <definedName name="OCT_99" localSheetId="7">#REF!</definedName>
    <definedName name="OCT_99">#REF!</definedName>
    <definedName name="old\" localSheetId="11">#REF!</definedName>
    <definedName name="old\" localSheetId="4">#REF!</definedName>
    <definedName name="old\" localSheetId="9">#REF!</definedName>
    <definedName name="old\" localSheetId="7">#REF!</definedName>
    <definedName name="old\">#REF!</definedName>
    <definedName name="OOE" localSheetId="11">#REF!</definedName>
    <definedName name="OOE" localSheetId="9">#REF!</definedName>
    <definedName name="OOE" localSheetId="7">#REF!</definedName>
    <definedName name="OOE">#REF!</definedName>
    <definedName name="operating" localSheetId="11">#REF!</definedName>
    <definedName name="operating" localSheetId="9">#REF!</definedName>
    <definedName name="operating" localSheetId="7">#REF!</definedName>
    <definedName name="operating">#REF!</definedName>
    <definedName name="Operations" localSheetId="11">#REF!</definedName>
    <definedName name="Operations" localSheetId="9">#REF!</definedName>
    <definedName name="Operations" localSheetId="7">#REF!</definedName>
    <definedName name="Operations">#REF!</definedName>
    <definedName name="OTHER_INCOME" localSheetId="11">[35]Notes!#REF!</definedName>
    <definedName name="OTHER_INCOME" localSheetId="4">[35]Notes!#REF!</definedName>
    <definedName name="OTHER_INCOME" localSheetId="9">[35]Notes!#REF!</definedName>
    <definedName name="OTHER_INCOME" localSheetId="7">[35]Notes!#REF!</definedName>
    <definedName name="OTHER_INCOME">[35]Notes!#REF!</definedName>
    <definedName name="OTHER_RECEIVABLES" localSheetId="11">#REF!</definedName>
    <definedName name="OTHER_RECEIVABLES" localSheetId="4">#REF!</definedName>
    <definedName name="OTHER_RECEIVABLES" localSheetId="9">#REF!</definedName>
    <definedName name="OTHER_RECEIVABLES" localSheetId="7">#REF!</definedName>
    <definedName name="OTHER_RECEIVABLES">#REF!</definedName>
    <definedName name="PACKING_EXPENSES" localSheetId="11">'[23]FEB 2000'!#REF!</definedName>
    <definedName name="PACKING_EXPENSES" localSheetId="4">'[23]FEB 2000'!#REF!</definedName>
    <definedName name="PACKING_EXPENSES" localSheetId="9">'[23]FEB 2000'!#REF!</definedName>
    <definedName name="PACKING_EXPENSES" localSheetId="7">'[23]FEB 2000'!#REF!</definedName>
    <definedName name="PACKING_EXPENSES">'[23]FEB 2000'!#REF!</definedName>
    <definedName name="Pakistan" localSheetId="11">#REF!</definedName>
    <definedName name="Pakistan" localSheetId="4">#REF!</definedName>
    <definedName name="Pakistan" localSheetId="9">#REF!</definedName>
    <definedName name="Pakistan" localSheetId="7">#REF!</definedName>
    <definedName name="Pakistan">#REF!</definedName>
    <definedName name="PALLU">#N/A</definedName>
    <definedName name="Payments" localSheetId="11">#REF!</definedName>
    <definedName name="Payments" localSheetId="4">#REF!</definedName>
    <definedName name="Payments" localSheetId="9">#REF!</definedName>
    <definedName name="Payments" localSheetId="7">#REF!</definedName>
    <definedName name="Payments">#REF!</definedName>
    <definedName name="PIN">#N/A</definedName>
    <definedName name="PL" localSheetId="11">'[6]5 TO 36'!#REF!</definedName>
    <definedName name="PL" localSheetId="4">'[6]5 TO 36'!#REF!</definedName>
    <definedName name="PL" localSheetId="9">'[6]5 TO 36'!#REF!</definedName>
    <definedName name="PL" localSheetId="7">'[6]5 TO 36'!#REF!</definedName>
    <definedName name="PL">'[6]5 TO 36'!#REF!</definedName>
    <definedName name="PLANT_CAPACITY_AND_PRODUCTION" localSheetId="11">#REF!</definedName>
    <definedName name="PLANT_CAPACITY_AND_PRODUCTION" localSheetId="4">#REF!</definedName>
    <definedName name="PLANT_CAPACITY_AND_PRODUCTION" localSheetId="9">#REF!</definedName>
    <definedName name="PLANT_CAPACITY_AND_PRODUCTION" localSheetId="7">#REF!</definedName>
    <definedName name="PLANT_CAPACITY_AND_PRODUCTION">#REF!</definedName>
    <definedName name="point" localSheetId="11">#REF!</definedName>
    <definedName name="point" localSheetId="4">#REF!</definedName>
    <definedName name="point" localSheetId="9">#REF!</definedName>
    <definedName name="point" localSheetId="7">#REF!</definedName>
    <definedName name="point">#REF!</definedName>
    <definedName name="POO" localSheetId="11">#REF!</definedName>
    <definedName name="POO" localSheetId="4">#REF!</definedName>
    <definedName name="POO" localSheetId="9">#REF!</definedName>
    <definedName name="POO" localSheetId="7">#REF!</definedName>
    <definedName name="POO">#REF!</definedName>
    <definedName name="Post_tax_materiality" localSheetId="11">'[37]P&amp;L'!#REF!</definedName>
    <definedName name="Post_tax_materiality" localSheetId="4">'[37]P&amp;L'!#REF!</definedName>
    <definedName name="Post_tax_materiality" localSheetId="9">'[37]P&amp;L'!#REF!</definedName>
    <definedName name="Post_tax_materiality" localSheetId="7">'[37]P&amp;L'!#REF!</definedName>
    <definedName name="Post_tax_materiality">'[37]P&amp;L'!#REF!</definedName>
    <definedName name="POWER_HOUSE_CONSUMTION" localSheetId="11">'[23]FEB 2000'!#REF!</definedName>
    <definedName name="POWER_HOUSE_CONSUMTION" localSheetId="4">'[23]FEB 2000'!#REF!</definedName>
    <definedName name="POWER_HOUSE_CONSUMTION" localSheetId="9">'[23]FEB 2000'!#REF!</definedName>
    <definedName name="POWER_HOUSE_CONSUMTION" localSheetId="7">'[23]FEB 2000'!#REF!</definedName>
    <definedName name="POWER_HOUSE_CONSUMTION">'[23]FEB 2000'!#REF!</definedName>
    <definedName name="Pre_tax_materiality" localSheetId="11">#REF!</definedName>
    <definedName name="Pre_tax_materiality" localSheetId="4">#REF!</definedName>
    <definedName name="Pre_tax_materiality" localSheetId="9">#REF!</definedName>
    <definedName name="Pre_tax_materiality" localSheetId="7">#REF!</definedName>
    <definedName name="Pre_tax_materiality">#REF!</definedName>
    <definedName name="Prepaid" hidden="1">'[38]Prepaid Sheet'!$A$1</definedName>
    <definedName name="Print" localSheetId="11">#REF!</definedName>
    <definedName name="Print" localSheetId="4">#REF!</definedName>
    <definedName name="Print" localSheetId="9">#REF!</definedName>
    <definedName name="Print" localSheetId="7">#REF!</definedName>
    <definedName name="Print">#REF!</definedName>
    <definedName name="_xlnm.Print_Area" localSheetId="1">Contents!$A$1:$E$27</definedName>
    <definedName name="_xlnm.Print_Area" localSheetId="0">Cover!$A$1:$D$35</definedName>
    <definedName name="_xlnm.Print_Area" localSheetId="3">Galance!$A$1:$I$37</definedName>
    <definedName name="_xlnm.Print_Area" localSheetId="11">'Job P&amp;L'!$A$1:$AB$53</definedName>
    <definedName name="_xlnm.Print_Area" localSheetId="4">'KPI Comparisons'!$A$1:$F$68</definedName>
    <definedName name="_xlnm.Print_Area" localSheetId="2">'Observations &amp; Recommendations '!$A$1:$F$21</definedName>
    <definedName name="_xlnm.Print_Area" localSheetId="12">SOCF!$A$1:$J$55</definedName>
    <definedName name="_xlnm.Print_Area" localSheetId="8">SOCI!$A$1:$J$65</definedName>
    <definedName name="_xlnm.Print_Area" localSheetId="6">SOFP!$A$1:$G$50</definedName>
    <definedName name="_xlnm.Print_Area" localSheetId="9">SOMCI!$A$1:$R$66</definedName>
    <definedName name="_xlnm.Print_Area" localSheetId="7">SOMFP!$A$1:$P$48</definedName>
    <definedName name="_xlnm.Print_Area">#REF!</definedName>
    <definedName name="Print_Area_MI" localSheetId="11">#REF!</definedName>
    <definedName name="Print_Area_MI" localSheetId="4">#REF!</definedName>
    <definedName name="Print_Area_MI" localSheetId="9">#REF!</definedName>
    <definedName name="Print_Area_MI" localSheetId="7">#REF!</definedName>
    <definedName name="Print_Area_MI">#REF!</definedName>
    <definedName name="print_area1" localSheetId="11">#REF!</definedName>
    <definedName name="print_area1" localSheetId="9">#REF!</definedName>
    <definedName name="print_area1" localSheetId="7">#REF!</definedName>
    <definedName name="print_area1">#REF!</definedName>
    <definedName name="_xlnm.Print_Titles" localSheetId="14">'Linked BS'!$5:$5</definedName>
    <definedName name="_xlnm.Print_Titles" localSheetId="13">'Linked IS'!$2:$2</definedName>
    <definedName name="PROFIT" localSheetId="11">#REF!</definedName>
    <definedName name="PROFIT" localSheetId="4">#REF!</definedName>
    <definedName name="PROFIT" localSheetId="9">#REF!</definedName>
    <definedName name="PROFIT" localSheetId="7">#REF!</definedName>
    <definedName name="PROFIT">#REF!</definedName>
    <definedName name="PY_all_Equity" localSheetId="11">#REF!</definedName>
    <definedName name="PY_all_Equity" localSheetId="9">#REF!</definedName>
    <definedName name="PY_all_Equity" localSheetId="7">#REF!</definedName>
    <definedName name="PY_all_Equity">#REF!</definedName>
    <definedName name="PY_all_Income" localSheetId="11">#REF!</definedName>
    <definedName name="PY_all_Income" localSheetId="9">#REF!</definedName>
    <definedName name="PY_all_Income" localSheetId="7">#REF!</definedName>
    <definedName name="PY_all_Income">#REF!</definedName>
    <definedName name="PY_all_RetEarn" localSheetId="11">#REF!</definedName>
    <definedName name="PY_all_RetEarn" localSheetId="9">#REF!</definedName>
    <definedName name="PY_all_RetEarn" localSheetId="7">#REF!</definedName>
    <definedName name="PY_all_RetEarn">#REF!</definedName>
    <definedName name="PY_knw_Income" localSheetId="11">#REF!</definedName>
    <definedName name="PY_knw_Income" localSheetId="9">#REF!</definedName>
    <definedName name="PY_knw_Income" localSheetId="7">#REF!</definedName>
    <definedName name="PY_knw_Income">#REF!</definedName>
    <definedName name="PY_knw_RetEarn" localSheetId="11">#REF!</definedName>
    <definedName name="PY_knw_RetEarn" localSheetId="9">#REF!</definedName>
    <definedName name="PY_knw_RetEarn" localSheetId="7">#REF!</definedName>
    <definedName name="PY_knw_RetEarn">#REF!</definedName>
    <definedName name="PY_lik_Income" localSheetId="11">#REF!</definedName>
    <definedName name="PY_lik_Income" localSheetId="9">#REF!</definedName>
    <definedName name="PY_lik_Income" localSheetId="7">#REF!</definedName>
    <definedName name="PY_lik_Income">#REF!</definedName>
    <definedName name="PY_lik_RetEarn" localSheetId="11">#REF!</definedName>
    <definedName name="PY_lik_RetEarn" localSheetId="9">#REF!</definedName>
    <definedName name="PY_lik_RetEarn" localSheetId="7">#REF!</definedName>
    <definedName name="PY_lik_RetEarn">#REF!</definedName>
    <definedName name="PY_tot_knw_Xfoot" localSheetId="11">#REF!</definedName>
    <definedName name="PY_tot_knw_Xfoot" localSheetId="9">#REF!</definedName>
    <definedName name="PY_tot_knw_Xfoot" localSheetId="7">#REF!</definedName>
    <definedName name="PY_tot_knw_Xfoot">#REF!</definedName>
    <definedName name="PY_tot_lik_Xfoot" localSheetId="11">#REF!</definedName>
    <definedName name="PY_tot_lik_Xfoot" localSheetId="9">#REF!</definedName>
    <definedName name="PY_tot_lik_Xfoot" localSheetId="7">#REF!</definedName>
    <definedName name="PY_tot_lik_Xfoot">#REF!</definedName>
    <definedName name="PY_tx_all_Income" localSheetId="11">#REF!</definedName>
    <definedName name="PY_tx_all_Income" localSheetId="9">#REF!</definedName>
    <definedName name="PY_tx_all_Income" localSheetId="7">#REF!</definedName>
    <definedName name="PY_tx_all_Income">#REF!</definedName>
    <definedName name="PY_tx_all_RetEarn" localSheetId="11">#REF!</definedName>
    <definedName name="PY_tx_all_RetEarn" localSheetId="9">#REF!</definedName>
    <definedName name="PY_tx_all_RetEarn" localSheetId="7">#REF!</definedName>
    <definedName name="PY_tx_all_RetEarn">#REF!</definedName>
    <definedName name="PY_tx_knw_Income" localSheetId="11">#REF!</definedName>
    <definedName name="PY_tx_knw_Income" localSheetId="9">#REF!</definedName>
    <definedName name="PY_tx_knw_Income" localSheetId="7">#REF!</definedName>
    <definedName name="PY_tx_knw_Income">#REF!</definedName>
    <definedName name="PY_tx_knw_RetEarn" localSheetId="11">#REF!</definedName>
    <definedName name="PY_tx_knw_RetEarn" localSheetId="9">#REF!</definedName>
    <definedName name="PY_tx_knw_RetEarn" localSheetId="7">#REF!</definedName>
    <definedName name="PY_tx_knw_RetEarn">#REF!</definedName>
    <definedName name="PY_tx_lik_Income" localSheetId="11">#REF!</definedName>
    <definedName name="PY_tx_lik_Income" localSheetId="9">#REF!</definedName>
    <definedName name="PY_tx_lik_Income" localSheetId="7">#REF!</definedName>
    <definedName name="PY_tx_lik_Income">#REF!</definedName>
    <definedName name="PY_tx_lik_RetEarn" localSheetId="11">#REF!</definedName>
    <definedName name="PY_tx_lik_RetEarn" localSheetId="9">#REF!</definedName>
    <definedName name="PY_tx_lik_RetEarn" localSheetId="7">#REF!</definedName>
    <definedName name="PY_tx_lik_RetEarn">#REF!</definedName>
    <definedName name="qwweqswqdw">#N/A</definedName>
    <definedName name="r.m" localSheetId="11">[14]Notes!#REF!</definedName>
    <definedName name="r.m" localSheetId="4">[14]Notes!#REF!</definedName>
    <definedName name="r.m" localSheetId="9">[14]Notes!#REF!</definedName>
    <definedName name="r.m" localSheetId="7">[14]Notes!#REF!</definedName>
    <definedName name="r.m">[14]Notes!#REF!</definedName>
    <definedName name="RANG">#N/A</definedName>
    <definedName name="rawmater" localSheetId="11">[14]Notes!#REF!</definedName>
    <definedName name="rawmater" localSheetId="4">[14]Notes!#REF!</definedName>
    <definedName name="rawmater" localSheetId="9">[14]Notes!#REF!</definedName>
    <definedName name="rawmater" localSheetId="7">[14]Notes!#REF!</definedName>
    <definedName name="rawmater">[14]Notes!#REF!</definedName>
    <definedName name="REDEEMABLE_CAPITAL" localSheetId="11">[15]Notes!#REF!</definedName>
    <definedName name="REDEEMABLE_CAPITAL" localSheetId="4">[15]Notes!#REF!</definedName>
    <definedName name="REDEEMABLE_CAPITAL" localSheetId="9">[15]Notes!#REF!</definedName>
    <definedName name="REDEEMABLE_CAPITAL" localSheetId="7">[15]Notes!#REF!</definedName>
    <definedName name="REDEEMABLE_CAPITAL">[15]Notes!#REF!</definedName>
    <definedName name="REF" localSheetId="11">'[12]P.L NOTES '!#REF!</definedName>
    <definedName name="REF" localSheetId="4">'[12]P.L NOTES '!#REF!</definedName>
    <definedName name="REF" localSheetId="9">'[12]P.L NOTES '!#REF!</definedName>
    <definedName name="REF" localSheetId="7">'[12]P.L NOTES '!#REF!</definedName>
    <definedName name="REF">'[12]P.L NOTES '!#REF!</definedName>
    <definedName name="REMUNERATION_TO_DIRECTOR_AND_CHIEF_EXECUTIVE" localSheetId="11">#REF!</definedName>
    <definedName name="REMUNERATION_TO_DIRECTOR_AND_CHIEF_EXECUTIVE" localSheetId="4">#REF!</definedName>
    <definedName name="REMUNERATION_TO_DIRECTOR_AND_CHIEF_EXECUTIVE" localSheetId="9">#REF!</definedName>
    <definedName name="REMUNERATION_TO_DIRECTOR_AND_CHIEF_EXECUTIVE" localSheetId="7">#REF!</definedName>
    <definedName name="REMUNERATION_TO_DIRECTOR_AND_CHIEF_EXECUTIVE">#REF!</definedName>
    <definedName name="Report07" localSheetId="11">#REF!</definedName>
    <definedName name="Report07" localSheetId="4">#REF!</definedName>
    <definedName name="Report07" localSheetId="9">#REF!</definedName>
    <definedName name="Report07" localSheetId="7">#REF!</definedName>
    <definedName name="Report07">#REF!</definedName>
    <definedName name="rp" localSheetId="11">#REF!</definedName>
    <definedName name="rp" localSheetId="4">#REF!</definedName>
    <definedName name="rp" localSheetId="9">#REF!</definedName>
    <definedName name="rp" localSheetId="7">#REF!</definedName>
    <definedName name="rp">#REF!</definedName>
    <definedName name="s" hidden="1">[39]Lead!A1</definedName>
    <definedName name="S.RETURN">'[34]L.SALE LOCAL COTTON '!$A$1:$X$109</definedName>
    <definedName name="S_AcctDes" localSheetId="11">#REF!</definedName>
    <definedName name="S_AcctDes" localSheetId="4">#REF!</definedName>
    <definedName name="S_AcctDes" localSheetId="9">#REF!</definedName>
    <definedName name="S_AcctDes" localSheetId="7">#REF!</definedName>
    <definedName name="S_AcctDes">#REF!</definedName>
    <definedName name="S_Adjust" localSheetId="11">#REF!</definedName>
    <definedName name="S_Adjust" localSheetId="4">#REF!</definedName>
    <definedName name="S_Adjust" localSheetId="9">#REF!</definedName>
    <definedName name="S_Adjust" localSheetId="7">#REF!</definedName>
    <definedName name="S_Adjust">#REF!</definedName>
    <definedName name="S_Adjust_Data" localSheetId="11">#REF!</definedName>
    <definedName name="S_Adjust_Data" localSheetId="4">#REF!</definedName>
    <definedName name="S_Adjust_Data" localSheetId="9">#REF!</definedName>
    <definedName name="S_Adjust_Data" localSheetId="7">#REF!</definedName>
    <definedName name="S_Adjust_Data">#REF!</definedName>
    <definedName name="S_Adjust_GT" localSheetId="11">#REF!</definedName>
    <definedName name="S_Adjust_GT" localSheetId="9">#REF!</definedName>
    <definedName name="S_Adjust_GT" localSheetId="7">#REF!</definedName>
    <definedName name="S_Adjust_GT">#REF!</definedName>
    <definedName name="S_AJE_Tot" localSheetId="11">#REF!</definedName>
    <definedName name="S_AJE_Tot" localSheetId="9">#REF!</definedName>
    <definedName name="S_AJE_Tot" localSheetId="7">#REF!</definedName>
    <definedName name="S_AJE_Tot">#REF!</definedName>
    <definedName name="S_AJE_Tot_Data" localSheetId="11">#REF!</definedName>
    <definedName name="S_AJE_Tot_Data" localSheetId="9">#REF!</definedName>
    <definedName name="S_AJE_Tot_Data" localSheetId="7">#REF!</definedName>
    <definedName name="S_AJE_Tot_Data">#REF!</definedName>
    <definedName name="S_AJE_Tot_GT" localSheetId="11">#REF!</definedName>
    <definedName name="S_AJE_Tot_GT" localSheetId="9">#REF!</definedName>
    <definedName name="S_AJE_Tot_GT" localSheetId="7">#REF!</definedName>
    <definedName name="S_AJE_Tot_GT">#REF!</definedName>
    <definedName name="S_CompNum" localSheetId="11">#REF!</definedName>
    <definedName name="S_CompNum" localSheetId="9">#REF!</definedName>
    <definedName name="S_CompNum" localSheetId="7">#REF!</definedName>
    <definedName name="S_CompNum">#REF!</definedName>
    <definedName name="S_CY_Beg" localSheetId="11">#REF!</definedName>
    <definedName name="S_CY_Beg" localSheetId="9">#REF!</definedName>
    <definedName name="S_CY_Beg" localSheetId="7">#REF!</definedName>
    <definedName name="S_CY_Beg">#REF!</definedName>
    <definedName name="S_CY_Beg_Data" localSheetId="11">#REF!</definedName>
    <definedName name="S_CY_Beg_Data" localSheetId="9">#REF!</definedName>
    <definedName name="S_CY_Beg_Data" localSheetId="7">#REF!</definedName>
    <definedName name="S_CY_Beg_Data">#REF!</definedName>
    <definedName name="S_CY_Beg_GT" localSheetId="11">#REF!</definedName>
    <definedName name="S_CY_Beg_GT" localSheetId="9">#REF!</definedName>
    <definedName name="S_CY_Beg_GT" localSheetId="7">#REF!</definedName>
    <definedName name="S_CY_Beg_GT">#REF!</definedName>
    <definedName name="S_CY_End" localSheetId="11">#REF!</definedName>
    <definedName name="S_CY_End" localSheetId="9">#REF!</definedName>
    <definedName name="S_CY_End" localSheetId="7">#REF!</definedName>
    <definedName name="S_CY_End">#REF!</definedName>
    <definedName name="S_CY_End_Data" localSheetId="11">#REF!</definedName>
    <definedName name="S_CY_End_Data" localSheetId="9">#REF!</definedName>
    <definedName name="S_CY_End_Data" localSheetId="7">#REF!</definedName>
    <definedName name="S_CY_End_Data">#REF!</definedName>
    <definedName name="S_CY_End_GT" localSheetId="11">#REF!</definedName>
    <definedName name="S_CY_End_GT" localSheetId="9">#REF!</definedName>
    <definedName name="S_CY_End_GT" localSheetId="7">#REF!</definedName>
    <definedName name="S_CY_End_GT">#REF!</definedName>
    <definedName name="S_Diff_Amt" localSheetId="11">#REF!</definedName>
    <definedName name="S_Diff_Amt" localSheetId="9">#REF!</definedName>
    <definedName name="S_Diff_Amt" localSheetId="7">#REF!</definedName>
    <definedName name="S_Diff_Amt">#REF!</definedName>
    <definedName name="S_Diff_Pct" localSheetId="11">#REF!</definedName>
    <definedName name="S_Diff_Pct" localSheetId="9">#REF!</definedName>
    <definedName name="S_Diff_Pct" localSheetId="7">#REF!</definedName>
    <definedName name="S_Diff_Pct">#REF!</definedName>
    <definedName name="S_GrpNum" localSheetId="11">#REF!</definedName>
    <definedName name="S_GrpNum" localSheetId="9">#REF!</definedName>
    <definedName name="S_GrpNum" localSheetId="7">#REF!</definedName>
    <definedName name="S_GrpNum">#REF!</definedName>
    <definedName name="S_Headings" localSheetId="11">#REF!</definedName>
    <definedName name="S_Headings" localSheetId="9">#REF!</definedName>
    <definedName name="S_Headings" localSheetId="7">#REF!</definedName>
    <definedName name="S_Headings">#REF!</definedName>
    <definedName name="S_KeyValue" localSheetId="11">#REF!</definedName>
    <definedName name="S_KeyValue" localSheetId="9">#REF!</definedName>
    <definedName name="S_KeyValue" localSheetId="7">#REF!</definedName>
    <definedName name="S_KeyValue">#REF!</definedName>
    <definedName name="S_PY_End" localSheetId="11">#REF!</definedName>
    <definedName name="S_PY_End" localSheetId="9">#REF!</definedName>
    <definedName name="S_PY_End" localSheetId="7">#REF!</definedName>
    <definedName name="S_PY_End">#REF!</definedName>
    <definedName name="S_PY_End_Data" localSheetId="11">#REF!</definedName>
    <definedName name="S_PY_End_Data" localSheetId="9">#REF!</definedName>
    <definedName name="S_PY_End_Data" localSheetId="7">#REF!</definedName>
    <definedName name="S_PY_End_Data">#REF!</definedName>
    <definedName name="S_PY_End_GT" localSheetId="11">#REF!</definedName>
    <definedName name="S_PY_End_GT" localSheetId="9">#REF!</definedName>
    <definedName name="S_PY_End_GT" localSheetId="7">#REF!</definedName>
    <definedName name="S_PY_End_GT">#REF!</definedName>
    <definedName name="S_RJE_Tot" localSheetId="11">#REF!</definedName>
    <definedName name="S_RJE_Tot" localSheetId="9">#REF!</definedName>
    <definedName name="S_RJE_Tot" localSheetId="7">#REF!</definedName>
    <definedName name="S_RJE_Tot">#REF!</definedName>
    <definedName name="S_RJE_Tot_Data" localSheetId="11">#REF!</definedName>
    <definedName name="S_RJE_Tot_Data" localSheetId="9">#REF!</definedName>
    <definedName name="S_RJE_Tot_Data" localSheetId="7">#REF!</definedName>
    <definedName name="S_RJE_Tot_Data">#REF!</definedName>
    <definedName name="S_RJE_Tot_GT" localSheetId="11">#REF!</definedName>
    <definedName name="S_RJE_Tot_GT" localSheetId="9">#REF!</definedName>
    <definedName name="S_RJE_Tot_GT" localSheetId="7">#REF!</definedName>
    <definedName name="S_RJE_Tot_GT">#REF!</definedName>
    <definedName name="S_RowNum" localSheetId="11">#REF!</definedName>
    <definedName name="S_RowNum" localSheetId="9">#REF!</definedName>
    <definedName name="S_RowNum" localSheetId="7">#REF!</definedName>
    <definedName name="S_RowNum">#REF!</definedName>
    <definedName name="saba" localSheetId="4" hidden="1">{#N/A,#N/A,FALSE,"Aging Summary";#N/A,#N/A,FALSE,"Ratio Analysis";#N/A,#N/A,FALSE,"Test 120 Day Accts";#N/A,#N/A,FALSE,"Tickmarks"}</definedName>
    <definedName name="saba" hidden="1">{#N/A,#N/A,FALSE,"Aging Summary";#N/A,#N/A,FALSE,"Ratio Analysis";#N/A,#N/A,FALSE,"Test 120 Day Accts";#N/A,#N/A,FALSE,"Tickmarks"}</definedName>
    <definedName name="SABAR">#N/A</definedName>
    <definedName name="sad">#N/A</definedName>
    <definedName name="SAGR" localSheetId="4" hidden="1">{"'FF'!$B$57:$B$58"}</definedName>
    <definedName name="SAGR" hidden="1">{"'FF'!$B$57:$B$58"}</definedName>
    <definedName name="sal" localSheetId="11">#REF!</definedName>
    <definedName name="sal" localSheetId="4">#REF!</definedName>
    <definedName name="sal" localSheetId="9">#REF!</definedName>
    <definedName name="sal" localSheetId="7">#REF!</definedName>
    <definedName name="sal">#REF!</definedName>
    <definedName name="SALES" localSheetId="11">[27]Acct!#REF!</definedName>
    <definedName name="SALES" localSheetId="9">[27]Acct!#REF!</definedName>
    <definedName name="SALES" localSheetId="7">[27]Acct!#REF!</definedName>
    <definedName name="SALES">[27]Acct!#REF!</definedName>
    <definedName name="SAMI">#N/A</definedName>
    <definedName name="script" localSheetId="11">'[40]Lead Schedule'!#REF!</definedName>
    <definedName name="script" localSheetId="9">'[40]Lead Schedule'!#REF!</definedName>
    <definedName name="script" localSheetId="7">'[40]Lead Schedule'!#REF!</definedName>
    <definedName name="script">'[40]Lead Schedule'!#REF!</definedName>
    <definedName name="sdlmaldm" localSheetId="11">#REF!</definedName>
    <definedName name="sdlmaldm" localSheetId="4">#REF!</definedName>
    <definedName name="sdlmaldm" localSheetId="9">#REF!</definedName>
    <definedName name="sdlmaldm" localSheetId="7">#REF!</definedName>
    <definedName name="sdlmaldm">#REF!</definedName>
    <definedName name="SEA_FREIGHT" localSheetId="11">'[23]FEB 2000'!#REF!</definedName>
    <definedName name="SEA_FREIGHT" localSheetId="4">'[23]FEB 2000'!#REF!</definedName>
    <definedName name="SEA_FREIGHT" localSheetId="9">'[23]FEB 2000'!#REF!</definedName>
    <definedName name="SEA_FREIGHT" localSheetId="7">'[23]FEB 2000'!#REF!</definedName>
    <definedName name="SEA_FREIGHT">'[23]FEB 2000'!#REF!</definedName>
    <definedName name="SECURITY_EXPENSES" localSheetId="11">'[23]FEB 2000'!#REF!</definedName>
    <definedName name="SECURITY_EXPENSES" localSheetId="9">'[23]FEB 2000'!#REF!</definedName>
    <definedName name="SECURITY_EXPENSES" localSheetId="7">'[23]FEB 2000'!#REF!</definedName>
    <definedName name="SECURITY_EXPENSES">'[23]FEB 2000'!#REF!</definedName>
    <definedName name="SEH" localSheetId="11">'[9]P&amp;L'!#REF!</definedName>
    <definedName name="SEH" localSheetId="9">'[9]P&amp;L'!#REF!</definedName>
    <definedName name="SEH" localSheetId="7">'[9]P&amp;L'!#REF!</definedName>
    <definedName name="SEH">'[9]P&amp;L'!#REF!</definedName>
    <definedName name="SEHET" localSheetId="11">'[12]P.L NOTES '!#REF!</definedName>
    <definedName name="SEHET" localSheetId="9">'[12]P.L NOTES '!#REF!</definedName>
    <definedName name="SEHET" localSheetId="7">'[12]P.L NOTES '!#REF!</definedName>
    <definedName name="SEHET">'[12]P.L NOTES '!#REF!</definedName>
    <definedName name="SELLING_EXPENSES" localSheetId="11">'[23]FEB 2000'!#REF!</definedName>
    <definedName name="SELLING_EXPENSES" localSheetId="9">'[23]FEB 2000'!#REF!</definedName>
    <definedName name="SELLING_EXPENSES" localSheetId="7">'[23]FEB 2000'!#REF!</definedName>
    <definedName name="SELLING_EXPENSES">'[23]FEB 2000'!#REF!</definedName>
    <definedName name="SEP_99" localSheetId="11">#REF!</definedName>
    <definedName name="SEP_99" localSheetId="4">#REF!</definedName>
    <definedName name="SEP_99" localSheetId="9">#REF!</definedName>
    <definedName name="SEP_99" localSheetId="7">#REF!</definedName>
    <definedName name="SEP_99">#REF!</definedName>
    <definedName name="SHAAT" localSheetId="11">'[12]P.L NOTES '!#REF!</definedName>
    <definedName name="SHAAT" localSheetId="4">'[12]P.L NOTES '!#REF!</definedName>
    <definedName name="SHAAT" localSheetId="9">'[12]P.L NOTES '!#REF!</definedName>
    <definedName name="SHAAT" localSheetId="7">'[12]P.L NOTES '!#REF!</definedName>
    <definedName name="SHAAT">'[12]P.L NOTES '!#REF!</definedName>
    <definedName name="SHEET" localSheetId="11">#REF!</definedName>
    <definedName name="SHEET" localSheetId="4">#REF!</definedName>
    <definedName name="SHEET" localSheetId="9">#REF!</definedName>
    <definedName name="SHEET" localSheetId="7">#REF!</definedName>
    <definedName name="SHEET">#REF!</definedName>
    <definedName name="SHEETE" localSheetId="11">'[12]P.L NOTES '!#REF!</definedName>
    <definedName name="SHEETE" localSheetId="4">'[12]P.L NOTES '!#REF!</definedName>
    <definedName name="SHEETE" localSheetId="9">'[12]P.L NOTES '!#REF!</definedName>
    <definedName name="SHEETE" localSheetId="7">'[12]P.L NOTES '!#REF!</definedName>
    <definedName name="SHEETE">'[12]P.L NOTES '!#REF!</definedName>
    <definedName name="SHEHET" localSheetId="4" hidden="1">{"'FF'!$B$57:$B$58"}</definedName>
    <definedName name="SHEHET" hidden="1">{"'FF'!$B$57:$B$58"}</definedName>
    <definedName name="SHORT_TERM_BANK_BORROWINGS" localSheetId="11">#REF!</definedName>
    <definedName name="SHORT_TERM_BANK_BORROWINGS" localSheetId="4">#REF!</definedName>
    <definedName name="SHORT_TERM_BANK_BORROWINGS" localSheetId="9">#REF!</definedName>
    <definedName name="SHORT_TERM_BANK_BORROWINGS" localSheetId="7">#REF!</definedName>
    <definedName name="SHORT_TERM_BANK_BORROWINGS">#REF!</definedName>
    <definedName name="SIGNINIFICANT_ACCOUNTING_POLICIES" localSheetId="11">[35]Notes!#REF!</definedName>
    <definedName name="SIGNINIFICANT_ACCOUNTING_POLICIES" localSheetId="9">[35]Notes!#REF!</definedName>
    <definedName name="SIGNINIFICANT_ACCOUNTING_POLICIES" localSheetId="7">[35]Notes!#REF!</definedName>
    <definedName name="SIGNINIFICANT_ACCOUNTING_POLICIES">[35]Notes!#REF!</definedName>
    <definedName name="SOCIAL_SECURITY" localSheetId="11">'[23]FEB 2000'!#REF!</definedName>
    <definedName name="SOCIAL_SECURITY" localSheetId="9">'[23]FEB 2000'!#REF!</definedName>
    <definedName name="SOCIAL_SECURITY" localSheetId="7">'[23]FEB 2000'!#REF!</definedName>
    <definedName name="SOCIAL_SECURITY">'[23]FEB 2000'!#REF!</definedName>
    <definedName name="SOHNI" localSheetId="11">#REF!</definedName>
    <definedName name="SOHNI" localSheetId="4">#REF!</definedName>
    <definedName name="SOHNI" localSheetId="9">#REF!</definedName>
    <definedName name="SOHNI" localSheetId="7">#REF!</definedName>
    <definedName name="SOHNI">#REF!</definedName>
    <definedName name="SOMCIB" localSheetId="11">#REF!</definedName>
    <definedName name="SOMCIB">#REF!</definedName>
    <definedName name="SP" localSheetId="11">#REF!</definedName>
    <definedName name="SP" localSheetId="4">#REF!</definedName>
    <definedName name="SP" localSheetId="9">#REF!</definedName>
    <definedName name="SP" localSheetId="7">#REF!</definedName>
    <definedName name="SP">#REF!</definedName>
    <definedName name="ss" localSheetId="4">MATCH(0.01,End_Bal,-1)+1</definedName>
    <definedName name="ss">MATCH(0.01,End_Bal,-1)+1</definedName>
    <definedName name="SSS" localSheetId="11">#REF!</definedName>
    <definedName name="SSS" localSheetId="4">#REF!</definedName>
    <definedName name="SSS" localSheetId="9">#REF!</definedName>
    <definedName name="SSS" localSheetId="7">#REF!</definedName>
    <definedName name="SSS">#REF!</definedName>
    <definedName name="ssss" localSheetId="11">[3]Notes!#REF!</definedName>
    <definedName name="ssss" localSheetId="4">[3]Notes!#REF!</definedName>
    <definedName name="ssss" localSheetId="9">[3]Notes!#REF!</definedName>
    <definedName name="ssss" localSheetId="7">[3]Notes!#REF!</definedName>
    <definedName name="ssss">[3]Notes!#REF!</definedName>
    <definedName name="STATEMENT_OF_CHANGES_IN_EQUITY" localSheetId="11">#REF!</definedName>
    <definedName name="STATEMENT_OF_CHANGES_IN_EQUITY" localSheetId="4">#REF!</definedName>
    <definedName name="STATEMENT_OF_CHANGES_IN_EQUITY" localSheetId="9">#REF!</definedName>
    <definedName name="STATEMENT_OF_CHANGES_IN_EQUITY" localSheetId="7">#REF!</definedName>
    <definedName name="STATEMENT_OF_CHANGES_IN_EQUITY">#REF!</definedName>
    <definedName name="STATUS_AND_ACTIVITIES" localSheetId="11">#REF!</definedName>
    <definedName name="STATUS_AND_ACTIVITIES" localSheetId="4">#REF!</definedName>
    <definedName name="STATUS_AND_ACTIVITIES" localSheetId="9">#REF!</definedName>
    <definedName name="STATUS_AND_ACTIVITIES" localSheetId="7">#REF!</definedName>
    <definedName name="STATUS_AND_ACTIVITIES">#REF!</definedName>
    <definedName name="STOCK_IN_TRADE" localSheetId="11">#REF!</definedName>
    <definedName name="STOCK_IN_TRADE" localSheetId="4">#REF!</definedName>
    <definedName name="STOCK_IN_TRADE" localSheetId="9">#REF!</definedName>
    <definedName name="STOCK_IN_TRADE" localSheetId="7">#REF!</definedName>
    <definedName name="STOCK_IN_TRADE">#REF!</definedName>
    <definedName name="STORES__SPARES_AND_LOOSE_TOOLS" localSheetId="11">#REF!</definedName>
    <definedName name="STORES__SPARES_AND_LOOSE_TOOLS" localSheetId="9">#REF!</definedName>
    <definedName name="STORES__SPARES_AND_LOOSE_TOOLS" localSheetId="7">#REF!</definedName>
    <definedName name="STORES__SPARES_AND_LOOSE_TOOLS">#REF!</definedName>
    <definedName name="SUI">#N/A</definedName>
    <definedName name="SURPLUS_ON_REVALUATION_OF_FIXED_ASSETS" localSheetId="11">#REF!</definedName>
    <definedName name="SURPLUS_ON_REVALUATION_OF_FIXED_ASSETS" localSheetId="4">#REF!</definedName>
    <definedName name="SURPLUS_ON_REVALUATION_OF_FIXED_ASSETS" localSheetId="9">#REF!</definedName>
    <definedName name="SURPLUS_ON_REVALUATION_OF_FIXED_ASSETS" localSheetId="7">#REF!</definedName>
    <definedName name="SURPLUS_ON_REVALUATION_OF_FIXED_ASSETS">#REF!</definedName>
    <definedName name="tax" localSheetId="11">[14]Notes!#REF!</definedName>
    <definedName name="tax" localSheetId="4">[14]Notes!#REF!</definedName>
    <definedName name="tax" localSheetId="9">[14]Notes!#REF!</definedName>
    <definedName name="tax" localSheetId="7">[14]Notes!#REF!</definedName>
    <definedName name="tax">[14]Notes!#REF!</definedName>
    <definedName name="Tax_Effect_Income" localSheetId="11">#REF!</definedName>
    <definedName name="Tax_Effect_Income" localSheetId="4">#REF!</definedName>
    <definedName name="Tax_Effect_Income" localSheetId="9">#REF!</definedName>
    <definedName name="Tax_Effect_Income" localSheetId="7">#REF!</definedName>
    <definedName name="Tax_Effect_Income">#REF!</definedName>
    <definedName name="Tax_Effect_Liabs" localSheetId="11">#REF!</definedName>
    <definedName name="Tax_Effect_Liabs" localSheetId="4">#REF!</definedName>
    <definedName name="Tax_Effect_Liabs" localSheetId="9">#REF!</definedName>
    <definedName name="Tax_Effect_Liabs" localSheetId="7">#REF!</definedName>
    <definedName name="Tax_Effect_Liabs">#REF!</definedName>
    <definedName name="Tax_Effect_RetEarn" localSheetId="11">#REF!</definedName>
    <definedName name="Tax_Effect_RetEarn" localSheetId="4">#REF!</definedName>
    <definedName name="Tax_Effect_RetEarn" localSheetId="9">#REF!</definedName>
    <definedName name="Tax_Effect_RetEarn" localSheetId="7">#REF!</definedName>
    <definedName name="Tax_Effect_RetEarn">#REF!</definedName>
    <definedName name="Tax_Rate" localSheetId="11">#REF!</definedName>
    <definedName name="Tax_Rate" localSheetId="9">#REF!</definedName>
    <definedName name="Tax_Rate" localSheetId="7">#REF!</definedName>
    <definedName name="Tax_Rate">#REF!</definedName>
    <definedName name="TAXATION" localSheetId="11">[15]Notes!#REF!</definedName>
    <definedName name="TAXATION" localSheetId="4">[15]Notes!#REF!</definedName>
    <definedName name="TAXATION" localSheetId="9">[15]Notes!#REF!</definedName>
    <definedName name="TAXATION" localSheetId="7">[15]Notes!#REF!</definedName>
    <definedName name="TAXATION">[15]Notes!#REF!</definedName>
    <definedName name="taxdep" localSheetId="11">[41]Notes!#REF!</definedName>
    <definedName name="taxdep" localSheetId="4">[41]Notes!#REF!</definedName>
    <definedName name="taxdep" localSheetId="9">[41]Notes!#REF!</definedName>
    <definedName name="taxdep" localSheetId="7">[41]Notes!#REF!</definedName>
    <definedName name="taxdep">[41]Notes!#REF!</definedName>
    <definedName name="TaxTV">10%</definedName>
    <definedName name="TaxXL">5%</definedName>
    <definedName name="te" localSheetId="11">#REF!</definedName>
    <definedName name="te" localSheetId="4">#REF!</definedName>
    <definedName name="te" localSheetId="9">#REF!</definedName>
    <definedName name="te" localSheetId="7">#REF!</definedName>
    <definedName name="te">#REF!</definedName>
    <definedName name="TELEPHONE_EXPENSES" localSheetId="11">'[23]FEB 2000'!#REF!</definedName>
    <definedName name="TELEPHONE_EXPENSES" localSheetId="4">'[23]FEB 2000'!#REF!</definedName>
    <definedName name="TELEPHONE_EXPENSES" localSheetId="9">'[23]FEB 2000'!#REF!</definedName>
    <definedName name="TELEPHONE_EXPENSES" localSheetId="7">'[23]FEB 2000'!#REF!</definedName>
    <definedName name="TELEPHONE_EXPENSES">'[23]FEB 2000'!#REF!</definedName>
    <definedName name="TEX" localSheetId="11">'[12]P.L NOTES '!#REF!</definedName>
    <definedName name="TEX" localSheetId="4">'[12]P.L NOTES '!#REF!</definedName>
    <definedName name="TEX" localSheetId="9">'[12]P.L NOTES '!#REF!</definedName>
    <definedName name="TEX" localSheetId="7">'[12]P.L NOTES '!#REF!</definedName>
    <definedName name="TEX">'[12]P.L NOTES '!#REF!</definedName>
    <definedName name="text" localSheetId="11">#REF!</definedName>
    <definedName name="text" localSheetId="4">#REF!</definedName>
    <definedName name="text" localSheetId="9">#REF!</definedName>
    <definedName name="text" localSheetId="7">#REF!</definedName>
    <definedName name="text">#REF!</definedName>
    <definedName name="TextRefCopy1">[42]Sheet1!$C$9</definedName>
    <definedName name="TextRefCopy10" localSheetId="11">#REF!</definedName>
    <definedName name="TextRefCopy10" localSheetId="4">#REF!</definedName>
    <definedName name="TextRefCopy10" localSheetId="9">#REF!</definedName>
    <definedName name="TextRefCopy10" localSheetId="7">#REF!</definedName>
    <definedName name="TextRefCopy10">#REF!</definedName>
    <definedName name="TextRefCopy100" localSheetId="11">#REF!</definedName>
    <definedName name="TextRefCopy100" localSheetId="4">#REF!</definedName>
    <definedName name="TextRefCopy100" localSheetId="9">#REF!</definedName>
    <definedName name="TextRefCopy100" localSheetId="7">#REF!</definedName>
    <definedName name="TextRefCopy100">#REF!</definedName>
    <definedName name="TextRefCopy101" localSheetId="11">#REF!</definedName>
    <definedName name="TextRefCopy101" localSheetId="4">#REF!</definedName>
    <definedName name="TextRefCopy101" localSheetId="9">#REF!</definedName>
    <definedName name="TextRefCopy101" localSheetId="7">#REF!</definedName>
    <definedName name="TextRefCopy101">#REF!</definedName>
    <definedName name="TextRefCopy102" localSheetId="11">#REF!</definedName>
    <definedName name="TextRefCopy102" localSheetId="9">#REF!</definedName>
    <definedName name="TextRefCopy102" localSheetId="7">#REF!</definedName>
    <definedName name="TextRefCopy102">#REF!</definedName>
    <definedName name="TextRefCopy103" localSheetId="11">#REF!</definedName>
    <definedName name="TextRefCopy103" localSheetId="9">#REF!</definedName>
    <definedName name="TextRefCopy103" localSheetId="7">#REF!</definedName>
    <definedName name="TextRefCopy103">#REF!</definedName>
    <definedName name="TextRefCopy104" localSheetId="11">#REF!</definedName>
    <definedName name="TextRefCopy104" localSheetId="9">#REF!</definedName>
    <definedName name="TextRefCopy104" localSheetId="7">#REF!</definedName>
    <definedName name="TextRefCopy104">#REF!</definedName>
    <definedName name="TextRefCopy105" localSheetId="11">#REF!</definedName>
    <definedName name="TextRefCopy105" localSheetId="9">#REF!</definedName>
    <definedName name="TextRefCopy105" localSheetId="7">#REF!</definedName>
    <definedName name="TextRefCopy105">#REF!</definedName>
    <definedName name="TextRefCopy107" localSheetId="11">#REF!</definedName>
    <definedName name="TextRefCopy107" localSheetId="9">#REF!</definedName>
    <definedName name="TextRefCopy107" localSheetId="7">#REF!</definedName>
    <definedName name="TextRefCopy107">#REF!</definedName>
    <definedName name="TextRefCopy109" localSheetId="11">#REF!</definedName>
    <definedName name="TextRefCopy109" localSheetId="9">#REF!</definedName>
    <definedName name="TextRefCopy109" localSheetId="7">#REF!</definedName>
    <definedName name="TextRefCopy109">#REF!</definedName>
    <definedName name="TextRefCopy11" localSheetId="11">#REF!</definedName>
    <definedName name="TextRefCopy11" localSheetId="9">#REF!</definedName>
    <definedName name="TextRefCopy11" localSheetId="7">#REF!</definedName>
    <definedName name="TextRefCopy11">#REF!</definedName>
    <definedName name="TextRefCopy111" localSheetId="11">#REF!</definedName>
    <definedName name="TextRefCopy111" localSheetId="9">#REF!</definedName>
    <definedName name="TextRefCopy111" localSheetId="7">#REF!</definedName>
    <definedName name="TextRefCopy111">#REF!</definedName>
    <definedName name="TextRefCopy112" localSheetId="11">#REF!</definedName>
    <definedName name="TextRefCopy112" localSheetId="9">#REF!</definedName>
    <definedName name="TextRefCopy112" localSheetId="7">#REF!</definedName>
    <definedName name="TextRefCopy112">#REF!</definedName>
    <definedName name="TextRefCopy113" localSheetId="11">#REF!</definedName>
    <definedName name="TextRefCopy113" localSheetId="9">#REF!</definedName>
    <definedName name="TextRefCopy113" localSheetId="7">#REF!</definedName>
    <definedName name="TextRefCopy113">#REF!</definedName>
    <definedName name="TextRefCopy115" localSheetId="11">#REF!</definedName>
    <definedName name="TextRefCopy115" localSheetId="9">#REF!</definedName>
    <definedName name="TextRefCopy115" localSheetId="7">#REF!</definedName>
    <definedName name="TextRefCopy115">#REF!</definedName>
    <definedName name="TextRefCopy116" localSheetId="11">'[43]Plant &amp; Mach Imp'!#REF!</definedName>
    <definedName name="TextRefCopy116" localSheetId="4">'[43]Plant &amp; Mach Imp'!#REF!</definedName>
    <definedName name="TextRefCopy116" localSheetId="9">'[43]Plant &amp; Mach Imp'!#REF!</definedName>
    <definedName name="TextRefCopy116" localSheetId="7">'[43]Plant &amp; Mach Imp'!#REF!</definedName>
    <definedName name="TextRefCopy116">'[43]Plant &amp; Mach Imp'!#REF!</definedName>
    <definedName name="TextRefCopy117" localSheetId="11">#REF!</definedName>
    <definedName name="TextRefCopy117" localSheetId="4">#REF!</definedName>
    <definedName name="TextRefCopy117" localSheetId="9">#REF!</definedName>
    <definedName name="TextRefCopy117" localSheetId="7">#REF!</definedName>
    <definedName name="TextRefCopy117">#REF!</definedName>
    <definedName name="TextRefCopy118" localSheetId="11">#REF!</definedName>
    <definedName name="TextRefCopy118" localSheetId="4">#REF!</definedName>
    <definedName name="TextRefCopy118" localSheetId="9">#REF!</definedName>
    <definedName name="TextRefCopy118" localSheetId="7">#REF!</definedName>
    <definedName name="TextRefCopy118">#REF!</definedName>
    <definedName name="TextRefCopy119" localSheetId="11">#REF!</definedName>
    <definedName name="TextRefCopy119" localSheetId="4">#REF!</definedName>
    <definedName name="TextRefCopy119" localSheetId="9">#REF!</definedName>
    <definedName name="TextRefCopy119" localSheetId="7">#REF!</definedName>
    <definedName name="TextRefCopy119">#REF!</definedName>
    <definedName name="TextRefCopy12" localSheetId="11">#REF!</definedName>
    <definedName name="TextRefCopy12" localSheetId="9">#REF!</definedName>
    <definedName name="TextRefCopy12" localSheetId="7">#REF!</definedName>
    <definedName name="TextRefCopy12">#REF!</definedName>
    <definedName name="TextRefCopy120" localSheetId="11">'[44]CASH-FLOW '!#REF!</definedName>
    <definedName name="TextRefCopy120" localSheetId="4">'[44]CASH-FLOW '!#REF!</definedName>
    <definedName name="TextRefCopy120" localSheetId="9">'[44]CASH-FLOW '!#REF!</definedName>
    <definedName name="TextRefCopy120" localSheetId="7">'[44]CASH-FLOW '!#REF!</definedName>
    <definedName name="TextRefCopy120">'[44]CASH-FLOW '!#REF!</definedName>
    <definedName name="TextRefCopy121" localSheetId="11">'[44]CASH-FLOW '!#REF!</definedName>
    <definedName name="TextRefCopy121" localSheetId="4">'[44]CASH-FLOW '!#REF!</definedName>
    <definedName name="TextRefCopy121" localSheetId="9">'[44]CASH-FLOW '!#REF!</definedName>
    <definedName name="TextRefCopy121" localSheetId="7">'[44]CASH-FLOW '!#REF!</definedName>
    <definedName name="TextRefCopy121">'[44]CASH-FLOW '!#REF!</definedName>
    <definedName name="TextRefCopy122" localSheetId="11">'[45]EQUITY '!#REF!</definedName>
    <definedName name="TextRefCopy122" localSheetId="4">'[45]EQUITY '!#REF!</definedName>
    <definedName name="TextRefCopy122" localSheetId="9">'[45]EQUITY '!#REF!</definedName>
    <definedName name="TextRefCopy122" localSheetId="7">'[45]EQUITY '!#REF!</definedName>
    <definedName name="TextRefCopy122">'[45]EQUITY '!#REF!</definedName>
    <definedName name="TextRefCopy123" localSheetId="11">#REF!</definedName>
    <definedName name="TextRefCopy123" localSheetId="4">#REF!</definedName>
    <definedName name="TextRefCopy123" localSheetId="9">#REF!</definedName>
    <definedName name="TextRefCopy123" localSheetId="7">#REF!</definedName>
    <definedName name="TextRefCopy123">#REF!</definedName>
    <definedName name="TextRefCopy124" localSheetId="11">#REF!</definedName>
    <definedName name="TextRefCopy124" localSheetId="4">#REF!</definedName>
    <definedName name="TextRefCopy124" localSheetId="9">#REF!</definedName>
    <definedName name="TextRefCopy124" localSheetId="7">#REF!</definedName>
    <definedName name="TextRefCopy124">#REF!</definedName>
    <definedName name="TextRefCopy125" localSheetId="11">#REF!</definedName>
    <definedName name="TextRefCopy125" localSheetId="4">#REF!</definedName>
    <definedName name="TextRefCopy125" localSheetId="9">#REF!</definedName>
    <definedName name="TextRefCopy125" localSheetId="7">#REF!</definedName>
    <definedName name="TextRefCopy125">#REF!</definedName>
    <definedName name="TextRefCopy126" localSheetId="11">#REF!</definedName>
    <definedName name="TextRefCopy126" localSheetId="9">#REF!</definedName>
    <definedName name="TextRefCopy126" localSheetId="7">#REF!</definedName>
    <definedName name="TextRefCopy126">#REF!</definedName>
    <definedName name="TextRefCopy127" localSheetId="11">#REF!</definedName>
    <definedName name="TextRefCopy127" localSheetId="9">#REF!</definedName>
    <definedName name="TextRefCopy127" localSheetId="7">#REF!</definedName>
    <definedName name="TextRefCopy127">#REF!</definedName>
    <definedName name="TextRefCopy128" localSheetId="11">[46]NOTES!#REF!</definedName>
    <definedName name="TextRefCopy128" localSheetId="4">[46]NOTES!#REF!</definedName>
    <definedName name="TextRefCopy128" localSheetId="9">[46]NOTES!#REF!</definedName>
    <definedName name="TextRefCopy128" localSheetId="7">[46]NOTES!#REF!</definedName>
    <definedName name="TextRefCopy128">[46]NOTES!#REF!</definedName>
    <definedName name="TextRefCopy129" localSheetId="11">#REF!</definedName>
    <definedName name="TextRefCopy129" localSheetId="4">#REF!</definedName>
    <definedName name="TextRefCopy129" localSheetId="9">#REF!</definedName>
    <definedName name="TextRefCopy129" localSheetId="7">#REF!</definedName>
    <definedName name="TextRefCopy129">#REF!</definedName>
    <definedName name="TextRefCopy13" localSheetId="11">#REF!</definedName>
    <definedName name="TextRefCopy13" localSheetId="4">#REF!</definedName>
    <definedName name="TextRefCopy13" localSheetId="9">#REF!</definedName>
    <definedName name="TextRefCopy13" localSheetId="7">#REF!</definedName>
    <definedName name="TextRefCopy13">#REF!</definedName>
    <definedName name="TextRefCopy130" localSheetId="11">#REF!</definedName>
    <definedName name="TextRefCopy130" localSheetId="4">#REF!</definedName>
    <definedName name="TextRefCopy130" localSheetId="9">#REF!</definedName>
    <definedName name="TextRefCopy130" localSheetId="7">#REF!</definedName>
    <definedName name="TextRefCopy130">#REF!</definedName>
    <definedName name="TextRefCopy131" localSheetId="11">#REF!</definedName>
    <definedName name="TextRefCopy131" localSheetId="9">#REF!</definedName>
    <definedName name="TextRefCopy131" localSheetId="7">#REF!</definedName>
    <definedName name="TextRefCopy131">#REF!</definedName>
    <definedName name="TextRefCopy132" localSheetId="11">#REF!</definedName>
    <definedName name="TextRefCopy132" localSheetId="9">#REF!</definedName>
    <definedName name="TextRefCopy132" localSheetId="7">#REF!</definedName>
    <definedName name="TextRefCopy132">#REF!</definedName>
    <definedName name="TextRefCopy133" localSheetId="11">#REF!</definedName>
    <definedName name="TextRefCopy133" localSheetId="9">#REF!</definedName>
    <definedName name="TextRefCopy133" localSheetId="7">#REF!</definedName>
    <definedName name="TextRefCopy133">#REF!</definedName>
    <definedName name="TextRefCopy134" localSheetId="11">[45]Notes!#REF!</definedName>
    <definedName name="TextRefCopy134" localSheetId="4">[45]Notes!#REF!</definedName>
    <definedName name="TextRefCopy134" localSheetId="9">[45]Notes!#REF!</definedName>
    <definedName name="TextRefCopy134" localSheetId="7">[45]Notes!#REF!</definedName>
    <definedName name="TextRefCopy134">[45]Notes!#REF!</definedName>
    <definedName name="TextRefCopy135">'[47]P&amp;L'!$F$9</definedName>
    <definedName name="TextRefCopy136">'[47]P&amp;L'!$F$10</definedName>
    <definedName name="TextRefCopy137">'[47]P&amp;L'!$F$14</definedName>
    <definedName name="TextRefCopy138">'[47]P&amp;L'!$F$13</definedName>
    <definedName name="TextRefCopy139">'[47]P&amp;L'!$F$16</definedName>
    <definedName name="TextRefCopy14" localSheetId="11">#REF!</definedName>
    <definedName name="TextRefCopy14" localSheetId="4">#REF!</definedName>
    <definedName name="TextRefCopy14" localSheetId="9">#REF!</definedName>
    <definedName name="TextRefCopy14" localSheetId="7">#REF!</definedName>
    <definedName name="TextRefCopy14">#REF!</definedName>
    <definedName name="TextRefCopy140">[47]Notes!$I$509</definedName>
    <definedName name="TextRefCopy142" localSheetId="11">#REF!</definedName>
    <definedName name="TextRefCopy142" localSheetId="4">#REF!</definedName>
    <definedName name="TextRefCopy142" localSheetId="9">#REF!</definedName>
    <definedName name="TextRefCopy142" localSheetId="7">#REF!</definedName>
    <definedName name="TextRefCopy142">#REF!</definedName>
    <definedName name="TextRefCopy143" localSheetId="11">#REF!</definedName>
    <definedName name="TextRefCopy143" localSheetId="4">#REF!</definedName>
    <definedName name="TextRefCopy143" localSheetId="9">#REF!</definedName>
    <definedName name="TextRefCopy143" localSheetId="7">#REF!</definedName>
    <definedName name="TextRefCopy143">#REF!</definedName>
    <definedName name="TextRefCopy144" localSheetId="11">#REF!</definedName>
    <definedName name="TextRefCopy144" localSheetId="4">#REF!</definedName>
    <definedName name="TextRefCopy144" localSheetId="9">#REF!</definedName>
    <definedName name="TextRefCopy144" localSheetId="7">#REF!</definedName>
    <definedName name="TextRefCopy144">#REF!</definedName>
    <definedName name="TextRefCopy145" localSheetId="11">'[47]Provision for taxation. (10)'!#REF!</definedName>
    <definedName name="TextRefCopy145" localSheetId="4">'[47]Provision for taxation. (10)'!#REF!</definedName>
    <definedName name="TextRefCopy145" localSheetId="9">'[47]Provision for taxation. (10)'!#REF!</definedName>
    <definedName name="TextRefCopy145" localSheetId="7">'[47]Provision for taxation. (10)'!#REF!</definedName>
    <definedName name="TextRefCopy145">'[47]Provision for taxation. (10)'!#REF!</definedName>
    <definedName name="TextRefCopy146" localSheetId="11">#REF!</definedName>
    <definedName name="TextRefCopy146" localSheetId="4">#REF!</definedName>
    <definedName name="TextRefCopy146" localSheetId="9">#REF!</definedName>
    <definedName name="TextRefCopy146" localSheetId="7">#REF!</definedName>
    <definedName name="TextRefCopy146">#REF!</definedName>
    <definedName name="TextRefCopy147" localSheetId="11">#REF!</definedName>
    <definedName name="TextRefCopy147" localSheetId="4">#REF!</definedName>
    <definedName name="TextRefCopy147" localSheetId="9">#REF!</definedName>
    <definedName name="TextRefCopy147" localSheetId="7">#REF!</definedName>
    <definedName name="TextRefCopy147">#REF!</definedName>
    <definedName name="TextRefCopy148">[47]Notes!$I$510</definedName>
    <definedName name="TextRefCopy15" localSheetId="11">#REF!</definedName>
    <definedName name="TextRefCopy15" localSheetId="4">#REF!</definedName>
    <definedName name="TextRefCopy15" localSheetId="9">#REF!</definedName>
    <definedName name="TextRefCopy15" localSheetId="7">#REF!</definedName>
    <definedName name="TextRefCopy15">#REF!</definedName>
    <definedName name="TextRefCopy150" localSheetId="11">#REF!</definedName>
    <definedName name="TextRefCopy150" localSheetId="4">#REF!</definedName>
    <definedName name="TextRefCopy150" localSheetId="9">#REF!</definedName>
    <definedName name="TextRefCopy150" localSheetId="7">#REF!</definedName>
    <definedName name="TextRefCopy150">#REF!</definedName>
    <definedName name="TextRefCopy152" localSheetId="11">#REF!</definedName>
    <definedName name="TextRefCopy152" localSheetId="4">#REF!</definedName>
    <definedName name="TextRefCopy152" localSheetId="9">#REF!</definedName>
    <definedName name="TextRefCopy152" localSheetId="7">#REF!</definedName>
    <definedName name="TextRefCopy152">#REF!</definedName>
    <definedName name="TextRefCopy153" localSheetId="11">#REF!</definedName>
    <definedName name="TextRefCopy153" localSheetId="9">#REF!</definedName>
    <definedName name="TextRefCopy153" localSheetId="7">#REF!</definedName>
    <definedName name="TextRefCopy153">#REF!</definedName>
    <definedName name="TextRefCopy154" localSheetId="11">#REF!</definedName>
    <definedName name="TextRefCopy154" localSheetId="9">#REF!</definedName>
    <definedName name="TextRefCopy154" localSheetId="7">#REF!</definedName>
    <definedName name="TextRefCopy154">#REF!</definedName>
    <definedName name="TextRefCopy155" localSheetId="11">#REF!</definedName>
    <definedName name="TextRefCopy155" localSheetId="9">#REF!</definedName>
    <definedName name="TextRefCopy155" localSheetId="7">#REF!</definedName>
    <definedName name="TextRefCopy155">#REF!</definedName>
    <definedName name="TextRefCopy156" localSheetId="11">#REF!</definedName>
    <definedName name="TextRefCopy156" localSheetId="9">#REF!</definedName>
    <definedName name="TextRefCopy156" localSheetId="7">#REF!</definedName>
    <definedName name="TextRefCopy156">#REF!</definedName>
    <definedName name="TextRefCopy157" localSheetId="11">#REF!</definedName>
    <definedName name="TextRefCopy157" localSheetId="9">#REF!</definedName>
    <definedName name="TextRefCopy157" localSheetId="7">#REF!</definedName>
    <definedName name="TextRefCopy157">#REF!</definedName>
    <definedName name="TextRefCopy158" localSheetId="11">#REF!</definedName>
    <definedName name="TextRefCopy158" localSheetId="9">#REF!</definedName>
    <definedName name="TextRefCopy158" localSheetId="7">#REF!</definedName>
    <definedName name="TextRefCopy158">#REF!</definedName>
    <definedName name="TextRefCopy159" localSheetId="11">#REF!</definedName>
    <definedName name="TextRefCopy159" localSheetId="9">#REF!</definedName>
    <definedName name="TextRefCopy159" localSheetId="7">#REF!</definedName>
    <definedName name="TextRefCopy159">#REF!</definedName>
    <definedName name="TextRefCopy16" localSheetId="11">#REF!</definedName>
    <definedName name="TextRefCopy16" localSheetId="9">#REF!</definedName>
    <definedName name="TextRefCopy16" localSheetId="7">#REF!</definedName>
    <definedName name="TextRefCopy16">#REF!</definedName>
    <definedName name="TextRefCopy160" localSheetId="11">#REF!</definedName>
    <definedName name="TextRefCopy160" localSheetId="9">#REF!</definedName>
    <definedName name="TextRefCopy160" localSheetId="7">#REF!</definedName>
    <definedName name="TextRefCopy160">#REF!</definedName>
    <definedName name="TextRefCopy161" localSheetId="11">#REF!</definedName>
    <definedName name="TextRefCopy161" localSheetId="9">#REF!</definedName>
    <definedName name="TextRefCopy161" localSheetId="7">#REF!</definedName>
    <definedName name="TextRefCopy161">#REF!</definedName>
    <definedName name="TextRefCopy162" localSheetId="11">#REF!</definedName>
    <definedName name="TextRefCopy162" localSheetId="9">#REF!</definedName>
    <definedName name="TextRefCopy162" localSheetId="7">#REF!</definedName>
    <definedName name="TextRefCopy162">#REF!</definedName>
    <definedName name="TextRefCopy163" localSheetId="11">#REF!</definedName>
    <definedName name="TextRefCopy163" localSheetId="9">#REF!</definedName>
    <definedName name="TextRefCopy163" localSheetId="7">#REF!</definedName>
    <definedName name="TextRefCopy163">#REF!</definedName>
    <definedName name="TextRefCopy164" localSheetId="11">#REF!</definedName>
    <definedName name="TextRefCopy164" localSheetId="9">#REF!</definedName>
    <definedName name="TextRefCopy164" localSheetId="7">#REF!</definedName>
    <definedName name="TextRefCopy164">#REF!</definedName>
    <definedName name="TextRefCopy165" localSheetId="11">#REF!</definedName>
    <definedName name="TextRefCopy165" localSheetId="9">#REF!</definedName>
    <definedName name="TextRefCopy165" localSheetId="7">#REF!</definedName>
    <definedName name="TextRefCopy165">#REF!</definedName>
    <definedName name="TextRefCopy166" localSheetId="11">#REF!</definedName>
    <definedName name="TextRefCopy166" localSheetId="9">#REF!</definedName>
    <definedName name="TextRefCopy166" localSheetId="7">#REF!</definedName>
    <definedName name="TextRefCopy166">#REF!</definedName>
    <definedName name="TextRefCopy167" localSheetId="11">#REF!</definedName>
    <definedName name="TextRefCopy167" localSheetId="9">#REF!</definedName>
    <definedName name="TextRefCopy167" localSheetId="7">#REF!</definedName>
    <definedName name="TextRefCopy167">#REF!</definedName>
    <definedName name="TextRefCopy168" localSheetId="11">#REF!</definedName>
    <definedName name="TextRefCopy168" localSheetId="9">#REF!</definedName>
    <definedName name="TextRefCopy168" localSheetId="7">#REF!</definedName>
    <definedName name="TextRefCopy168">#REF!</definedName>
    <definedName name="TextRefCopy169" localSheetId="11">#REF!</definedName>
    <definedName name="TextRefCopy169" localSheetId="9">#REF!</definedName>
    <definedName name="TextRefCopy169" localSheetId="7">#REF!</definedName>
    <definedName name="TextRefCopy169">#REF!</definedName>
    <definedName name="TextRefCopy17" localSheetId="11">#REF!</definedName>
    <definedName name="TextRefCopy17" localSheetId="9">#REF!</definedName>
    <definedName name="TextRefCopy17" localSheetId="7">#REF!</definedName>
    <definedName name="TextRefCopy17">#REF!</definedName>
    <definedName name="TextRefCopy170" localSheetId="11">#REF!</definedName>
    <definedName name="TextRefCopy170" localSheetId="9">#REF!</definedName>
    <definedName name="TextRefCopy170" localSheetId="7">#REF!</definedName>
    <definedName name="TextRefCopy170">#REF!</definedName>
    <definedName name="TextRefCopy171" localSheetId="11">#REF!</definedName>
    <definedName name="TextRefCopy171" localSheetId="9">#REF!</definedName>
    <definedName name="TextRefCopy171" localSheetId="7">#REF!</definedName>
    <definedName name="TextRefCopy171">#REF!</definedName>
    <definedName name="TextRefCopy173" localSheetId="11">#REF!</definedName>
    <definedName name="TextRefCopy173" localSheetId="9">#REF!</definedName>
    <definedName name="TextRefCopy173" localSheetId="7">#REF!</definedName>
    <definedName name="TextRefCopy173">#REF!</definedName>
    <definedName name="TextRefCopy174" localSheetId="11">#REF!</definedName>
    <definedName name="TextRefCopy174" localSheetId="9">#REF!</definedName>
    <definedName name="TextRefCopy174" localSheetId="7">#REF!</definedName>
    <definedName name="TextRefCopy174">#REF!</definedName>
    <definedName name="TextRefCopy175" localSheetId="11">#REF!</definedName>
    <definedName name="TextRefCopy175" localSheetId="9">#REF!</definedName>
    <definedName name="TextRefCopy175" localSheetId="7">#REF!</definedName>
    <definedName name="TextRefCopy175">#REF!</definedName>
    <definedName name="TextRefCopy176" localSheetId="11">#REF!</definedName>
    <definedName name="TextRefCopy176" localSheetId="9">#REF!</definedName>
    <definedName name="TextRefCopy176" localSheetId="7">#REF!</definedName>
    <definedName name="TextRefCopy176">#REF!</definedName>
    <definedName name="TextRefCopy177" localSheetId="11">#REF!</definedName>
    <definedName name="TextRefCopy177" localSheetId="9">#REF!</definedName>
    <definedName name="TextRefCopy177" localSheetId="7">#REF!</definedName>
    <definedName name="TextRefCopy177">#REF!</definedName>
    <definedName name="TextRefCopy178" localSheetId="11">#REF!</definedName>
    <definedName name="TextRefCopy178" localSheetId="9">#REF!</definedName>
    <definedName name="TextRefCopy178" localSheetId="7">#REF!</definedName>
    <definedName name="TextRefCopy178">#REF!</definedName>
    <definedName name="TextRefCopy179" localSheetId="11">#REF!</definedName>
    <definedName name="TextRefCopy179" localSheetId="9">#REF!</definedName>
    <definedName name="TextRefCopy179" localSheetId="7">#REF!</definedName>
    <definedName name="TextRefCopy179">#REF!</definedName>
    <definedName name="TextRefCopy18" localSheetId="11">#REF!</definedName>
    <definedName name="TextRefCopy18" localSheetId="9">#REF!</definedName>
    <definedName name="TextRefCopy18" localSheetId="7">#REF!</definedName>
    <definedName name="TextRefCopy18">#REF!</definedName>
    <definedName name="TextRefCopy181" localSheetId="11">#REF!</definedName>
    <definedName name="TextRefCopy181" localSheetId="9">#REF!</definedName>
    <definedName name="TextRefCopy181" localSheetId="7">#REF!</definedName>
    <definedName name="TextRefCopy181">#REF!</definedName>
    <definedName name="TextRefCopy182" localSheetId="11">#REF!</definedName>
    <definedName name="TextRefCopy182" localSheetId="9">#REF!</definedName>
    <definedName name="TextRefCopy182" localSheetId="7">#REF!</definedName>
    <definedName name="TextRefCopy182">#REF!</definedName>
    <definedName name="TextRefCopy183" localSheetId="11">#REF!</definedName>
    <definedName name="TextRefCopy183" localSheetId="9">#REF!</definedName>
    <definedName name="TextRefCopy183" localSheetId="7">#REF!</definedName>
    <definedName name="TextRefCopy183">#REF!</definedName>
    <definedName name="TextRefCopy184" localSheetId="11">#REF!</definedName>
    <definedName name="TextRefCopy184" localSheetId="9">#REF!</definedName>
    <definedName name="TextRefCopy184" localSheetId="7">#REF!</definedName>
    <definedName name="TextRefCopy184">#REF!</definedName>
    <definedName name="TextRefCopy185" localSheetId="11">#REF!</definedName>
    <definedName name="TextRefCopy185" localSheetId="9">#REF!</definedName>
    <definedName name="TextRefCopy185" localSheetId="7">#REF!</definedName>
    <definedName name="TextRefCopy185">#REF!</definedName>
    <definedName name="TextRefCopy186" localSheetId="11">#REF!</definedName>
    <definedName name="TextRefCopy186" localSheetId="9">#REF!</definedName>
    <definedName name="TextRefCopy186" localSheetId="7">#REF!</definedName>
    <definedName name="TextRefCopy186">#REF!</definedName>
    <definedName name="TextRefCopy187" localSheetId="11">#REF!</definedName>
    <definedName name="TextRefCopy187" localSheetId="9">#REF!</definedName>
    <definedName name="TextRefCopy187" localSheetId="7">#REF!</definedName>
    <definedName name="TextRefCopy187">#REF!</definedName>
    <definedName name="TextRefCopy188" localSheetId="11">#REF!</definedName>
    <definedName name="TextRefCopy188" localSheetId="9">#REF!</definedName>
    <definedName name="TextRefCopy188" localSheetId="7">#REF!</definedName>
    <definedName name="TextRefCopy188">#REF!</definedName>
    <definedName name="TextRefCopy189" localSheetId="11">#REF!</definedName>
    <definedName name="TextRefCopy189" localSheetId="9">#REF!</definedName>
    <definedName name="TextRefCopy189" localSheetId="7">#REF!</definedName>
    <definedName name="TextRefCopy189">#REF!</definedName>
    <definedName name="TextRefCopy19" localSheetId="11">#REF!</definedName>
    <definedName name="TextRefCopy19" localSheetId="9">#REF!</definedName>
    <definedName name="TextRefCopy19" localSheetId="7">#REF!</definedName>
    <definedName name="TextRefCopy19">#REF!</definedName>
    <definedName name="TextRefCopy190" localSheetId="11">#REF!</definedName>
    <definedName name="TextRefCopy190" localSheetId="9">#REF!</definedName>
    <definedName name="TextRefCopy190" localSheetId="7">#REF!</definedName>
    <definedName name="TextRefCopy190">#REF!</definedName>
    <definedName name="TextRefCopy191" localSheetId="11">#REF!</definedName>
    <definedName name="TextRefCopy191" localSheetId="9">#REF!</definedName>
    <definedName name="TextRefCopy191" localSheetId="7">#REF!</definedName>
    <definedName name="TextRefCopy191">#REF!</definedName>
    <definedName name="TextRefCopy193" localSheetId="11">#REF!</definedName>
    <definedName name="TextRefCopy193" localSheetId="9">#REF!</definedName>
    <definedName name="TextRefCopy193" localSheetId="7">#REF!</definedName>
    <definedName name="TextRefCopy193">#REF!</definedName>
    <definedName name="TextRefCopy196" localSheetId="11">#REF!</definedName>
    <definedName name="TextRefCopy196" localSheetId="9">#REF!</definedName>
    <definedName name="TextRefCopy196" localSheetId="7">#REF!</definedName>
    <definedName name="TextRefCopy196">#REF!</definedName>
    <definedName name="TextRefCopy197" localSheetId="11">#REF!</definedName>
    <definedName name="TextRefCopy197" localSheetId="9">#REF!</definedName>
    <definedName name="TextRefCopy197" localSheetId="7">#REF!</definedName>
    <definedName name="TextRefCopy197">#REF!</definedName>
    <definedName name="TextRefCopy198" localSheetId="11">#REF!</definedName>
    <definedName name="TextRefCopy198" localSheetId="9">#REF!</definedName>
    <definedName name="TextRefCopy198" localSheetId="7">#REF!</definedName>
    <definedName name="TextRefCopy198">#REF!</definedName>
    <definedName name="TextRefCopy199" localSheetId="11">#REF!</definedName>
    <definedName name="TextRefCopy199" localSheetId="9">#REF!</definedName>
    <definedName name="TextRefCopy199" localSheetId="7">#REF!</definedName>
    <definedName name="TextRefCopy199">#REF!</definedName>
    <definedName name="TextRefCopy2">[42]Sheet1!$E$67</definedName>
    <definedName name="TextRefCopy20" localSheetId="11">#REF!</definedName>
    <definedName name="TextRefCopy20" localSheetId="4">#REF!</definedName>
    <definedName name="TextRefCopy20" localSheetId="9">#REF!</definedName>
    <definedName name="TextRefCopy20" localSheetId="7">#REF!</definedName>
    <definedName name="TextRefCopy20">#REF!</definedName>
    <definedName name="TextRefCopy200" localSheetId="11">#REF!</definedName>
    <definedName name="TextRefCopy200" localSheetId="4">#REF!</definedName>
    <definedName name="TextRefCopy200" localSheetId="9">#REF!</definedName>
    <definedName name="TextRefCopy200" localSheetId="7">#REF!</definedName>
    <definedName name="TextRefCopy200">#REF!</definedName>
    <definedName name="TextRefCopy201" localSheetId="11">#REF!</definedName>
    <definedName name="TextRefCopy201" localSheetId="4">#REF!</definedName>
    <definedName name="TextRefCopy201" localSheetId="9">#REF!</definedName>
    <definedName name="TextRefCopy201" localSheetId="7">#REF!</definedName>
    <definedName name="TextRefCopy201">#REF!</definedName>
    <definedName name="TextRefCopy202" localSheetId="11">#REF!</definedName>
    <definedName name="TextRefCopy202" localSheetId="9">#REF!</definedName>
    <definedName name="TextRefCopy202" localSheetId="7">#REF!</definedName>
    <definedName name="TextRefCopy202">#REF!</definedName>
    <definedName name="TextRefCopy203" localSheetId="11">#REF!</definedName>
    <definedName name="TextRefCopy203" localSheetId="9">#REF!</definedName>
    <definedName name="TextRefCopy203" localSheetId="7">#REF!</definedName>
    <definedName name="TextRefCopy203">#REF!</definedName>
    <definedName name="TextRefCopy204" localSheetId="11">#REF!</definedName>
    <definedName name="TextRefCopy204" localSheetId="9">#REF!</definedName>
    <definedName name="TextRefCopy204" localSheetId="7">#REF!</definedName>
    <definedName name="TextRefCopy204">#REF!</definedName>
    <definedName name="TextRefCopy205" localSheetId="11">#REF!</definedName>
    <definedName name="TextRefCopy205" localSheetId="9">#REF!</definedName>
    <definedName name="TextRefCopy205" localSheetId="7">#REF!</definedName>
    <definedName name="TextRefCopy205">#REF!</definedName>
    <definedName name="TextRefCopy206" localSheetId="11">#REF!</definedName>
    <definedName name="TextRefCopy206" localSheetId="9">#REF!</definedName>
    <definedName name="TextRefCopy206" localSheetId="7">#REF!</definedName>
    <definedName name="TextRefCopy206">#REF!</definedName>
    <definedName name="TextRefCopy21" localSheetId="11">#REF!</definedName>
    <definedName name="TextRefCopy21" localSheetId="9">#REF!</definedName>
    <definedName name="TextRefCopy21" localSheetId="7">#REF!</definedName>
    <definedName name="TextRefCopy21">#REF!</definedName>
    <definedName name="TextRefCopy211" localSheetId="11">#REF!</definedName>
    <definedName name="TextRefCopy211" localSheetId="9">#REF!</definedName>
    <definedName name="TextRefCopy211" localSheetId="7">#REF!</definedName>
    <definedName name="TextRefCopy211">#REF!</definedName>
    <definedName name="TextRefCopy215" localSheetId="11">#REF!</definedName>
    <definedName name="TextRefCopy215" localSheetId="9">#REF!</definedName>
    <definedName name="TextRefCopy215" localSheetId="7">#REF!</definedName>
    <definedName name="TextRefCopy215">#REF!</definedName>
    <definedName name="TextRefCopy216" localSheetId="11">#REF!</definedName>
    <definedName name="TextRefCopy216" localSheetId="9">#REF!</definedName>
    <definedName name="TextRefCopy216" localSheetId="7">#REF!</definedName>
    <definedName name="TextRefCopy216">#REF!</definedName>
    <definedName name="TextRefCopy218" localSheetId="11">#REF!</definedName>
    <definedName name="TextRefCopy218" localSheetId="9">#REF!</definedName>
    <definedName name="TextRefCopy218" localSheetId="7">#REF!</definedName>
    <definedName name="TextRefCopy218">#REF!</definedName>
    <definedName name="TextRefCopy219" localSheetId="11">#REF!</definedName>
    <definedName name="TextRefCopy219" localSheetId="9">#REF!</definedName>
    <definedName name="TextRefCopy219" localSheetId="7">#REF!</definedName>
    <definedName name="TextRefCopy219">#REF!</definedName>
    <definedName name="TextRefCopy22" localSheetId="11">#REF!</definedName>
    <definedName name="TextRefCopy22" localSheetId="9">#REF!</definedName>
    <definedName name="TextRefCopy22" localSheetId="7">#REF!</definedName>
    <definedName name="TextRefCopy22">#REF!</definedName>
    <definedName name="TextRefCopy220" localSheetId="11">#REF!</definedName>
    <definedName name="TextRefCopy220" localSheetId="9">#REF!</definedName>
    <definedName name="TextRefCopy220" localSheetId="7">#REF!</definedName>
    <definedName name="TextRefCopy220">#REF!</definedName>
    <definedName name="TextRefCopy221" localSheetId="11">#REF!</definedName>
    <definedName name="TextRefCopy221" localSheetId="9">#REF!</definedName>
    <definedName name="TextRefCopy221" localSheetId="7">#REF!</definedName>
    <definedName name="TextRefCopy221">#REF!</definedName>
    <definedName name="TextRefCopy222" localSheetId="11">#REF!</definedName>
    <definedName name="TextRefCopy222" localSheetId="9">#REF!</definedName>
    <definedName name="TextRefCopy222" localSheetId="7">#REF!</definedName>
    <definedName name="TextRefCopy222">#REF!</definedName>
    <definedName name="TextRefCopy224" localSheetId="11">#REF!</definedName>
    <definedName name="TextRefCopy224" localSheetId="9">#REF!</definedName>
    <definedName name="TextRefCopy224" localSheetId="7">#REF!</definedName>
    <definedName name="TextRefCopy224">#REF!</definedName>
    <definedName name="TextRefCopy225" localSheetId="11">#REF!</definedName>
    <definedName name="TextRefCopy225" localSheetId="9">#REF!</definedName>
    <definedName name="TextRefCopy225" localSheetId="7">#REF!</definedName>
    <definedName name="TextRefCopy225">#REF!</definedName>
    <definedName name="TextRefCopy228" localSheetId="11">#REF!</definedName>
    <definedName name="TextRefCopy228" localSheetId="9">#REF!</definedName>
    <definedName name="TextRefCopy228" localSheetId="7">#REF!</definedName>
    <definedName name="TextRefCopy228">#REF!</definedName>
    <definedName name="TextRefCopy229" localSheetId="11">#REF!</definedName>
    <definedName name="TextRefCopy229" localSheetId="9">#REF!</definedName>
    <definedName name="TextRefCopy229" localSheetId="7">#REF!</definedName>
    <definedName name="TextRefCopy229">#REF!</definedName>
    <definedName name="TextRefCopy23" localSheetId="11">#REF!</definedName>
    <definedName name="TextRefCopy23" localSheetId="9">#REF!</definedName>
    <definedName name="TextRefCopy23" localSheetId="7">#REF!</definedName>
    <definedName name="TextRefCopy23">#REF!</definedName>
    <definedName name="TextRefCopy230" localSheetId="11">#REF!</definedName>
    <definedName name="TextRefCopy230" localSheetId="9">#REF!</definedName>
    <definedName name="TextRefCopy230" localSheetId="7">#REF!</definedName>
    <definedName name="TextRefCopy230">#REF!</definedName>
    <definedName name="TextRefCopy232" localSheetId="11">#REF!</definedName>
    <definedName name="TextRefCopy232" localSheetId="9">#REF!</definedName>
    <definedName name="TextRefCopy232" localSheetId="7">#REF!</definedName>
    <definedName name="TextRefCopy232">#REF!</definedName>
    <definedName name="TextRefCopy237">'[48]Fixed Assets'!$G$18</definedName>
    <definedName name="TextRefCopy238">'[48]Fixed Assets'!$K$18</definedName>
    <definedName name="TextRefCopy24" localSheetId="11">#REF!</definedName>
    <definedName name="TextRefCopy24" localSheetId="4">#REF!</definedName>
    <definedName name="TextRefCopy24" localSheetId="9">#REF!</definedName>
    <definedName name="TextRefCopy24" localSheetId="7">#REF!</definedName>
    <definedName name="TextRefCopy24">#REF!</definedName>
    <definedName name="TextRefCopy244" localSheetId="11">#REF!</definedName>
    <definedName name="TextRefCopy244" localSheetId="4">#REF!</definedName>
    <definedName name="TextRefCopy244" localSheetId="9">#REF!</definedName>
    <definedName name="TextRefCopy244" localSheetId="7">#REF!</definedName>
    <definedName name="TextRefCopy244">#REF!</definedName>
    <definedName name="TextRefCopy245" localSheetId="11">#REF!</definedName>
    <definedName name="TextRefCopy245" localSheetId="4">#REF!</definedName>
    <definedName name="TextRefCopy245" localSheetId="9">#REF!</definedName>
    <definedName name="TextRefCopy245" localSheetId="7">#REF!</definedName>
    <definedName name="TextRefCopy245">#REF!</definedName>
    <definedName name="TextRefCopy246" localSheetId="11">#REF!</definedName>
    <definedName name="TextRefCopy246" localSheetId="9">#REF!</definedName>
    <definedName name="TextRefCopy246" localSheetId="7">#REF!</definedName>
    <definedName name="TextRefCopy246">#REF!</definedName>
    <definedName name="TextRefCopy247" localSheetId="11">#REF!</definedName>
    <definedName name="TextRefCopy247" localSheetId="9">#REF!</definedName>
    <definedName name="TextRefCopy247" localSheetId="7">#REF!</definedName>
    <definedName name="TextRefCopy247">#REF!</definedName>
    <definedName name="TextRefCopy248" localSheetId="11">#REF!</definedName>
    <definedName name="TextRefCopy248" localSheetId="9">#REF!</definedName>
    <definedName name="TextRefCopy248" localSheetId="7">#REF!</definedName>
    <definedName name="TextRefCopy248">#REF!</definedName>
    <definedName name="TextRefCopy25" localSheetId="11">#REF!</definedName>
    <definedName name="TextRefCopy25" localSheetId="9">#REF!</definedName>
    <definedName name="TextRefCopy25" localSheetId="7">#REF!</definedName>
    <definedName name="TextRefCopy25">#REF!</definedName>
    <definedName name="TextRefCopy250" localSheetId="11">#REF!</definedName>
    <definedName name="TextRefCopy250" localSheetId="9">#REF!</definedName>
    <definedName name="TextRefCopy250" localSheetId="7">#REF!</definedName>
    <definedName name="TextRefCopy250">#REF!</definedName>
    <definedName name="TextRefCopy251" localSheetId="11">#REF!</definedName>
    <definedName name="TextRefCopy251" localSheetId="9">#REF!</definedName>
    <definedName name="TextRefCopy251" localSheetId="7">#REF!</definedName>
    <definedName name="TextRefCopy251">#REF!</definedName>
    <definedName name="TextRefCopy252" localSheetId="11">#REF!</definedName>
    <definedName name="TextRefCopy252" localSheetId="9">#REF!</definedName>
    <definedName name="TextRefCopy252" localSheetId="7">#REF!</definedName>
    <definedName name="TextRefCopy252">#REF!</definedName>
    <definedName name="TextRefCopy254" localSheetId="11">#REF!</definedName>
    <definedName name="TextRefCopy254" localSheetId="9">#REF!</definedName>
    <definedName name="TextRefCopy254" localSheetId="7">#REF!</definedName>
    <definedName name="TextRefCopy254">#REF!</definedName>
    <definedName name="TextRefCopy255" localSheetId="11">#REF!</definedName>
    <definedName name="TextRefCopy255" localSheetId="9">#REF!</definedName>
    <definedName name="TextRefCopy255" localSheetId="7">#REF!</definedName>
    <definedName name="TextRefCopy255">#REF!</definedName>
    <definedName name="TextRefCopy256" localSheetId="11">#REF!</definedName>
    <definedName name="TextRefCopy256" localSheetId="9">#REF!</definedName>
    <definedName name="TextRefCopy256" localSheetId="7">#REF!</definedName>
    <definedName name="TextRefCopy256">#REF!</definedName>
    <definedName name="TextRefCopy257">'[48]Fixed Assets'!$F$10</definedName>
    <definedName name="TextRefCopy259" localSheetId="11">#REF!</definedName>
    <definedName name="TextRefCopy259" localSheetId="4">#REF!</definedName>
    <definedName name="TextRefCopy259" localSheetId="9">#REF!</definedName>
    <definedName name="TextRefCopy259" localSheetId="7">#REF!</definedName>
    <definedName name="TextRefCopy259">#REF!</definedName>
    <definedName name="TextRefCopy26">'[49]Lead Sheet'!$I$30</definedName>
    <definedName name="TextRefCopy260" localSheetId="11">#REF!</definedName>
    <definedName name="TextRefCopy260" localSheetId="4">#REF!</definedName>
    <definedName name="TextRefCopy260" localSheetId="9">#REF!</definedName>
    <definedName name="TextRefCopy260" localSheetId="7">#REF!</definedName>
    <definedName name="TextRefCopy260">#REF!</definedName>
    <definedName name="TextRefCopy261">'[48]Fixed Assets'!$G$10</definedName>
    <definedName name="TextRefCopy262" localSheetId="11">#REF!</definedName>
    <definedName name="TextRefCopy262" localSheetId="4">#REF!</definedName>
    <definedName name="TextRefCopy262" localSheetId="9">#REF!</definedName>
    <definedName name="TextRefCopy262" localSheetId="7">#REF!</definedName>
    <definedName name="TextRefCopy262">#REF!</definedName>
    <definedName name="TextRefCopy263">'[48]Fixed Assets'!$F$18</definedName>
    <definedName name="TextRefCopy264">'[48]Fixed Assets'!$F$9</definedName>
    <definedName name="TextRefCopy265" localSheetId="11">#REF!</definedName>
    <definedName name="TextRefCopy265" localSheetId="4">#REF!</definedName>
    <definedName name="TextRefCopy265" localSheetId="9">#REF!</definedName>
    <definedName name="TextRefCopy265" localSheetId="7">#REF!</definedName>
    <definedName name="TextRefCopy265">#REF!</definedName>
    <definedName name="TextRefCopy269">'[48]Fixed Assets'!$F$17</definedName>
    <definedName name="TextRefCopy27">'[49]Lead Sheet'!$I$32</definedName>
    <definedName name="TextRefCopy270">'[48]Fixed Assets'!$K$10</definedName>
    <definedName name="TextRefCopy271" localSheetId="11">#REF!</definedName>
    <definedName name="TextRefCopy271" localSheetId="4">#REF!</definedName>
    <definedName name="TextRefCopy271" localSheetId="9">#REF!</definedName>
    <definedName name="TextRefCopy271" localSheetId="7">#REF!</definedName>
    <definedName name="TextRefCopy271">#REF!</definedName>
    <definedName name="TextRefCopy272" localSheetId="11">#REF!</definedName>
    <definedName name="TextRefCopy272" localSheetId="4">#REF!</definedName>
    <definedName name="TextRefCopy272" localSheetId="9">#REF!</definedName>
    <definedName name="TextRefCopy272" localSheetId="7">#REF!</definedName>
    <definedName name="TextRefCopy272">#REF!</definedName>
    <definedName name="TextRefCopy273" localSheetId="11">#REF!</definedName>
    <definedName name="TextRefCopy273" localSheetId="4">#REF!</definedName>
    <definedName name="TextRefCopy273" localSheetId="9">#REF!</definedName>
    <definedName name="TextRefCopy273" localSheetId="7">#REF!</definedName>
    <definedName name="TextRefCopy273">#REF!</definedName>
    <definedName name="TextRefCopy275" localSheetId="11">#REF!</definedName>
    <definedName name="TextRefCopy275" localSheetId="9">#REF!</definedName>
    <definedName name="TextRefCopy275" localSheetId="7">#REF!</definedName>
    <definedName name="TextRefCopy275">#REF!</definedName>
    <definedName name="TextRefCopy277" localSheetId="11">#REF!</definedName>
    <definedName name="TextRefCopy277" localSheetId="9">#REF!</definedName>
    <definedName name="TextRefCopy277" localSheetId="7">#REF!</definedName>
    <definedName name="TextRefCopy277">#REF!</definedName>
    <definedName name="TextRefCopy278" localSheetId="11">#REF!</definedName>
    <definedName name="TextRefCopy278" localSheetId="9">#REF!</definedName>
    <definedName name="TextRefCopy278" localSheetId="7">#REF!</definedName>
    <definedName name="TextRefCopy278">#REF!</definedName>
    <definedName name="TextRefCopy279" localSheetId="11">#REF!</definedName>
    <definedName name="TextRefCopy279" localSheetId="9">#REF!</definedName>
    <definedName name="TextRefCopy279" localSheetId="7">#REF!</definedName>
    <definedName name="TextRefCopy279">#REF!</definedName>
    <definedName name="TextRefCopy28" localSheetId="11">#REF!</definedName>
    <definedName name="TextRefCopy28" localSheetId="9">#REF!</definedName>
    <definedName name="TextRefCopy28" localSheetId="7">#REF!</definedName>
    <definedName name="TextRefCopy28">#REF!</definedName>
    <definedName name="TextRefCopy280" localSheetId="11">#REF!</definedName>
    <definedName name="TextRefCopy280" localSheetId="9">#REF!</definedName>
    <definedName name="TextRefCopy280" localSheetId="7">#REF!</definedName>
    <definedName name="TextRefCopy280">#REF!</definedName>
    <definedName name="TextRefCopy281" localSheetId="11">#REF!</definedName>
    <definedName name="TextRefCopy281" localSheetId="9">#REF!</definedName>
    <definedName name="TextRefCopy281" localSheetId="7">#REF!</definedName>
    <definedName name="TextRefCopy281">#REF!</definedName>
    <definedName name="TextRefCopy282" localSheetId="11">#REF!</definedName>
    <definedName name="TextRefCopy282" localSheetId="9">#REF!</definedName>
    <definedName name="TextRefCopy282" localSheetId="7">#REF!</definedName>
    <definedName name="TextRefCopy282">#REF!</definedName>
    <definedName name="TextRefCopy283" localSheetId="11">#REF!</definedName>
    <definedName name="TextRefCopy283" localSheetId="9">#REF!</definedName>
    <definedName name="TextRefCopy283" localSheetId="7">#REF!</definedName>
    <definedName name="TextRefCopy283">#REF!</definedName>
    <definedName name="TextRefCopy284" localSheetId="11">#REF!</definedName>
    <definedName name="TextRefCopy284" localSheetId="9">#REF!</definedName>
    <definedName name="TextRefCopy284" localSheetId="7">#REF!</definedName>
    <definedName name="TextRefCopy284">#REF!</definedName>
    <definedName name="TextRefCopy285" localSheetId="11">#REF!</definedName>
    <definedName name="TextRefCopy285" localSheetId="9">#REF!</definedName>
    <definedName name="TextRefCopy285" localSheetId="7">#REF!</definedName>
    <definedName name="TextRefCopy285">#REF!</definedName>
    <definedName name="TextRefCopy287" localSheetId="11">#REF!</definedName>
    <definedName name="TextRefCopy287" localSheetId="9">#REF!</definedName>
    <definedName name="TextRefCopy287" localSheetId="7">#REF!</definedName>
    <definedName name="TextRefCopy287">#REF!</definedName>
    <definedName name="TextRefCopy29" localSheetId="11">#REF!</definedName>
    <definedName name="TextRefCopy29" localSheetId="9">#REF!</definedName>
    <definedName name="TextRefCopy29" localSheetId="7">#REF!</definedName>
    <definedName name="TextRefCopy29">#REF!</definedName>
    <definedName name="TextRefCopy290" localSheetId="11">#REF!</definedName>
    <definedName name="TextRefCopy290" localSheetId="9">#REF!</definedName>
    <definedName name="TextRefCopy290" localSheetId="7">#REF!</definedName>
    <definedName name="TextRefCopy290">#REF!</definedName>
    <definedName name="TextRefCopy291" localSheetId="11">#REF!</definedName>
    <definedName name="TextRefCopy291" localSheetId="9">#REF!</definedName>
    <definedName name="TextRefCopy291" localSheetId="7">#REF!</definedName>
    <definedName name="TextRefCopy291">#REF!</definedName>
    <definedName name="TextRefCopy292">[50]VALUATION!$C$80</definedName>
    <definedName name="TextRefCopy293" localSheetId="11">#REF!</definedName>
    <definedName name="TextRefCopy293" localSheetId="4">#REF!</definedName>
    <definedName name="TextRefCopy293" localSheetId="9">#REF!</definedName>
    <definedName name="TextRefCopy293" localSheetId="7">#REF!</definedName>
    <definedName name="TextRefCopy293">#REF!</definedName>
    <definedName name="TextRefCopy294" localSheetId="11">#REF!</definedName>
    <definedName name="TextRefCopy294" localSheetId="4">#REF!</definedName>
    <definedName name="TextRefCopy294" localSheetId="9">#REF!</definedName>
    <definedName name="TextRefCopy294" localSheetId="7">#REF!</definedName>
    <definedName name="TextRefCopy294">#REF!</definedName>
    <definedName name="TextRefCopy295" localSheetId="11">#REF!</definedName>
    <definedName name="TextRefCopy295" localSheetId="4">#REF!</definedName>
    <definedName name="TextRefCopy295" localSheetId="9">#REF!</definedName>
    <definedName name="TextRefCopy295" localSheetId="7">#REF!</definedName>
    <definedName name="TextRefCopy295">#REF!</definedName>
    <definedName name="TextRefCopy296" localSheetId="11">#REF!</definedName>
    <definedName name="TextRefCopy296" localSheetId="9">#REF!</definedName>
    <definedName name="TextRefCopy296" localSheetId="7">#REF!</definedName>
    <definedName name="TextRefCopy296">#REF!</definedName>
    <definedName name="TextRefCopy299" localSheetId="11">#REF!</definedName>
    <definedName name="TextRefCopy299" localSheetId="9">#REF!</definedName>
    <definedName name="TextRefCopy299" localSheetId="7">#REF!</definedName>
    <definedName name="TextRefCopy299">#REF!</definedName>
    <definedName name="TextRefCopy3">[51]Sheet1!$E$15</definedName>
    <definedName name="TextRefCopy30" localSheetId="11">#REF!</definedName>
    <definedName name="TextRefCopy30" localSheetId="4">#REF!</definedName>
    <definedName name="TextRefCopy30" localSheetId="9">#REF!</definedName>
    <definedName name="TextRefCopy30" localSheetId="7">#REF!</definedName>
    <definedName name="TextRefCopy30">#REF!</definedName>
    <definedName name="TextRefCopy300" localSheetId="11">#REF!</definedName>
    <definedName name="TextRefCopy300" localSheetId="4">#REF!</definedName>
    <definedName name="TextRefCopy300" localSheetId="9">#REF!</definedName>
    <definedName name="TextRefCopy300" localSheetId="7">#REF!</definedName>
    <definedName name="TextRefCopy300">#REF!</definedName>
    <definedName name="TextRefCopy301" localSheetId="11">#REF!</definedName>
    <definedName name="TextRefCopy301" localSheetId="4">#REF!</definedName>
    <definedName name="TextRefCopy301" localSheetId="9">#REF!</definedName>
    <definedName name="TextRefCopy301" localSheetId="7">#REF!</definedName>
    <definedName name="TextRefCopy301">#REF!</definedName>
    <definedName name="TextRefCopy303" localSheetId="11">#REF!</definedName>
    <definedName name="TextRefCopy303" localSheetId="9">#REF!</definedName>
    <definedName name="TextRefCopy303" localSheetId="7">#REF!</definedName>
    <definedName name="TextRefCopy303">#REF!</definedName>
    <definedName name="TextRefCopy304" localSheetId="11">#REF!</definedName>
    <definedName name="TextRefCopy304" localSheetId="9">#REF!</definedName>
    <definedName name="TextRefCopy304" localSheetId="7">#REF!</definedName>
    <definedName name="TextRefCopy304">#REF!</definedName>
    <definedName name="TextRefCopy305" localSheetId="11">#REF!</definedName>
    <definedName name="TextRefCopy305" localSheetId="9">#REF!</definedName>
    <definedName name="TextRefCopy305" localSheetId="7">#REF!</definedName>
    <definedName name="TextRefCopy305">#REF!</definedName>
    <definedName name="TextRefCopy306" localSheetId="11">#REF!</definedName>
    <definedName name="TextRefCopy306" localSheetId="9">#REF!</definedName>
    <definedName name="TextRefCopy306" localSheetId="7">#REF!</definedName>
    <definedName name="TextRefCopy306">#REF!</definedName>
    <definedName name="TextRefCopy307" localSheetId="11">#REF!</definedName>
    <definedName name="TextRefCopy307" localSheetId="9">#REF!</definedName>
    <definedName name="TextRefCopy307" localSheetId="7">#REF!</definedName>
    <definedName name="TextRefCopy307">#REF!</definedName>
    <definedName name="TextRefCopy31" localSheetId="11">#REF!</definedName>
    <definedName name="TextRefCopy31" localSheetId="9">#REF!</definedName>
    <definedName name="TextRefCopy31" localSheetId="7">#REF!</definedName>
    <definedName name="TextRefCopy31">#REF!</definedName>
    <definedName name="TextRefCopy312" localSheetId="11">'[50]Raw material '!#REF!</definedName>
    <definedName name="TextRefCopy312" localSheetId="4">'[50]Raw material '!#REF!</definedName>
    <definedName name="TextRefCopy312" localSheetId="9">'[50]Raw material '!#REF!</definedName>
    <definedName name="TextRefCopy312" localSheetId="7">'[50]Raw material '!#REF!</definedName>
    <definedName name="TextRefCopy312">'[50]Raw material '!#REF!</definedName>
    <definedName name="TextRefCopy313" localSheetId="11">'[50]Raw material '!#REF!</definedName>
    <definedName name="TextRefCopy313" localSheetId="4">'[50]Raw material '!#REF!</definedName>
    <definedName name="TextRefCopy313" localSheetId="9">'[50]Raw material '!#REF!</definedName>
    <definedName name="TextRefCopy313" localSheetId="7">'[50]Raw material '!#REF!</definedName>
    <definedName name="TextRefCopy313">'[50]Raw material '!#REF!</definedName>
    <definedName name="TextRefCopy316" localSheetId="11">'[50]Raw material '!#REF!</definedName>
    <definedName name="TextRefCopy316" localSheetId="4">'[50]Raw material '!#REF!</definedName>
    <definedName name="TextRefCopy316" localSheetId="9">'[50]Raw material '!#REF!</definedName>
    <definedName name="TextRefCopy316" localSheetId="7">'[50]Raw material '!#REF!</definedName>
    <definedName name="TextRefCopy316">'[50]Raw material '!#REF!</definedName>
    <definedName name="TextRefCopy32" localSheetId="11">#REF!</definedName>
    <definedName name="TextRefCopy32" localSheetId="4">#REF!</definedName>
    <definedName name="TextRefCopy32" localSheetId="9">#REF!</definedName>
    <definedName name="TextRefCopy32" localSheetId="7">#REF!</definedName>
    <definedName name="TextRefCopy32">#REF!</definedName>
    <definedName name="TextRefCopy320" localSheetId="11">'[50]Raw material '!#REF!</definedName>
    <definedName name="TextRefCopy320" localSheetId="4">'[50]Raw material '!#REF!</definedName>
    <definedName name="TextRefCopy320" localSheetId="9">'[50]Raw material '!#REF!</definedName>
    <definedName name="TextRefCopy320" localSheetId="7">'[50]Raw material '!#REF!</definedName>
    <definedName name="TextRefCopy320">'[50]Raw material '!#REF!</definedName>
    <definedName name="TextRefCopy321" localSheetId="11">'[50]Raw material '!#REF!</definedName>
    <definedName name="TextRefCopy321" localSheetId="4">'[50]Raw material '!#REF!</definedName>
    <definedName name="TextRefCopy321" localSheetId="9">'[50]Raw material '!#REF!</definedName>
    <definedName name="TextRefCopy321" localSheetId="7">'[50]Raw material '!#REF!</definedName>
    <definedName name="TextRefCopy321">'[50]Raw material '!#REF!</definedName>
    <definedName name="TextRefCopy322" localSheetId="11">'[50]Raw material '!#REF!</definedName>
    <definedName name="TextRefCopy322" localSheetId="4">'[50]Raw material '!#REF!</definedName>
    <definedName name="TextRefCopy322" localSheetId="9">'[50]Raw material '!#REF!</definedName>
    <definedName name="TextRefCopy322" localSheetId="7">'[50]Raw material '!#REF!</definedName>
    <definedName name="TextRefCopy322">'[50]Raw material '!#REF!</definedName>
    <definedName name="TextRefCopy326" localSheetId="11">'[50]Raw material '!#REF!</definedName>
    <definedName name="TextRefCopy326" localSheetId="9">'[50]Raw material '!#REF!</definedName>
    <definedName name="TextRefCopy326" localSheetId="7">'[50]Raw material '!#REF!</definedName>
    <definedName name="TextRefCopy326">'[50]Raw material '!#REF!</definedName>
    <definedName name="TextRefCopy33" localSheetId="11">#REF!</definedName>
    <definedName name="TextRefCopy33" localSheetId="4">#REF!</definedName>
    <definedName name="TextRefCopy33" localSheetId="9">#REF!</definedName>
    <definedName name="TextRefCopy33" localSheetId="7">#REF!</definedName>
    <definedName name="TextRefCopy33">#REF!</definedName>
    <definedName name="TextRefCopy34" localSheetId="11">#REF!</definedName>
    <definedName name="TextRefCopy34" localSheetId="4">#REF!</definedName>
    <definedName name="TextRefCopy34" localSheetId="9">#REF!</definedName>
    <definedName name="TextRefCopy34" localSheetId="7">#REF!</definedName>
    <definedName name="TextRefCopy34">#REF!</definedName>
    <definedName name="TextRefCopy35" localSheetId="11">#REF!</definedName>
    <definedName name="TextRefCopy35" localSheetId="4">#REF!</definedName>
    <definedName name="TextRefCopy35" localSheetId="9">#REF!</definedName>
    <definedName name="TextRefCopy35" localSheetId="7">#REF!</definedName>
    <definedName name="TextRefCopy35">#REF!</definedName>
    <definedName name="TextRefCopy36" localSheetId="11">#REF!</definedName>
    <definedName name="TextRefCopy36" localSheetId="9">#REF!</definedName>
    <definedName name="TextRefCopy36" localSheetId="7">#REF!</definedName>
    <definedName name="TextRefCopy36">#REF!</definedName>
    <definedName name="TextRefCopy37" localSheetId="11">#REF!</definedName>
    <definedName name="TextRefCopy37" localSheetId="9">#REF!</definedName>
    <definedName name="TextRefCopy37" localSheetId="7">#REF!</definedName>
    <definedName name="TextRefCopy37">#REF!</definedName>
    <definedName name="TextRefCopy38" localSheetId="11">'[52]Disposals (detail)'!#REF!</definedName>
    <definedName name="TextRefCopy38" localSheetId="4">'[52]Disposals (detail)'!#REF!</definedName>
    <definedName name="TextRefCopy38" localSheetId="9">'[52]Disposals (detail)'!#REF!</definedName>
    <definedName name="TextRefCopy38" localSheetId="7">'[52]Disposals (detail)'!#REF!</definedName>
    <definedName name="TextRefCopy38">'[52]Disposals (detail)'!#REF!</definedName>
    <definedName name="TextRefCopy39" localSheetId="11">#REF!</definedName>
    <definedName name="TextRefCopy39" localSheetId="4">#REF!</definedName>
    <definedName name="TextRefCopy39" localSheetId="9">#REF!</definedName>
    <definedName name="TextRefCopy39" localSheetId="7">#REF!</definedName>
    <definedName name="TextRefCopy39">#REF!</definedName>
    <definedName name="TextRefCopy4" localSheetId="11">#REF!</definedName>
    <definedName name="TextRefCopy4" localSheetId="4">#REF!</definedName>
    <definedName name="TextRefCopy4" localSheetId="9">#REF!</definedName>
    <definedName name="TextRefCopy4" localSheetId="7">#REF!</definedName>
    <definedName name="TextRefCopy4">#REF!</definedName>
    <definedName name="TextRefCopy40" localSheetId="11">'[52]Disposals (detail)'!#REF!</definedName>
    <definedName name="TextRefCopy40" localSheetId="4">'[52]Disposals (detail)'!#REF!</definedName>
    <definedName name="TextRefCopy40" localSheetId="9">'[52]Disposals (detail)'!#REF!</definedName>
    <definedName name="TextRefCopy40" localSheetId="7">'[52]Disposals (detail)'!#REF!</definedName>
    <definedName name="TextRefCopy40">'[52]Disposals (detail)'!#REF!</definedName>
    <definedName name="TextRefCopy41" localSheetId="11">#REF!</definedName>
    <definedName name="TextRefCopy41" localSheetId="4">#REF!</definedName>
    <definedName name="TextRefCopy41" localSheetId="9">#REF!</definedName>
    <definedName name="TextRefCopy41" localSheetId="7">#REF!</definedName>
    <definedName name="TextRefCopy41">#REF!</definedName>
    <definedName name="TextRefCopy42" localSheetId="11">#REF!</definedName>
    <definedName name="TextRefCopy42" localSheetId="4">#REF!</definedName>
    <definedName name="TextRefCopy42" localSheetId="9">#REF!</definedName>
    <definedName name="TextRefCopy42" localSheetId="7">#REF!</definedName>
    <definedName name="TextRefCopy42">#REF!</definedName>
    <definedName name="TextRefCopy43" localSheetId="11">#REF!</definedName>
    <definedName name="TextRefCopy43" localSheetId="4">#REF!</definedName>
    <definedName name="TextRefCopy43" localSheetId="9">#REF!</definedName>
    <definedName name="TextRefCopy43" localSheetId="7">#REF!</definedName>
    <definedName name="TextRefCopy43">#REF!</definedName>
    <definedName name="TextRefCopy44" localSheetId="11">#REF!</definedName>
    <definedName name="TextRefCopy44" localSheetId="9">#REF!</definedName>
    <definedName name="TextRefCopy44" localSheetId="7">#REF!</definedName>
    <definedName name="TextRefCopy44">#REF!</definedName>
    <definedName name="TextRefCopy45" localSheetId="11">'[52]Disposals (detail)'!#REF!</definedName>
    <definedName name="TextRefCopy45" localSheetId="4">'[52]Disposals (detail)'!#REF!</definedName>
    <definedName name="TextRefCopy45" localSheetId="9">'[52]Disposals (detail)'!#REF!</definedName>
    <definedName name="TextRefCopy45" localSheetId="7">'[52]Disposals (detail)'!#REF!</definedName>
    <definedName name="TextRefCopy45">'[52]Disposals (detail)'!#REF!</definedName>
    <definedName name="TextRefCopy46" localSheetId="11">#REF!</definedName>
    <definedName name="TextRefCopy46" localSheetId="4">#REF!</definedName>
    <definedName name="TextRefCopy46" localSheetId="9">#REF!</definedName>
    <definedName name="TextRefCopy46" localSheetId="7">#REF!</definedName>
    <definedName name="TextRefCopy46">#REF!</definedName>
    <definedName name="TextRefCopy47" localSheetId="11">#REF!</definedName>
    <definedName name="TextRefCopy47" localSheetId="4">#REF!</definedName>
    <definedName name="TextRefCopy47" localSheetId="9">#REF!</definedName>
    <definedName name="TextRefCopy47" localSheetId="7">#REF!</definedName>
    <definedName name="TextRefCopy47">#REF!</definedName>
    <definedName name="TextRefCopy48" localSheetId="11">#REF!</definedName>
    <definedName name="TextRefCopy48" localSheetId="4">#REF!</definedName>
    <definedName name="TextRefCopy48" localSheetId="9">#REF!</definedName>
    <definedName name="TextRefCopy48" localSheetId="7">#REF!</definedName>
    <definedName name="TextRefCopy48">#REF!</definedName>
    <definedName name="TextRefCopy49" localSheetId="11">#REF!</definedName>
    <definedName name="TextRefCopy49" localSheetId="9">#REF!</definedName>
    <definedName name="TextRefCopy49" localSheetId="7">#REF!</definedName>
    <definedName name="TextRefCopy49">#REF!</definedName>
    <definedName name="TextRefCopy5" localSheetId="11">#REF!</definedName>
    <definedName name="TextRefCopy5" localSheetId="9">#REF!</definedName>
    <definedName name="TextRefCopy5" localSheetId="7">#REF!</definedName>
    <definedName name="TextRefCopy5">#REF!</definedName>
    <definedName name="TextRefCopy50" localSheetId="11">#REF!</definedName>
    <definedName name="TextRefCopy50" localSheetId="9">#REF!</definedName>
    <definedName name="TextRefCopy50" localSheetId="7">#REF!</definedName>
    <definedName name="TextRefCopy50">#REF!</definedName>
    <definedName name="TextRefCopy51" localSheetId="11">#REF!</definedName>
    <definedName name="TextRefCopy51" localSheetId="9">#REF!</definedName>
    <definedName name="TextRefCopy51" localSheetId="7">#REF!</definedName>
    <definedName name="TextRefCopy51">#REF!</definedName>
    <definedName name="TextRefCopy52">'[53]Plant and machinery'!$A$89</definedName>
    <definedName name="TextRefCopy53">'[53]Plant and machinery'!$B$124</definedName>
    <definedName name="TextRefCopy54" localSheetId="11">#REF!</definedName>
    <definedName name="TextRefCopy54" localSheetId="4">#REF!</definedName>
    <definedName name="TextRefCopy54" localSheetId="9">#REF!</definedName>
    <definedName name="TextRefCopy54" localSheetId="7">#REF!</definedName>
    <definedName name="TextRefCopy54">#REF!</definedName>
    <definedName name="TextRefCopy55" localSheetId="11">#REF!</definedName>
    <definedName name="TextRefCopy55" localSheetId="4">#REF!</definedName>
    <definedName name="TextRefCopy55" localSheetId="9">#REF!</definedName>
    <definedName name="TextRefCopy55" localSheetId="7">#REF!</definedName>
    <definedName name="TextRefCopy55">#REF!</definedName>
    <definedName name="TextRefCopy56" localSheetId="11">#REF!</definedName>
    <definedName name="TextRefCopy56" localSheetId="4">#REF!</definedName>
    <definedName name="TextRefCopy56" localSheetId="9">#REF!</definedName>
    <definedName name="TextRefCopy56" localSheetId="7">#REF!</definedName>
    <definedName name="TextRefCopy56">#REF!</definedName>
    <definedName name="TextRefCopy57" localSheetId="11">#REF!</definedName>
    <definedName name="TextRefCopy57" localSheetId="9">#REF!</definedName>
    <definedName name="TextRefCopy57" localSheetId="7">#REF!</definedName>
    <definedName name="TextRefCopy57">#REF!</definedName>
    <definedName name="TextRefCopy58" localSheetId="11">#REF!</definedName>
    <definedName name="TextRefCopy58" localSheetId="9">#REF!</definedName>
    <definedName name="TextRefCopy58" localSheetId="7">#REF!</definedName>
    <definedName name="TextRefCopy58">#REF!</definedName>
    <definedName name="TextRefCopy59" localSheetId="11">#REF!</definedName>
    <definedName name="TextRefCopy59" localSheetId="9">#REF!</definedName>
    <definedName name="TextRefCopy59" localSheetId="7">#REF!</definedName>
    <definedName name="TextRefCopy59">#REF!</definedName>
    <definedName name="TextRefCopy6" localSheetId="11">#REF!</definedName>
    <definedName name="TextRefCopy6" localSheetId="9">#REF!</definedName>
    <definedName name="TextRefCopy6" localSheetId="7">#REF!</definedName>
    <definedName name="TextRefCopy6">#REF!</definedName>
    <definedName name="TextRefCopy60" localSheetId="11">#REF!</definedName>
    <definedName name="TextRefCopy60" localSheetId="9">#REF!</definedName>
    <definedName name="TextRefCopy60" localSheetId="7">#REF!</definedName>
    <definedName name="TextRefCopy60">#REF!</definedName>
    <definedName name="TextRefCopy61" localSheetId="11">#REF!</definedName>
    <definedName name="TextRefCopy61" localSheetId="9">#REF!</definedName>
    <definedName name="TextRefCopy61" localSheetId="7">#REF!</definedName>
    <definedName name="TextRefCopy61">#REF!</definedName>
    <definedName name="TextRefCopy62" localSheetId="11">#REF!</definedName>
    <definedName name="TextRefCopy62" localSheetId="9">#REF!</definedName>
    <definedName name="TextRefCopy63" localSheetId="11">#REF!</definedName>
    <definedName name="TextRefCopy63" localSheetId="9">#REF!</definedName>
    <definedName name="TextRefCopy63" localSheetId="7">#REF!</definedName>
    <definedName name="TextRefCopy63">#REF!</definedName>
    <definedName name="TextRefCopy64" localSheetId="11">#REF!</definedName>
    <definedName name="TextRefCopy64" localSheetId="9">#REF!</definedName>
    <definedName name="TextRefCopy64" localSheetId="7">#REF!</definedName>
    <definedName name="TextRefCopy64">#REF!</definedName>
    <definedName name="TextRefCopy65" localSheetId="11">#REF!</definedName>
    <definedName name="TextRefCopy65" localSheetId="9">#REF!</definedName>
    <definedName name="TextRefCopy65" localSheetId="7">#REF!</definedName>
    <definedName name="TextRefCopy65">#REF!</definedName>
    <definedName name="TextRefCopy66" localSheetId="11">#REF!</definedName>
    <definedName name="TextRefCopy66" localSheetId="9">#REF!</definedName>
    <definedName name="TextRefCopy66" localSheetId="7">#REF!</definedName>
    <definedName name="TextRefCopy66">#REF!</definedName>
    <definedName name="TextRefCopy67" localSheetId="11">#REF!</definedName>
    <definedName name="TextRefCopy67" localSheetId="9">#REF!</definedName>
    <definedName name="TextRefCopy67" localSheetId="7">#REF!</definedName>
    <definedName name="TextRefCopy67">#REF!</definedName>
    <definedName name="TextRefCopy68" localSheetId="11">#REF!</definedName>
    <definedName name="TextRefCopy68" localSheetId="9">#REF!</definedName>
    <definedName name="TextRefCopy68" localSheetId="7">#REF!</definedName>
    <definedName name="TextRefCopy68">#REF!</definedName>
    <definedName name="TextRefCopy69" localSheetId="11">#REF!</definedName>
    <definedName name="TextRefCopy69" localSheetId="9">#REF!</definedName>
    <definedName name="TextRefCopy69" localSheetId="7">#REF!</definedName>
    <definedName name="TextRefCopy69">#REF!</definedName>
    <definedName name="TextRefCopy7" localSheetId="11">#REF!</definedName>
    <definedName name="TextRefCopy7" localSheetId="9">#REF!</definedName>
    <definedName name="TextRefCopy7" localSheetId="7">#REF!</definedName>
    <definedName name="TextRefCopy7">#REF!</definedName>
    <definedName name="TextRefCopy70" localSheetId="11">#REF!</definedName>
    <definedName name="TextRefCopy70" localSheetId="9">#REF!</definedName>
    <definedName name="TextRefCopy70" localSheetId="7">#REF!</definedName>
    <definedName name="TextRefCopy70">#REF!</definedName>
    <definedName name="TextRefCopy71" localSheetId="11">#REF!</definedName>
    <definedName name="TextRefCopy71" localSheetId="9">#REF!</definedName>
    <definedName name="TextRefCopy71" localSheetId="7">#REF!</definedName>
    <definedName name="TextRefCopy71">#REF!</definedName>
    <definedName name="TextRefCopy72" localSheetId="11">#REF!</definedName>
    <definedName name="TextRefCopy72" localSheetId="9">#REF!</definedName>
    <definedName name="TextRefCopy72" localSheetId="7">#REF!</definedName>
    <definedName name="TextRefCopy72">#REF!</definedName>
    <definedName name="TextRefCopy73" localSheetId="11">#REF!</definedName>
    <definedName name="TextRefCopy73" localSheetId="9">#REF!</definedName>
    <definedName name="TextRefCopy73" localSheetId="7">#REF!</definedName>
    <definedName name="TextRefCopy73">#REF!</definedName>
    <definedName name="TextRefCopy74" localSheetId="11">#REF!</definedName>
    <definedName name="TextRefCopy74" localSheetId="9">#REF!</definedName>
    <definedName name="TextRefCopy74" localSheetId="7">#REF!</definedName>
    <definedName name="TextRefCopy74">#REF!</definedName>
    <definedName name="TextRefCopy75" localSheetId="11">#REF!</definedName>
    <definedName name="TextRefCopy75" localSheetId="9">#REF!</definedName>
    <definedName name="TextRefCopy75" localSheetId="7">#REF!</definedName>
    <definedName name="TextRefCopy75">#REF!</definedName>
    <definedName name="TextRefCopy76" localSheetId="11">#REF!</definedName>
    <definedName name="TextRefCopy76" localSheetId="9">#REF!</definedName>
    <definedName name="TextRefCopy76" localSheetId="7">#REF!</definedName>
    <definedName name="TextRefCopy76">#REF!</definedName>
    <definedName name="TextRefCopy77" localSheetId="11">#REF!</definedName>
    <definedName name="TextRefCopy77" localSheetId="9">#REF!</definedName>
    <definedName name="TextRefCopy77" localSheetId="7">#REF!</definedName>
    <definedName name="TextRefCopy77">#REF!</definedName>
    <definedName name="TextRefCopy78" localSheetId="11">#REF!</definedName>
    <definedName name="TextRefCopy78" localSheetId="9">#REF!</definedName>
    <definedName name="TextRefCopy78" localSheetId="7">#REF!</definedName>
    <definedName name="TextRefCopy78">#REF!</definedName>
    <definedName name="TextRefCopy79" localSheetId="11">#REF!</definedName>
    <definedName name="TextRefCopy79" localSheetId="9">#REF!</definedName>
    <definedName name="TextRefCopy79" localSheetId="7">#REF!</definedName>
    <definedName name="TextRefCopy79">#REF!</definedName>
    <definedName name="TextRefCopy8" localSheetId="11">#REF!</definedName>
    <definedName name="TextRefCopy8" localSheetId="9">#REF!</definedName>
    <definedName name="TextRefCopy8" localSheetId="7">#REF!</definedName>
    <definedName name="TextRefCopy8">#REF!</definedName>
    <definedName name="TextRefCopy80" localSheetId="11">#REF!</definedName>
    <definedName name="TextRefCopy80" localSheetId="9">#REF!</definedName>
    <definedName name="TextRefCopy80" localSheetId="7">#REF!</definedName>
    <definedName name="TextRefCopy80">#REF!</definedName>
    <definedName name="TextRefCopy81" localSheetId="11">#REF!</definedName>
    <definedName name="TextRefCopy81" localSheetId="9">#REF!</definedName>
    <definedName name="TextRefCopy81" localSheetId="7">#REF!</definedName>
    <definedName name="TextRefCopy81">#REF!</definedName>
    <definedName name="TextRefCopy82" localSheetId="11">'[43]Plant &amp; Mach Imp'!#REF!</definedName>
    <definedName name="TextRefCopy82" localSheetId="4">'[43]Plant &amp; Mach Imp'!#REF!</definedName>
    <definedName name="TextRefCopy82" localSheetId="9">'[43]Plant &amp; Mach Imp'!#REF!</definedName>
    <definedName name="TextRefCopy82" localSheetId="7">'[43]Plant &amp; Mach Imp'!#REF!</definedName>
    <definedName name="TextRefCopy82">'[43]Plant &amp; Mach Imp'!#REF!</definedName>
    <definedName name="TextRefCopy83" localSheetId="11">#REF!</definedName>
    <definedName name="TextRefCopy83" localSheetId="4">#REF!</definedName>
    <definedName name="TextRefCopy83" localSheetId="9">#REF!</definedName>
    <definedName name="TextRefCopy83" localSheetId="7">#REF!</definedName>
    <definedName name="TextRefCopy83">#REF!</definedName>
    <definedName name="TextRefCopy84" localSheetId="11">#REF!</definedName>
    <definedName name="TextRefCopy84" localSheetId="4">#REF!</definedName>
    <definedName name="TextRefCopy84" localSheetId="9">#REF!</definedName>
    <definedName name="TextRefCopy84" localSheetId="7">#REF!</definedName>
    <definedName name="TextRefCopy84">#REF!</definedName>
    <definedName name="TextRefCopy85" localSheetId="11">[43]Vehicles!#REF!</definedName>
    <definedName name="TextRefCopy85" localSheetId="4">[43]Vehicles!#REF!</definedName>
    <definedName name="TextRefCopy85" localSheetId="9">[43]Vehicles!#REF!</definedName>
    <definedName name="TextRefCopy85" localSheetId="7">[43]Vehicles!#REF!</definedName>
    <definedName name="TextRefCopy85">[43]Vehicles!#REF!</definedName>
    <definedName name="TextRefCopy86" localSheetId="11">#REF!</definedName>
    <definedName name="TextRefCopy86" localSheetId="4">#REF!</definedName>
    <definedName name="TextRefCopy86" localSheetId="9">#REF!</definedName>
    <definedName name="TextRefCopy86" localSheetId="7">#REF!</definedName>
    <definedName name="TextRefCopy86">#REF!</definedName>
    <definedName name="TextRefCopy87" localSheetId="11">'[43]Office Equipment'!#REF!</definedName>
    <definedName name="TextRefCopy87" localSheetId="4">'[43]Office Equipment'!#REF!</definedName>
    <definedName name="TextRefCopy87" localSheetId="9">'[43]Office Equipment'!#REF!</definedName>
    <definedName name="TextRefCopy87" localSheetId="7">'[43]Office Equipment'!#REF!</definedName>
    <definedName name="TextRefCopy87">'[43]Office Equipment'!#REF!</definedName>
    <definedName name="TextRefCopy88" localSheetId="11">#REF!</definedName>
    <definedName name="TextRefCopy88" localSheetId="4">#REF!</definedName>
    <definedName name="TextRefCopy88" localSheetId="9">#REF!</definedName>
    <definedName name="TextRefCopy88" localSheetId="7">#REF!</definedName>
    <definedName name="TextRefCopy88">#REF!</definedName>
    <definedName name="TextRefCopy89" localSheetId="11">'[43]Furniture &amp; Fixture'!#REF!</definedName>
    <definedName name="TextRefCopy89" localSheetId="4">'[43]Furniture &amp; Fixture'!#REF!</definedName>
    <definedName name="TextRefCopy89" localSheetId="9">'[43]Furniture &amp; Fixture'!#REF!</definedName>
    <definedName name="TextRefCopy89" localSheetId="7">'[43]Furniture &amp; Fixture'!#REF!</definedName>
    <definedName name="TextRefCopy89">'[43]Furniture &amp; Fixture'!#REF!</definedName>
    <definedName name="TextRefCopy9" localSheetId="11">#REF!</definedName>
    <definedName name="TextRefCopy9" localSheetId="4">#REF!</definedName>
    <definedName name="TextRefCopy9" localSheetId="9">#REF!</definedName>
    <definedName name="TextRefCopy9" localSheetId="7">#REF!</definedName>
    <definedName name="TextRefCopy9">#REF!</definedName>
    <definedName name="TextRefCopy90" localSheetId="11">#REF!</definedName>
    <definedName name="TextRefCopy90" localSheetId="4">#REF!</definedName>
    <definedName name="TextRefCopy90" localSheetId="9">#REF!</definedName>
    <definedName name="TextRefCopy90" localSheetId="7">#REF!</definedName>
    <definedName name="TextRefCopy90">#REF!</definedName>
    <definedName name="TextRefCopy91" localSheetId="11">#REF!</definedName>
    <definedName name="TextRefCopy91" localSheetId="4">#REF!</definedName>
    <definedName name="TextRefCopy91" localSheetId="9">#REF!</definedName>
    <definedName name="TextRefCopy91" localSheetId="7">#REF!</definedName>
    <definedName name="TextRefCopy91">#REF!</definedName>
    <definedName name="TextRefCopy92" localSheetId="11">#REF!</definedName>
    <definedName name="TextRefCopy92" localSheetId="9">#REF!</definedName>
    <definedName name="TextRefCopy92" localSheetId="7">#REF!</definedName>
    <definedName name="TextRefCopy92">#REF!</definedName>
    <definedName name="TextRefCopy93" localSheetId="11">#REF!</definedName>
    <definedName name="TextRefCopy93" localSheetId="9">#REF!</definedName>
    <definedName name="TextRefCopy93" localSheetId="7">#REF!</definedName>
    <definedName name="TextRefCopy93">#REF!</definedName>
    <definedName name="TextRefCopy94" localSheetId="11">#REF!</definedName>
    <definedName name="TextRefCopy94" localSheetId="9">#REF!</definedName>
    <definedName name="TextRefCopy94" localSheetId="7">#REF!</definedName>
    <definedName name="TextRefCopy94">#REF!</definedName>
    <definedName name="TextRefCopy95" localSheetId="11">#REF!</definedName>
    <definedName name="TextRefCopy95" localSheetId="9">#REF!</definedName>
    <definedName name="TextRefCopy95" localSheetId="7">#REF!</definedName>
    <definedName name="TextRefCopy95">#REF!</definedName>
    <definedName name="TextRefCopy96" localSheetId="11">#REF!</definedName>
    <definedName name="TextRefCopy96" localSheetId="9">#REF!</definedName>
    <definedName name="TextRefCopy96" localSheetId="7">#REF!</definedName>
    <definedName name="TextRefCopy96">#REF!</definedName>
    <definedName name="TextRefCopy97" localSheetId="11">#REF!</definedName>
    <definedName name="TextRefCopy97" localSheetId="9">#REF!</definedName>
    <definedName name="TextRefCopy97" localSheetId="7">#REF!</definedName>
    <definedName name="TextRefCopy97">#REF!</definedName>
    <definedName name="TextRefCopy98" localSheetId="11">#REF!</definedName>
    <definedName name="TextRefCopy98" localSheetId="9">#REF!</definedName>
    <definedName name="TextRefCopy98" localSheetId="7">#REF!</definedName>
    <definedName name="TextRefCopy98">#REF!</definedName>
    <definedName name="TextRefCopy99" localSheetId="11">#REF!</definedName>
    <definedName name="TextRefCopy99" localSheetId="9">#REF!</definedName>
    <definedName name="TextRefCopy99" localSheetId="7">#REF!</definedName>
    <definedName name="TextRefCopy99">#REF!</definedName>
    <definedName name="TextRefCopyRangeCount" hidden="1">3</definedName>
    <definedName name="Tot_knw_Xfoot" localSheetId="11">#REF!</definedName>
    <definedName name="Tot_knw_Xfoot" localSheetId="9">#REF!</definedName>
    <definedName name="Tot_knw_Xfoot" localSheetId="7">#REF!</definedName>
    <definedName name="Tot_knw_Xfoot">#REF!</definedName>
    <definedName name="Tot_lik_Xfoot" localSheetId="11">#REF!</definedName>
    <definedName name="Tot_lik_Xfoot" localSheetId="9">#REF!</definedName>
    <definedName name="Tot_lik_Xfoot" localSheetId="7">#REF!</definedName>
    <definedName name="Tot_lik_Xfoot">#REF!</definedName>
    <definedName name="Total_Amount" localSheetId="11">#REF!</definedName>
    <definedName name="Total_Amount" localSheetId="9">#REF!</definedName>
    <definedName name="Total_Amount" localSheetId="7">#REF!</definedName>
    <definedName name="Total_Amount">#REF!</definedName>
    <definedName name="TRADE_DEBTS" localSheetId="11">#REF!</definedName>
    <definedName name="TRADE_DEBTS" localSheetId="9">#REF!</definedName>
    <definedName name="TRADE_DEBTS" localSheetId="7">#REF!</definedName>
    <definedName name="TRADE_DEBTS">#REF!</definedName>
    <definedName name="Usman" localSheetId="11">#REF!</definedName>
    <definedName name="Usman" localSheetId="9">#REF!</definedName>
    <definedName name="Usman" localSheetId="7">#REF!</definedName>
    <definedName name="Usman">#REF!</definedName>
    <definedName name="UU" localSheetId="11">#REF!</definedName>
    <definedName name="UU" localSheetId="9">#REF!</definedName>
    <definedName name="UU" localSheetId="7">#REF!</definedName>
    <definedName name="UU">#REF!</definedName>
    <definedName name="Values_Entered" localSheetId="4">IF(Loan_Amount*Interest_Rate*Loan_Years*Loan_Start&gt;0,1,0)</definedName>
    <definedName name="Values_Entered">IF(Loan_Amount*Interest_Rate*Loan_Years*Loan_Start&gt;0,1,0)</definedName>
    <definedName name="W.Capital" localSheetId="11">#REF!</definedName>
    <definedName name="W.Capital" localSheetId="4">#REF!</definedName>
    <definedName name="W.Capital" localSheetId="9">#REF!</definedName>
    <definedName name="W.Capital" localSheetId="7">#REF!</definedName>
    <definedName name="W.Capital">#REF!</definedName>
    <definedName name="WASTE1" localSheetId="11">#REF!</definedName>
    <definedName name="WASTE1" localSheetId="4">#REF!</definedName>
    <definedName name="WASTE1" localSheetId="9">#REF!</definedName>
    <definedName name="WASTE1" localSheetId="7">#REF!</definedName>
    <definedName name="WASTE1">#REF!</definedName>
    <definedName name="WEALTH">#N/A</definedName>
    <definedName name="wingdings" localSheetId="11">'[40]Lead Schedule'!#REF!</definedName>
    <definedName name="wingdings" localSheetId="4">'[40]Lead Schedule'!#REF!</definedName>
    <definedName name="wingdings" localSheetId="9">'[40]Lead Schedule'!#REF!</definedName>
    <definedName name="wingdings" localSheetId="7">'[40]Lead Schedule'!#REF!</definedName>
    <definedName name="wingdings">'[40]Lead Schedule'!#REF!</definedName>
    <definedName name="working" localSheetId="4" hidden="1">{"'FF'!$B$57:$B$58"}</definedName>
    <definedName name="working" hidden="1">{"'FF'!$B$57:$B$58"}</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#N/A</definedName>
    <definedName name="XREF_COLUMN_1" localSheetId="11" hidden="1">'[35]Fixed Assets'!#REF!</definedName>
    <definedName name="XREF_COLUMN_1" localSheetId="9" hidden="1">'[35]Fixed Assets'!#REF!</definedName>
    <definedName name="XREF_COLUMN_1" localSheetId="7" hidden="1">'[35]Fixed Assets'!#REF!</definedName>
    <definedName name="XREF_COLUMN_1" hidden="1">'[35]Fixed Assets'!#REF!</definedName>
    <definedName name="XREF_COLUMN_2" localSheetId="11" hidden="1">'[54]Major additions'!#REF!</definedName>
    <definedName name="XREF_COLUMN_2" localSheetId="9" hidden="1">'[54]Major additions'!#REF!</definedName>
    <definedName name="XREF_COLUMN_2" localSheetId="7" hidden="1">'[54]Major additions'!#REF!</definedName>
    <definedName name="XREF_COLUMN_2" hidden="1">'[54]Major additions'!#REF!</definedName>
    <definedName name="XREF_COLUMN_3" localSheetId="11" hidden="1">'[35]Fixed Assets'!#REF!</definedName>
    <definedName name="XREF_COLUMN_3" localSheetId="9" hidden="1">'[35]Fixed Assets'!#REF!</definedName>
    <definedName name="XREF_COLUMN_3" localSheetId="7" hidden="1">'[35]Fixed Assets'!#REF!</definedName>
    <definedName name="XREF_COLUMN_3" hidden="1">'[35]Fixed Assets'!#REF!</definedName>
    <definedName name="XREF_COLUMN_4" localSheetId="11" hidden="1">#REF!</definedName>
    <definedName name="XREF_COLUMN_4" localSheetId="4" hidden="1">#REF!</definedName>
    <definedName name="XREF_COLUMN_4" localSheetId="9" hidden="1">#REF!</definedName>
    <definedName name="XREF_COLUMN_4" localSheetId="7" hidden="1">#REF!</definedName>
    <definedName name="XREF_COLUMN_4" hidden="1">#REF!</definedName>
    <definedName name="XREF_COLUMN_5" localSheetId="11" hidden="1">[35]Notes!#REF!</definedName>
    <definedName name="XREF_COLUMN_5" localSheetId="4" hidden="1">[35]Notes!#REF!</definedName>
    <definedName name="XREF_COLUMN_5" localSheetId="9" hidden="1">[35]Notes!#REF!</definedName>
    <definedName name="XREF_COLUMN_5" localSheetId="7" hidden="1">[35]Notes!#REF!</definedName>
    <definedName name="XREF_COLUMN_5" hidden="1">[35]Notes!#REF!</definedName>
    <definedName name="XREF_COLUMN_6" localSheetId="11" hidden="1">#REF!</definedName>
    <definedName name="XREF_COLUMN_6" localSheetId="4" hidden="1">#REF!</definedName>
    <definedName name="XREF_COLUMN_6" localSheetId="9" hidden="1">#REF!</definedName>
    <definedName name="XREF_COLUMN_6" localSheetId="7" hidden="1">#REF!</definedName>
    <definedName name="XREF_COLUMN_6" hidden="1">#REF!</definedName>
    <definedName name="XRefActiveRow" localSheetId="11" hidden="1">#REF!</definedName>
    <definedName name="XRefActiveRow" localSheetId="4" hidden="1">#REF!</definedName>
    <definedName name="XRefActiveRow" localSheetId="9" hidden="1">#REF!</definedName>
    <definedName name="XRefActiveRow" localSheetId="7" hidden="1">#REF!</definedName>
    <definedName name="XRefActiveRow" hidden="1">#REF!</definedName>
    <definedName name="XRefColumnsCount" hidden="1">1</definedName>
    <definedName name="XRefCopy1" localSheetId="11" hidden="1">#REF!</definedName>
    <definedName name="XRefCopy1" localSheetId="4" hidden="1">#REF!</definedName>
    <definedName name="XRefCopy1" localSheetId="9" hidden="1">#REF!</definedName>
    <definedName name="XRefCopy1" localSheetId="7" hidden="1">#REF!</definedName>
    <definedName name="XRefCopy1" hidden="1">#REF!</definedName>
    <definedName name="XRefCopy1Row" localSheetId="11" hidden="1">#REF!</definedName>
    <definedName name="XRefCopy1Row" localSheetId="4" hidden="1">#REF!</definedName>
    <definedName name="XRefCopy1Row" localSheetId="9" hidden="1">#REF!</definedName>
    <definedName name="XRefCopy1Row" localSheetId="7" hidden="1">#REF!</definedName>
    <definedName name="XRefCopy1Row" hidden="1">#REF!</definedName>
    <definedName name="XRefCopy2" localSheetId="11" hidden="1">#REF!</definedName>
    <definedName name="XRefCopy2" localSheetId="4" hidden="1">#REF!</definedName>
    <definedName name="XRefCopy2" localSheetId="9" hidden="1">#REF!</definedName>
    <definedName name="XRefCopy2" localSheetId="7" hidden="1">#REF!</definedName>
    <definedName name="XRefCopy2" hidden="1">#REF!</definedName>
    <definedName name="XRefCopy2Row" localSheetId="11" hidden="1">#REF!</definedName>
    <definedName name="XRefCopy2Row" localSheetId="9" hidden="1">#REF!</definedName>
    <definedName name="XRefCopy2Row" localSheetId="7" hidden="1">#REF!</definedName>
    <definedName name="XRefCopy2Row" hidden="1">#REF!</definedName>
    <definedName name="XRefCopy3" localSheetId="11" hidden="1">#REF!</definedName>
    <definedName name="XRefCopy3" localSheetId="9" hidden="1">#REF!</definedName>
    <definedName name="XRefCopy3" localSheetId="7" hidden="1">#REF!</definedName>
    <definedName name="XRefCopy3" hidden="1">#REF!</definedName>
    <definedName name="XRefCopyRangeCount" hidden="1">6</definedName>
    <definedName name="XRefPaste1" localSheetId="11" hidden="1">'[54]Major additions'!#REF!</definedName>
    <definedName name="XRefPaste1" localSheetId="4" hidden="1">'[54]Major additions'!#REF!</definedName>
    <definedName name="XRefPaste1" localSheetId="9" hidden="1">'[54]Major additions'!#REF!</definedName>
    <definedName name="XRefPaste1" localSheetId="7" hidden="1">'[54]Major additions'!#REF!</definedName>
    <definedName name="XRefPaste1" hidden="1">'[54]Major additions'!#REF!</definedName>
    <definedName name="XRefPaste1Row" localSheetId="11" hidden="1">#REF!</definedName>
    <definedName name="XRefPaste1Row" localSheetId="4" hidden="1">#REF!</definedName>
    <definedName name="XRefPaste1Row" localSheetId="9" hidden="1">#REF!</definedName>
    <definedName name="XRefPaste1Row" localSheetId="7" hidden="1">#REF!</definedName>
    <definedName name="XRefPaste1Row" hidden="1">#REF!</definedName>
    <definedName name="XRefPaste2" localSheetId="11" hidden="1">#REF!</definedName>
    <definedName name="XRefPaste2" localSheetId="4" hidden="1">#REF!</definedName>
    <definedName name="XRefPaste2" localSheetId="9" hidden="1">#REF!</definedName>
    <definedName name="XRefPaste2" localSheetId="7" hidden="1">#REF!</definedName>
    <definedName name="XRefPaste2" hidden="1">#REF!</definedName>
    <definedName name="XRefPaste2Row" localSheetId="11" hidden="1">#REF!</definedName>
    <definedName name="XRefPaste2Row" localSheetId="4" hidden="1">#REF!</definedName>
    <definedName name="XRefPaste2Row" localSheetId="9" hidden="1">#REF!</definedName>
    <definedName name="XRefPaste2Row" localSheetId="7" hidden="1">#REF!</definedName>
    <definedName name="XRefPaste2Row" hidden="1">#REF!</definedName>
    <definedName name="XRefPaste3" localSheetId="11" hidden="1">#REF!</definedName>
    <definedName name="XRefPaste3" localSheetId="9" hidden="1">#REF!</definedName>
    <definedName name="XRefPaste3" localSheetId="7" hidden="1">#REF!</definedName>
    <definedName name="XRefPaste3" hidden="1">#REF!</definedName>
    <definedName name="XRefPasteRangeCount" hidden="1">3</definedName>
    <definedName name="xxx" localSheetId="4" hidden="1">{"'FF'!$B$57:$B$58"}</definedName>
    <definedName name="xxx" hidden="1">{"'FF'!$B$57:$B$58"}</definedName>
    <definedName name="Y" localSheetId="11">#REF!</definedName>
    <definedName name="Y" localSheetId="4">#REF!</definedName>
    <definedName name="Y" localSheetId="9">#REF!</definedName>
    <definedName name="Y" localSheetId="7">#REF!</definedName>
    <definedName name="Y">#REF!</definedName>
    <definedName name="Yearlydata" localSheetId="11">'Job P&amp;L'!$F$9:$R$50</definedName>
    <definedName name="Yearlydata">SOMCI!$F$9:$R$66</definedName>
    <definedName name="yeild1" localSheetId="11">#REF!</definedName>
    <definedName name="yeild1" localSheetId="4">#REF!</definedName>
    <definedName name="yeild1" localSheetId="7">#REF!</definedName>
    <definedName name="yeild1">#REF!</definedName>
    <definedName name="Z" localSheetId="11">#REF!</definedName>
    <definedName name="Z" localSheetId="4">#REF!</definedName>
    <definedName name="Z" localSheetId="9">#REF!</definedName>
    <definedName name="Z" localSheetId="7">#REF!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2" l="1"/>
  <c r="C22" i="48" l="1"/>
  <c r="A9" i="48" l="1"/>
  <c r="A10" i="48" l="1"/>
  <c r="A11" i="48" s="1"/>
  <c r="A12" i="48" s="1"/>
  <c r="A13" i="48" s="1"/>
  <c r="A14" i="48" s="1"/>
  <c r="A15" i="48" s="1"/>
  <c r="A16" i="48" s="1"/>
  <c r="A17" i="48" s="1"/>
  <c r="A18" i="48" s="1"/>
  <c r="A19" i="48" s="1"/>
  <c r="D13" i="44" l="1"/>
  <c r="D66" i="44" l="1"/>
  <c r="Q40" i="22" l="1"/>
  <c r="R40" i="22" s="1"/>
  <c r="D18" i="44"/>
  <c r="D10" i="44"/>
  <c r="D20" i="44" l="1"/>
  <c r="B35" i="45"/>
  <c r="P55" i="22" l="1"/>
  <c r="P31" i="22"/>
  <c r="P23" i="22"/>
  <c r="P18" i="22"/>
  <c r="P11" i="22"/>
  <c r="F55" i="22"/>
  <c r="G55" i="22"/>
  <c r="H55" i="22"/>
  <c r="I55" i="22"/>
  <c r="J55" i="22"/>
  <c r="K55" i="22"/>
  <c r="L55" i="22"/>
  <c r="M55" i="22"/>
  <c r="N55" i="22"/>
  <c r="O55" i="22"/>
  <c r="F31" i="22"/>
  <c r="G31" i="22"/>
  <c r="H31" i="22"/>
  <c r="I31" i="22"/>
  <c r="J31" i="22"/>
  <c r="K31" i="22"/>
  <c r="L31" i="22"/>
  <c r="M31" i="22"/>
  <c r="N31" i="22"/>
  <c r="O31" i="22"/>
  <c r="F23" i="22"/>
  <c r="G23" i="22"/>
  <c r="H23" i="22"/>
  <c r="I23" i="22"/>
  <c r="J23" i="22"/>
  <c r="K23" i="22"/>
  <c r="L23" i="22"/>
  <c r="M23" i="22"/>
  <c r="N23" i="22"/>
  <c r="O23" i="22"/>
  <c r="F18" i="22"/>
  <c r="G18" i="22"/>
  <c r="H18" i="22"/>
  <c r="I18" i="22"/>
  <c r="J18" i="22"/>
  <c r="K18" i="22"/>
  <c r="L18" i="22"/>
  <c r="M18" i="22"/>
  <c r="N18" i="22"/>
  <c r="O18" i="22"/>
  <c r="F11" i="22"/>
  <c r="G11" i="22"/>
  <c r="H11" i="22"/>
  <c r="I11" i="22"/>
  <c r="J11" i="22"/>
  <c r="K11" i="22"/>
  <c r="L11" i="22"/>
  <c r="M11" i="22"/>
  <c r="N11" i="22"/>
  <c r="O11" i="22"/>
  <c r="O39" i="25"/>
  <c r="B12" i="7"/>
  <c r="Q13" i="22"/>
  <c r="R13" i="22" s="1"/>
  <c r="G22" i="22" l="1"/>
  <c r="O21" i="22"/>
  <c r="L21" i="22"/>
  <c r="N21" i="22"/>
  <c r="M21" i="22"/>
  <c r="O59" i="22"/>
  <c r="O61" i="22" s="1"/>
  <c r="O63" i="22" s="1"/>
  <c r="O65" i="22" s="1"/>
  <c r="I22" i="22"/>
  <c r="H22" i="22"/>
  <c r="J22" i="22"/>
  <c r="F22" i="22"/>
  <c r="I21" i="22"/>
  <c r="H21" i="22"/>
  <c r="K21" i="22"/>
  <c r="J59" i="22"/>
  <c r="J61" i="22" s="1"/>
  <c r="J63" i="22" s="1"/>
  <c r="J65" i="22" s="1"/>
  <c r="G59" i="22"/>
  <c r="G61" i="22" s="1"/>
  <c r="G63" i="22" s="1"/>
  <c r="G65" i="22" s="1"/>
  <c r="N59" i="22"/>
  <c r="N61" i="22" s="1"/>
  <c r="N63" i="22" s="1"/>
  <c r="N65" i="22" s="1"/>
  <c r="P59" i="22"/>
  <c r="P61" i="22" s="1"/>
  <c r="P63" i="22" s="1"/>
  <c r="P65" i="22" s="1"/>
  <c r="P21" i="22"/>
  <c r="M59" i="22"/>
  <c r="M61" i="22" s="1"/>
  <c r="M63" i="22" s="1"/>
  <c r="M65" i="22" s="1"/>
  <c r="L59" i="22"/>
  <c r="L61" i="22" s="1"/>
  <c r="L63" i="22" s="1"/>
  <c r="L65" i="22" s="1"/>
  <c r="J21" i="22"/>
  <c r="I59" i="22"/>
  <c r="I61" i="22" s="1"/>
  <c r="I63" i="22" s="1"/>
  <c r="I65" i="22" s="1"/>
  <c r="G21" i="22"/>
  <c r="H59" i="22"/>
  <c r="H61" i="22" s="1"/>
  <c r="H63" i="22" s="1"/>
  <c r="H65" i="22" s="1"/>
  <c r="K59" i="22"/>
  <c r="K61" i="22" s="1"/>
  <c r="K63" i="22" s="1"/>
  <c r="K65" i="22" s="1"/>
  <c r="F21" i="22"/>
  <c r="F59" i="22"/>
  <c r="F61" i="22" s="1"/>
  <c r="F63" i="22" s="1"/>
  <c r="F65" i="22" s="1"/>
  <c r="P22" i="22"/>
  <c r="O22" i="22"/>
  <c r="M22" i="22"/>
  <c r="L22" i="22"/>
  <c r="N22" i="22"/>
  <c r="K22" i="22"/>
  <c r="B58" i="45" l="1"/>
  <c r="C19" i="48" l="1"/>
  <c r="Q52" i="22" l="1"/>
  <c r="R52" i="22" s="1"/>
  <c r="Q53" i="22"/>
  <c r="Q54" i="22"/>
  <c r="Q32" i="22"/>
  <c r="Q33" i="22"/>
  <c r="Q34" i="22"/>
  <c r="Q35" i="22"/>
  <c r="Q36" i="22"/>
  <c r="Q37" i="22"/>
  <c r="Q38" i="22"/>
  <c r="Q39" i="22"/>
  <c r="Q41" i="22"/>
  <c r="Q42" i="22"/>
  <c r="Q43" i="22"/>
  <c r="Q44" i="22"/>
  <c r="Q45" i="22"/>
  <c r="Q46" i="22"/>
  <c r="Q47" i="22"/>
  <c r="Q48" i="22"/>
  <c r="Q49" i="22"/>
  <c r="Q50" i="22"/>
  <c r="Q51" i="22"/>
  <c r="Q14" i="22"/>
  <c r="Q15" i="22"/>
  <c r="Q16" i="22"/>
  <c r="Q17" i="22"/>
  <c r="Q12" i="22" l="1"/>
  <c r="Q11" i="22" s="1"/>
  <c r="Q20" i="22"/>
  <c r="Q18" i="22" s="1"/>
  <c r="R18" i="22" s="1"/>
  <c r="Q24" i="22"/>
  <c r="Q25" i="22"/>
  <c r="Q27" i="22"/>
  <c r="Q29" i="22"/>
  <c r="Q30" i="22"/>
  <c r="Q21" i="22" l="1"/>
  <c r="H9" i="22"/>
  <c r="I9" i="22" s="1"/>
  <c r="J9" i="22" s="1"/>
  <c r="K9" i="22" s="1"/>
  <c r="L9" i="22" s="1"/>
  <c r="M9" i="22" s="1"/>
  <c r="N9" i="22" s="1"/>
  <c r="O9" i="22" s="1"/>
  <c r="R11" i="22"/>
  <c r="Q26" i="22"/>
  <c r="A3" i="48"/>
  <c r="A2" i="48"/>
  <c r="C20" i="48"/>
  <c r="B20" i="48"/>
  <c r="E18" i="1"/>
  <c r="B13" i="7"/>
  <c r="R50" i="22"/>
  <c r="E35" i="25"/>
  <c r="F35" i="25"/>
  <c r="G35" i="25"/>
  <c r="H35" i="25"/>
  <c r="I35" i="25"/>
  <c r="J35" i="25"/>
  <c r="K35" i="25"/>
  <c r="L35" i="25"/>
  <c r="M35" i="25"/>
  <c r="N35" i="25"/>
  <c r="O35" i="25"/>
  <c r="R14" i="22"/>
  <c r="P37" i="25" l="1"/>
  <c r="P29" i="25"/>
  <c r="Q62" i="22"/>
  <c r="R62" i="22" s="1"/>
  <c r="P33" i="25"/>
  <c r="P32" i="25"/>
  <c r="P31" i="25"/>
  <c r="P30" i="25"/>
  <c r="P46" i="25"/>
  <c r="P45" i="25"/>
  <c r="P44" i="25"/>
  <c r="P43" i="25"/>
  <c r="P41" i="25"/>
  <c r="P40" i="25"/>
  <c r="B85" i="45" l="1"/>
  <c r="P42" i="25"/>
  <c r="P21" i="25"/>
  <c r="P20" i="25"/>
  <c r="P19" i="25"/>
  <c r="P18" i="25"/>
  <c r="P17" i="25"/>
  <c r="P16" i="25"/>
  <c r="P15" i="25"/>
  <c r="B10" i="45"/>
  <c r="B42" i="45" l="1"/>
  <c r="P24" i="25" s="1"/>
  <c r="P22" i="25"/>
  <c r="B43" i="45"/>
  <c r="P23" i="25"/>
  <c r="P12" i="25"/>
  <c r="B81" i="45"/>
  <c r="B92" i="45"/>
  <c r="B93" i="45" l="1"/>
  <c r="B59" i="45"/>
  <c r="C59" i="45" s="1"/>
  <c r="B95" i="45" l="1"/>
  <c r="Q57" i="22"/>
  <c r="R57" i="22" s="1"/>
  <c r="Q58" i="22"/>
  <c r="R58" i="22" s="1"/>
  <c r="B43" i="3" l="1"/>
  <c r="B44" i="3"/>
  <c r="B45" i="3"/>
  <c r="B46" i="3"/>
  <c r="B47" i="3"/>
  <c r="B48" i="3"/>
  <c r="B31" i="3"/>
  <c r="B32" i="3"/>
  <c r="B33" i="3"/>
  <c r="B34" i="3"/>
  <c r="B35" i="3"/>
  <c r="A4" i="47"/>
  <c r="A3" i="47"/>
  <c r="R43" i="22"/>
  <c r="R44" i="22"/>
  <c r="R45" i="22"/>
  <c r="R46" i="22"/>
  <c r="R47" i="22"/>
  <c r="R48" i="22"/>
  <c r="R49" i="22"/>
  <c r="R51" i="22"/>
  <c r="R53" i="22"/>
  <c r="R27" i="22"/>
  <c r="Q28" i="22"/>
  <c r="R28" i="22" s="1"/>
  <c r="R29" i="22"/>
  <c r="R30" i="22"/>
  <c r="B19" i="7"/>
  <c r="E17" i="1"/>
  <c r="E19" i="1"/>
  <c r="E20" i="1"/>
  <c r="E21" i="1"/>
  <c r="E22" i="1"/>
  <c r="E23" i="1"/>
  <c r="E24" i="1"/>
  <c r="E25" i="1"/>
  <c r="E26" i="1"/>
  <c r="E16" i="1"/>
  <c r="G14" i="46"/>
  <c r="G42" i="46" s="1"/>
  <c r="G43" i="46" s="1"/>
  <c r="G19" i="46"/>
  <c r="B42" i="46"/>
  <c r="B43" i="46" s="1"/>
  <c r="B19" i="46"/>
  <c r="J41" i="46"/>
  <c r="J40" i="46"/>
  <c r="J39" i="46"/>
  <c r="J26" i="46"/>
  <c r="J25" i="46"/>
  <c r="H19" i="46"/>
  <c r="I19" i="46" s="1"/>
  <c r="J19" i="46" s="1"/>
  <c r="E41" i="46"/>
  <c r="E26" i="46"/>
  <c r="E25" i="46"/>
  <c r="G11" i="46" l="1"/>
  <c r="E9" i="46"/>
  <c r="D10" i="46"/>
  <c r="D9" i="46"/>
  <c r="A3" i="46" l="1"/>
  <c r="A2" i="46"/>
  <c r="J17" i="46" l="1"/>
  <c r="D15" i="46"/>
  <c r="E17" i="46"/>
  <c r="G8" i="46"/>
  <c r="C8" i="46"/>
  <c r="J10" i="46"/>
  <c r="J11" i="46"/>
  <c r="I10" i="46"/>
  <c r="I11" i="46"/>
  <c r="I12" i="46"/>
  <c r="J12" i="46" s="1"/>
  <c r="I9" i="46"/>
  <c r="J9" i="46" s="1"/>
  <c r="E10" i="46"/>
  <c r="E11" i="46"/>
  <c r="E12" i="46"/>
  <c r="D11" i="46"/>
  <c r="D12" i="46"/>
  <c r="H8" i="46"/>
  <c r="I41" i="46"/>
  <c r="D41" i="46"/>
  <c r="D40" i="46"/>
  <c r="E40" i="46" s="1"/>
  <c r="D39" i="46"/>
  <c r="E39" i="46" s="1"/>
  <c r="I38" i="46"/>
  <c r="J38" i="46" s="1"/>
  <c r="D38" i="46"/>
  <c r="E38" i="46" s="1"/>
  <c r="I37" i="46"/>
  <c r="J37" i="46" s="1"/>
  <c r="D37" i="46"/>
  <c r="E37" i="46" s="1"/>
  <c r="I36" i="46"/>
  <c r="J36" i="46" s="1"/>
  <c r="D36" i="46"/>
  <c r="E36" i="46" s="1"/>
  <c r="I35" i="46"/>
  <c r="J35" i="46" s="1"/>
  <c r="D35" i="46"/>
  <c r="E35" i="46" s="1"/>
  <c r="I34" i="46"/>
  <c r="J34" i="46" s="1"/>
  <c r="D34" i="46"/>
  <c r="E34" i="46" s="1"/>
  <c r="I33" i="46"/>
  <c r="J33" i="46" s="1"/>
  <c r="D33" i="46"/>
  <c r="E33" i="46" s="1"/>
  <c r="I32" i="46"/>
  <c r="J32" i="46" s="1"/>
  <c r="D32" i="46"/>
  <c r="E32" i="46" s="1"/>
  <c r="I31" i="46"/>
  <c r="J31" i="46" s="1"/>
  <c r="D31" i="46"/>
  <c r="E31" i="46" s="1"/>
  <c r="I30" i="46"/>
  <c r="J30" i="46" s="1"/>
  <c r="D30" i="46"/>
  <c r="E30" i="46" s="1"/>
  <c r="I29" i="46"/>
  <c r="J29" i="46" s="1"/>
  <c r="D29" i="46"/>
  <c r="E29" i="46" s="1"/>
  <c r="I28" i="46"/>
  <c r="J28" i="46" s="1"/>
  <c r="D28" i="46"/>
  <c r="E28" i="46" s="1"/>
  <c r="I27" i="46"/>
  <c r="J27" i="46" s="1"/>
  <c r="D27" i="46"/>
  <c r="E27" i="46" s="1"/>
  <c r="I24" i="46"/>
  <c r="J24" i="46" s="1"/>
  <c r="D24" i="46"/>
  <c r="E24" i="46" s="1"/>
  <c r="I23" i="46"/>
  <c r="J23" i="46" s="1"/>
  <c r="D23" i="46"/>
  <c r="E23" i="46" s="1"/>
  <c r="I22" i="46"/>
  <c r="J22" i="46" s="1"/>
  <c r="D22" i="46"/>
  <c r="E22" i="46" s="1"/>
  <c r="I21" i="46"/>
  <c r="J21" i="46" s="1"/>
  <c r="I20" i="46"/>
  <c r="J20" i="46" s="1"/>
  <c r="D20" i="46"/>
  <c r="E20" i="46" s="1"/>
  <c r="I16" i="46"/>
  <c r="J16" i="46" s="1"/>
  <c r="D16" i="46"/>
  <c r="E16" i="46" s="1"/>
  <c r="I15" i="46"/>
  <c r="J15" i="46" s="1"/>
  <c r="C14" i="46"/>
  <c r="B14" i="46"/>
  <c r="G10" i="46"/>
  <c r="G9" i="46"/>
  <c r="B8" i="46"/>
  <c r="D8" i="46" s="1"/>
  <c r="E8" i="46" s="1"/>
  <c r="C19" i="46" l="1"/>
  <c r="D19" i="46" s="1"/>
  <c r="E19" i="46" s="1"/>
  <c r="I8" i="46"/>
  <c r="J8" i="46" s="1"/>
  <c r="D14" i="46"/>
  <c r="E14" i="46" s="1"/>
  <c r="D21" i="46"/>
  <c r="E21" i="46" s="1"/>
  <c r="H14" i="46"/>
  <c r="E15" i="46"/>
  <c r="C42" i="46" l="1"/>
  <c r="D42" i="46" s="1"/>
  <c r="E42" i="46" s="1"/>
  <c r="H42" i="46"/>
  <c r="I14" i="46"/>
  <c r="J14" i="46" s="1"/>
  <c r="C43" i="46"/>
  <c r="D43" i="46" s="1"/>
  <c r="E43" i="46" s="1"/>
  <c r="I42" i="46" l="1"/>
  <c r="J42" i="46" s="1"/>
  <c r="H43" i="46"/>
  <c r="I43" i="46" s="1"/>
  <c r="J43" i="46" s="1"/>
  <c r="AB13" i="41" l="1"/>
  <c r="AB14" i="41"/>
  <c r="AB15" i="41"/>
  <c r="AB16" i="41"/>
  <c r="AB17" i="41"/>
  <c r="AB18" i="41"/>
  <c r="AB19" i="41"/>
  <c r="AB20" i="41"/>
  <c r="AB21" i="41"/>
  <c r="AB22" i="41"/>
  <c r="AB23" i="41"/>
  <c r="AB24" i="41"/>
  <c r="AB25" i="41"/>
  <c r="AB26" i="41"/>
  <c r="AB27" i="41"/>
  <c r="AB28" i="41"/>
  <c r="AB29" i="41"/>
  <c r="AB30" i="41"/>
  <c r="AB31" i="41"/>
  <c r="AB32" i="41"/>
  <c r="AB33" i="41"/>
  <c r="AB34" i="41"/>
  <c r="AB35" i="41"/>
  <c r="AB36" i="41"/>
  <c r="AB37" i="41"/>
  <c r="AB38" i="41"/>
  <c r="AB39" i="41"/>
  <c r="AB40" i="41"/>
  <c r="AB41" i="41"/>
  <c r="AB42" i="41"/>
  <c r="AB43" i="41"/>
  <c r="AB44" i="41"/>
  <c r="AB45" i="41"/>
  <c r="AB46" i="41"/>
  <c r="AB47" i="41"/>
  <c r="AB48" i="41"/>
  <c r="AB49" i="41"/>
  <c r="AB50" i="41"/>
  <c r="AB52" i="41"/>
  <c r="AB10" i="41"/>
  <c r="AB11" i="41"/>
  <c r="AA53" i="41"/>
  <c r="W53" i="41"/>
  <c r="K53" i="41"/>
  <c r="G53" i="41"/>
  <c r="C51" i="41"/>
  <c r="C53" i="41" s="1"/>
  <c r="D51" i="41"/>
  <c r="D53" i="41" s="1"/>
  <c r="E51" i="41"/>
  <c r="E53" i="41" s="1"/>
  <c r="F51" i="41"/>
  <c r="F53" i="41" s="1"/>
  <c r="G51" i="41"/>
  <c r="H51" i="41"/>
  <c r="H53" i="41" s="1"/>
  <c r="I51" i="41"/>
  <c r="I53" i="41" s="1"/>
  <c r="J51" i="41"/>
  <c r="J53" i="41" s="1"/>
  <c r="K51" i="41"/>
  <c r="L51" i="41"/>
  <c r="L53" i="41" s="1"/>
  <c r="M51" i="41"/>
  <c r="M53" i="41" s="1"/>
  <c r="N51" i="41"/>
  <c r="N53" i="41" s="1"/>
  <c r="O51" i="41"/>
  <c r="O53" i="41" s="1"/>
  <c r="P51" i="41"/>
  <c r="P53" i="41" s="1"/>
  <c r="Q51" i="41"/>
  <c r="Q53" i="41" s="1"/>
  <c r="R51" i="41"/>
  <c r="R53" i="41" s="1"/>
  <c r="S51" i="41"/>
  <c r="S53" i="41" s="1"/>
  <c r="T51" i="41"/>
  <c r="T53" i="41" s="1"/>
  <c r="U51" i="41"/>
  <c r="U53" i="41" s="1"/>
  <c r="V51" i="41"/>
  <c r="V53" i="41" s="1"/>
  <c r="W51" i="41"/>
  <c r="X51" i="41"/>
  <c r="X53" i="41" s="1"/>
  <c r="Y51" i="41"/>
  <c r="Y53" i="41" s="1"/>
  <c r="Z51" i="41"/>
  <c r="Z53" i="41" s="1"/>
  <c r="AA51" i="41"/>
  <c r="B51" i="41"/>
  <c r="B53" i="41" s="1"/>
  <c r="AB53" i="41" l="1"/>
  <c r="AB51" i="41"/>
  <c r="Q64" i="22" l="1"/>
  <c r="Q56" i="22"/>
  <c r="Q55" i="22" s="1"/>
  <c r="R12" i="22"/>
  <c r="D68" i="44" l="1"/>
  <c r="AB12" i="41" l="1"/>
  <c r="A6" i="41"/>
  <c r="A3" i="41"/>
  <c r="A2" i="41"/>
  <c r="B42" i="3" l="1"/>
  <c r="B39" i="3"/>
  <c r="B12" i="3"/>
  <c r="A63" i="7"/>
  <c r="B64" i="7"/>
  <c r="R64" i="22" l="1"/>
  <c r="R35" i="22" l="1"/>
  <c r="B16" i="7" l="1"/>
  <c r="B15" i="7"/>
  <c r="B14" i="7"/>
  <c r="B11" i="7"/>
  <c r="E15" i="1" l="1"/>
  <c r="A3" i="30" l="1"/>
  <c r="A2" i="30"/>
  <c r="J24" i="8"/>
  <c r="J25" i="8" s="1"/>
  <c r="J41" i="8"/>
  <c r="E8" i="25"/>
  <c r="A3" i="8"/>
  <c r="A2" i="8"/>
  <c r="F28" i="25"/>
  <c r="F39" i="25"/>
  <c r="H28" i="25"/>
  <c r="I28" i="25"/>
  <c r="J28" i="25"/>
  <c r="K28" i="25"/>
  <c r="L28" i="25"/>
  <c r="M28" i="25"/>
  <c r="N28" i="25"/>
  <c r="O28" i="25"/>
  <c r="O48" i="25" s="1"/>
  <c r="G28" i="25"/>
  <c r="P35" i="25"/>
  <c r="H39" i="25"/>
  <c r="I39" i="25"/>
  <c r="J39" i="25"/>
  <c r="K39" i="25"/>
  <c r="L39" i="25"/>
  <c r="M39" i="25"/>
  <c r="N39" i="25"/>
  <c r="P39" i="25"/>
  <c r="G39" i="25"/>
  <c r="F14" i="25"/>
  <c r="G14" i="25"/>
  <c r="H14" i="25"/>
  <c r="I14" i="25"/>
  <c r="J14" i="25"/>
  <c r="K14" i="25"/>
  <c r="L14" i="25"/>
  <c r="M14" i="25"/>
  <c r="N14" i="25"/>
  <c r="O14" i="25"/>
  <c r="P14" i="25"/>
  <c r="F10" i="25"/>
  <c r="G10" i="25"/>
  <c r="H10" i="25"/>
  <c r="I10" i="25"/>
  <c r="J10" i="25"/>
  <c r="K10" i="25"/>
  <c r="L10" i="25"/>
  <c r="M10" i="25"/>
  <c r="N10" i="25"/>
  <c r="O10" i="25"/>
  <c r="P10" i="25"/>
  <c r="E39" i="25"/>
  <c r="A3" i="25"/>
  <c r="A2" i="25"/>
  <c r="A3" i="3"/>
  <c r="A2" i="3"/>
  <c r="R26" i="22"/>
  <c r="R25" i="22"/>
  <c r="R24" i="22"/>
  <c r="R20" i="22"/>
  <c r="R19" i="22"/>
  <c r="I17" i="7"/>
  <c r="G17" i="7"/>
  <c r="G20" i="7" s="1"/>
  <c r="R33" i="22"/>
  <c r="R34" i="22"/>
  <c r="R36" i="22"/>
  <c r="R37" i="22"/>
  <c r="R38" i="22"/>
  <c r="R39" i="22"/>
  <c r="R42" i="22"/>
  <c r="R54" i="22"/>
  <c r="R56" i="22"/>
  <c r="R32" i="22"/>
  <c r="Q31" i="22"/>
  <c r="Q23" i="22"/>
  <c r="R15" i="22"/>
  <c r="R16" i="22"/>
  <c r="R17" i="22"/>
  <c r="A3" i="22"/>
  <c r="A2" i="22"/>
  <c r="E10" i="25"/>
  <c r="E14" i="25"/>
  <c r="O4" i="5"/>
  <c r="O5" i="5" s="1"/>
  <c r="O6" i="5" s="1"/>
  <c r="O7" i="5" s="1"/>
  <c r="O8" i="5" s="1"/>
  <c r="O11" i="5" s="1"/>
  <c r="O12" i="5" s="1"/>
  <c r="O13" i="5" s="1"/>
  <c r="O14" i="5" s="1"/>
  <c r="O15" i="5" s="1"/>
  <c r="O16" i="5" s="1"/>
  <c r="O17" i="5" s="1"/>
  <c r="J4" i="5"/>
  <c r="A3" i="7"/>
  <c r="A2" i="7"/>
  <c r="A2" i="9"/>
  <c r="A3" i="9"/>
  <c r="A7" i="1"/>
  <c r="A6" i="1"/>
  <c r="J51" i="8"/>
  <c r="J32" i="8"/>
  <c r="J15" i="8"/>
  <c r="H51" i="8"/>
  <c r="H32" i="8"/>
  <c r="H15" i="8"/>
  <c r="F32" i="8"/>
  <c r="F51" i="8"/>
  <c r="R41" i="22"/>
  <c r="N48" i="25" l="1"/>
  <c r="M26" i="25"/>
  <c r="I26" i="25"/>
  <c r="L26" i="25"/>
  <c r="H26" i="25"/>
  <c r="P26" i="25"/>
  <c r="P4" i="5"/>
  <c r="K48" i="25"/>
  <c r="O26" i="25"/>
  <c r="K26" i="25"/>
  <c r="N26" i="25"/>
  <c r="J26" i="25"/>
  <c r="F26" i="25"/>
  <c r="M48" i="25"/>
  <c r="J48" i="25"/>
  <c r="F8" i="25"/>
  <c r="G8" i="25" s="1"/>
  <c r="H8" i="25" s="1"/>
  <c r="I8" i="25" s="1"/>
  <c r="J8" i="25" s="1"/>
  <c r="K8" i="25" s="1"/>
  <c r="L8" i="25" s="1"/>
  <c r="M8" i="25" s="1"/>
  <c r="N8" i="25" s="1"/>
  <c r="O8" i="25" s="1"/>
  <c r="P8" i="25" s="1"/>
  <c r="G26" i="25"/>
  <c r="E26" i="25"/>
  <c r="G48" i="25"/>
  <c r="I48" i="25"/>
  <c r="F48" i="25"/>
  <c r="L48" i="25"/>
  <c r="H48" i="25"/>
  <c r="J5" i="5"/>
  <c r="P5" i="5" s="1"/>
  <c r="R55" i="22"/>
  <c r="R31" i="22"/>
  <c r="Q22" i="22"/>
  <c r="J6" i="5"/>
  <c r="P6" i="5" s="1"/>
  <c r="J33" i="8"/>
  <c r="J35" i="8" s="1"/>
  <c r="J52" i="8" s="1"/>
  <c r="J54" i="8" s="1"/>
  <c r="R23" i="22"/>
  <c r="Q59" i="22"/>
  <c r="Q61" i="22" s="1"/>
  <c r="Q63" i="22" s="1"/>
  <c r="Q65" i="22" s="1"/>
  <c r="K50" i="25" l="1"/>
  <c r="M50" i="25"/>
  <c r="H50" i="25"/>
  <c r="L50" i="25"/>
  <c r="P28" i="25"/>
  <c r="P48" i="25" s="1"/>
  <c r="P50" i="25" s="1"/>
  <c r="O50" i="25"/>
  <c r="N50" i="25"/>
  <c r="G50" i="25"/>
  <c r="J50" i="25"/>
  <c r="F50" i="25"/>
  <c r="I50" i="25"/>
  <c r="R59" i="22"/>
  <c r="R61" i="22" s="1"/>
  <c r="R21" i="22"/>
  <c r="R22" i="22"/>
  <c r="R63" i="22" l="1"/>
  <c r="R65" i="22" s="1"/>
  <c r="E28" i="25"/>
  <c r="E48" i="25" s="1"/>
  <c r="E50" i="25" s="1"/>
  <c r="J7" i="5"/>
  <c r="P7" i="5" s="1"/>
  <c r="J8" i="5" l="1"/>
  <c r="P8" i="5" s="1"/>
  <c r="J11" i="5" l="1"/>
  <c r="P11" i="5" s="1"/>
  <c r="J12" i="5" l="1"/>
  <c r="P12" i="5" s="1"/>
  <c r="J13" i="5" l="1"/>
  <c r="P13" i="5" s="1"/>
  <c r="J14" i="5" l="1"/>
  <c r="P14" i="5" s="1"/>
  <c r="J15" i="5"/>
  <c r="P15" i="5" s="1"/>
  <c r="P9" i="22"/>
  <c r="J39" i="7" l="1"/>
  <c r="J52" i="7"/>
  <c r="Q9" i="22"/>
  <c r="J12" i="7" s="1"/>
  <c r="J16" i="5"/>
  <c r="P16" i="5" s="1"/>
  <c r="J51" i="7" l="1"/>
  <c r="J49" i="7"/>
  <c r="J13" i="7"/>
  <c r="J31" i="7"/>
  <c r="J62" i="7"/>
  <c r="J57" i="7"/>
  <c r="J56" i="7"/>
  <c r="J48" i="7"/>
  <c r="J44" i="7"/>
  <c r="J42" i="7"/>
  <c r="J43" i="7"/>
  <c r="J45" i="7"/>
  <c r="J50" i="7"/>
  <c r="J47" i="7"/>
  <c r="J46" i="7"/>
  <c r="J53" i="7"/>
  <c r="J27" i="7"/>
  <c r="J28" i="7"/>
  <c r="J29" i="7"/>
  <c r="J26" i="7"/>
  <c r="J64" i="7"/>
  <c r="J33" i="7"/>
  <c r="J36" i="7"/>
  <c r="J14" i="7"/>
  <c r="J24" i="7"/>
  <c r="J11" i="7"/>
  <c r="J17" i="5"/>
  <c r="J40" i="7"/>
  <c r="J16" i="7"/>
  <c r="J34" i="7"/>
  <c r="J55" i="7"/>
  <c r="J32" i="7"/>
  <c r="J18" i="7"/>
  <c r="J19" i="7"/>
  <c r="J25" i="7"/>
  <c r="J23" i="7"/>
  <c r="J38" i="7"/>
  <c r="J37" i="7"/>
  <c r="J41" i="7"/>
  <c r="J35" i="7"/>
  <c r="J15" i="7"/>
  <c r="J54" i="7" l="1"/>
  <c r="F8" i="7"/>
  <c r="C22" i="9"/>
  <c r="C9" i="9"/>
  <c r="C12" i="9" s="1"/>
  <c r="J22" i="7"/>
  <c r="J17" i="7"/>
  <c r="J10" i="7"/>
  <c r="J30" i="7"/>
  <c r="P17" i="5"/>
  <c r="A9" i="1"/>
  <c r="A7" i="5"/>
  <c r="F39" i="7" l="1"/>
  <c r="E8" i="3"/>
  <c r="F12" i="7"/>
  <c r="F52" i="7"/>
  <c r="F51" i="7"/>
  <c r="F49" i="7"/>
  <c r="F13" i="7"/>
  <c r="F21" i="7"/>
  <c r="F57" i="7"/>
  <c r="F56" i="7"/>
  <c r="F43" i="7"/>
  <c r="F47" i="7"/>
  <c r="F46" i="7"/>
  <c r="F44" i="7"/>
  <c r="F48" i="7"/>
  <c r="F42" i="7"/>
  <c r="F45" i="7"/>
  <c r="F50" i="7"/>
  <c r="F28" i="7"/>
  <c r="F26" i="7"/>
  <c r="F27" i="7"/>
  <c r="F29" i="7"/>
  <c r="H8" i="7"/>
  <c r="H39" i="7" s="1"/>
  <c r="C5" i="46"/>
  <c r="F36" i="7"/>
  <c r="C26" i="9"/>
  <c r="C28" i="9"/>
  <c r="J59" i="7"/>
  <c r="J61" i="7" s="1"/>
  <c r="J63" i="7" s="1"/>
  <c r="J20" i="7"/>
  <c r="C25" i="9"/>
  <c r="C24" i="9"/>
  <c r="C27" i="9"/>
  <c r="D22" i="9"/>
  <c r="F55" i="7"/>
  <c r="F32" i="7"/>
  <c r="F16" i="7"/>
  <c r="F24" i="7"/>
  <c r="F60" i="7"/>
  <c r="F35" i="7"/>
  <c r="F18" i="7"/>
  <c r="F14" i="7"/>
  <c r="F19" i="7"/>
  <c r="F11" i="7"/>
  <c r="F23" i="7"/>
  <c r="F31" i="7"/>
  <c r="F9" i="8"/>
  <c r="F38" i="7"/>
  <c r="F64" i="7"/>
  <c r="F41" i="7"/>
  <c r="D7" i="9"/>
  <c r="A6" i="3" s="1"/>
  <c r="A6" i="25" s="1"/>
  <c r="D20" i="9"/>
  <c r="F25" i="7"/>
  <c r="F62" i="7"/>
  <c r="F53" i="7"/>
  <c r="F40" i="7"/>
  <c r="F37" i="7"/>
  <c r="F15" i="7"/>
  <c r="F33" i="7"/>
  <c r="F34" i="7"/>
  <c r="D9" i="9"/>
  <c r="D12" i="9" s="1"/>
  <c r="C13" i="9"/>
  <c r="C17" i="9"/>
  <c r="C16" i="9"/>
  <c r="H12" i="7" l="1"/>
  <c r="H52" i="7"/>
  <c r="H51" i="7"/>
  <c r="H49" i="7"/>
  <c r="H13" i="7"/>
  <c r="H21" i="7"/>
  <c r="F54" i="7"/>
  <c r="E46" i="3"/>
  <c r="E45" i="3"/>
  <c r="E48" i="3"/>
  <c r="E49" i="3"/>
  <c r="E47" i="3"/>
  <c r="H57" i="7"/>
  <c r="H56" i="7"/>
  <c r="E23" i="3"/>
  <c r="E21" i="3"/>
  <c r="E22" i="3"/>
  <c r="H45" i="7"/>
  <c r="H50" i="7"/>
  <c r="H44" i="7"/>
  <c r="H42" i="7"/>
  <c r="H46" i="7"/>
  <c r="H48" i="7"/>
  <c r="H43" i="7"/>
  <c r="H47" i="7"/>
  <c r="H64" i="7"/>
  <c r="H28" i="7"/>
  <c r="H27" i="7"/>
  <c r="H26" i="7"/>
  <c r="H29" i="7"/>
  <c r="H36" i="7"/>
  <c r="J65" i="7"/>
  <c r="E18" i="3"/>
  <c r="E19" i="3"/>
  <c r="D27" i="9"/>
  <c r="D25" i="9"/>
  <c r="C15" i="9"/>
  <c r="C11" i="9"/>
  <c r="E9" i="9"/>
  <c r="E12" i="9" s="1"/>
  <c r="D16" i="9"/>
  <c r="D17" i="9"/>
  <c r="D13" i="9"/>
  <c r="A6" i="8"/>
  <c r="A6" i="7"/>
  <c r="A6" i="22" s="1"/>
  <c r="F30" i="7"/>
  <c r="E39" i="3"/>
  <c r="E38" i="3"/>
  <c r="E24" i="3"/>
  <c r="E44" i="3"/>
  <c r="E42" i="3"/>
  <c r="E25" i="3"/>
  <c r="E20" i="3"/>
  <c r="E43" i="3"/>
  <c r="E11" i="3"/>
  <c r="E16" i="3"/>
  <c r="E31" i="3"/>
  <c r="E35" i="3"/>
  <c r="E34" i="3"/>
  <c r="E12" i="3"/>
  <c r="E32" i="3"/>
  <c r="E17" i="3"/>
  <c r="E33" i="3"/>
  <c r="E13" i="3"/>
  <c r="E22" i="9"/>
  <c r="D24" i="9"/>
  <c r="F22" i="7"/>
  <c r="H35" i="7"/>
  <c r="H18" i="7"/>
  <c r="H55" i="7"/>
  <c r="H31" i="7"/>
  <c r="H60" i="7"/>
  <c r="H32" i="7"/>
  <c r="H16" i="7"/>
  <c r="H25" i="7"/>
  <c r="H9" i="8"/>
  <c r="H38" i="7"/>
  <c r="H23" i="7"/>
  <c r="H15" i="7"/>
  <c r="H40" i="7"/>
  <c r="H53" i="7"/>
  <c r="H34" i="7"/>
  <c r="H62" i="7"/>
  <c r="H37" i="7"/>
  <c r="H24" i="7"/>
  <c r="H14" i="7"/>
  <c r="H11" i="7"/>
  <c r="H33" i="7"/>
  <c r="H19" i="7"/>
  <c r="H41" i="7"/>
  <c r="G8" i="3"/>
  <c r="G39" i="3" s="1"/>
  <c r="F10" i="7"/>
  <c r="F17" i="7"/>
  <c r="F14" i="8"/>
  <c r="F15" i="8" s="1"/>
  <c r="H54" i="7" l="1"/>
  <c r="G49" i="3"/>
  <c r="G47" i="3"/>
  <c r="G48" i="3"/>
  <c r="G46" i="3"/>
  <c r="G45" i="3"/>
  <c r="G22" i="3"/>
  <c r="G23" i="3"/>
  <c r="G21" i="3"/>
  <c r="G19" i="3"/>
  <c r="G18" i="3"/>
  <c r="E27" i="9"/>
  <c r="E25" i="9"/>
  <c r="C18" i="9"/>
  <c r="D11" i="9"/>
  <c r="D26" i="9"/>
  <c r="D28" i="9" s="1"/>
  <c r="H10" i="7"/>
  <c r="D15" i="9"/>
  <c r="G24" i="3"/>
  <c r="G42" i="3"/>
  <c r="G32" i="3"/>
  <c r="G44" i="3"/>
  <c r="G13" i="3"/>
  <c r="G25" i="3"/>
  <c r="G11" i="3"/>
  <c r="G43" i="3"/>
  <c r="G34" i="3"/>
  <c r="G35" i="3"/>
  <c r="G31" i="3"/>
  <c r="G20" i="3"/>
  <c r="G16" i="3"/>
  <c r="G12" i="3"/>
  <c r="G33" i="3"/>
  <c r="G17" i="3"/>
  <c r="H8" i="3"/>
  <c r="G38" i="3"/>
  <c r="F59" i="7"/>
  <c r="F61" i="7" s="1"/>
  <c r="F63" i="7" s="1"/>
  <c r="F65" i="7" s="1"/>
  <c r="F20" i="7"/>
  <c r="H30" i="7"/>
  <c r="E24" i="9"/>
  <c r="F22" i="9"/>
  <c r="H22" i="7"/>
  <c r="E10" i="3"/>
  <c r="H17" i="7"/>
  <c r="E30" i="3"/>
  <c r="E41" i="3"/>
  <c r="E37" i="3"/>
  <c r="E15" i="3"/>
  <c r="E13" i="9"/>
  <c r="F9" i="9"/>
  <c r="F12" i="9" s="1"/>
  <c r="E17" i="9"/>
  <c r="E16" i="9"/>
  <c r="E50" i="3" l="1"/>
  <c r="E27" i="3"/>
  <c r="F27" i="9"/>
  <c r="F25" i="9"/>
  <c r="D18" i="9"/>
  <c r="E11" i="9"/>
  <c r="G30" i="3"/>
  <c r="G10" i="3"/>
  <c r="H59" i="7"/>
  <c r="H61" i="7" s="1"/>
  <c r="H63" i="7" s="1"/>
  <c r="H65" i="7" s="1"/>
  <c r="H20" i="7"/>
  <c r="F16" i="9"/>
  <c r="G9" i="9"/>
  <c r="G12" i="9" s="1"/>
  <c r="F13" i="9"/>
  <c r="F17" i="9"/>
  <c r="G37" i="3"/>
  <c r="G15" i="3"/>
  <c r="H24" i="8"/>
  <c r="H25" i="8" s="1"/>
  <c r="H33" i="8" s="1"/>
  <c r="H35" i="8" s="1"/>
  <c r="F24" i="8"/>
  <c r="F25" i="8" s="1"/>
  <c r="F33" i="8" s="1"/>
  <c r="F35" i="8" s="1"/>
  <c r="G41" i="3"/>
  <c r="F24" i="9"/>
  <c r="G22" i="9"/>
  <c r="H41" i="8"/>
  <c r="F41" i="8"/>
  <c r="E15" i="9"/>
  <c r="E26" i="9"/>
  <c r="E28" i="9" s="1"/>
  <c r="H32" i="3"/>
  <c r="H45" i="3"/>
  <c r="H17" i="3"/>
  <c r="H24" i="3"/>
  <c r="H48" i="3"/>
  <c r="H31" i="3"/>
  <c r="H43" i="3"/>
  <c r="H39" i="3"/>
  <c r="H42" i="3"/>
  <c r="H38" i="3"/>
  <c r="H44" i="3"/>
  <c r="H35" i="3"/>
  <c r="H33" i="3"/>
  <c r="H20" i="3"/>
  <c r="H11" i="3"/>
  <c r="H13" i="3"/>
  <c r="H34" i="3"/>
  <c r="H12" i="3"/>
  <c r="H23" i="3"/>
  <c r="H25" i="3"/>
  <c r="H16" i="3"/>
  <c r="G27" i="3" l="1"/>
  <c r="G25" i="9"/>
  <c r="G27" i="9"/>
  <c r="E18" i="9"/>
  <c r="H52" i="8"/>
  <c r="H54" i="8" s="1"/>
  <c r="F52" i="8"/>
  <c r="F54" i="8" s="1"/>
  <c r="G50" i="3"/>
  <c r="H15" i="3"/>
  <c r="F11" i="9"/>
  <c r="H41" i="3"/>
  <c r="H30" i="3"/>
  <c r="F26" i="9"/>
  <c r="F28" i="9" s="1"/>
  <c r="F15" i="9"/>
  <c r="H37" i="3"/>
  <c r="H22" i="9"/>
  <c r="G24" i="9"/>
  <c r="H24" i="9"/>
  <c r="H10" i="3"/>
  <c r="H9" i="9"/>
  <c r="H12" i="9" s="1"/>
  <c r="G13" i="9"/>
  <c r="G17" i="9"/>
  <c r="G16" i="9"/>
  <c r="H27" i="9" l="1"/>
  <c r="H25" i="9"/>
  <c r="H26" i="9" s="1"/>
  <c r="H27" i="3"/>
  <c r="F18" i="9"/>
  <c r="G15" i="9"/>
  <c r="G11" i="9"/>
  <c r="G26" i="9"/>
  <c r="G28" i="9" s="1"/>
  <c r="H50" i="3"/>
  <c r="H17" i="9"/>
  <c r="H13" i="9"/>
  <c r="H16" i="9"/>
  <c r="H28" i="9" l="1"/>
  <c r="G18" i="9"/>
  <c r="H11" i="9"/>
  <c r="H15" i="9"/>
  <c r="H18" i="9" l="1"/>
</calcChain>
</file>

<file path=xl/sharedStrings.xml><?xml version="1.0" encoding="utf-8"?>
<sst xmlns="http://schemas.openxmlformats.org/spreadsheetml/2006/main" count="732" uniqueCount="495">
  <si>
    <t>Contents</t>
  </si>
  <si>
    <t>Table of Contents</t>
  </si>
  <si>
    <t>Dubai, U.A.E</t>
  </si>
  <si>
    <t xml:space="preserve"> </t>
  </si>
  <si>
    <t>Equity</t>
  </si>
  <si>
    <t>Fixed Assets</t>
  </si>
  <si>
    <t>Investments</t>
  </si>
  <si>
    <t>Current Liabilities</t>
  </si>
  <si>
    <t>Current Assets</t>
  </si>
  <si>
    <t>Cash in hand</t>
  </si>
  <si>
    <t>Statutory Liabilities</t>
  </si>
  <si>
    <t>Duties &amp; Taxes Payable</t>
  </si>
  <si>
    <t>Accounts Payable</t>
  </si>
  <si>
    <t>Assets:</t>
  </si>
  <si>
    <t>Particulars</t>
  </si>
  <si>
    <t>IT Expenses</t>
  </si>
  <si>
    <t>Depreciation</t>
  </si>
  <si>
    <t>Net Profit / (Loss)</t>
  </si>
  <si>
    <t>Galance</t>
  </si>
  <si>
    <t>Page#</t>
  </si>
  <si>
    <t>CASH FLOW STATEMENT</t>
  </si>
  <si>
    <t>Your Accounting &amp; Tax Expert</t>
  </si>
  <si>
    <t>Galance Picture</t>
  </si>
  <si>
    <t>Current liabilities</t>
  </si>
  <si>
    <t>Gross Profit / (Loss)</t>
  </si>
  <si>
    <t>Amount in AED</t>
  </si>
  <si>
    <t>Non-current Liabilities</t>
  </si>
  <si>
    <t>Note</t>
  </si>
  <si>
    <t>Deferred Assets</t>
  </si>
  <si>
    <t>Revenue</t>
  </si>
  <si>
    <t>ASSETS:</t>
  </si>
  <si>
    <t>LIABILITIES:</t>
  </si>
  <si>
    <t>YTD</t>
  </si>
  <si>
    <t>Equity &amp; Liabilities:</t>
  </si>
  <si>
    <t>Total Assets</t>
  </si>
  <si>
    <t>Total Equity &amp; Liabilities</t>
  </si>
  <si>
    <t>Statement of Financial Position - Balance Sheet</t>
  </si>
  <si>
    <t>Statement of Cash Flow</t>
  </si>
  <si>
    <t xml:space="preserve">STATEMENT OF FINANCIAL POSITION </t>
  </si>
  <si>
    <t>CASH FLOWS FROM OPERATING ACTIVITIES</t>
  </si>
  <si>
    <t>Adjustments for:</t>
  </si>
  <si>
    <t>Operating profit before working capital changes</t>
  </si>
  <si>
    <t>WORKING CAPITAL CHANGES</t>
  </si>
  <si>
    <t>(Increase) / decrease in current assets</t>
  </si>
  <si>
    <t>Increase / (decrease) in current liabilities</t>
  </si>
  <si>
    <t>Cash generated from operations</t>
  </si>
  <si>
    <t>Net cash outflows from operating activities</t>
  </si>
  <si>
    <t>CASH FLOWS FROM INVESTING ACTIVITIES</t>
  </si>
  <si>
    <t>Net cash outflows from investing activities</t>
  </si>
  <si>
    <t>CASH FLOWS FROM FINANCING ACTIVITIES</t>
  </si>
  <si>
    <t>Net cash outflows from financing activities</t>
  </si>
  <si>
    <t>(Increase) / decrease in fixed and non-current assets</t>
  </si>
  <si>
    <t>Owned property and quipment (cost)</t>
  </si>
  <si>
    <t>Increase / (decrease) in equity and non-current liabilities</t>
  </si>
  <si>
    <t>Net increase / (decrease) in cash and cash quivalents</t>
  </si>
  <si>
    <t>Cash and cash equivalents at the end</t>
  </si>
  <si>
    <t>Cash and cash equivalents at the start</t>
  </si>
  <si>
    <t>Taxes paid (less)</t>
  </si>
  <si>
    <t>Budget Variance Statement</t>
  </si>
  <si>
    <t>STATEMENT OF COMPREHENSIVE INCOME</t>
  </si>
  <si>
    <t>STATEMENT OF MONTHLY COMPREHENSIVE INCOME</t>
  </si>
  <si>
    <t>Statement of Comprehensive Income - Profit &amp; Loss</t>
  </si>
  <si>
    <t>Notes</t>
  </si>
  <si>
    <t>Months</t>
  </si>
  <si>
    <t xml:space="preserve">Current </t>
  </si>
  <si>
    <t>Cummulative Months</t>
  </si>
  <si>
    <t>Days</t>
  </si>
  <si>
    <t xml:space="preserve">Cumm </t>
  </si>
  <si>
    <t xml:space="preserve">Heading </t>
  </si>
  <si>
    <t>Budget</t>
  </si>
  <si>
    <t>Current Month - January</t>
  </si>
  <si>
    <t>12/11</t>
  </si>
  <si>
    <t xml:space="preserve">Cumulative 1 Months ended January </t>
  </si>
  <si>
    <t>Current Month - February</t>
  </si>
  <si>
    <t xml:space="preserve">Cumulative 2 Months ended February </t>
  </si>
  <si>
    <t>Current Month - March</t>
  </si>
  <si>
    <t xml:space="preserve">Cumulative 3 Months ended March </t>
  </si>
  <si>
    <t>Current Month - April</t>
  </si>
  <si>
    <t xml:space="preserve">Cumulative 4 Months ended April </t>
  </si>
  <si>
    <t>Current Month - May</t>
  </si>
  <si>
    <t xml:space="preserve">Cumulative 5 Months ended May </t>
  </si>
  <si>
    <t>Current Month - June</t>
  </si>
  <si>
    <t xml:space="preserve">Cumulative 6 Months ended June </t>
  </si>
  <si>
    <t>Current Month - July</t>
  </si>
  <si>
    <t xml:space="preserve">Cumulative 7 Months ended July </t>
  </si>
  <si>
    <t>Current Month - August</t>
  </si>
  <si>
    <t xml:space="preserve">Cumulative 8 Months ended August </t>
  </si>
  <si>
    <t>Current Month - September</t>
  </si>
  <si>
    <t xml:space="preserve">Cumulative 9 Months ended September </t>
  </si>
  <si>
    <t>Current Month - October</t>
  </si>
  <si>
    <t>Current Month - November</t>
  </si>
  <si>
    <t xml:space="preserve">Cumulative 11 Months ended November </t>
  </si>
  <si>
    <t>Current Month - December</t>
  </si>
  <si>
    <t xml:space="preserve">Cumulative 12 Months ended December </t>
  </si>
  <si>
    <t>Last Year</t>
  </si>
  <si>
    <t xml:space="preserve">Cumulative 10 Months ended October </t>
  </si>
  <si>
    <t>Profit &amp; Loss Statement 6 Month Comparison</t>
  </si>
  <si>
    <t>Net worth</t>
  </si>
  <si>
    <t>Balance Sheet Statement 6 Month Comparison</t>
  </si>
  <si>
    <t>Direct Expenses</t>
  </si>
  <si>
    <t>Indirect Expenses</t>
  </si>
  <si>
    <t>Visa &amp; Ticket</t>
  </si>
  <si>
    <t>Staff Medical</t>
  </si>
  <si>
    <t>Administrative Exp.</t>
  </si>
  <si>
    <t>Office Rent</t>
  </si>
  <si>
    <t>Office Exp.</t>
  </si>
  <si>
    <t>Transportation</t>
  </si>
  <si>
    <t>Security Charges</t>
  </si>
  <si>
    <t>Legal &amp; Professional  Fees</t>
  </si>
  <si>
    <t>Printing &amp; Stationary</t>
  </si>
  <si>
    <t>Financial Charges</t>
  </si>
  <si>
    <t>Marketing &amp; Advertisment</t>
  </si>
  <si>
    <t>Profit / (Loss) before Interest &amp; Dep.</t>
  </si>
  <si>
    <t>Interest on Loans</t>
  </si>
  <si>
    <t>Profit/ (Loss)After Interest but before Depreciation</t>
  </si>
  <si>
    <t>Pre Tax Profit / (Loss)</t>
  </si>
  <si>
    <t>Capital A/C KW</t>
  </si>
  <si>
    <t>Capital A/C MJV</t>
  </si>
  <si>
    <t>Loan form bank</t>
  </si>
  <si>
    <t>Auto Loan</t>
  </si>
  <si>
    <t>Other Loans</t>
  </si>
  <si>
    <t>Commission payable - Agent</t>
  </si>
  <si>
    <t>Commission payable - Third party</t>
  </si>
  <si>
    <t>Current A/C KW</t>
  </si>
  <si>
    <t>Current A/C MJV</t>
  </si>
  <si>
    <t>Bank Accounts</t>
  </si>
  <si>
    <t>Accounts receivable</t>
  </si>
  <si>
    <t>Advance Paid to creditors</t>
  </si>
  <si>
    <t>Prepaid Expenses</t>
  </si>
  <si>
    <t>Loans, Advance &amp; Deposists</t>
  </si>
  <si>
    <t>Cheque in transit</t>
  </si>
  <si>
    <t>Bank &amp; Cash Position / Reconciliation</t>
  </si>
  <si>
    <t>Key Performance Indicator - Comparison</t>
  </si>
  <si>
    <t/>
  </si>
  <si>
    <t>Account Description</t>
  </si>
  <si>
    <t>Sales Income</t>
  </si>
  <si>
    <t>Materials Costs</t>
  </si>
  <si>
    <t>Cement Costs</t>
  </si>
  <si>
    <t>Blocks Costs</t>
  </si>
  <si>
    <t>Sand Costs</t>
  </si>
  <si>
    <t>Concrete Costs</t>
  </si>
  <si>
    <t>Chemicals &amp; Bitumen Costs</t>
  </si>
  <si>
    <t>Soil Testing Costs</t>
  </si>
  <si>
    <t>Equipment Rental Costs</t>
  </si>
  <si>
    <t>Tiles-Costs</t>
  </si>
  <si>
    <t>Plumbing Materials-Costs</t>
  </si>
  <si>
    <t>Electrical Materials-Costs</t>
  </si>
  <si>
    <t>Electrical Works-Costs</t>
  </si>
  <si>
    <t>Fire Alarm&amp;Fire Fighting Works</t>
  </si>
  <si>
    <t>Waterproofing Works-Costs</t>
  </si>
  <si>
    <t>Plastering Work Internal-Costs</t>
  </si>
  <si>
    <t>Waste Collection-Costs</t>
  </si>
  <si>
    <t>Water - Costs</t>
  </si>
  <si>
    <t>Anti Termite Proofing Service</t>
  </si>
  <si>
    <t>A/C Works - Costs</t>
  </si>
  <si>
    <t>Safety Equip. &amp; Mat.- Costs</t>
  </si>
  <si>
    <t>Concrete Jacketing Works-Costs</t>
  </si>
  <si>
    <t>Office Salary</t>
  </si>
  <si>
    <t>Leave Salary</t>
  </si>
  <si>
    <t>Visa Expenses</t>
  </si>
  <si>
    <t>Ticket Expenses</t>
  </si>
  <si>
    <t>Employee Benefit Expenses</t>
  </si>
  <si>
    <t>Car Service Expense</t>
  </si>
  <si>
    <t>Fines &amp; Registrations Expense</t>
  </si>
  <si>
    <t>RTA Fees</t>
  </si>
  <si>
    <t>DM Fees</t>
  </si>
  <si>
    <t>Petrol Expenses</t>
  </si>
  <si>
    <t>Office Expense</t>
  </si>
  <si>
    <t>Utilities Expense</t>
  </si>
  <si>
    <t>Auditing Expenses</t>
  </si>
  <si>
    <t>Property and equipement</t>
  </si>
  <si>
    <t>Other Income</t>
  </si>
  <si>
    <t>Labor Costs</t>
  </si>
  <si>
    <t>Dubai Land</t>
  </si>
  <si>
    <t>DubaiLand</t>
  </si>
  <si>
    <t>EA38</t>
  </si>
  <si>
    <t>EA40</t>
  </si>
  <si>
    <t>EA49</t>
  </si>
  <si>
    <t>EA50</t>
  </si>
  <si>
    <t>EA51</t>
  </si>
  <si>
    <t>EA52</t>
  </si>
  <si>
    <t>EA54</t>
  </si>
  <si>
    <t>EA55</t>
  </si>
  <si>
    <t>EA56</t>
  </si>
  <si>
    <t>EA57</t>
  </si>
  <si>
    <t>EA59</t>
  </si>
  <si>
    <t>EA60</t>
  </si>
  <si>
    <t>EA61</t>
  </si>
  <si>
    <t>EA62-001</t>
  </si>
  <si>
    <t>EA62-003</t>
  </si>
  <si>
    <t>EA62-004</t>
  </si>
  <si>
    <t>EA62-005</t>
  </si>
  <si>
    <t>EA62-Main</t>
  </si>
  <si>
    <t>EA63</t>
  </si>
  <si>
    <t>General</t>
  </si>
  <si>
    <t>JV001</t>
  </si>
  <si>
    <t>JV002</t>
  </si>
  <si>
    <t>Jv003</t>
  </si>
  <si>
    <t>JV-Main</t>
  </si>
  <si>
    <t>Grand Total</t>
  </si>
  <si>
    <t>Job wist profit and Loss for the month of Jan 2108</t>
  </si>
  <si>
    <t>Painting Mat. Supply - Costs</t>
  </si>
  <si>
    <t>Concrete Cutting Works-Costs</t>
  </si>
  <si>
    <t>Revenues</t>
  </si>
  <si>
    <t>Total Revenues</t>
  </si>
  <si>
    <t>Cost of Sales</t>
  </si>
  <si>
    <t>Total Cost of Sales</t>
  </si>
  <si>
    <t>Gross Profit</t>
  </si>
  <si>
    <t>Total Expenses</t>
  </si>
  <si>
    <t>Net Income</t>
  </si>
  <si>
    <t>Balance Sheet</t>
  </si>
  <si>
    <t>MIS Flag</t>
  </si>
  <si>
    <t>Income</t>
  </si>
  <si>
    <t>Total Cost</t>
  </si>
  <si>
    <t>P&amp; L Job wise</t>
  </si>
  <si>
    <t>Total Income</t>
  </si>
  <si>
    <t>Projects</t>
  </si>
  <si>
    <t>Statement of Financial Position or Balance Sheet - Monthly</t>
  </si>
  <si>
    <t>Statement of Comprehensive Income or Profit &amp; Loss Monthly</t>
  </si>
  <si>
    <t>Debitors Aging Summary</t>
  </si>
  <si>
    <t>Error</t>
  </si>
  <si>
    <t>YEAR-TO-DATE</t>
  </si>
  <si>
    <r>
      <rPr>
        <b/>
        <sz val="10"/>
        <color indexed="30"/>
        <rFont val="Times New Roman"/>
        <family val="1"/>
      </rPr>
      <t>Note</t>
    </r>
    <r>
      <rPr>
        <sz val="10"/>
        <rFont val="Times New Roman"/>
        <family val="1"/>
      </rPr>
      <t>: All variances of +-10% must be explained in remarks.</t>
    </r>
  </si>
  <si>
    <t>DESCRIPTION</t>
  </si>
  <si>
    <t xml:space="preserve">BUDGET   </t>
  </si>
  <si>
    <t xml:space="preserve"> ACTUAL</t>
  </si>
  <si>
    <t>VARIANCE</t>
  </si>
  <si>
    <t>%</t>
  </si>
  <si>
    <t>Remarks</t>
  </si>
  <si>
    <t>Revenues:</t>
  </si>
  <si>
    <t>EFFICIENCY VARIANCE</t>
  </si>
  <si>
    <t>Others</t>
  </si>
  <si>
    <t>Fixed Expenses</t>
  </si>
  <si>
    <t>EXCEPTIONAL VARIANCE</t>
  </si>
  <si>
    <t>Salaries</t>
  </si>
  <si>
    <t>Variable Expenses</t>
  </si>
  <si>
    <t>Annual leave</t>
  </si>
  <si>
    <t>Car lease instalments /Rental</t>
  </si>
  <si>
    <t>Commission - Agent</t>
  </si>
  <si>
    <t>Commission - Third party</t>
  </si>
  <si>
    <t>DEWA - Electricity bill</t>
  </si>
  <si>
    <t>Internal Audit Fees / (Provision)</t>
  </si>
  <si>
    <t>Office Insurance Exp.</t>
  </si>
  <si>
    <t>Taxes</t>
  </si>
  <si>
    <t>Telephone &amp; Internet Exp.</t>
  </si>
  <si>
    <t>WPS charges</t>
  </si>
  <si>
    <t>Total Expenses: (Fixed + Variable)</t>
  </si>
  <si>
    <t>Sales Product 1</t>
  </si>
  <si>
    <t>Sales Product 2</t>
  </si>
  <si>
    <t>Sales Product 3</t>
  </si>
  <si>
    <t>Sales Product 4</t>
  </si>
  <si>
    <t>URL:www.binghannam.com      E- info@binghannam.com     Tel.:971 4 2983118</t>
  </si>
  <si>
    <t>Bin Ghannam Accounting &amp; Auditing</t>
  </si>
  <si>
    <t xml:space="preserve">DUABI UAE </t>
  </si>
  <si>
    <t xml:space="preserve">Observations &amp; Recommendations </t>
  </si>
  <si>
    <t>SR#</t>
  </si>
  <si>
    <t>Details</t>
  </si>
  <si>
    <t>Risk</t>
  </si>
  <si>
    <t>Recommendations</t>
  </si>
  <si>
    <t>Status</t>
  </si>
  <si>
    <t>Head</t>
  </si>
  <si>
    <t>Sales</t>
  </si>
  <si>
    <t>CID alain contract</t>
  </si>
  <si>
    <t>Homie portal AL WAHA</t>
  </si>
  <si>
    <t>MOI Deewan Sales</t>
  </si>
  <si>
    <t>COST OF SALES</t>
  </si>
  <si>
    <t xml:space="preserve">Salaries and Wages of Staff in Operation </t>
  </si>
  <si>
    <t>Rent Expense</t>
  </si>
  <si>
    <t>Operating Expenses</t>
  </si>
  <si>
    <t>Salaries and Wages</t>
  </si>
  <si>
    <t>Travel &amp; Transport</t>
  </si>
  <si>
    <t xml:space="preserve">Office Repairs and Maintenance </t>
  </si>
  <si>
    <t xml:space="preserve">Meal And Entertainmnet </t>
  </si>
  <si>
    <t>Printing and Stationary</t>
  </si>
  <si>
    <t>Utiliies Expense</t>
  </si>
  <si>
    <t>Staff VISA Expense</t>
  </si>
  <si>
    <t>Staff Benefits</t>
  </si>
  <si>
    <t>Staff Allowances</t>
  </si>
  <si>
    <t>Staff Health  Insurance</t>
  </si>
  <si>
    <t>Staff Medical Expense</t>
  </si>
  <si>
    <t xml:space="preserve">Dues and Subscription </t>
  </si>
  <si>
    <t>Mobile &amp; Communication</t>
  </si>
  <si>
    <t>Office Supplies</t>
  </si>
  <si>
    <t>Car Insurance Expense</t>
  </si>
  <si>
    <t>Commissions and fees</t>
  </si>
  <si>
    <t>Legal and Professional Charges</t>
  </si>
  <si>
    <t>Professional Fee</t>
  </si>
  <si>
    <t>Vehicle Registration Expense</t>
  </si>
  <si>
    <t>OTHER EXPENSES</t>
  </si>
  <si>
    <t>Bank charges</t>
  </si>
  <si>
    <t>WPS Charges</t>
  </si>
  <si>
    <t>Interest Expense</t>
  </si>
  <si>
    <t>Fines &amp; Mukhalfa</t>
  </si>
  <si>
    <t>Discount Income</t>
  </si>
  <si>
    <t>Western Vending Machines LLC</t>
  </si>
  <si>
    <t xml:space="preserve">      ADIB</t>
  </si>
  <si>
    <t xml:space="preserve">      Ajman Petty-Cash</t>
  </si>
  <si>
    <t xml:space="preserve">      Main Cash (Collection)</t>
  </si>
  <si>
    <t xml:space="preserve">      Advance to employee</t>
  </si>
  <si>
    <t xml:space="preserve">      Cash in Machines</t>
  </si>
  <si>
    <t xml:space="preserve">      Fuel Adnoc balance</t>
  </si>
  <si>
    <t xml:space="preserve">      Inventory</t>
  </si>
  <si>
    <t xml:space="preserve">      Prepayments</t>
  </si>
  <si>
    <t xml:space="preserve">     Accounts receivable</t>
  </si>
  <si>
    <t xml:space="preserve">     Securities</t>
  </si>
  <si>
    <t xml:space="preserve">      Net Income</t>
  </si>
  <si>
    <t xml:space="preserve">      Drawings</t>
  </si>
  <si>
    <t xml:space="preserve">      Opening Balance Equity</t>
  </si>
  <si>
    <t xml:space="preserve">      Retained Earnings</t>
  </si>
  <si>
    <t xml:space="preserve">      Share holder current account</t>
  </si>
  <si>
    <t xml:space="preserve">      Accounts Payable (A/P)</t>
  </si>
  <si>
    <t xml:space="preserve">      Machine Rent Payable</t>
  </si>
  <si>
    <t xml:space="preserve">      Loan from Infusion</t>
  </si>
  <si>
    <t xml:space="preserve">      Loan From Mr saeed</t>
  </si>
  <si>
    <t xml:space="preserve">      Salaries &amp; wages payable</t>
  </si>
  <si>
    <t xml:space="preserve">      Transguard Payable</t>
  </si>
  <si>
    <t xml:space="preserve">     Other Payables</t>
  </si>
  <si>
    <t xml:space="preserve">   Homie portal AL WAHA</t>
  </si>
  <si>
    <t xml:space="preserve">   Sales</t>
  </si>
  <si>
    <t xml:space="preserve">   Sales of Product Income</t>
  </si>
  <si>
    <t>Sales of Product Income</t>
  </si>
  <si>
    <t>Cost of sales</t>
  </si>
  <si>
    <t>Vehicle Repairs and Maintenance</t>
  </si>
  <si>
    <t>Fuel Expense</t>
  </si>
  <si>
    <t>Freight And Delivery</t>
  </si>
  <si>
    <t>Machine Rent Expense</t>
  </si>
  <si>
    <t>Machine Repair &amp; Maintenance</t>
  </si>
  <si>
    <t xml:space="preserve">   Al Ansari Charges</t>
  </si>
  <si>
    <t xml:space="preserve">   Allowance</t>
  </si>
  <si>
    <t xml:space="preserve">   Apartment Expense Ajman</t>
  </si>
  <si>
    <t xml:space="preserve">   Bank charges</t>
  </si>
  <si>
    <t xml:space="preserve">   Car Insurance</t>
  </si>
  <si>
    <t xml:space="preserve">   Commissions and fees</t>
  </si>
  <si>
    <t xml:space="preserve">   Freight and delivery</t>
  </si>
  <si>
    <t xml:space="preserve">   Fuel consumption</t>
  </si>
  <si>
    <t xml:space="preserve">   Gratuity</t>
  </si>
  <si>
    <t xml:space="preserve">   Interest expense</t>
  </si>
  <si>
    <t xml:space="preserve">   Legal and professional fees</t>
  </si>
  <si>
    <t xml:space="preserve">   Machine Rent Expense</t>
  </si>
  <si>
    <t xml:space="preserve">   Machine Repair &amp; Maintenance</t>
  </si>
  <si>
    <t xml:space="preserve">   Machine spare parts</t>
  </si>
  <si>
    <t xml:space="preserve">   Meals and entertainment</t>
  </si>
  <si>
    <t xml:space="preserve">   Mobile &amp; Communication</t>
  </si>
  <si>
    <t xml:space="preserve">   Office expenses</t>
  </si>
  <si>
    <t xml:space="preserve">   Office Repair &amp; Maintenance</t>
  </si>
  <si>
    <t xml:space="preserve">   Rent Store Abu Dhabi</t>
  </si>
  <si>
    <t xml:space="preserve">   Salary Wages</t>
  </si>
  <si>
    <t xml:space="preserve">   Staff Health  Insurance</t>
  </si>
  <si>
    <t xml:space="preserve">   Staff Medical Expense</t>
  </si>
  <si>
    <t xml:space="preserve">   Stationery and printing</t>
  </si>
  <si>
    <t xml:space="preserve">   Travel expenses - general and admin expenses</t>
  </si>
  <si>
    <t xml:space="preserve">   Utilities</t>
  </si>
  <si>
    <t xml:space="preserve">   Vacation Leave paid</t>
  </si>
  <si>
    <t xml:space="preserve">   Vehicle Registration Expense</t>
  </si>
  <si>
    <t xml:space="preserve">   Vehicle Repairs and Maintenance</t>
  </si>
  <si>
    <t xml:space="preserve">   Visa Expense</t>
  </si>
  <si>
    <t xml:space="preserve">   Auditing &amp; Accounting</t>
  </si>
  <si>
    <t>Western Vending Machines</t>
  </si>
  <si>
    <t>Total</t>
  </si>
  <si>
    <t>Assets</t>
  </si>
  <si>
    <t xml:space="preserve">   Current Assets</t>
  </si>
  <si>
    <t xml:space="preserve">      Accounts receivable</t>
  </si>
  <si>
    <t xml:space="preserve">         Accounts Receivable (A/R)</t>
  </si>
  <si>
    <t xml:space="preserve">      Total Accounts receivable</t>
  </si>
  <si>
    <t xml:space="preserve">      Abu Dhabi Petty Cash</t>
  </si>
  <si>
    <t xml:space="preserve">      Inventory Asset</t>
  </si>
  <si>
    <t xml:space="preserve">      Other receivable</t>
  </si>
  <si>
    <t xml:space="preserve">      Prepaid baldia fee for cleaning AJM</t>
  </si>
  <si>
    <t xml:space="preserve">      Prepaid Car Insurance</t>
  </si>
  <si>
    <t xml:space="preserve">      Prepaid Rent  Abu Dhabi University</t>
  </si>
  <si>
    <t xml:space="preserve">      Prepaid Rent Abu Dhabi Room</t>
  </si>
  <si>
    <t xml:space="preserve">      Prepaid Rent Abu Dhabi Warehouse</t>
  </si>
  <si>
    <t xml:space="preserve">      Prepaid Rent Accommodation Ajman</t>
  </si>
  <si>
    <t xml:space="preserve">      Prepaid Rout Expense</t>
  </si>
  <si>
    <t xml:space="preserve">      Prepaid Staff Health Insurance</t>
  </si>
  <si>
    <t xml:space="preserve">      Prepaid Staff Visa Expense</t>
  </si>
  <si>
    <t xml:space="preserve">      Prepaid Store Rent Ajman</t>
  </si>
  <si>
    <t xml:space="preserve">      Prepaid Trade License</t>
  </si>
  <si>
    <t xml:space="preserve">      Prepaid Van Renewal Fee</t>
  </si>
  <si>
    <t xml:space="preserve">      Prepaid Vehicle Registration</t>
  </si>
  <si>
    <t xml:space="preserve">      Prepaid Vehicle Repair and Maintenance</t>
  </si>
  <si>
    <t xml:space="preserve">      Salik</t>
  </si>
  <si>
    <t xml:space="preserve">      Security deposit - Abu Dhabi Room</t>
  </si>
  <si>
    <t xml:space="preserve">      Security deposit - Abu Dhabi Store</t>
  </si>
  <si>
    <t xml:space="preserve">      Security deposit - Ajman Room</t>
  </si>
  <si>
    <t xml:space="preserve">      Security Deposit Ajman Store</t>
  </si>
  <si>
    <t xml:space="preserve">      Visa Deposits</t>
  </si>
  <si>
    <t xml:space="preserve">   Total Current Assets</t>
  </si>
  <si>
    <t xml:space="preserve">   Long-term assets</t>
  </si>
  <si>
    <t xml:space="preserve">      Accumulated depreciation Furniture and Fixture</t>
  </si>
  <si>
    <t xml:space="preserve">      Accumulated depreciation Machines</t>
  </si>
  <si>
    <t xml:space="preserve">      Accumulated depreciation Office Equipment</t>
  </si>
  <si>
    <t xml:space="preserve">      Accumulated depreciation Renovation</t>
  </si>
  <si>
    <t xml:space="preserve">      Accumulated depreciation Vehicle</t>
  </si>
  <si>
    <t xml:space="preserve">      Furniture and Fixtures</t>
  </si>
  <si>
    <t xml:space="preserve">      Machines</t>
  </si>
  <si>
    <t xml:space="preserve">      Office Equipment</t>
  </si>
  <si>
    <t xml:space="preserve">      Renovation</t>
  </si>
  <si>
    <t xml:space="preserve">      Vehicles</t>
  </si>
  <si>
    <t xml:space="preserve">      Custom Duty</t>
  </si>
  <si>
    <t xml:space="preserve">   Total long-term assets</t>
  </si>
  <si>
    <t>Liabilities and shareholder's equity</t>
  </si>
  <si>
    <t xml:space="preserve">   Current liabilities:</t>
  </si>
  <si>
    <t xml:space="preserve">      Accounts payable</t>
  </si>
  <si>
    <t xml:space="preserve">         Accounts Payable (A/P)</t>
  </si>
  <si>
    <t xml:space="preserve">      Total Accounts payable</t>
  </si>
  <si>
    <t xml:space="preserve">      EHS Contract payable</t>
  </si>
  <si>
    <t xml:space="preserve">      Infusion roastery LLC</t>
  </si>
  <si>
    <t xml:space="preserve">      Loan from Abdullah</t>
  </si>
  <si>
    <t xml:space="preserve">      MOH Payable Contract</t>
  </si>
  <si>
    <t xml:space="preserve">      Other current liabilities</t>
  </si>
  <si>
    <t xml:space="preserve">      Other Payable</t>
  </si>
  <si>
    <t xml:space="preserve">      Suspense A/C</t>
  </si>
  <si>
    <t xml:space="preserve">      un realised revenue</t>
  </si>
  <si>
    <t xml:space="preserve">      un-paid VAT For CID</t>
  </si>
  <si>
    <t xml:space="preserve">      VAT</t>
  </si>
  <si>
    <t xml:space="preserve">      VAT Suspense</t>
  </si>
  <si>
    <t xml:space="preserve">   Total current liabilities</t>
  </si>
  <si>
    <t xml:space="preserve">   Non-current liabilities:</t>
  </si>
  <si>
    <t xml:space="preserve">      Leased Vehicle</t>
  </si>
  <si>
    <t xml:space="preserve">      Leased vehicle peugeot</t>
  </si>
  <si>
    <t xml:space="preserve">   Total non-current liabilities</t>
  </si>
  <si>
    <t xml:space="preserve">   Shareholders' equity:</t>
  </si>
  <si>
    <t xml:space="preserve">   Total shareholders' equity</t>
  </si>
  <si>
    <t>Total liabilities and equity</t>
  </si>
  <si>
    <t>Monday, Nov 13, 2023 02:38:56 PM GMT+4 - Accrual Basis</t>
  </si>
  <si>
    <t>Prepayments</t>
  </si>
  <si>
    <t>Securities</t>
  </si>
  <si>
    <t>To ensure inventory accuracy, it is advisable to conduct a comprehensive inventory count on a quarterly basis, encompassing both physical store locations and Stock in machines.</t>
  </si>
  <si>
    <t xml:space="preserve">Because of not Conducting any machines stock count there is no exact inventory amount in machines is available </t>
  </si>
  <si>
    <t xml:space="preserve">There is no count of stock in machines available </t>
  </si>
  <si>
    <t xml:space="preserve">Inventory </t>
  </si>
  <si>
    <t xml:space="preserve">   Rent Store Ajman</t>
  </si>
  <si>
    <t>Rent Apartment &amp; Store Exp. Ajman</t>
  </si>
  <si>
    <t>Rent Apartment &amp; Store Exp. Abu Dhabi</t>
  </si>
  <si>
    <t>Depreciation Expense</t>
  </si>
  <si>
    <t xml:space="preserve">       Accumulated credit card machine asset</t>
  </si>
  <si>
    <t xml:space="preserve">     Credit Card Machine Asset</t>
  </si>
  <si>
    <t>Pending</t>
  </si>
  <si>
    <t xml:space="preserve">   Fines &amp; Mukhalfa</t>
  </si>
  <si>
    <t>Discuss</t>
  </si>
  <si>
    <t xml:space="preserve">Product Price </t>
  </si>
  <si>
    <t xml:space="preserve">Prices of our Products are less as compare to market </t>
  </si>
  <si>
    <t>We are selling at less prices and due less profit margin we are still in loss</t>
  </si>
  <si>
    <t xml:space="preserve">Review the products prices list and increase the prices accordingly </t>
  </si>
  <si>
    <t>Shipping and delivery expense</t>
  </si>
  <si>
    <t xml:space="preserve"> Shipping and delivery expense</t>
  </si>
  <si>
    <t>Cash in Machines</t>
  </si>
  <si>
    <t xml:space="preserve">We should immediately make the arrangements to count the cash in Machines </t>
  </si>
  <si>
    <t>As we didn't count physicaly cash in Machines since long</t>
  </si>
  <si>
    <t xml:space="preserve">There is risk of low balance of cash in Machines as we are not counting </t>
  </si>
  <si>
    <t>Revenue Overall Decrease</t>
  </si>
  <si>
    <t>Credit card Sales</t>
  </si>
  <si>
    <t xml:space="preserve">   Mr Munzer Room Rent</t>
  </si>
  <si>
    <t>Munzer Room Rent</t>
  </si>
  <si>
    <t>Mr Munzer Room Rent</t>
  </si>
  <si>
    <t>The overall revenue decrease due to the loss of key hospital locations such as Al Kuwaiti Hospital Sharjah, Abdullah Imran Hospital Ras Al Khaimah, Fujairah Hospital Coffee Machines, and Saqar Hospital RAK poses a significant from One of our competitor, Dallmayr has taken over these location so there is risk that this competitor can take further locations. If more locations are lost, it could further erode the revenue base, impacting profitability and long-term operations</t>
  </si>
  <si>
    <t>To mitigate the revenue loss, the company should focus on securing new locations to replace those that were lost. Additionally, developing stronger partnerships with existing clients or expanding services can help increase revenue.</t>
  </si>
  <si>
    <t>Credit Card Machines Charges</t>
  </si>
  <si>
    <t>Credit Card Machines provider sending money to our Bank account after some deductions(Services Charges)</t>
  </si>
  <si>
    <t xml:space="preserve">Credit Card Machines provider may be deducting some hiden charges </t>
  </si>
  <si>
    <t>Please provide us with the contract details for the credit card machines. Based on the agreed percentage, we will review and calculate each transaction to ensure that the deductions reflect the correct percentage as per the agreement.</t>
  </si>
  <si>
    <t>Credit Card Machine Monthly</t>
  </si>
  <si>
    <t xml:space="preserve">Nayax Credit Card Sales report </t>
  </si>
  <si>
    <t>Report Type</t>
  </si>
  <si>
    <t>Nayax Credit Card sale</t>
  </si>
  <si>
    <t xml:space="preserve">Total deposit In bank </t>
  </si>
  <si>
    <t>Difference/Nayax Charges</t>
  </si>
  <si>
    <t>Right Now In October-24 Revneue increase (little decrease as compare to September-24) because of Credit card machines however onverall Reveneu decreased because we lost some locations Like Al Kuwati Hospital Sharjah, Abdullah Imran Hospital Ras al khaimah, Fujerah Hospital Coffee machines, Saqar Hospital RAK</t>
  </si>
  <si>
    <t xml:space="preserve">Utilities Expense </t>
  </si>
  <si>
    <t>Utilities and Mobile bills / expense are not paid in the month of December 2024.</t>
  </si>
  <si>
    <t>Its will effect on next month (January 2025) profit decrees and showing double expense</t>
  </si>
  <si>
    <t>VAT and Duties</t>
  </si>
  <si>
    <t>VAT and Duties Payable</t>
  </si>
  <si>
    <t xml:space="preserve">    VAT and Duties</t>
  </si>
  <si>
    <t>Bad Debts</t>
  </si>
  <si>
    <t>Other / Discount Income</t>
  </si>
  <si>
    <t xml:space="preserve">Please record expenses in the same month when the expenses are incurred.  </t>
  </si>
  <si>
    <t>Comply</t>
  </si>
  <si>
    <t>Utilities and Mobile bills are not paid on monthly basis</t>
  </si>
  <si>
    <t>If we are not paying on the same month when the expense are incurred. its effect on both month financials which is the wrong practice.</t>
  </si>
  <si>
    <t>We recommend that you make regular payments, especially when the expense occurred in the same month.</t>
  </si>
  <si>
    <t>Bank Charges / VAT</t>
  </si>
  <si>
    <t>Bank released to Transguard SCDMs quarterly payments via bank for two quarters with 5% VAT.</t>
  </si>
  <si>
    <t>We need to charge input VAT in our VAT return, we need to book the bills / Invoices  as per the contract and pay through bill payment.</t>
  </si>
  <si>
    <t>You are not claiming your input VAT and this reduces your profit margin.</t>
  </si>
  <si>
    <t>Vehicle Registration Charges</t>
  </si>
  <si>
    <t>Vehicle Registration Charges booked expesne and charges in one month.</t>
  </si>
  <si>
    <t>We need to charge on monthly basis because vehicle registration charges for yearly, we need to book as prepaid expense.</t>
  </si>
  <si>
    <t>Its reduce the the profit of the month when we are making the expense.</t>
  </si>
  <si>
    <t>Personal Expense Mr Saeed</t>
  </si>
  <si>
    <t xml:space="preserve">   Personal Expense Mr Saeed</t>
  </si>
  <si>
    <t>As of May 31, 2025</t>
  </si>
  <si>
    <t>Closed</t>
  </si>
  <si>
    <t>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</si>
</sst>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_(* \(#,##0\);_(* &quot;-&quot;_);_(@_)"/>
    <numFmt numFmtId="43" formatCode="_(* #,##0.00_);_(* \(#,##0.00\);_(* &quot;-&quot;??_);_(@_)"/>
    <numFmt numFmtId="164" formatCode="_-* #,##0_-;\-* #,##0_-;_-* &quot;-&quot;_-;_-@_-"/>
    <numFmt numFmtId="165" formatCode="_-* #,##0.00_-;\-* #,##0.00_-;_-* &quot;-&quot;??_-;_-@_-"/>
    <numFmt numFmtId="166" formatCode="[$-409]d\-mmm\-yy;@"/>
    <numFmt numFmtId="167" formatCode="m/d/yy;@"/>
    <numFmt numFmtId="168" formatCode="[$-409]mmm\-yy;@"/>
    <numFmt numFmtId="169" formatCode="_(* #,##0_);_(* \(#,##0\);_(* &quot;-&quot;??_);_(@_)"/>
    <numFmt numFmtId="170" formatCode="_(* #,##0.0_);_(* \(#,##0.0\);_(* &quot;-&quot;??_);_(@_)"/>
    <numFmt numFmtId="171" formatCode="[$-F400]h:mm:ss\ AM/PM"/>
    <numFmt numFmtId="172" formatCode="0.00_)"/>
    <numFmt numFmtId="173" formatCode="0%;\(0\)%"/>
    <numFmt numFmtId="174" formatCode="_(* #,##0.00000000_);_(* \(#,##0.00000000\);_(* &quot;-&quot;??_);_(@_)"/>
    <numFmt numFmtId="175" formatCode="#,##0;\(#,##0\)"/>
    <numFmt numFmtId="176" formatCode="_-* #,##0\ &quot;F&quot;_-;\-* #,##0\ &quot;F&quot;_-;_-* &quot;-&quot;\ &quot;F&quot;_-;_-@_-"/>
    <numFmt numFmtId="177" formatCode="\$#,##0\ ;\(\$#,##0\)"/>
    <numFmt numFmtId="178" formatCode="General_)"/>
    <numFmt numFmtId="179" formatCode="* #,##0_);* \(#,##0\);&quot;-&quot;??_);@"/>
    <numFmt numFmtId="180" formatCode="&quot;$&quot;##,##0_);[Red]&quot;$&quot;\(#,##0\)"/>
    <numFmt numFmtId="181" formatCode="&quot; $&quot;* #,##0.00_ ;"/>
    <numFmt numFmtId="182" formatCode="_-* #,##0\ _P_t_s_-;\-* #,##0\ _P_t_s_-;_-* &quot;-&quot;\ _P_t_s_-;_-@_-"/>
    <numFmt numFmtId="183" formatCode="_-* #,##0.00\ _P_t_s_-;\-* #,##0.00\ _P_t_s_-;_-* &quot;-&quot;??\ _P_t_s_-;_-@_-"/>
    <numFmt numFmtId="184" formatCode="&quot;$&quot;#,##0;[Red]\-&quot;$&quot;#,##0"/>
    <numFmt numFmtId="185" formatCode="&quot;$&quot;#,##0.00;[Red]\-&quot;$&quot;#,##0.00"/>
    <numFmt numFmtId="186" formatCode="[&gt;1]\ &quot;Pk of &quot;\ #;[=1]\ &quot;Each&quot;;\ 0.000\ &quot; km&quot;"/>
    <numFmt numFmtId="187" formatCode="#,##0&quot;£&quot;_);[Red]\(#,##0&quot;£&quot;\)"/>
    <numFmt numFmtId="188" formatCode="[$-409]mmmm\-yy;@"/>
    <numFmt numFmtId="189" formatCode="_(&quot;Rs.&quot;* #,##0.00_);_(&quot;Rs.&quot;* \(#,##0.00\);_(&quot;Rs.&quot;* &quot;-&quot;??_);_(@_)"/>
    <numFmt numFmtId="190" formatCode="0%_);\(0%\)"/>
    <numFmt numFmtId="191" formatCode="mm/dd/yy"/>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mmmm/yyyy"/>
    <numFmt numFmtId="199" formatCode="#,##0.00\ _€"/>
    <numFmt numFmtId="200" formatCode="&quot;AED&quot;* #,##0.00\ _€"/>
    <numFmt numFmtId="201" formatCode="&quot;AED&quot;#,##0.00"/>
  </numFmts>
  <fonts count="159">
    <font>
      <sz val="11"/>
      <color theme="1"/>
      <name val="Calibri"/>
      <family val="2"/>
      <scheme val="minor"/>
    </font>
    <font>
      <sz val="16"/>
      <name val="Times New Roman"/>
      <family val="1"/>
    </font>
    <font>
      <sz val="12"/>
      <name val="Times New Roman"/>
      <family val="1"/>
    </font>
    <font>
      <sz val="11"/>
      <name val="Times New Roman"/>
      <family val="1"/>
    </font>
    <font>
      <sz val="14"/>
      <name val="Times New Roman"/>
      <family val="1"/>
    </font>
    <font>
      <b/>
      <sz val="16"/>
      <name val="Times New Roman"/>
      <family val="1"/>
    </font>
    <font>
      <b/>
      <sz val="14"/>
      <name val="Times New Roman"/>
      <family val="1"/>
    </font>
    <font>
      <sz val="10"/>
      <name val="Arial"/>
      <family val="2"/>
    </font>
    <font>
      <sz val="10"/>
      <name val="Arial"/>
      <family val="2"/>
    </font>
    <font>
      <u/>
      <sz val="10"/>
      <color indexed="12"/>
      <name val="Arial"/>
      <family val="2"/>
    </font>
    <font>
      <b/>
      <sz val="12"/>
      <name val="Times New Roman"/>
      <family val="1"/>
    </font>
    <font>
      <b/>
      <sz val="11"/>
      <name val="Times New Roman"/>
      <family val="1"/>
    </font>
    <font>
      <sz val="34"/>
      <name val="Times New Roman"/>
      <family val="1"/>
    </font>
    <font>
      <b/>
      <sz val="13"/>
      <name val="Times New Roman"/>
      <family val="1"/>
    </font>
    <font>
      <b/>
      <sz val="10"/>
      <name val="Times New Roman"/>
      <family val="1"/>
    </font>
    <font>
      <sz val="10"/>
      <name val="Times New Roman"/>
      <family val="1"/>
    </font>
    <font>
      <sz val="12"/>
      <name val="Arial"/>
      <family val="2"/>
    </font>
    <font>
      <b/>
      <sz val="10"/>
      <name val="Arial"/>
      <family val="2"/>
    </font>
    <font>
      <sz val="12"/>
      <name val="DTMLetterRegular"/>
    </font>
    <font>
      <sz val="10"/>
      <color indexed="8"/>
      <name val="Arial"/>
      <family val="2"/>
    </font>
    <font>
      <sz val="10"/>
      <color indexed="9"/>
      <name val="Arial"/>
      <family val="2"/>
    </font>
    <font>
      <sz val="12"/>
      <name val="¹UAAA¼"/>
      <family val="3"/>
      <charset val="255"/>
    </font>
    <font>
      <sz val="10"/>
      <color indexed="20"/>
      <name val="Arial"/>
      <family val="2"/>
    </font>
    <font>
      <sz val="12"/>
      <name val="Tms Rmn"/>
      <charset val="178"/>
    </font>
    <font>
      <b/>
      <sz val="10"/>
      <color indexed="52"/>
      <name val="Arial"/>
      <family val="2"/>
    </font>
    <font>
      <b/>
      <sz val="10"/>
      <color indexed="9"/>
      <name val="Arial"/>
      <family val="2"/>
    </font>
    <font>
      <sz val="11"/>
      <name val="Tms Rmn"/>
    </font>
    <font>
      <sz val="11"/>
      <name val="Tms Rmn"/>
      <family val="1"/>
    </font>
    <font>
      <sz val="10"/>
      <color indexed="8"/>
      <name val="Calibri"/>
      <family val="2"/>
    </font>
    <font>
      <sz val="11"/>
      <color indexed="8"/>
      <name val="Calibri"/>
      <family val="2"/>
    </font>
    <font>
      <sz val="10"/>
      <name val="MS Serif"/>
      <family val="1"/>
    </font>
    <font>
      <sz val="10"/>
      <name val="Courier"/>
      <family val="3"/>
    </font>
    <font>
      <sz val="24"/>
      <color indexed="13"/>
      <name val="SWISS"/>
      <family val="2"/>
    </font>
    <font>
      <sz val="10"/>
      <color indexed="16"/>
      <name val="MS Serif"/>
      <family val="1"/>
    </font>
    <font>
      <i/>
      <sz val="10"/>
      <color indexed="23"/>
      <name val="Arial"/>
      <family val="2"/>
    </font>
    <font>
      <b/>
      <sz val="14"/>
      <name val="SWISS"/>
      <family val="2"/>
    </font>
    <font>
      <b/>
      <i/>
      <sz val="20"/>
      <color indexed="49"/>
      <name val="Book Antiqua"/>
      <family val="1"/>
    </font>
    <font>
      <sz val="10"/>
      <color indexed="17"/>
      <name val="Arial"/>
      <family val="2"/>
    </font>
    <font>
      <sz val="8"/>
      <name val="Arial"/>
      <family val="2"/>
      <charset val="178"/>
    </font>
    <font>
      <b/>
      <sz val="12"/>
      <name val="Arial"/>
      <family val="2"/>
      <charset val="178"/>
    </font>
    <font>
      <b/>
      <sz val="15"/>
      <color indexed="56"/>
      <name val="Arial"/>
      <family val="2"/>
    </font>
    <font>
      <b/>
      <sz val="13"/>
      <color indexed="56"/>
      <name val="Arial"/>
      <family val="2"/>
    </font>
    <font>
      <b/>
      <sz val="11"/>
      <color indexed="56"/>
      <name val="Arial"/>
      <family val="2"/>
    </font>
    <font>
      <sz val="10"/>
      <color indexed="62"/>
      <name val="Arial"/>
      <family val="2"/>
    </font>
    <font>
      <sz val="12"/>
      <name val="Helv"/>
    </font>
    <font>
      <sz val="10"/>
      <color indexed="52"/>
      <name val="Arial"/>
      <family val="2"/>
    </font>
    <font>
      <sz val="10"/>
      <name val="MS Sans Serif"/>
      <family val="2"/>
    </font>
    <font>
      <sz val="10"/>
      <color indexed="60"/>
      <name val="Arial"/>
      <family val="2"/>
    </font>
    <font>
      <sz val="7"/>
      <name val="Small Fonts"/>
      <family val="2"/>
    </font>
    <font>
      <sz val="10"/>
      <name val="Geneva"/>
    </font>
    <font>
      <sz val="12"/>
      <name val="Helv"/>
      <family val="2"/>
    </font>
    <font>
      <sz val="10"/>
      <color indexed="8"/>
      <name val="MS Sans Serif"/>
      <family val="2"/>
    </font>
    <font>
      <sz val="10"/>
      <name val="Book Antiqua"/>
      <family val="1"/>
    </font>
    <font>
      <sz val="8"/>
      <color indexed="10"/>
      <name val="MS Sans Serif"/>
      <family val="2"/>
    </font>
    <font>
      <b/>
      <sz val="10"/>
      <color indexed="63"/>
      <name val="Arial"/>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name val="Helv"/>
      <charset val="178"/>
    </font>
    <font>
      <b/>
      <sz val="12"/>
      <name val="SWISS"/>
      <family val="2"/>
    </font>
    <font>
      <sz val="12"/>
      <color indexed="13"/>
      <name val="SWISS"/>
      <family val="2"/>
    </font>
    <font>
      <b/>
      <sz val="12"/>
      <name val="Albertus Medium"/>
      <family val="2"/>
    </font>
    <font>
      <b/>
      <sz val="8"/>
      <color indexed="8"/>
      <name val="Helv"/>
      <charset val="178"/>
    </font>
    <font>
      <b/>
      <sz val="10"/>
      <color indexed="10"/>
      <name val="Arial"/>
      <family val="2"/>
    </font>
    <font>
      <b/>
      <sz val="10"/>
      <color indexed="8"/>
      <name val="Arial"/>
      <family val="2"/>
    </font>
    <font>
      <sz val="10"/>
      <color indexed="10"/>
      <name val="Arial"/>
      <family val="2"/>
    </font>
    <font>
      <sz val="14"/>
      <name val="뼻뮝"/>
      <family val="3"/>
      <charset val="255"/>
    </font>
    <font>
      <sz val="12"/>
      <name val="뼻뮝"/>
      <family val="1"/>
      <charset val="255"/>
    </font>
    <font>
      <sz val="12"/>
      <name val="바탕체"/>
      <family val="1"/>
      <charset val="255"/>
    </font>
    <font>
      <sz val="10"/>
      <name val="굴림체"/>
      <family val="3"/>
      <charset val="255"/>
    </font>
    <font>
      <sz val="11"/>
      <name val="ＭＳ Ｐゴシック"/>
      <charset val="128"/>
    </font>
    <font>
      <sz val="13"/>
      <name val="Times New Roman"/>
      <family val="1"/>
    </font>
    <font>
      <b/>
      <sz val="36"/>
      <name val="Times New Roman"/>
      <family val="1"/>
    </font>
    <font>
      <b/>
      <sz val="18"/>
      <name val="Times New Roman"/>
      <family val="1"/>
    </font>
    <font>
      <sz val="11"/>
      <color theme="1"/>
      <name val="Calibri"/>
      <family val="2"/>
      <scheme val="minor"/>
    </font>
    <font>
      <u/>
      <sz val="10"/>
      <color rgb="FF0000FF"/>
      <name val="Arial"/>
      <family val="2"/>
    </font>
    <font>
      <sz val="10"/>
      <color theme="1"/>
      <name val="Calibri"/>
      <family val="2"/>
    </font>
    <font>
      <sz val="11"/>
      <color theme="1"/>
      <name val="Times New Roman"/>
      <family val="1"/>
    </font>
    <font>
      <b/>
      <sz val="20"/>
      <color theme="4" tint="-0.499984740745262"/>
      <name val="Times New Roman"/>
      <family val="1"/>
    </font>
    <font>
      <sz val="16"/>
      <color theme="4" tint="-0.499984740745262"/>
      <name val="Times New Roman"/>
      <family val="1"/>
    </font>
    <font>
      <sz val="11"/>
      <color theme="4" tint="-0.499984740745262"/>
      <name val="Times New Roman"/>
      <family val="1"/>
    </font>
    <font>
      <b/>
      <sz val="12"/>
      <color theme="4" tint="-0.499984740745262"/>
      <name val="Times New Roman"/>
      <family val="1"/>
    </font>
    <font>
      <b/>
      <u/>
      <sz val="20"/>
      <color theme="4" tint="-0.499984740745262"/>
      <name val="Times New Roman"/>
      <family val="1"/>
    </font>
    <font>
      <b/>
      <sz val="16"/>
      <color theme="4" tint="-0.499984740745262"/>
      <name val="Times New Roman"/>
      <family val="1"/>
    </font>
    <font>
      <sz val="12"/>
      <color theme="4" tint="-0.499984740745262"/>
      <name val="Times New Roman"/>
      <family val="1"/>
    </font>
    <font>
      <sz val="14"/>
      <color theme="4" tint="-0.499984740745262"/>
      <name val="Times New Roman"/>
      <family val="1"/>
    </font>
    <font>
      <b/>
      <sz val="16"/>
      <color theme="1"/>
      <name val="Times New Roman"/>
      <family val="1"/>
    </font>
    <font>
      <sz val="34"/>
      <color theme="0"/>
      <name val="Times New Roman"/>
      <family val="1"/>
    </font>
    <font>
      <sz val="20"/>
      <color theme="6" tint="-0.249977111117893"/>
      <name val="Times New Roman"/>
      <family val="1"/>
    </font>
    <font>
      <sz val="10"/>
      <color theme="1"/>
      <name val="Times New Roman"/>
      <family val="1"/>
    </font>
    <font>
      <b/>
      <sz val="13"/>
      <color theme="4" tint="-0.499984740745262"/>
      <name val="Times New Roman"/>
      <family val="1"/>
    </font>
    <font>
      <sz val="13"/>
      <color theme="4" tint="-0.499984740745262"/>
      <name val="Times New Roman"/>
      <family val="1"/>
    </font>
    <font>
      <sz val="12"/>
      <color theme="1"/>
      <name val="Times New Roman"/>
      <family val="1"/>
    </font>
    <font>
      <sz val="10"/>
      <color theme="0"/>
      <name val="Times New Roman"/>
      <family val="1"/>
    </font>
    <font>
      <sz val="12"/>
      <color theme="0"/>
      <name val="Times New Roman"/>
      <family val="1"/>
    </font>
    <font>
      <sz val="20"/>
      <color theme="1"/>
      <name val="Times New Roman"/>
      <family val="1"/>
    </font>
    <font>
      <sz val="14"/>
      <color theme="1"/>
      <name val="Times New Roman"/>
      <family val="1"/>
    </font>
    <font>
      <b/>
      <sz val="22"/>
      <color theme="0"/>
      <name val="Times New Roman"/>
      <family val="1"/>
    </font>
    <font>
      <b/>
      <sz val="11"/>
      <color theme="1"/>
      <name val="Times New Roman"/>
      <family val="1"/>
    </font>
    <font>
      <u/>
      <sz val="11"/>
      <color theme="0"/>
      <name val="Times New Roman"/>
      <family val="1"/>
    </font>
    <font>
      <sz val="9"/>
      <color theme="1"/>
      <name val="Times New Roman"/>
      <family val="1"/>
    </font>
    <font>
      <b/>
      <sz val="36"/>
      <color theme="4" tint="-0.499984740745262"/>
      <name val="Times New Roman"/>
      <family val="1"/>
    </font>
    <font>
      <sz val="20"/>
      <color theme="4" tint="-0.499984740745262"/>
      <name val="Times New Roman"/>
      <family val="1"/>
    </font>
    <font>
      <b/>
      <sz val="14"/>
      <color theme="0"/>
      <name val="Times New Roman"/>
      <family val="1"/>
    </font>
    <font>
      <sz val="24"/>
      <color theme="1"/>
      <name val="Times New Roman"/>
      <family val="1"/>
    </font>
    <font>
      <b/>
      <sz val="12"/>
      <color theme="1"/>
      <name val="Times New Roman"/>
      <family val="1"/>
    </font>
    <font>
      <b/>
      <sz val="14"/>
      <color theme="4" tint="-0.499984740745262"/>
      <name val="Times New Roman"/>
      <family val="1"/>
    </font>
    <font>
      <b/>
      <sz val="16"/>
      <color theme="0"/>
      <name val="Times New Roman"/>
      <family val="1"/>
    </font>
    <font>
      <b/>
      <sz val="11"/>
      <color theme="4" tint="-0.499984740745262"/>
      <name val="Times New Roman"/>
      <family val="1"/>
    </font>
    <font>
      <b/>
      <sz val="20"/>
      <color theme="0"/>
      <name val="Times New Roman"/>
      <family val="1"/>
    </font>
    <font>
      <b/>
      <u/>
      <sz val="14"/>
      <color theme="0"/>
      <name val="Times New Roman"/>
      <family val="1"/>
    </font>
    <font>
      <sz val="14"/>
      <color theme="0"/>
      <name val="Times New Roman"/>
      <family val="1"/>
    </font>
    <font>
      <sz val="11"/>
      <color theme="0"/>
      <name val="Times New Roman"/>
      <family val="1"/>
    </font>
    <font>
      <sz val="14"/>
      <color theme="6" tint="-0.249977111117893"/>
      <name val="Times New Roman"/>
      <family val="1"/>
    </font>
    <font>
      <b/>
      <sz val="18"/>
      <color theme="4" tint="-0.499984740745262"/>
      <name val="Times New Roman"/>
      <family val="1"/>
    </font>
    <font>
      <b/>
      <sz val="14"/>
      <color rgb="FF000000"/>
      <name val="Times New Roman"/>
      <family val="1"/>
    </font>
    <font>
      <b/>
      <sz val="18"/>
      <color theme="0"/>
      <name val="Times New Roman"/>
      <family val="1"/>
    </font>
    <font>
      <b/>
      <sz val="28"/>
      <color theme="0"/>
      <name val="Times New Roman"/>
      <family val="1"/>
    </font>
    <font>
      <sz val="16"/>
      <color theme="0"/>
      <name val="Times New Roman"/>
      <family val="1"/>
    </font>
    <font>
      <sz val="10"/>
      <color rgb="FF000000"/>
      <name val="Times New Roman"/>
      <family val="1"/>
    </font>
    <font>
      <b/>
      <sz val="10"/>
      <color rgb="FF000000"/>
      <name val="Times New Roman"/>
      <family val="1"/>
    </font>
    <font>
      <b/>
      <sz val="20"/>
      <color theme="1"/>
      <name val="Times New Roman"/>
      <family val="1"/>
    </font>
    <font>
      <b/>
      <sz val="18"/>
      <color theme="1"/>
      <name val="Times New Roman"/>
      <family val="1"/>
    </font>
    <font>
      <sz val="34"/>
      <color theme="1"/>
      <name val="Times New Roman"/>
      <family val="1"/>
    </font>
    <font>
      <sz val="16"/>
      <color theme="1"/>
      <name val="Times New Roman"/>
      <family val="1"/>
    </font>
    <font>
      <b/>
      <sz val="24"/>
      <color theme="1"/>
      <name val="Times New Roman"/>
      <family val="1"/>
    </font>
    <font>
      <b/>
      <sz val="22"/>
      <color theme="1"/>
      <name val="Times New Roman"/>
      <family val="1"/>
    </font>
    <font>
      <b/>
      <sz val="10"/>
      <color theme="1"/>
      <name val="Times New Roman"/>
      <family val="1"/>
    </font>
    <font>
      <b/>
      <sz val="13"/>
      <color theme="1"/>
      <name val="Times New Roman"/>
      <family val="1"/>
    </font>
    <font>
      <b/>
      <u/>
      <sz val="16"/>
      <color theme="1"/>
      <name val="Times New Roman"/>
      <family val="1"/>
    </font>
    <font>
      <sz val="13"/>
      <color theme="1"/>
      <name val="Times New Roman"/>
      <family val="1"/>
    </font>
    <font>
      <b/>
      <sz val="12"/>
      <color theme="0"/>
      <name val="Times New Roman"/>
      <family val="1"/>
    </font>
    <font>
      <b/>
      <sz val="10"/>
      <color indexed="30"/>
      <name val="Times New Roman"/>
      <family val="1"/>
    </font>
    <font>
      <sz val="20"/>
      <color theme="0"/>
      <name val="Times New Roman"/>
      <family val="1"/>
    </font>
    <font>
      <b/>
      <sz val="14"/>
      <color theme="1"/>
      <name val="Times New Roman"/>
      <family val="1"/>
    </font>
    <font>
      <sz val="10"/>
      <color theme="0"/>
      <name val="Arial"/>
      <family val="2"/>
    </font>
    <font>
      <b/>
      <sz val="26"/>
      <color rgb="FF000000"/>
      <name val="Times New Roman"/>
      <family val="1"/>
    </font>
    <font>
      <b/>
      <sz val="24"/>
      <color rgb="FF993300"/>
      <name val="Times New Roman"/>
      <family val="1"/>
    </font>
    <font>
      <b/>
      <sz val="22"/>
      <color rgb="FF993300"/>
      <name val="Times New Roman"/>
      <family val="1"/>
    </font>
    <font>
      <b/>
      <sz val="48"/>
      <color theme="0"/>
      <name val="Times New Roman"/>
      <family val="1"/>
    </font>
    <font>
      <b/>
      <sz val="18"/>
      <color theme="0"/>
      <name val="Calibri"/>
      <family val="2"/>
      <scheme val="minor"/>
    </font>
    <font>
      <b/>
      <sz val="16"/>
      <color rgb="FF993300"/>
      <name val="Calibri"/>
      <family val="2"/>
      <scheme val="minor"/>
    </font>
    <font>
      <b/>
      <sz val="12"/>
      <color rgb="FF000000"/>
      <name val="Times New Roman"/>
      <family val="1"/>
    </font>
    <font>
      <b/>
      <sz val="14"/>
      <color indexed="8"/>
      <name val="Arial"/>
      <family val="2"/>
    </font>
    <font>
      <b/>
      <sz val="9"/>
      <color indexed="8"/>
      <name val="Arial"/>
      <family val="2"/>
    </font>
    <font>
      <b/>
      <sz val="8"/>
      <color indexed="8"/>
      <name val="Arial"/>
      <family val="2"/>
    </font>
    <font>
      <sz val="8"/>
      <color indexed="8"/>
      <name val="Arial"/>
      <family val="2"/>
    </font>
    <font>
      <b/>
      <sz val="24"/>
      <color theme="0"/>
      <name val="Times New Roman"/>
      <family val="1"/>
    </font>
    <font>
      <b/>
      <sz val="14"/>
      <color theme="1"/>
      <name val="Calibri"/>
      <family val="2"/>
      <scheme val="minor"/>
    </font>
    <font>
      <b/>
      <sz val="8"/>
      <color indexed="8"/>
      <name val="Arial"/>
      <family val="2"/>
    </font>
    <font>
      <b/>
      <sz val="11"/>
      <color theme="1"/>
      <name val="Calibri"/>
      <family val="2"/>
      <scheme val="minor"/>
    </font>
    <font>
      <b/>
      <sz val="12"/>
      <name val="Calibri"/>
      <family val="2"/>
    </font>
    <font>
      <b/>
      <sz val="11"/>
      <name val="Calibri"/>
      <family val="2"/>
    </font>
    <font>
      <b/>
      <sz val="12"/>
      <color theme="1"/>
      <name val="Calibri"/>
      <family val="2"/>
      <scheme val="minor"/>
    </font>
    <font>
      <sz val="8"/>
      <color indexed="8"/>
      <name val="Arial"/>
      <family val="2"/>
    </font>
    <font>
      <sz val="8"/>
      <color indexed="8"/>
      <name val="Arial"/>
      <family val="2"/>
    </font>
    <font>
      <sz val="11"/>
      <color rgb="FFFF0000"/>
      <name val="Calibri"/>
      <family val="2"/>
      <scheme val="minor"/>
    </font>
    <font>
      <sz val="10"/>
      <color rgb="FFFF0000"/>
      <name val="Times New Roman"/>
      <family val="1"/>
    </font>
  </fonts>
  <fills count="44">
    <fill>
      <patternFill patternType="none"/>
    </fill>
    <fill>
      <patternFill patternType="gray125"/>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12"/>
        <bgColor indexed="12"/>
      </patternFill>
    </fill>
    <fill>
      <patternFill patternType="solid">
        <fgColor indexed="13"/>
        <bgColor indexed="1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rgb="FF993300"/>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9" tint="0.79998168889431442"/>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style="medium">
        <color indexed="64"/>
      </top>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medium">
        <color indexed="55"/>
      </left>
      <right style="medium">
        <color indexed="55"/>
      </right>
      <top style="medium">
        <color indexed="55"/>
      </top>
      <bottom style="medium">
        <color indexed="55"/>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style="double">
        <color indexed="64"/>
      </bottom>
      <diagonal/>
    </border>
    <border>
      <left/>
      <right/>
      <top style="thin">
        <color indexed="64"/>
      </top>
      <bottom/>
      <diagonal/>
    </border>
    <border>
      <left/>
      <right style="thin">
        <color indexed="64"/>
      </right>
      <top style="thin">
        <color indexed="64"/>
      </top>
      <bottom/>
      <diagonal/>
    </border>
    <border>
      <left/>
      <right style="thin">
        <color theme="0"/>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top style="double">
        <color indexed="64"/>
      </top>
      <bottom style="medium">
        <color indexed="64"/>
      </bottom>
      <diagonal/>
    </border>
    <border>
      <left style="thin">
        <color indexed="64"/>
      </left>
      <right/>
      <top/>
      <bottom/>
      <diagonal/>
    </border>
    <border>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75">
    <xf numFmtId="0" fontId="0" fillId="0" borderId="0"/>
    <xf numFmtId="170" fontId="17" fillId="0" borderId="0">
      <alignment horizontal="right"/>
    </xf>
    <xf numFmtId="171" fontId="7" fillId="0" borderId="0"/>
    <xf numFmtId="171" fontId="7" fillId="0" borderId="0"/>
    <xf numFmtId="0" fontId="7" fillId="0" borderId="0"/>
    <xf numFmtId="49" fontId="7" fillId="0" borderId="0" applyNumberFormat="0" applyFont="0" applyFill="0" applyBorder="0" applyAlignment="0" applyProtection="0"/>
    <xf numFmtId="49" fontId="7" fillId="0" borderId="0" applyNumberFormat="0" applyFont="0" applyFill="0" applyBorder="0" applyAlignment="0" applyProtection="0"/>
    <xf numFmtId="171" fontId="7" fillId="0" borderId="0"/>
    <xf numFmtId="171" fontId="7" fillId="0" borderId="0"/>
    <xf numFmtId="171" fontId="18" fillId="0" borderId="0"/>
    <xf numFmtId="171" fontId="7" fillId="0" borderId="0"/>
    <xf numFmtId="171" fontId="7" fillId="0" borderId="0"/>
    <xf numFmtId="171" fontId="19" fillId="3" borderId="0" applyNumberFormat="0" applyBorder="0" applyAlignment="0" applyProtection="0"/>
    <xf numFmtId="171" fontId="19" fillId="5" borderId="0" applyNumberFormat="0" applyBorder="0" applyAlignment="0" applyProtection="0"/>
    <xf numFmtId="171" fontId="19" fillId="6" borderId="0" applyNumberFormat="0" applyBorder="0" applyAlignment="0" applyProtection="0"/>
    <xf numFmtId="171" fontId="19" fillId="8" borderId="0" applyNumberFormat="0" applyBorder="0" applyAlignment="0" applyProtection="0"/>
    <xf numFmtId="171" fontId="19" fillId="2" borderId="0" applyNumberFormat="0" applyBorder="0" applyAlignment="0" applyProtection="0"/>
    <xf numFmtId="171" fontId="19" fillId="4" borderId="0" applyNumberFormat="0" applyBorder="0" applyAlignment="0" applyProtection="0"/>
    <xf numFmtId="171" fontId="19" fillId="9" borderId="0" applyNumberFormat="0" applyBorder="0" applyAlignment="0" applyProtection="0"/>
    <xf numFmtId="171" fontId="19" fillId="10" borderId="0" applyNumberFormat="0" applyBorder="0" applyAlignment="0" applyProtection="0"/>
    <xf numFmtId="171" fontId="19" fillId="12" borderId="0" applyNumberFormat="0" applyBorder="0" applyAlignment="0" applyProtection="0"/>
    <xf numFmtId="171" fontId="19" fillId="8" borderId="0" applyNumberFormat="0" applyBorder="0" applyAlignment="0" applyProtection="0"/>
    <xf numFmtId="171" fontId="19" fillId="9" borderId="0" applyNumberFormat="0" applyBorder="0" applyAlignment="0" applyProtection="0"/>
    <xf numFmtId="171" fontId="19" fillId="14" borderId="0" applyNumberFormat="0" applyBorder="0" applyAlignment="0" applyProtection="0"/>
    <xf numFmtId="171" fontId="20" fillId="15" borderId="0" applyNumberFormat="0" applyBorder="0" applyAlignment="0" applyProtection="0"/>
    <xf numFmtId="171" fontId="20" fillId="10" borderId="0" applyNumberFormat="0" applyBorder="0" applyAlignment="0" applyProtection="0"/>
    <xf numFmtId="171" fontId="20" fillId="12" borderId="0" applyNumberFormat="0" applyBorder="0" applyAlignment="0" applyProtection="0"/>
    <xf numFmtId="171" fontId="20" fillId="16" borderId="0" applyNumberFormat="0" applyBorder="0" applyAlignment="0" applyProtection="0"/>
    <xf numFmtId="171" fontId="20" fillId="17" borderId="0" applyNumberFormat="0" applyBorder="0" applyAlignment="0" applyProtection="0"/>
    <xf numFmtId="171" fontId="20" fillId="19" borderId="0" applyNumberFormat="0" applyBorder="0" applyAlignment="0" applyProtection="0"/>
    <xf numFmtId="171" fontId="20" fillId="20" borderId="0" applyNumberFormat="0" applyBorder="0" applyAlignment="0" applyProtection="0"/>
    <xf numFmtId="171" fontId="20" fillId="22" borderId="0" applyNumberFormat="0" applyBorder="0" applyAlignment="0" applyProtection="0"/>
    <xf numFmtId="171" fontId="20" fillId="18" borderId="0" applyNumberFormat="0" applyBorder="0" applyAlignment="0" applyProtection="0"/>
    <xf numFmtId="171" fontId="20" fillId="16" borderId="0" applyNumberFormat="0" applyBorder="0" applyAlignment="0" applyProtection="0"/>
    <xf numFmtId="171" fontId="20" fillId="17" borderId="0" applyNumberFormat="0" applyBorder="0" applyAlignment="0" applyProtection="0"/>
    <xf numFmtId="171" fontId="20" fillId="21"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2" fillId="5" borderId="0" applyNumberFormat="0" applyBorder="0" applyAlignment="0" applyProtection="0"/>
    <xf numFmtId="0" fontId="23" fillId="0" borderId="0" applyNumberFormat="0" applyFill="0" applyBorder="0" applyAlignment="0" applyProtection="0"/>
    <xf numFmtId="171" fontId="21" fillId="0" borderId="0"/>
    <xf numFmtId="171" fontId="21" fillId="0" borderId="0"/>
    <xf numFmtId="0" fontId="7" fillId="0" borderId="0" applyFill="0" applyBorder="0" applyAlignment="0"/>
    <xf numFmtId="171" fontId="7" fillId="0" borderId="0" applyFill="0" applyBorder="0" applyAlignment="0"/>
    <xf numFmtId="171" fontId="24" fillId="11" borderId="1" applyNumberFormat="0" applyAlignment="0" applyProtection="0"/>
    <xf numFmtId="171" fontId="25" fillId="23" borderId="2" applyNumberFormat="0" applyAlignment="0" applyProtection="0"/>
    <xf numFmtId="43" fontId="75" fillId="0" borderId="0" applyFont="0" applyFill="0" applyBorder="0" applyAlignment="0" applyProtection="0"/>
    <xf numFmtId="0" fontId="26" fillId="0" borderId="0"/>
    <xf numFmtId="171" fontId="27" fillId="0" borderId="0"/>
    <xf numFmtId="0" fontId="26" fillId="0" borderId="0"/>
    <xf numFmtId="171" fontId="27" fillId="0" borderId="0"/>
    <xf numFmtId="0" fontId="26" fillId="0" borderId="0"/>
    <xf numFmtId="171" fontId="27" fillId="0" borderId="0"/>
    <xf numFmtId="0" fontId="26" fillId="0" borderId="0"/>
    <xf numFmtId="171" fontId="27" fillId="0" borderId="0"/>
    <xf numFmtId="0" fontId="26" fillId="0" borderId="0"/>
    <xf numFmtId="171" fontId="27" fillId="0" borderId="0"/>
    <xf numFmtId="0" fontId="26" fillId="0" borderId="0"/>
    <xf numFmtId="171" fontId="27" fillId="0" borderId="0"/>
    <xf numFmtId="0" fontId="26" fillId="0" borderId="0"/>
    <xf numFmtId="171" fontId="27" fillId="0" borderId="0"/>
    <xf numFmtId="0" fontId="26" fillId="0" borderId="0"/>
    <xf numFmtId="171" fontId="27" fillId="0" borderId="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5" fillId="0" borderId="0" applyFont="0" applyFill="0" applyBorder="0" applyAlignment="0" applyProtection="0"/>
    <xf numFmtId="172" fontId="28" fillId="0" borderId="0" applyFont="0" applyFill="0" applyBorder="0" applyAlignment="0" applyProtection="0"/>
    <xf numFmtId="172" fontId="28" fillId="0" borderId="0" applyFont="0" applyFill="0" applyBorder="0" applyAlignment="0" applyProtection="0"/>
    <xf numFmtId="165" fontId="28" fillId="0" borderId="0" applyFont="0" applyFill="0" applyBorder="0" applyAlignment="0" applyProtection="0"/>
    <xf numFmtId="43" fontId="75" fillId="0" borderId="0" applyFont="0" applyFill="0" applyBorder="0" applyAlignment="0" applyProtection="0"/>
    <xf numFmtId="165" fontId="28"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165" fontId="28" fillId="0" borderId="0" applyFont="0" applyFill="0" applyBorder="0" applyAlignment="0" applyProtection="0"/>
    <xf numFmtId="43" fontId="75" fillId="0" borderId="0" applyFont="0" applyFill="0" applyBorder="0" applyAlignment="0" applyProtection="0"/>
    <xf numFmtId="165" fontId="28"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alignment vertical="top"/>
    </xf>
    <xf numFmtId="43" fontId="8" fillId="0" borderId="0" applyFont="0" applyFill="0" applyBorder="0" applyAlignment="0" applyProtection="0"/>
    <xf numFmtId="43" fontId="29" fillId="0" borderId="0" applyFont="0" applyFill="0" applyBorder="0" applyAlignment="0" applyProtection="0"/>
    <xf numFmtId="173" fontId="7" fillId="0" borderId="0" applyFont="0" applyFill="0" applyBorder="0" applyAlignment="0" applyProtection="0"/>
    <xf numFmtId="43" fontId="19" fillId="0" borderId="0" applyFont="0" applyFill="0" applyBorder="0" applyAlignment="0" applyProtection="0">
      <alignment vertical="top"/>
    </xf>
    <xf numFmtId="171" fontId="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43" fontId="75" fillId="0" borderId="0" applyFont="0" applyFill="0" applyBorder="0" applyAlignment="0" applyProtection="0"/>
    <xf numFmtId="174" fontId="7" fillId="0" borderId="0" applyFont="0" applyFill="0" applyBorder="0" applyAlignment="0" applyProtection="0"/>
    <xf numFmtId="43" fontId="75" fillId="0" borderId="0" applyFont="0" applyFill="0" applyBorder="0" applyAlignment="0" applyProtection="0"/>
    <xf numFmtId="43" fontId="7" fillId="0" borderId="0" applyFont="0" applyFill="0" applyBorder="0" applyAlignment="0" applyProtection="0"/>
    <xf numFmtId="175" fontId="7" fillId="0" borderId="0" applyFont="0" applyFill="0" applyBorder="0" applyAlignment="0" applyProtection="0"/>
    <xf numFmtId="43" fontId="75" fillId="0" borderId="0" applyFont="0" applyFill="0" applyBorder="0" applyAlignment="0" applyProtection="0"/>
    <xf numFmtId="165" fontId="28" fillId="0" borderId="0" applyFont="0" applyFill="0" applyBorder="0" applyAlignment="0" applyProtection="0"/>
    <xf numFmtId="43" fontId="75" fillId="0" borderId="0" applyFont="0" applyFill="0" applyBorder="0" applyAlignment="0" applyProtection="0"/>
    <xf numFmtId="165" fontId="28" fillId="0" borderId="0" applyFont="0" applyFill="0" applyBorder="0" applyAlignment="0" applyProtection="0"/>
    <xf numFmtId="3" fontId="7" fillId="0" borderId="0" applyFont="0" applyFill="0" applyBorder="0" applyAlignment="0" applyProtection="0"/>
    <xf numFmtId="165" fontId="7" fillId="0" borderId="0" applyFont="0" applyFill="0" applyBorder="0" applyAlignment="0" applyProtection="0"/>
    <xf numFmtId="0" fontId="30" fillId="0" borderId="0" applyNumberFormat="0" applyAlignment="0">
      <alignment horizontal="left"/>
    </xf>
    <xf numFmtId="176" fontId="7" fillId="0" borderId="0" applyFont="0" applyFill="0" applyBorder="0" applyAlignment="0" applyProtection="0"/>
    <xf numFmtId="177" fontId="7" fillId="0" borderId="0" applyFont="0" applyFill="0" applyBorder="0" applyAlignment="0" applyProtection="0"/>
    <xf numFmtId="178" fontId="2" fillId="0" borderId="0"/>
    <xf numFmtId="171" fontId="7" fillId="0" borderId="0" applyFont="0" applyFill="0" applyBorder="0" applyAlignment="0" applyProtection="0"/>
    <xf numFmtId="179" fontId="15" fillId="0" borderId="0" applyFill="0" applyBorder="0" applyProtection="0"/>
    <xf numFmtId="171" fontId="31" fillId="0" borderId="0"/>
    <xf numFmtId="173" fontId="7" fillId="0" borderId="0" applyFont="0" applyFill="0" applyBorder="0" applyAlignment="0" applyProtection="0"/>
    <xf numFmtId="180" fontId="7" fillId="0" borderId="0" applyFont="0" applyFill="0" applyBorder="0" applyAlignment="0" applyProtection="0"/>
    <xf numFmtId="181" fontId="16" fillId="0" borderId="0" applyFont="0" applyFill="0" applyBorder="0" applyAlignment="0" applyProtection="0"/>
    <xf numFmtId="171" fontId="31" fillId="0" borderId="3"/>
    <xf numFmtId="171" fontId="31" fillId="0" borderId="3"/>
    <xf numFmtId="171" fontId="32" fillId="24" borderId="0"/>
    <xf numFmtId="0" fontId="33" fillId="0" borderId="0" applyNumberFormat="0" applyAlignment="0">
      <alignment horizontal="left"/>
    </xf>
    <xf numFmtId="171" fontId="7" fillId="0" borderId="0" applyFont="0" applyFill="0" applyBorder="0" applyAlignment="0" applyProtection="0"/>
    <xf numFmtId="171" fontId="34" fillId="0" borderId="0" applyNumberFormat="0" applyFill="0" applyBorder="0" applyAlignment="0" applyProtection="0"/>
    <xf numFmtId="2" fontId="7" fillId="0" borderId="0" applyFont="0" applyFill="0" applyBorder="0" applyAlignment="0" applyProtection="0"/>
    <xf numFmtId="171" fontId="35" fillId="0" borderId="4"/>
    <xf numFmtId="171" fontId="35" fillId="0" borderId="3"/>
    <xf numFmtId="171" fontId="35" fillId="25" borderId="3"/>
    <xf numFmtId="171" fontId="36" fillId="0" borderId="0"/>
    <xf numFmtId="171" fontId="37" fillId="6" borderId="0" applyNumberFormat="0" applyBorder="0" applyAlignment="0" applyProtection="0"/>
    <xf numFmtId="38" fontId="38" fillId="26" borderId="0" applyNumberFormat="0" applyBorder="0" applyAlignment="0" applyProtection="0"/>
    <xf numFmtId="38" fontId="38" fillId="26" borderId="0" applyNumberFormat="0" applyBorder="0" applyAlignment="0" applyProtection="0"/>
    <xf numFmtId="0" fontId="39" fillId="0" borderId="5" applyNumberFormat="0" applyAlignment="0" applyProtection="0">
      <alignment horizontal="left" vertical="center"/>
    </xf>
    <xf numFmtId="171" fontId="39" fillId="0" borderId="5" applyNumberFormat="0" applyAlignment="0" applyProtection="0">
      <alignment horizontal="left" vertical="center"/>
    </xf>
    <xf numFmtId="0" fontId="39" fillId="0" borderId="6">
      <alignment horizontal="left" vertical="center"/>
    </xf>
    <xf numFmtId="171" fontId="39" fillId="0" borderId="6">
      <alignment horizontal="left" vertical="center"/>
    </xf>
    <xf numFmtId="14" fontId="17" fillId="27" borderId="7">
      <alignment horizontal="center" vertical="center" wrapText="1"/>
    </xf>
    <xf numFmtId="171" fontId="40" fillId="0" borderId="8" applyNumberFormat="0" applyFill="0" applyAlignment="0" applyProtection="0"/>
    <xf numFmtId="171" fontId="41" fillId="0" borderId="9" applyNumberFormat="0" applyFill="0" applyAlignment="0" applyProtection="0"/>
    <xf numFmtId="171" fontId="42" fillId="0" borderId="10" applyNumberFormat="0" applyFill="0" applyAlignment="0" applyProtection="0"/>
    <xf numFmtId="171" fontId="42" fillId="0" borderId="0" applyNumberFormat="0" applyFill="0" applyBorder="0" applyAlignment="0" applyProtection="0"/>
    <xf numFmtId="0" fontId="76"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10" fontId="38" fillId="28" borderId="11" applyNumberFormat="0" applyBorder="0" applyAlignment="0" applyProtection="0"/>
    <xf numFmtId="10" fontId="38" fillId="28" borderId="11" applyNumberFormat="0" applyBorder="0" applyAlignment="0" applyProtection="0"/>
    <xf numFmtId="171" fontId="43" fillId="4" borderId="1" applyNumberFormat="0" applyAlignment="0" applyProtection="0"/>
    <xf numFmtId="171" fontId="43" fillId="4" borderId="1" applyNumberFormat="0" applyAlignment="0" applyProtection="0"/>
    <xf numFmtId="171" fontId="43" fillId="4" borderId="1" applyNumberFormat="0" applyAlignment="0" applyProtection="0"/>
    <xf numFmtId="171" fontId="43" fillId="4" borderId="1" applyNumberFormat="0" applyAlignment="0" applyProtection="0"/>
    <xf numFmtId="171" fontId="44" fillId="0" borderId="0" applyBorder="0"/>
    <xf numFmtId="171" fontId="44" fillId="0" borderId="0" applyBorder="0"/>
    <xf numFmtId="171" fontId="45" fillId="0" borderId="12" applyNumberFormat="0" applyFill="0" applyAlignment="0" applyProtection="0"/>
    <xf numFmtId="182" fontId="7" fillId="0" borderId="0" applyFont="0" applyFill="0" applyBorder="0" applyAlignment="0" applyProtection="0"/>
    <xf numFmtId="183" fontId="7" fillId="0" borderId="0" applyFont="0" applyFill="0" applyBorder="0" applyAlignment="0" applyProtection="0"/>
    <xf numFmtId="38" fontId="46" fillId="0" borderId="0" applyFont="0" applyFill="0" applyBorder="0" applyAlignment="0" applyProtection="0"/>
    <xf numFmtId="40" fontId="46" fillId="0" borderId="0" applyFont="0" applyFill="0" applyBorder="0" applyAlignment="0" applyProtection="0"/>
    <xf numFmtId="184" fontId="46" fillId="0" borderId="0" applyFont="0" applyFill="0" applyBorder="0" applyAlignment="0" applyProtection="0"/>
    <xf numFmtId="185" fontId="46" fillId="0" borderId="0" applyFont="0" applyFill="0" applyBorder="0" applyAlignment="0" applyProtection="0"/>
    <xf numFmtId="186" fontId="15" fillId="0" borderId="0" applyFill="0" applyBorder="0">
      <alignment horizontal="center" vertical="top"/>
    </xf>
    <xf numFmtId="171" fontId="47" fillId="13" borderId="0" applyNumberFormat="0" applyBorder="0" applyAlignment="0" applyProtection="0"/>
    <xf numFmtId="37" fontId="48" fillId="0" borderId="0"/>
    <xf numFmtId="0" fontId="7" fillId="0" borderId="0"/>
    <xf numFmtId="171" fontId="7" fillId="0" borderId="0"/>
    <xf numFmtId="0" fontId="7" fillId="0" borderId="0"/>
    <xf numFmtId="187" fontId="49" fillId="0" borderId="0"/>
    <xf numFmtId="0" fontId="44" fillId="0" borderId="0"/>
    <xf numFmtId="171" fontId="50" fillId="0" borderId="0"/>
    <xf numFmtId="0" fontId="44" fillId="0" borderId="0"/>
    <xf numFmtId="171" fontId="50" fillId="0" borderId="0"/>
    <xf numFmtId="0" fontId="44" fillId="0" borderId="0"/>
    <xf numFmtId="171" fontId="50" fillId="0" borderId="0"/>
    <xf numFmtId="0" fontId="44" fillId="0" borderId="0"/>
    <xf numFmtId="171" fontId="50" fillId="0" borderId="0"/>
    <xf numFmtId="0" fontId="44" fillId="0" borderId="0"/>
    <xf numFmtId="171" fontId="50" fillId="0" borderId="0"/>
    <xf numFmtId="0" fontId="44" fillId="0" borderId="0"/>
    <xf numFmtId="171" fontId="50" fillId="0" borderId="0"/>
    <xf numFmtId="0" fontId="44" fillId="0" borderId="0"/>
    <xf numFmtId="171" fontId="50" fillId="0" borderId="0"/>
    <xf numFmtId="171" fontId="75" fillId="0" borderId="0"/>
    <xf numFmtId="171" fontId="77" fillId="0" borderId="0"/>
    <xf numFmtId="166" fontId="7" fillId="0" borderId="0"/>
    <xf numFmtId="166" fontId="7" fillId="0" borderId="0"/>
    <xf numFmtId="166" fontId="7" fillId="0" borderId="0"/>
    <xf numFmtId="166" fontId="7"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75" fillId="0" borderId="0"/>
    <xf numFmtId="171" fontId="75" fillId="0" borderId="0"/>
    <xf numFmtId="171"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29" fillId="0" borderId="0"/>
    <xf numFmtId="171"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29" fillId="0" borderId="0"/>
    <xf numFmtId="166" fontId="7" fillId="0" borderId="0"/>
    <xf numFmtId="166" fontId="7" fillId="0" borderId="0"/>
    <xf numFmtId="166" fontId="77" fillId="0" borderId="0"/>
    <xf numFmtId="166" fontId="51" fillId="0" borderId="0"/>
    <xf numFmtId="166" fontId="51" fillId="0" borderId="0"/>
    <xf numFmtId="166" fontId="51" fillId="0" borderId="0"/>
    <xf numFmtId="0" fontId="51" fillId="0" borderId="0"/>
    <xf numFmtId="0" fontId="75" fillId="0" borderId="0"/>
    <xf numFmtId="166" fontId="7" fillId="0" borderId="0"/>
    <xf numFmtId="188" fontId="75" fillId="0" borderId="0"/>
    <xf numFmtId="171" fontId="75" fillId="0" borderId="0"/>
    <xf numFmtId="171" fontId="75" fillId="0" borderId="0"/>
    <xf numFmtId="171" fontId="75" fillId="0" borderId="0"/>
    <xf numFmtId="0" fontId="7"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0" fontId="7" fillId="0" borderId="0"/>
    <xf numFmtId="171" fontId="52" fillId="0" borderId="0"/>
    <xf numFmtId="171" fontId="75"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71" fontId="7" fillId="0" borderId="0"/>
    <xf numFmtId="171" fontId="7" fillId="0" borderId="0"/>
    <xf numFmtId="166" fontId="51" fillId="0" borderId="0"/>
    <xf numFmtId="166" fontId="51" fillId="0" borderId="0"/>
    <xf numFmtId="166" fontId="51" fillId="0" borderId="0"/>
    <xf numFmtId="166" fontId="51" fillId="0" borderId="0"/>
    <xf numFmtId="166" fontId="51" fillId="0" borderId="0"/>
    <xf numFmtId="166" fontId="51" fillId="0" borderId="0"/>
    <xf numFmtId="166" fontId="7" fillId="0" borderId="0"/>
    <xf numFmtId="166" fontId="51" fillId="0" borderId="0"/>
    <xf numFmtId="166" fontId="51" fillId="0" borderId="0"/>
    <xf numFmtId="171" fontId="51" fillId="0" borderId="0"/>
    <xf numFmtId="171" fontId="7" fillId="0" borderId="0"/>
    <xf numFmtId="166" fontId="7" fillId="0" borderId="0"/>
    <xf numFmtId="166" fontId="51" fillId="0" borderId="0"/>
    <xf numFmtId="166" fontId="51" fillId="0" borderId="0"/>
    <xf numFmtId="166" fontId="51" fillId="0" borderId="0"/>
    <xf numFmtId="166" fontId="51" fillId="0" borderId="0"/>
    <xf numFmtId="171" fontId="29" fillId="0" borderId="0"/>
    <xf numFmtId="171" fontId="29" fillId="0" borderId="0"/>
    <xf numFmtId="0" fontId="51" fillId="0" borderId="0"/>
    <xf numFmtId="171" fontId="29" fillId="0" borderId="0"/>
    <xf numFmtId="171" fontId="29" fillId="0" borderId="0"/>
    <xf numFmtId="171" fontId="75" fillId="0" borderId="0"/>
    <xf numFmtId="0" fontId="51" fillId="0" borderId="0"/>
    <xf numFmtId="0" fontId="75" fillId="0" borderId="0"/>
    <xf numFmtId="0" fontId="75" fillId="0" borderId="0"/>
    <xf numFmtId="0" fontId="75" fillId="0" borderId="0"/>
    <xf numFmtId="0" fontId="75" fillId="0" borderId="0"/>
    <xf numFmtId="0" fontId="8" fillId="0" borderId="0"/>
    <xf numFmtId="171" fontId="7" fillId="0" borderId="0"/>
    <xf numFmtId="189" fontId="16" fillId="0" borderId="0"/>
    <xf numFmtId="166" fontId="51" fillId="0" borderId="0"/>
    <xf numFmtId="166" fontId="51" fillId="0" borderId="0"/>
    <xf numFmtId="166" fontId="51" fillId="0" borderId="0"/>
    <xf numFmtId="166" fontId="51" fillId="0" borderId="0"/>
    <xf numFmtId="166" fontId="51" fillId="0" borderId="0"/>
    <xf numFmtId="0" fontId="75" fillId="0" borderId="0"/>
    <xf numFmtId="0"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0" fontId="75" fillId="0" borderId="0"/>
    <xf numFmtId="171" fontId="53" fillId="0" borderId="0" applyNumberFormat="0" applyFill="0" applyBorder="0" applyAlignment="0" applyProtection="0"/>
    <xf numFmtId="166" fontId="51" fillId="0" borderId="0"/>
    <xf numFmtId="166" fontId="51" fillId="0" borderId="0"/>
    <xf numFmtId="166" fontId="51"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0" fontId="28" fillId="0" borderId="0" applyNumberFormat="0" applyFill="0" applyBorder="0" applyProtection="0">
      <alignment horizontal="left" vertical="top"/>
    </xf>
    <xf numFmtId="171" fontId="51"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0" fontId="75" fillId="0" borderId="0"/>
    <xf numFmtId="171" fontId="7"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0" fontId="75" fillId="0" borderId="0"/>
    <xf numFmtId="171"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75" fillId="0" borderId="0"/>
    <xf numFmtId="171"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75" fillId="0" borderId="0"/>
    <xf numFmtId="171" fontId="75"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66" fontId="29" fillId="0" borderId="0"/>
    <xf numFmtId="171" fontId="7" fillId="7" borderId="13" applyNumberFormat="0" applyFont="0" applyAlignment="0" applyProtection="0"/>
    <xf numFmtId="171" fontId="54" fillId="11" borderId="14" applyNumberFormat="0" applyAlignment="0" applyProtection="0"/>
    <xf numFmtId="40" fontId="55" fillId="29" borderId="0">
      <alignment horizontal="right"/>
    </xf>
    <xf numFmtId="171" fontId="56" fillId="29" borderId="0">
      <alignment horizontal="right"/>
    </xf>
    <xf numFmtId="171" fontId="57" fillId="29" borderId="15"/>
    <xf numFmtId="171" fontId="57" fillId="0" borderId="0" applyBorder="0">
      <alignment horizontal="centerContinuous"/>
    </xf>
    <xf numFmtId="171" fontId="58" fillId="0" borderId="0" applyBorder="0">
      <alignment horizontal="centerContinuous"/>
    </xf>
    <xf numFmtId="19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5" fillId="0" borderId="0" applyFont="0" applyFill="0" applyBorder="0" applyAlignment="0" applyProtection="0"/>
    <xf numFmtId="9" fontId="7" fillId="0" borderId="0" applyFont="0" applyFill="0" applyBorder="0" applyAlignment="0" applyProtection="0"/>
    <xf numFmtId="9" fontId="15"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75" fillId="0" borderId="0" applyFont="0" applyFill="0" applyBorder="0" applyAlignment="0" applyProtection="0"/>
    <xf numFmtId="9" fontId="28" fillId="0" borderId="0" applyFont="0" applyFill="0" applyBorder="0" applyAlignment="0" applyProtection="0"/>
    <xf numFmtId="9" fontId="75"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46" fillId="0" borderId="16" applyNumberFormat="0" applyBorder="0"/>
    <xf numFmtId="13" fontId="7" fillId="0" borderId="0" applyFont="0" applyFill="0" applyProtection="0"/>
    <xf numFmtId="171" fontId="31" fillId="0" borderId="0"/>
    <xf numFmtId="191" fontId="59" fillId="0" borderId="0" applyNumberFormat="0" applyFill="0" applyBorder="0" applyAlignment="0" applyProtection="0">
      <alignment horizontal="left"/>
    </xf>
    <xf numFmtId="0" fontId="7" fillId="0" borderId="0"/>
    <xf numFmtId="171" fontId="18" fillId="0" borderId="0"/>
    <xf numFmtId="171" fontId="31" fillId="0" borderId="0"/>
    <xf numFmtId="171" fontId="31" fillId="0" borderId="3"/>
    <xf numFmtId="171" fontId="60" fillId="25" borderId="3"/>
    <xf numFmtId="171" fontId="31" fillId="0" borderId="0"/>
    <xf numFmtId="171" fontId="31" fillId="0" borderId="3"/>
    <xf numFmtId="171" fontId="61" fillId="24" borderId="0"/>
    <xf numFmtId="171" fontId="60" fillId="0" borderId="4"/>
    <xf numFmtId="171" fontId="60" fillId="0" borderId="3"/>
    <xf numFmtId="171" fontId="62" fillId="0" borderId="0">
      <alignment horizontal="left" vertical="center"/>
    </xf>
    <xf numFmtId="171" fontId="14" fillId="0" borderId="0" applyNumberFormat="0" applyFill="0" applyBorder="0" applyProtection="0">
      <alignment vertical="center"/>
    </xf>
    <xf numFmtId="40" fontId="63" fillId="0" borderId="0" applyBorder="0">
      <alignment horizontal="right"/>
    </xf>
    <xf numFmtId="0" fontId="64" fillId="0" borderId="0" applyFill="0" applyBorder="0" applyProtection="0">
      <alignment horizontal="left" vertical="top"/>
    </xf>
    <xf numFmtId="171" fontId="64" fillId="0" borderId="0" applyFill="0" applyBorder="0" applyProtection="0">
      <alignment horizontal="left" vertical="top"/>
    </xf>
    <xf numFmtId="171" fontId="65" fillId="0" borderId="17" applyNumberFormat="0" applyFill="0" applyAlignment="0" applyProtection="0"/>
    <xf numFmtId="164" fontId="7" fillId="0" borderId="0" applyFont="0" applyFill="0" applyBorder="0" applyAlignment="0" applyProtection="0"/>
    <xf numFmtId="165"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71" fontId="66" fillId="0" borderId="0" applyNumberFormat="0" applyFill="0" applyBorder="0" applyAlignment="0" applyProtection="0"/>
    <xf numFmtId="40" fontId="67" fillId="0" borderId="0" applyFont="0" applyFill="0" applyBorder="0" applyAlignment="0" applyProtection="0"/>
    <xf numFmtId="38" fontId="67" fillId="0" borderId="0" applyFont="0" applyFill="0" applyBorder="0" applyAlignment="0" applyProtection="0"/>
    <xf numFmtId="171" fontId="67" fillId="0" borderId="0" applyFont="0" applyFill="0" applyBorder="0" applyAlignment="0" applyProtection="0"/>
    <xf numFmtId="171" fontId="67" fillId="0" borderId="0" applyFont="0" applyFill="0" applyBorder="0" applyAlignment="0" applyProtection="0"/>
    <xf numFmtId="10" fontId="7" fillId="0" borderId="0" applyFont="0" applyFill="0" applyBorder="0" applyAlignment="0" applyProtection="0"/>
    <xf numFmtId="171" fontId="68" fillId="0" borderId="0"/>
    <xf numFmtId="194" fontId="7" fillId="0" borderId="0" applyFont="0" applyFill="0" applyBorder="0" applyAlignment="0" applyProtection="0"/>
    <xf numFmtId="195" fontId="7" fillId="0" borderId="0" applyFont="0" applyFill="0" applyBorder="0" applyAlignment="0" applyProtection="0"/>
    <xf numFmtId="196" fontId="69" fillId="0" borderId="0" applyFont="0" applyFill="0" applyBorder="0" applyAlignment="0" applyProtection="0"/>
    <xf numFmtId="197" fontId="69" fillId="0" borderId="0" applyFont="0" applyFill="0" applyBorder="0" applyAlignment="0" applyProtection="0"/>
    <xf numFmtId="171" fontId="70" fillId="0" borderId="0"/>
    <xf numFmtId="171" fontId="71" fillId="0" borderId="0"/>
  </cellStyleXfs>
  <cellXfs count="494">
    <xf numFmtId="0" fontId="0" fillId="0" borderId="0" xfId="0"/>
    <xf numFmtId="0" fontId="78" fillId="0" borderId="0" xfId="0" applyFont="1"/>
    <xf numFmtId="0" fontId="79" fillId="0" borderId="0" xfId="0" applyFont="1" applyAlignment="1">
      <alignment horizontal="left" vertical="center" indent="2"/>
    </xf>
    <xf numFmtId="0" fontId="80" fillId="0" borderId="0" xfId="0" applyFont="1" applyAlignment="1">
      <alignment horizontal="left"/>
    </xf>
    <xf numFmtId="0" fontId="81" fillId="0" borderId="0" xfId="0" applyFont="1"/>
    <xf numFmtId="0" fontId="82" fillId="0" borderId="0" xfId="0" applyFont="1" applyAlignment="1">
      <alignment horizontal="center" vertical="center" wrapText="1"/>
    </xf>
    <xf numFmtId="0" fontId="83" fillId="0" borderId="0" xfId="0" applyFont="1" applyAlignment="1">
      <alignment horizontal="left" vertical="center"/>
    </xf>
    <xf numFmtId="0" fontId="84" fillId="0" borderId="0" xfId="0" applyFont="1" applyAlignment="1">
      <alignment horizontal="center" vertical="center"/>
    </xf>
    <xf numFmtId="0" fontId="85" fillId="0" borderId="0" xfId="0" applyFont="1" applyAlignment="1">
      <alignment horizontal="left"/>
    </xf>
    <xf numFmtId="0" fontId="85" fillId="0" borderId="0" xfId="0" applyFont="1"/>
    <xf numFmtId="0" fontId="85" fillId="0" borderId="0" xfId="0" applyFont="1" applyAlignment="1">
      <alignment horizontal="center" vertical="center"/>
    </xf>
    <xf numFmtId="0" fontId="81" fillId="0" borderId="0" xfId="0" applyFont="1" applyAlignment="1">
      <alignment horizontal="left"/>
    </xf>
    <xf numFmtId="0" fontId="86" fillId="0" borderId="0" xfId="0" applyFont="1" applyAlignment="1">
      <alignment horizontal="left"/>
    </xf>
    <xf numFmtId="0" fontId="80" fillId="0" borderId="0" xfId="0" applyFont="1" applyAlignment="1">
      <alignment horizontal="center" vertical="center"/>
    </xf>
    <xf numFmtId="0" fontId="80" fillId="0" borderId="0" xfId="0" applyFont="1"/>
    <xf numFmtId="0" fontId="81" fillId="0" borderId="0" xfId="0" applyFont="1" applyAlignment="1">
      <alignment horizontal="center" vertical="center"/>
    </xf>
    <xf numFmtId="0" fontId="86" fillId="0" borderId="0" xfId="0" applyFont="1" applyAlignment="1">
      <alignment horizontal="center" vertical="center"/>
    </xf>
    <xf numFmtId="0" fontId="87" fillId="0" borderId="0" xfId="0" applyFont="1" applyAlignment="1">
      <alignment vertical="center"/>
    </xf>
    <xf numFmtId="0" fontId="87" fillId="0" borderId="0" xfId="0" applyFont="1" applyAlignment="1">
      <alignment horizontal="center" vertical="center" wrapText="1"/>
    </xf>
    <xf numFmtId="0" fontId="78" fillId="0" borderId="0" xfId="0" applyFont="1" applyAlignment="1">
      <alignment horizontal="left"/>
    </xf>
    <xf numFmtId="0" fontId="78" fillId="0" borderId="0" xfId="0" applyFont="1" applyAlignment="1">
      <alignment horizontal="center" vertical="center"/>
    </xf>
    <xf numFmtId="169" fontId="2" fillId="0" borderId="0" xfId="0" applyNumberFormat="1" applyFont="1" applyAlignment="1">
      <alignment horizontal="left"/>
    </xf>
    <xf numFmtId="0" fontId="88" fillId="0" borderId="0" xfId="0" applyFont="1" applyAlignment="1">
      <alignment horizontal="center" vertical="center"/>
    </xf>
    <xf numFmtId="0" fontId="89" fillId="0" borderId="0" xfId="0" applyFont="1" applyAlignment="1">
      <alignment horizontal="left" vertical="center" wrapText="1"/>
    </xf>
    <xf numFmtId="0" fontId="89" fillId="0" borderId="0" xfId="0" applyFont="1" applyAlignment="1">
      <alignment horizontal="center" vertical="center"/>
    </xf>
    <xf numFmtId="0" fontId="12" fillId="0" borderId="0" xfId="0" applyFont="1" applyAlignment="1">
      <alignment horizontal="center" vertical="center"/>
    </xf>
    <xf numFmtId="169" fontId="6" fillId="0" borderId="0" xfId="0" applyNumberFormat="1" applyFont="1" applyAlignment="1">
      <alignment horizontal="left" vertical="center"/>
    </xf>
    <xf numFmtId="3" fontId="91" fillId="0" borderId="21" xfId="0" applyNumberFormat="1" applyFont="1" applyBorder="1" applyAlignment="1">
      <alignment vertical="center" wrapText="1"/>
    </xf>
    <xf numFmtId="37" fontId="13" fillId="0" borderId="0" xfId="0" applyNumberFormat="1" applyFont="1" applyAlignment="1">
      <alignment vertical="center"/>
    </xf>
    <xf numFmtId="3" fontId="92" fillId="0" borderId="0" xfId="0" applyNumberFormat="1" applyFont="1" applyAlignment="1">
      <alignment vertical="center" wrapText="1"/>
    </xf>
    <xf numFmtId="3" fontId="2" fillId="0" borderId="0" xfId="0" applyNumberFormat="1" applyFont="1" applyAlignment="1">
      <alignment horizontal="left"/>
    </xf>
    <xf numFmtId="169" fontId="2" fillId="0" borderId="0" xfId="0" applyNumberFormat="1" applyFont="1"/>
    <xf numFmtId="169" fontId="10" fillId="0" borderId="0" xfId="0" applyNumberFormat="1" applyFont="1"/>
    <xf numFmtId="169" fontId="10" fillId="0" borderId="0" xfId="0" applyNumberFormat="1" applyFont="1" applyAlignment="1">
      <alignment horizontal="left"/>
    </xf>
    <xf numFmtId="3" fontId="72" fillId="0" borderId="0" xfId="0" applyNumberFormat="1" applyFont="1" applyAlignment="1">
      <alignment vertical="center" wrapText="1"/>
    </xf>
    <xf numFmtId="0" fontId="3" fillId="0" borderId="0" xfId="0" applyFont="1" applyAlignment="1">
      <alignment horizontal="center"/>
    </xf>
    <xf numFmtId="0" fontId="3" fillId="0" borderId="0" xfId="0" applyFont="1" applyAlignment="1">
      <alignment horizontal="right" vertical="center"/>
    </xf>
    <xf numFmtId="0" fontId="94" fillId="0" borderId="0" xfId="140" applyFont="1" applyFill="1" applyAlignment="1" applyProtection="1">
      <alignment horizontal="center" vertical="center" wrapText="1"/>
    </xf>
    <xf numFmtId="0" fontId="95" fillId="0" borderId="0" xfId="140" applyFont="1" applyFill="1" applyAlignment="1" applyProtection="1">
      <alignment horizontal="center" vertical="center" wrapText="1"/>
    </xf>
    <xf numFmtId="0" fontId="96" fillId="0" borderId="0" xfId="0" applyFont="1"/>
    <xf numFmtId="0" fontId="97" fillId="0" borderId="0" xfId="0" applyFont="1"/>
    <xf numFmtId="0" fontId="73" fillId="0" borderId="0" xfId="0" applyFont="1" applyAlignment="1">
      <alignment horizontal="center" vertical="center" wrapText="1"/>
    </xf>
    <xf numFmtId="0" fontId="96" fillId="0" borderId="0" xfId="0" applyFont="1" applyAlignment="1">
      <alignment horizontal="right"/>
    </xf>
    <xf numFmtId="0" fontId="3" fillId="0" borderId="0" xfId="0" applyFont="1"/>
    <xf numFmtId="169" fontId="98" fillId="0" borderId="0" xfId="0" applyNumberFormat="1" applyFont="1" applyAlignment="1">
      <alignment horizontal="left" indent="4"/>
    </xf>
    <xf numFmtId="4" fontId="74" fillId="0" borderId="0" xfId="0" applyNumberFormat="1" applyFont="1" applyAlignment="1">
      <alignment horizontal="center" vertical="center" wrapText="1"/>
    </xf>
    <xf numFmtId="0" fontId="85" fillId="0" borderId="0" xfId="0" applyFont="1" applyAlignment="1">
      <alignment horizontal="left" indent="2"/>
    </xf>
    <xf numFmtId="0" fontId="99" fillId="0" borderId="0" xfId="0" applyFont="1"/>
    <xf numFmtId="17" fontId="91" fillId="0" borderId="19" xfId="0" applyNumberFormat="1" applyFont="1" applyBorder="1" applyAlignment="1">
      <alignment horizontal="center" vertical="center" wrapText="1"/>
    </xf>
    <xf numFmtId="169" fontId="6" fillId="0" borderId="0" xfId="0" applyNumberFormat="1" applyFont="1"/>
    <xf numFmtId="3" fontId="6" fillId="0" borderId="0" xfId="0" applyNumberFormat="1" applyFont="1"/>
    <xf numFmtId="3" fontId="78" fillId="0" borderId="0" xfId="0" applyNumberFormat="1" applyFont="1"/>
    <xf numFmtId="0" fontId="100" fillId="0" borderId="0" xfId="0" applyFont="1" applyAlignment="1">
      <alignment vertical="center"/>
    </xf>
    <xf numFmtId="0" fontId="101" fillId="0" borderId="0" xfId="0" applyFont="1"/>
    <xf numFmtId="0" fontId="102" fillId="0" borderId="0" xfId="0" applyFont="1" applyAlignment="1">
      <alignment horizontal="center" vertical="center" wrapText="1"/>
    </xf>
    <xf numFmtId="0" fontId="14" fillId="0" borderId="24" xfId="0" applyFont="1" applyBorder="1" applyAlignment="1" applyProtection="1">
      <alignment horizontal="center"/>
      <protection hidden="1"/>
    </xf>
    <xf numFmtId="0" fontId="14" fillId="0" borderId="24" xfId="0" applyFont="1" applyBorder="1" applyProtection="1">
      <protection hidden="1"/>
    </xf>
    <xf numFmtId="0" fontId="15" fillId="0" borderId="24" xfId="0" applyFont="1" applyBorder="1" applyAlignment="1" applyProtection="1">
      <alignment horizontal="center" vertical="center"/>
      <protection hidden="1"/>
    </xf>
    <xf numFmtId="17" fontId="15" fillId="0" borderId="24" xfId="0" applyNumberFormat="1" applyFont="1" applyBorder="1" applyAlignment="1" applyProtection="1">
      <alignment horizontal="center"/>
      <protection hidden="1"/>
    </xf>
    <xf numFmtId="17" fontId="14" fillId="0" borderId="24" xfId="0" applyNumberFormat="1" applyFont="1" applyBorder="1" applyProtection="1">
      <protection hidden="1"/>
    </xf>
    <xf numFmtId="0" fontId="14" fillId="0" borderId="24" xfId="0" quotePrefix="1" applyFont="1" applyBorder="1" applyAlignment="1" applyProtection="1">
      <alignment horizontal="center"/>
      <protection hidden="1"/>
    </xf>
    <xf numFmtId="1" fontId="14" fillId="0" borderId="24" xfId="0" applyNumberFormat="1" applyFont="1" applyBorder="1" applyAlignment="1" applyProtection="1">
      <alignment horizontal="right"/>
      <protection hidden="1"/>
    </xf>
    <xf numFmtId="1" fontId="14" fillId="0" borderId="24" xfId="0" applyNumberFormat="1" applyFont="1" applyBorder="1" applyAlignment="1" applyProtection="1">
      <alignment horizontal="right" vertical="center"/>
      <protection hidden="1"/>
    </xf>
    <xf numFmtId="198" fontId="14" fillId="0" borderId="24" xfId="0" applyNumberFormat="1" applyFont="1" applyBorder="1" applyAlignment="1" applyProtection="1">
      <alignment horizontal="left"/>
      <protection hidden="1"/>
    </xf>
    <xf numFmtId="0" fontId="15" fillId="0" borderId="24" xfId="0" applyFont="1" applyBorder="1" applyAlignment="1" applyProtection="1">
      <alignment horizontal="center"/>
      <protection hidden="1"/>
    </xf>
    <xf numFmtId="3" fontId="74" fillId="0" borderId="0" xfId="0" applyNumberFormat="1" applyFont="1" applyAlignment="1">
      <alignment horizontal="center" vertical="center" wrapText="1"/>
    </xf>
    <xf numFmtId="0" fontId="11" fillId="0" borderId="0" xfId="0" applyFont="1"/>
    <xf numFmtId="0" fontId="99" fillId="0" borderId="0" xfId="0" applyFont="1" applyAlignment="1">
      <alignment vertical="center"/>
    </xf>
    <xf numFmtId="0" fontId="96" fillId="0" borderId="0" xfId="0" applyFont="1" applyAlignment="1">
      <alignment horizontal="left"/>
    </xf>
    <xf numFmtId="0" fontId="104" fillId="0" borderId="0" xfId="0" applyFont="1" applyAlignment="1" applyProtection="1">
      <alignment horizontal="center" vertical="center"/>
      <protection locked="0"/>
    </xf>
    <xf numFmtId="0" fontId="84" fillId="0" borderId="0" xfId="0" applyFont="1" applyAlignment="1">
      <alignment horizontal="center"/>
    </xf>
    <xf numFmtId="0" fontId="80" fillId="0" borderId="0" xfId="0" applyFont="1" applyAlignment="1">
      <alignment horizontal="left" vertical="center"/>
    </xf>
    <xf numFmtId="169" fontId="2" fillId="0" borderId="18" xfId="48" applyNumberFormat="1" applyFont="1" applyFill="1" applyBorder="1" applyAlignment="1" applyProtection="1">
      <alignment horizontal="right"/>
      <protection locked="0"/>
    </xf>
    <xf numFmtId="169" fontId="2" fillId="0" borderId="26" xfId="48" applyNumberFormat="1" applyFont="1" applyFill="1" applyBorder="1" applyAlignment="1" applyProtection="1">
      <alignment horizontal="right"/>
      <protection locked="0"/>
    </xf>
    <xf numFmtId="169" fontId="3" fillId="0" borderId="18" xfId="48" applyNumberFormat="1" applyFont="1" applyFill="1" applyBorder="1" applyAlignment="1" applyProtection="1">
      <alignment horizontal="right"/>
      <protection locked="0"/>
    </xf>
    <xf numFmtId="169" fontId="3" fillId="0" borderId="26" xfId="48" applyNumberFormat="1" applyFont="1" applyFill="1" applyBorder="1" applyAlignment="1" applyProtection="1">
      <alignment horizontal="right"/>
      <protection locked="0"/>
    </xf>
    <xf numFmtId="169" fontId="3" fillId="0" borderId="20" xfId="48" applyNumberFormat="1" applyFont="1" applyFill="1" applyBorder="1" applyAlignment="1" applyProtection="1">
      <alignment horizontal="right"/>
      <protection locked="0"/>
    </xf>
    <xf numFmtId="169" fontId="11" fillId="0" borderId="11" xfId="48" applyNumberFormat="1" applyFont="1" applyFill="1" applyBorder="1" applyProtection="1">
      <protection locked="0"/>
    </xf>
    <xf numFmtId="0" fontId="3" fillId="0" borderId="0" xfId="0" applyFont="1" applyAlignment="1" applyProtection="1">
      <alignment horizontal="center"/>
      <protection hidden="1"/>
    </xf>
    <xf numFmtId="0" fontId="3" fillId="0" borderId="0" xfId="0" applyFont="1" applyAlignment="1" applyProtection="1">
      <alignment horizontal="right" vertical="center"/>
      <protection hidden="1"/>
    </xf>
    <xf numFmtId="0" fontId="95" fillId="0" borderId="0" xfId="140" applyFont="1" applyFill="1" applyAlignment="1" applyProtection="1">
      <alignment horizontal="center" vertical="center" wrapText="1"/>
      <protection hidden="1"/>
    </xf>
    <xf numFmtId="0" fontId="78"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80" fillId="0" borderId="0" xfId="0" applyFont="1" applyAlignment="1" applyProtection="1">
      <alignment horizontal="left" vertical="center"/>
      <protection hidden="1"/>
    </xf>
    <xf numFmtId="0" fontId="78" fillId="0" borderId="0" xfId="0" applyFont="1" applyAlignment="1" applyProtection="1">
      <alignment horizontal="right"/>
      <protection hidden="1"/>
    </xf>
    <xf numFmtId="0" fontId="105" fillId="0" borderId="0" xfId="0" applyFont="1" applyProtection="1">
      <protection hidden="1"/>
    </xf>
    <xf numFmtId="0" fontId="93" fillId="0" borderId="0" xfId="0" applyFont="1" applyAlignment="1" applyProtection="1">
      <alignment horizontal="right"/>
      <protection hidden="1"/>
    </xf>
    <xf numFmtId="0" fontId="79" fillId="0" borderId="0" xfId="0" applyFont="1" applyAlignment="1" applyProtection="1">
      <alignment horizontal="left" vertical="center" indent="2"/>
      <protection hidden="1"/>
    </xf>
    <xf numFmtId="0" fontId="84" fillId="0" borderId="0" xfId="0" applyFont="1" applyAlignment="1" applyProtection="1">
      <alignment horizontal="center" vertical="center"/>
      <protection hidden="1"/>
    </xf>
    <xf numFmtId="3" fontId="84" fillId="0" borderId="0" xfId="0" applyNumberFormat="1" applyFont="1" applyAlignment="1" applyProtection="1">
      <alignment horizontal="center" vertical="center"/>
      <protection hidden="1"/>
    </xf>
    <xf numFmtId="0" fontId="86" fillId="0" borderId="0" xfId="0" applyFont="1" applyAlignment="1" applyProtection="1">
      <alignment horizontal="left"/>
      <protection hidden="1"/>
    </xf>
    <xf numFmtId="0" fontId="85" fillId="0" borderId="0" xfId="0" applyFont="1" applyAlignment="1" applyProtection="1">
      <alignment horizontal="center"/>
      <protection hidden="1"/>
    </xf>
    <xf numFmtId="0" fontId="85" fillId="0" borderId="0" xfId="0" applyFont="1" applyAlignment="1" applyProtection="1">
      <alignment horizontal="left"/>
      <protection hidden="1"/>
    </xf>
    <xf numFmtId="0" fontId="81" fillId="0" borderId="0" xfId="0" applyFont="1" applyProtection="1">
      <protection hidden="1"/>
    </xf>
    <xf numFmtId="0" fontId="85" fillId="0" borderId="0" xfId="0" applyFont="1" applyAlignment="1" applyProtection="1">
      <alignment horizontal="left" indent="2"/>
      <protection hidden="1"/>
    </xf>
    <xf numFmtId="0" fontId="85" fillId="0" borderId="0" xfId="0" quotePrefix="1" applyFont="1" applyAlignment="1" applyProtection="1">
      <alignment horizontal="center"/>
      <protection hidden="1"/>
    </xf>
    <xf numFmtId="0" fontId="81" fillId="0" borderId="0" xfId="0" applyFont="1" applyAlignment="1" applyProtection="1">
      <alignment horizontal="left"/>
      <protection hidden="1"/>
    </xf>
    <xf numFmtId="0" fontId="80" fillId="0" borderId="0" xfId="0" applyFont="1" applyAlignment="1" applyProtection="1">
      <alignment horizontal="left"/>
      <protection hidden="1"/>
    </xf>
    <xf numFmtId="0" fontId="81" fillId="0" borderId="0" xfId="0" applyFont="1" applyAlignment="1" applyProtection="1">
      <alignment horizontal="center"/>
      <protection hidden="1"/>
    </xf>
    <xf numFmtId="0" fontId="84" fillId="0" borderId="0" xfId="0" applyFont="1" applyProtection="1">
      <protection hidden="1"/>
    </xf>
    <xf numFmtId="0" fontId="84" fillId="0" borderId="0" xfId="0" applyFont="1" applyAlignment="1" applyProtection="1">
      <alignment horizontal="center"/>
      <protection hidden="1"/>
    </xf>
    <xf numFmtId="0" fontId="87" fillId="0" borderId="0" xfId="0" applyFont="1" applyAlignment="1" applyProtection="1">
      <alignment vertical="center"/>
      <protection hidden="1"/>
    </xf>
    <xf numFmtId="0" fontId="87" fillId="0" borderId="0" xfId="0" applyFont="1" applyAlignment="1" applyProtection="1">
      <alignment horizontal="center" vertical="center"/>
      <protection hidden="1"/>
    </xf>
    <xf numFmtId="169" fontId="106" fillId="0" borderId="0" xfId="48" applyNumberFormat="1" applyFont="1" applyAlignment="1" applyProtection="1">
      <alignment horizontal="right" vertical="center"/>
      <protection hidden="1"/>
    </xf>
    <xf numFmtId="0" fontId="85" fillId="0" borderId="0" xfId="0" quotePrefix="1" applyFont="1" applyAlignment="1" applyProtection="1">
      <alignment horizontal="center" vertical="center"/>
      <protection hidden="1"/>
    </xf>
    <xf numFmtId="0" fontId="85" fillId="0" borderId="0" xfId="0" applyFont="1" applyAlignment="1" applyProtection="1">
      <alignment horizontal="left" vertical="center"/>
      <protection hidden="1"/>
    </xf>
    <xf numFmtId="0" fontId="78" fillId="0" borderId="0" xfId="0" applyFont="1" applyAlignment="1" applyProtection="1">
      <alignment vertical="center"/>
      <protection hidden="1"/>
    </xf>
    <xf numFmtId="0" fontId="81" fillId="0" borderId="0" xfId="0" applyFont="1" applyAlignment="1" applyProtection="1">
      <alignment horizontal="left" vertical="center"/>
      <protection hidden="1"/>
    </xf>
    <xf numFmtId="0" fontId="107" fillId="0" borderId="0" xfId="0" applyFont="1" applyAlignment="1" applyProtection="1">
      <alignment horizontal="center" vertical="center"/>
      <protection hidden="1"/>
    </xf>
    <xf numFmtId="0" fontId="107" fillId="0" borderId="0" xfId="0" applyFont="1" applyAlignment="1" applyProtection="1">
      <alignment horizontal="left" vertical="center"/>
      <protection hidden="1"/>
    </xf>
    <xf numFmtId="0" fontId="107" fillId="0" borderId="0" xfId="0" applyFont="1" applyAlignment="1" applyProtection="1">
      <alignment horizontal="center"/>
      <protection hidden="1"/>
    </xf>
    <xf numFmtId="0" fontId="107" fillId="0" borderId="0" xfId="0" applyFont="1" applyAlignment="1" applyProtection="1">
      <alignment horizontal="left"/>
      <protection hidden="1"/>
    </xf>
    <xf numFmtId="0" fontId="78" fillId="0" borderId="0" xfId="0" applyFont="1" applyAlignment="1" applyProtection="1">
      <alignment horizontal="center"/>
      <protection hidden="1"/>
    </xf>
    <xf numFmtId="0" fontId="78" fillId="0" borderId="0" xfId="0" applyFont="1" applyAlignment="1" applyProtection="1">
      <alignment horizontal="left"/>
      <protection hidden="1"/>
    </xf>
    <xf numFmtId="0" fontId="94" fillId="0" borderId="0" xfId="140" applyFont="1" applyFill="1" applyAlignment="1" applyProtection="1">
      <alignment horizontal="center" vertical="center" wrapText="1"/>
      <protection hidden="1"/>
    </xf>
    <xf numFmtId="0" fontId="73" fillId="0" borderId="0" xfId="0" applyFont="1" applyAlignment="1" applyProtection="1">
      <alignment horizontal="center" vertical="center" wrapText="1"/>
      <protection hidden="1"/>
    </xf>
    <xf numFmtId="169" fontId="2" fillId="0" borderId="0" xfId="0" applyNumberFormat="1" applyFont="1" applyAlignment="1" applyProtection="1">
      <alignment horizontal="left"/>
      <protection hidden="1"/>
    </xf>
    <xf numFmtId="169" fontId="10" fillId="0" borderId="0" xfId="48" applyNumberFormat="1" applyFont="1" applyBorder="1" applyAlignment="1" applyProtection="1">
      <protection hidden="1"/>
    </xf>
    <xf numFmtId="169" fontId="99" fillId="0" borderId="0" xfId="48" applyNumberFormat="1" applyFont="1" applyFill="1" applyBorder="1" applyProtection="1">
      <protection hidden="1"/>
    </xf>
    <xf numFmtId="169" fontId="11" fillId="0" borderId="0" xfId="48" applyNumberFormat="1" applyFont="1" applyFill="1" applyBorder="1" applyAlignment="1" applyProtection="1">
      <protection hidden="1"/>
    </xf>
    <xf numFmtId="169" fontId="3" fillId="0" borderId="0" xfId="48" applyNumberFormat="1" applyFont="1" applyFill="1" applyBorder="1" applyProtection="1">
      <protection hidden="1"/>
    </xf>
    <xf numFmtId="169" fontId="78" fillId="0" borderId="0" xfId="48" applyNumberFormat="1" applyFont="1" applyFill="1" applyBorder="1" applyProtection="1">
      <protection hidden="1"/>
    </xf>
    <xf numFmtId="169" fontId="10" fillId="0" borderId="0" xfId="0" applyNumberFormat="1" applyFont="1" applyAlignment="1" applyProtection="1">
      <alignment horizontal="left"/>
      <protection hidden="1"/>
    </xf>
    <xf numFmtId="169" fontId="10" fillId="0" borderId="0" xfId="0" applyNumberFormat="1" applyFont="1" applyAlignment="1" applyProtection="1">
      <alignment horizontal="center" vertical="center"/>
      <protection hidden="1"/>
    </xf>
    <xf numFmtId="0" fontId="99" fillId="0" borderId="0" xfId="0" applyFont="1" applyProtection="1">
      <protection hidden="1"/>
    </xf>
    <xf numFmtId="169" fontId="2" fillId="0" borderId="0" xfId="0" applyNumberFormat="1" applyFont="1" applyAlignment="1" applyProtection="1">
      <alignment horizontal="center" vertical="center"/>
      <protection hidden="1"/>
    </xf>
    <xf numFmtId="169" fontId="4" fillId="0" borderId="0" xfId="0" applyNumberFormat="1" applyFont="1" applyAlignment="1" applyProtection="1">
      <alignment horizontal="left"/>
      <protection hidden="1"/>
    </xf>
    <xf numFmtId="169" fontId="1" fillId="0" borderId="0" xfId="0" applyNumberFormat="1" applyFont="1" applyAlignment="1" applyProtection="1">
      <alignment horizontal="center" vertical="center"/>
      <protection hidden="1"/>
    </xf>
    <xf numFmtId="169" fontId="3" fillId="0" borderId="0" xfId="0" applyNumberFormat="1" applyFont="1" applyAlignment="1" applyProtection="1">
      <alignment horizontal="left"/>
      <protection hidden="1"/>
    </xf>
    <xf numFmtId="169" fontId="3" fillId="0" borderId="0" xfId="0" applyNumberFormat="1" applyFont="1" applyAlignment="1" applyProtection="1">
      <alignment horizontal="center" vertical="center"/>
      <protection hidden="1"/>
    </xf>
    <xf numFmtId="169" fontId="2" fillId="0" borderId="0" xfId="0" applyNumberFormat="1" applyFont="1" applyProtection="1">
      <protection hidden="1"/>
    </xf>
    <xf numFmtId="169" fontId="78" fillId="0" borderId="0" xfId="0" applyNumberFormat="1" applyFont="1" applyProtection="1">
      <protection hidden="1"/>
    </xf>
    <xf numFmtId="0" fontId="100" fillId="0" borderId="0" xfId="0" applyFont="1" applyAlignment="1" applyProtection="1">
      <alignment vertical="center"/>
      <protection hidden="1"/>
    </xf>
    <xf numFmtId="0" fontId="78" fillId="0" borderId="7" xfId="0" applyFont="1" applyBorder="1" applyAlignment="1" applyProtection="1">
      <alignment vertical="center"/>
      <protection hidden="1"/>
    </xf>
    <xf numFmtId="0" fontId="89" fillId="0" borderId="0" xfId="0" applyFont="1" applyAlignment="1" applyProtection="1">
      <alignment horizontal="center" vertical="center"/>
      <protection hidden="1"/>
    </xf>
    <xf numFmtId="0" fontId="102" fillId="0" borderId="0" xfId="0" applyFont="1" applyAlignment="1" applyProtection="1">
      <alignment horizontal="center" vertical="center" wrapText="1"/>
      <protection hidden="1"/>
    </xf>
    <xf numFmtId="0" fontId="82" fillId="0" borderId="0" xfId="0" applyFont="1" applyAlignment="1" applyProtection="1">
      <alignment horizontal="center" vertical="center" wrapText="1"/>
      <protection hidden="1"/>
    </xf>
    <xf numFmtId="0" fontId="83" fillId="0" borderId="0" xfId="0" applyFont="1" applyAlignment="1" applyProtection="1">
      <alignment horizontal="left" vertical="center"/>
      <protection hidden="1"/>
    </xf>
    <xf numFmtId="0" fontId="85" fillId="0" borderId="0" xfId="0" applyFont="1" applyProtection="1">
      <protection hidden="1"/>
    </xf>
    <xf numFmtId="0" fontId="85" fillId="0" borderId="0" xfId="0" applyFont="1" applyAlignment="1" applyProtection="1">
      <alignment horizontal="center" vertical="center"/>
      <protection hidden="1"/>
    </xf>
    <xf numFmtId="0" fontId="80" fillId="0" borderId="0" xfId="0" applyFont="1" applyAlignment="1" applyProtection="1">
      <alignment horizontal="center" vertical="center"/>
      <protection hidden="1"/>
    </xf>
    <xf numFmtId="0" fontId="80" fillId="0" borderId="0" xfId="0" applyFont="1" applyProtection="1">
      <protection hidden="1"/>
    </xf>
    <xf numFmtId="0" fontId="81" fillId="0" borderId="0" xfId="0" applyFont="1" applyAlignment="1" applyProtection="1">
      <alignment horizontal="center" vertical="center"/>
      <protection hidden="1"/>
    </xf>
    <xf numFmtId="0" fontId="86" fillId="0" borderId="0" xfId="0" applyFont="1" applyAlignment="1" applyProtection="1">
      <alignment horizontal="center" vertical="center"/>
      <protection hidden="1"/>
    </xf>
    <xf numFmtId="0" fontId="87" fillId="0" borderId="0" xfId="0" applyFont="1" applyAlignment="1" applyProtection="1">
      <alignment horizontal="center" vertical="center" wrapText="1"/>
      <protection hidden="1"/>
    </xf>
    <xf numFmtId="0" fontId="78" fillId="0" borderId="0" xfId="0" applyFont="1" applyAlignment="1" applyProtection="1">
      <alignment horizontal="center" vertical="center"/>
      <protection hidden="1"/>
    </xf>
    <xf numFmtId="169" fontId="10" fillId="0" borderId="25" xfId="48" applyNumberFormat="1" applyFont="1" applyBorder="1" applyAlignment="1" applyProtection="1">
      <alignment horizontal="right"/>
    </xf>
    <xf numFmtId="169" fontId="10" fillId="0" borderId="29" xfId="48" applyNumberFormat="1" applyFont="1" applyBorder="1" applyAlignment="1" applyProtection="1">
      <alignment horizontal="right"/>
    </xf>
    <xf numFmtId="169" fontId="10" fillId="0" borderId="30" xfId="48" applyNumberFormat="1" applyFont="1" applyBorder="1" applyAlignment="1" applyProtection="1">
      <alignment horizontal="right"/>
    </xf>
    <xf numFmtId="169" fontId="2" fillId="0" borderId="0" xfId="0" applyNumberFormat="1" applyFont="1" applyAlignment="1">
      <alignment horizontal="center" vertical="center"/>
    </xf>
    <xf numFmtId="169" fontId="10" fillId="0" borderId="0" xfId="48" applyNumberFormat="1" applyFont="1" applyFill="1" applyBorder="1" applyAlignment="1" applyProtection="1">
      <alignment horizontal="right"/>
    </xf>
    <xf numFmtId="169" fontId="10" fillId="0" borderId="15" xfId="48" applyNumberFormat="1" applyFont="1" applyFill="1" applyBorder="1" applyAlignment="1" applyProtection="1">
      <alignment horizontal="right"/>
    </xf>
    <xf numFmtId="0" fontId="85" fillId="0" borderId="0" xfId="0" applyFont="1" applyAlignment="1">
      <alignment horizontal="left" vertical="center"/>
    </xf>
    <xf numFmtId="169" fontId="2" fillId="0" borderId="18" xfId="48" applyNumberFormat="1" applyFont="1" applyFill="1" applyBorder="1" applyAlignment="1" applyProtection="1">
      <alignment horizontal="right"/>
    </xf>
    <xf numFmtId="169" fontId="4" fillId="0" borderId="0" xfId="0" applyNumberFormat="1" applyFont="1" applyAlignment="1">
      <alignment horizontal="left"/>
    </xf>
    <xf numFmtId="169" fontId="1" fillId="0" borderId="0" xfId="0" applyNumberFormat="1" applyFont="1" applyAlignment="1">
      <alignment horizontal="center" vertical="center"/>
    </xf>
    <xf numFmtId="0" fontId="82" fillId="0" borderId="0" xfId="0" applyFont="1" applyAlignment="1">
      <alignment vertical="center"/>
    </xf>
    <xf numFmtId="169" fontId="11" fillId="0" borderId="0" xfId="0" applyNumberFormat="1" applyFont="1"/>
    <xf numFmtId="169" fontId="11" fillId="0" borderId="0" xfId="0" applyNumberFormat="1" applyFont="1" applyAlignment="1">
      <alignment vertical="center"/>
    </xf>
    <xf numFmtId="169" fontId="11" fillId="0" borderId="0" xfId="48" applyNumberFormat="1" applyFont="1" applyFill="1" applyBorder="1" applyAlignment="1" applyProtection="1"/>
    <xf numFmtId="169" fontId="5" fillId="0" borderId="0" xfId="0" applyNumberFormat="1" applyFont="1" applyAlignment="1">
      <alignment horizontal="center"/>
    </xf>
    <xf numFmtId="169" fontId="3" fillId="0" borderId="0" xfId="0" applyNumberFormat="1" applyFont="1"/>
    <xf numFmtId="169" fontId="10" fillId="0" borderId="6" xfId="48" applyNumberFormat="1" applyFont="1" applyFill="1" applyBorder="1" applyAlignment="1" applyProtection="1">
      <alignment horizontal="center"/>
    </xf>
    <xf numFmtId="169" fontId="10" fillId="0" borderId="22" xfId="48" applyNumberFormat="1" applyFont="1" applyFill="1" applyBorder="1" applyAlignment="1" applyProtection="1">
      <alignment horizontal="center"/>
    </xf>
    <xf numFmtId="169" fontId="3" fillId="0" borderId="18" xfId="48" applyNumberFormat="1" applyFont="1" applyFill="1" applyBorder="1" applyAlignment="1" applyProtection="1">
      <alignment horizontal="right"/>
    </xf>
    <xf numFmtId="169" fontId="3" fillId="0" borderId="26" xfId="48" applyNumberFormat="1" applyFont="1" applyFill="1" applyBorder="1" applyAlignment="1" applyProtection="1">
      <alignment horizontal="right"/>
    </xf>
    <xf numFmtId="0" fontId="109" fillId="0" borderId="0" xfId="0" applyFont="1"/>
    <xf numFmtId="0" fontId="82" fillId="0" borderId="0" xfId="0" applyFont="1" applyAlignment="1">
      <alignment horizontal="left" indent="2"/>
    </xf>
    <xf numFmtId="169" fontId="10" fillId="0" borderId="0" xfId="0" applyNumberFormat="1" applyFont="1" applyAlignment="1">
      <alignment horizontal="center" vertical="center"/>
    </xf>
    <xf numFmtId="169" fontId="11" fillId="0" borderId="25" xfId="48" applyNumberFormat="1" applyFont="1" applyFill="1" applyBorder="1" applyProtection="1"/>
    <xf numFmtId="169" fontId="11" fillId="0" borderId="29" xfId="48" applyNumberFormat="1" applyFont="1" applyFill="1" applyBorder="1" applyProtection="1"/>
    <xf numFmtId="169" fontId="11" fillId="0" borderId="30" xfId="48" applyNumberFormat="1" applyFont="1" applyFill="1" applyBorder="1" applyProtection="1"/>
    <xf numFmtId="169" fontId="11" fillId="0" borderId="11" xfId="48" applyNumberFormat="1" applyFont="1" applyFill="1" applyBorder="1" applyProtection="1"/>
    <xf numFmtId="169" fontId="11" fillId="0" borderId="0" xfId="48" applyNumberFormat="1" applyFont="1" applyFill="1" applyBorder="1" applyProtection="1"/>
    <xf numFmtId="169" fontId="3" fillId="0" borderId="0" xfId="48" applyNumberFormat="1" applyFont="1" applyFill="1" applyBorder="1" applyProtection="1"/>
    <xf numFmtId="169" fontId="78" fillId="0" borderId="0" xfId="48" applyNumberFormat="1" applyFont="1" applyProtection="1"/>
    <xf numFmtId="0" fontId="110" fillId="31" borderId="31" xfId="0" applyFont="1" applyFill="1" applyBorder="1" applyAlignment="1">
      <alignment horizontal="center" vertical="center" wrapText="1"/>
    </xf>
    <xf numFmtId="0" fontId="111" fillId="30" borderId="0" xfId="0" applyFont="1" applyFill="1" applyAlignment="1">
      <alignment vertical="center"/>
    </xf>
    <xf numFmtId="0" fontId="112" fillId="31" borderId="0" xfId="0" applyFont="1" applyFill="1" applyAlignment="1">
      <alignment horizontal="left" vertical="center" wrapText="1" indent="4"/>
    </xf>
    <xf numFmtId="0" fontId="112" fillId="31" borderId="0" xfId="0" applyFont="1" applyFill="1" applyAlignment="1">
      <alignment horizontal="left" vertical="center" wrapText="1"/>
    </xf>
    <xf numFmtId="0" fontId="113" fillId="0" borderId="0" xfId="0" applyFont="1"/>
    <xf numFmtId="0" fontId="98" fillId="31" borderId="31" xfId="0" applyFont="1" applyFill="1" applyBorder="1" applyAlignment="1">
      <alignment horizontal="center" vertical="center" wrapText="1"/>
    </xf>
    <xf numFmtId="169" fontId="104" fillId="30" borderId="0" xfId="0" applyNumberFormat="1" applyFont="1" applyFill="1" applyAlignment="1">
      <alignment vertical="center"/>
    </xf>
    <xf numFmtId="169" fontId="104" fillId="31" borderId="0" xfId="0" applyNumberFormat="1" applyFont="1" applyFill="1" applyAlignment="1">
      <alignment horizontal="left" vertical="center"/>
    </xf>
    <xf numFmtId="17" fontId="82" fillId="0" borderId="19" xfId="0" applyNumberFormat="1" applyFont="1" applyBorder="1" applyAlignment="1" applyProtection="1">
      <alignment horizontal="center" vertical="center" wrapText="1"/>
      <protection hidden="1"/>
    </xf>
    <xf numFmtId="169" fontId="10" fillId="0" borderId="0" xfId="48" applyNumberFormat="1" applyFont="1" applyBorder="1" applyAlignment="1" applyProtection="1">
      <alignment horizontal="right"/>
      <protection hidden="1"/>
    </xf>
    <xf numFmtId="169" fontId="2" fillId="0" borderId="18" xfId="48" applyNumberFormat="1" applyFont="1" applyBorder="1" applyAlignment="1" applyProtection="1">
      <alignment horizontal="right"/>
      <protection hidden="1"/>
    </xf>
    <xf numFmtId="169" fontId="2" fillId="0" borderId="0" xfId="48" applyNumberFormat="1" applyFont="1" applyBorder="1" applyAlignment="1" applyProtection="1">
      <alignment horizontal="right"/>
      <protection hidden="1"/>
    </xf>
    <xf numFmtId="169" fontId="2" fillId="0" borderId="26" xfId="48" applyNumberFormat="1" applyFont="1" applyBorder="1" applyAlignment="1" applyProtection="1">
      <alignment horizontal="right"/>
      <protection hidden="1"/>
    </xf>
    <xf numFmtId="169" fontId="2" fillId="0" borderId="20" xfId="48" applyNumberFormat="1" applyFont="1" applyBorder="1" applyAlignment="1" applyProtection="1">
      <alignment horizontal="right"/>
      <protection hidden="1"/>
    </xf>
    <xf numFmtId="169" fontId="10" fillId="0" borderId="23" xfId="48" applyNumberFormat="1" applyFont="1" applyBorder="1" applyAlignment="1" applyProtection="1">
      <alignment horizontal="right"/>
      <protection hidden="1"/>
    </xf>
    <xf numFmtId="169" fontId="10" fillId="0" borderId="0" xfId="48" applyNumberFormat="1" applyFont="1" applyAlignment="1" applyProtection="1">
      <alignment horizontal="right"/>
      <protection hidden="1"/>
    </xf>
    <xf numFmtId="3" fontId="5" fillId="0" borderId="0" xfId="0" applyNumberFormat="1"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114" fillId="0" borderId="0" xfId="0" applyFont="1" applyAlignment="1" applyProtection="1">
      <alignment horizontal="left" vertical="center" wrapText="1"/>
      <protection hidden="1"/>
    </xf>
    <xf numFmtId="0" fontId="90" fillId="0" borderId="0" xfId="0" applyFont="1" applyAlignment="1" applyProtection="1">
      <alignment horizontal="right"/>
      <protection hidden="1"/>
    </xf>
    <xf numFmtId="0" fontId="90" fillId="0" borderId="0" xfId="0" applyFont="1" applyAlignment="1">
      <alignment horizontal="right"/>
    </xf>
    <xf numFmtId="0" fontId="115" fillId="0" borderId="0" xfId="0" applyFont="1" applyAlignment="1" applyProtection="1">
      <alignment horizontal="left" vertical="center" wrapText="1"/>
      <protection hidden="1"/>
    </xf>
    <xf numFmtId="0" fontId="91" fillId="0" borderId="0" xfId="0" applyFont="1" applyAlignment="1" applyProtection="1">
      <alignment horizontal="center" vertical="center" wrapText="1"/>
      <protection hidden="1"/>
    </xf>
    <xf numFmtId="17" fontId="82" fillId="0" borderId="0" xfId="0" applyNumberFormat="1" applyFont="1" applyAlignment="1" applyProtection="1">
      <alignment horizontal="center" vertical="center" wrapText="1"/>
      <protection hidden="1"/>
    </xf>
    <xf numFmtId="169" fontId="11" fillId="0" borderId="0" xfId="48" applyNumberFormat="1" applyFont="1" applyFill="1" applyBorder="1" applyProtection="1">
      <protection hidden="1"/>
    </xf>
    <xf numFmtId="169" fontId="11" fillId="0" borderId="23" xfId="48" applyNumberFormat="1" applyFont="1" applyFill="1" applyBorder="1" applyProtection="1">
      <protection hidden="1"/>
    </xf>
    <xf numFmtId="169" fontId="99" fillId="0" borderId="23" xfId="0" applyNumberFormat="1" applyFont="1" applyBorder="1" applyProtection="1">
      <protection hidden="1"/>
    </xf>
    <xf numFmtId="169" fontId="2" fillId="0" borderId="18" xfId="48" applyNumberFormat="1" applyFont="1" applyFill="1" applyBorder="1" applyAlignment="1">
      <alignment horizontal="right"/>
    </xf>
    <xf numFmtId="169" fontId="78" fillId="0" borderId="0" xfId="48" applyNumberFormat="1" applyFont="1" applyFill="1" applyBorder="1" applyAlignment="1">
      <alignment horizontal="right"/>
    </xf>
    <xf numFmtId="169" fontId="10" fillId="0" borderId="0" xfId="48" applyNumberFormat="1" applyFont="1" applyFill="1" applyBorder="1" applyAlignment="1">
      <alignment horizontal="right"/>
    </xf>
    <xf numFmtId="169" fontId="99" fillId="0" borderId="0" xfId="48" applyNumberFormat="1" applyFont="1" applyFill="1" applyBorder="1" applyAlignment="1">
      <alignment horizontal="right"/>
    </xf>
    <xf numFmtId="169" fontId="6" fillId="0" borderId="0" xfId="48" applyNumberFormat="1" applyFont="1" applyBorder="1" applyAlignment="1">
      <alignment horizontal="right"/>
    </xf>
    <xf numFmtId="169" fontId="78" fillId="0" borderId="0" xfId="48" applyNumberFormat="1" applyFont="1" applyBorder="1" applyAlignment="1">
      <alignment horizontal="right"/>
    </xf>
    <xf numFmtId="169" fontId="78" fillId="0" borderId="0" xfId="48" applyNumberFormat="1" applyFont="1" applyAlignment="1">
      <alignment horizontal="right"/>
    </xf>
    <xf numFmtId="169" fontId="2" fillId="0" borderId="0" xfId="48" applyNumberFormat="1" applyFont="1" applyBorder="1" applyAlignment="1">
      <alignment horizontal="right"/>
    </xf>
    <xf numFmtId="169" fontId="2" fillId="0" borderId="26" xfId="48" applyNumberFormat="1" applyFont="1" applyFill="1" applyBorder="1" applyAlignment="1">
      <alignment horizontal="right"/>
    </xf>
    <xf numFmtId="169" fontId="2" fillId="0" borderId="27" xfId="48" applyNumberFormat="1" applyFont="1" applyFill="1" applyBorder="1" applyAlignment="1">
      <alignment horizontal="right"/>
    </xf>
    <xf numFmtId="169" fontId="2" fillId="0" borderId="0" xfId="48" applyNumberFormat="1" applyFont="1" applyFill="1" applyBorder="1" applyAlignment="1">
      <alignment horizontal="right"/>
    </xf>
    <xf numFmtId="169" fontId="10" fillId="0" borderId="5" xfId="48" applyNumberFormat="1" applyFont="1" applyFill="1" applyBorder="1" applyAlignment="1">
      <alignment horizontal="right"/>
    </xf>
    <xf numFmtId="169" fontId="10" fillId="0" borderId="0" xfId="48" applyNumberFormat="1" applyFont="1" applyBorder="1" applyAlignment="1">
      <alignment horizontal="right"/>
    </xf>
    <xf numFmtId="169" fontId="99" fillId="0" borderId="0" xfId="48" applyNumberFormat="1" applyFont="1" applyBorder="1" applyAlignment="1">
      <alignment horizontal="right"/>
    </xf>
    <xf numFmtId="169" fontId="99" fillId="0" borderId="0" xfId="48" applyNumberFormat="1" applyFont="1" applyAlignment="1">
      <alignment horizontal="right"/>
    </xf>
    <xf numFmtId="169" fontId="10" fillId="0" borderId="5" xfId="48" applyNumberFormat="1" applyFont="1" applyBorder="1" applyAlignment="1">
      <alignment horizontal="right"/>
    </xf>
    <xf numFmtId="169" fontId="99" fillId="0" borderId="0" xfId="48" applyNumberFormat="1" applyFont="1" applyFill="1" applyAlignment="1">
      <alignment horizontal="right"/>
    </xf>
    <xf numFmtId="169" fontId="99" fillId="0" borderId="28" xfId="48" applyNumberFormat="1" applyFont="1" applyFill="1" applyBorder="1" applyAlignment="1">
      <alignment horizontal="right"/>
    </xf>
    <xf numFmtId="169" fontId="2" fillId="0" borderId="11" xfId="48" applyNumberFormat="1" applyFont="1" applyFill="1" applyBorder="1" applyAlignment="1">
      <alignment horizontal="right"/>
    </xf>
    <xf numFmtId="169" fontId="2" fillId="0" borderId="20" xfId="48" applyNumberFormat="1" applyFont="1" applyFill="1" applyBorder="1" applyAlignment="1">
      <alignment horizontal="right"/>
    </xf>
    <xf numFmtId="0" fontId="0" fillId="0" borderId="0" xfId="0" applyAlignment="1">
      <alignment horizontal="left"/>
    </xf>
    <xf numFmtId="0" fontId="78" fillId="0" borderId="32" xfId="0" applyFont="1" applyBorder="1"/>
    <xf numFmtId="0" fontId="99" fillId="0" borderId="32" xfId="0" applyFont="1" applyBorder="1"/>
    <xf numFmtId="3" fontId="78" fillId="0" borderId="32" xfId="0" applyNumberFormat="1" applyFont="1" applyBorder="1"/>
    <xf numFmtId="3" fontId="99" fillId="0" borderId="32" xfId="48" applyNumberFormat="1" applyFont="1" applyBorder="1"/>
    <xf numFmtId="0" fontId="120" fillId="0" borderId="0" xfId="0" applyFont="1"/>
    <xf numFmtId="49" fontId="120" fillId="0" borderId="0" xfId="0" applyNumberFormat="1" applyFont="1" applyAlignment="1">
      <alignment horizontal="center"/>
    </xf>
    <xf numFmtId="49" fontId="120" fillId="0" borderId="0" xfId="0" applyNumberFormat="1" applyFont="1" applyAlignment="1">
      <alignment horizontal="left"/>
    </xf>
    <xf numFmtId="49" fontId="0" fillId="0" borderId="0" xfId="0" applyNumberFormat="1" applyAlignment="1">
      <alignment horizontal="left"/>
    </xf>
    <xf numFmtId="49" fontId="0" fillId="0" borderId="7" xfId="0" applyNumberFormat="1" applyBorder="1" applyAlignment="1">
      <alignment horizontal="left"/>
    </xf>
    <xf numFmtId="49" fontId="120" fillId="0" borderId="0" xfId="0" applyNumberFormat="1" applyFont="1"/>
    <xf numFmtId="0" fontId="121" fillId="0" borderId="0" xfId="0" applyFont="1"/>
    <xf numFmtId="49" fontId="121" fillId="0" borderId="0" xfId="0" applyNumberFormat="1" applyFont="1" applyAlignment="1">
      <alignment horizontal="center"/>
    </xf>
    <xf numFmtId="3" fontId="78" fillId="0" borderId="32" xfId="48" applyNumberFormat="1" applyFont="1" applyBorder="1"/>
    <xf numFmtId="0" fontId="78" fillId="0" borderId="32" xfId="0" applyFont="1" applyBorder="1" applyAlignment="1">
      <alignment wrapText="1"/>
    </xf>
    <xf numFmtId="0" fontId="124" fillId="0" borderId="0" xfId="0" applyFont="1" applyAlignment="1">
      <alignment horizontal="center" vertical="center"/>
    </xf>
    <xf numFmtId="0" fontId="127" fillId="0" borderId="7" xfId="0" applyFont="1" applyBorder="1" applyAlignment="1" applyProtection="1">
      <alignment horizontal="left" vertical="center"/>
      <protection hidden="1"/>
    </xf>
    <xf numFmtId="0" fontId="127" fillId="0" borderId="7" xfId="0" applyFont="1" applyBorder="1" applyAlignment="1" applyProtection="1">
      <alignment horizontal="center" vertical="center"/>
      <protection hidden="1"/>
    </xf>
    <xf numFmtId="0" fontId="106" fillId="0" borderId="19" xfId="0" applyFont="1" applyBorder="1" applyAlignment="1" applyProtection="1">
      <alignment horizontal="center" vertical="center" wrapText="1"/>
      <protection hidden="1"/>
    </xf>
    <xf numFmtId="0" fontId="129" fillId="0" borderId="7" xfId="0" applyFont="1" applyBorder="1" applyAlignment="1" applyProtection="1">
      <alignment horizontal="center" vertical="center" wrapText="1"/>
      <protection hidden="1"/>
    </xf>
    <xf numFmtId="17" fontId="106" fillId="0" borderId="19" xfId="0" applyNumberFormat="1" applyFont="1" applyBorder="1" applyAlignment="1" applyProtection="1">
      <alignment horizontal="center" vertical="center" wrapText="1"/>
      <protection hidden="1"/>
    </xf>
    <xf numFmtId="0" fontId="130" fillId="0" borderId="0" xfId="0" applyFont="1" applyAlignment="1" applyProtection="1">
      <alignment horizontal="left" vertical="center"/>
      <protection hidden="1"/>
    </xf>
    <xf numFmtId="0" fontId="122" fillId="0" borderId="0" xfId="0" applyFont="1" applyAlignment="1" applyProtection="1">
      <alignment horizontal="left" vertical="center" indent="2"/>
      <protection hidden="1"/>
    </xf>
    <xf numFmtId="0" fontId="131" fillId="0" borderId="0" xfId="0" applyFont="1" applyAlignment="1" applyProtection="1">
      <alignment horizontal="left" indent="3"/>
      <protection hidden="1"/>
    </xf>
    <xf numFmtId="0" fontId="97" fillId="0" borderId="0" xfId="0" applyFont="1" applyAlignment="1" applyProtection="1">
      <alignment horizontal="left"/>
      <protection hidden="1"/>
    </xf>
    <xf numFmtId="0" fontId="93" fillId="0" borderId="0" xfId="0" applyFont="1" applyAlignment="1" applyProtection="1">
      <alignment horizontal="left" indent="2"/>
      <protection hidden="1"/>
    </xf>
    <xf numFmtId="0" fontId="87" fillId="0" borderId="0" xfId="0" applyFont="1" applyProtection="1">
      <protection hidden="1"/>
    </xf>
    <xf numFmtId="0" fontId="129" fillId="0" borderId="19" xfId="0" applyFont="1" applyBorder="1" applyAlignment="1" applyProtection="1">
      <alignment horizontal="center" vertical="center" wrapText="1"/>
      <protection hidden="1"/>
    </xf>
    <xf numFmtId="17" fontId="129" fillId="0" borderId="19" xfId="0" applyNumberFormat="1" applyFont="1" applyBorder="1" applyAlignment="1" applyProtection="1">
      <alignment horizontal="center" vertical="center" wrapText="1"/>
      <protection hidden="1"/>
    </xf>
    <xf numFmtId="0" fontId="125" fillId="0" borderId="0" xfId="0" applyFont="1" applyAlignment="1" applyProtection="1">
      <alignment horizontal="left" indent="3"/>
      <protection hidden="1"/>
    </xf>
    <xf numFmtId="0" fontId="125" fillId="0" borderId="0" xfId="0" applyFont="1" applyAlignment="1" applyProtection="1">
      <alignment horizontal="left"/>
      <protection hidden="1"/>
    </xf>
    <xf numFmtId="0" fontId="97" fillId="0" borderId="0" xfId="0" applyFont="1" applyAlignment="1" applyProtection="1">
      <alignment horizontal="left" indent="3"/>
      <protection hidden="1"/>
    </xf>
    <xf numFmtId="0" fontId="93" fillId="0" borderId="0" xfId="0" applyFont="1" applyAlignment="1" applyProtection="1">
      <alignment horizontal="left" vertical="center" indent="2"/>
      <protection hidden="1"/>
    </xf>
    <xf numFmtId="0" fontId="93" fillId="0" borderId="0" xfId="0" quotePrefix="1" applyFont="1" applyAlignment="1" applyProtection="1">
      <alignment horizontal="left" indent="2"/>
      <protection hidden="1"/>
    </xf>
    <xf numFmtId="0" fontId="78" fillId="0" borderId="0" xfId="0" applyFont="1" applyAlignment="1" applyProtection="1">
      <alignment horizontal="left" vertical="center"/>
      <protection hidden="1"/>
    </xf>
    <xf numFmtId="0" fontId="106" fillId="0" borderId="0" xfId="0" applyFont="1" applyProtection="1">
      <protection hidden="1"/>
    </xf>
    <xf numFmtId="0" fontId="106" fillId="0" borderId="7" xfId="0" applyFont="1" applyBorder="1" applyAlignment="1" applyProtection="1">
      <alignment horizontal="center" vertical="center" wrapText="1"/>
      <protection hidden="1"/>
    </xf>
    <xf numFmtId="0" fontId="129" fillId="0" borderId="0" xfId="0" applyFont="1" applyProtection="1">
      <protection hidden="1"/>
    </xf>
    <xf numFmtId="0" fontId="129" fillId="0" borderId="0" xfId="0" applyFont="1" applyAlignment="1" applyProtection="1">
      <alignment vertical="center"/>
      <protection hidden="1"/>
    </xf>
    <xf numFmtId="0" fontId="129" fillId="0" borderId="0" xfId="0" applyFont="1" applyAlignment="1" applyProtection="1">
      <alignment horizontal="left" indent="3"/>
      <protection hidden="1"/>
    </xf>
    <xf numFmtId="0" fontId="129" fillId="0" borderId="7" xfId="0" applyFont="1" applyBorder="1" applyAlignment="1">
      <alignment horizontal="center" vertical="center" wrapText="1"/>
    </xf>
    <xf numFmtId="0" fontId="129" fillId="0" borderId="19" xfId="0" applyFont="1" applyBorder="1" applyAlignment="1">
      <alignment horizontal="center" vertical="center" wrapText="1"/>
    </xf>
    <xf numFmtId="17" fontId="129" fillId="0" borderId="19" xfId="0" applyNumberFormat="1" applyFont="1" applyBorder="1" applyAlignment="1" applyProtection="1">
      <alignment horizontal="center" vertical="center" wrapText="1"/>
      <protection locked="0"/>
    </xf>
    <xf numFmtId="0" fontId="87" fillId="0" borderId="0" xfId="0" applyFont="1" applyAlignment="1">
      <alignment horizontal="left"/>
    </xf>
    <xf numFmtId="0" fontId="125" fillId="0" borderId="0" xfId="0" applyFont="1" applyAlignment="1">
      <alignment horizontal="left"/>
    </xf>
    <xf numFmtId="0" fontId="93" fillId="0" borderId="0" xfId="0" applyFont="1" applyAlignment="1">
      <alignment horizontal="left" indent="2"/>
    </xf>
    <xf numFmtId="0" fontId="93" fillId="0" borderId="0" xfId="0" quotePrefix="1" applyFont="1" applyAlignment="1">
      <alignment horizontal="left" indent="2"/>
    </xf>
    <xf numFmtId="0" fontId="78" fillId="0" borderId="0" xfId="0" applyFont="1" applyAlignment="1">
      <alignment vertical="center"/>
    </xf>
    <xf numFmtId="0" fontId="93" fillId="0" borderId="0" xfId="0" applyFont="1" applyAlignment="1">
      <alignment horizontal="left" vertical="center" indent="2"/>
    </xf>
    <xf numFmtId="0" fontId="106" fillId="0" borderId="0" xfId="0" applyFont="1" applyAlignment="1">
      <alignment vertical="center"/>
    </xf>
    <xf numFmtId="0" fontId="87" fillId="0" borderId="0" xfId="0" applyFont="1"/>
    <xf numFmtId="0" fontId="125" fillId="0" borderId="0" xfId="0" applyFont="1"/>
    <xf numFmtId="0" fontId="106" fillId="0" borderId="0" xfId="0" applyFont="1" applyAlignment="1">
      <alignment horizontal="left" indent="2"/>
    </xf>
    <xf numFmtId="17" fontId="129" fillId="0" borderId="19" xfId="0" applyNumberFormat="1" applyFont="1" applyBorder="1" applyAlignment="1">
      <alignment horizontal="center" vertical="center" wrapText="1"/>
    </xf>
    <xf numFmtId="0" fontId="87" fillId="0" borderId="0" xfId="0" applyFont="1" applyAlignment="1">
      <alignment horizontal="left" vertical="center"/>
    </xf>
    <xf numFmtId="0" fontId="122" fillId="0" borderId="0" xfId="0" applyFont="1" applyAlignment="1">
      <alignment horizontal="left" vertical="center" indent="2"/>
    </xf>
    <xf numFmtId="0" fontId="125" fillId="0" borderId="0" xfId="0" applyFont="1" applyAlignment="1">
      <alignment horizontal="left" indent="3"/>
    </xf>
    <xf numFmtId="0" fontId="87" fillId="0" borderId="0" xfId="0" applyFont="1" applyAlignment="1">
      <alignment horizontal="left" indent="3"/>
    </xf>
    <xf numFmtId="0" fontId="106" fillId="0" borderId="0" xfId="0" applyFont="1"/>
    <xf numFmtId="0" fontId="93" fillId="0" borderId="0" xfId="0" applyFont="1"/>
    <xf numFmtId="169" fontId="106" fillId="0" borderId="0" xfId="48" applyNumberFormat="1" applyFont="1" applyFill="1" applyBorder="1" applyAlignment="1">
      <alignment horizontal="center" vertical="center"/>
    </xf>
    <xf numFmtId="169" fontId="2" fillId="0" borderId="25" xfId="48" applyNumberFormat="1" applyFont="1" applyFill="1" applyBorder="1" applyAlignment="1" applyProtection="1">
      <alignment horizontal="right"/>
      <protection locked="0"/>
    </xf>
    <xf numFmtId="169" fontId="2" fillId="0" borderId="26" xfId="48" applyNumberFormat="1" applyFont="1" applyFill="1" applyBorder="1" applyAlignment="1" applyProtection="1">
      <alignment horizontal="right"/>
    </xf>
    <xf numFmtId="169" fontId="2" fillId="0" borderId="20" xfId="48" applyNumberFormat="1" applyFont="1" applyFill="1" applyBorder="1" applyAlignment="1" applyProtection="1">
      <alignment horizontal="right"/>
      <protection locked="0"/>
    </xf>
    <xf numFmtId="169" fontId="10" fillId="0" borderId="33" xfId="48" applyNumberFormat="1" applyFont="1" applyBorder="1" applyAlignment="1" applyProtection="1">
      <alignment horizontal="right"/>
    </xf>
    <xf numFmtId="169" fontId="3" fillId="0" borderId="25" xfId="48" applyNumberFormat="1" applyFont="1" applyFill="1" applyBorder="1" applyAlignment="1" applyProtection="1">
      <alignment horizontal="right"/>
      <protection locked="0"/>
    </xf>
    <xf numFmtId="169" fontId="3" fillId="0" borderId="35" xfId="48" applyNumberFormat="1" applyFont="1" applyFill="1" applyBorder="1" applyAlignment="1" applyProtection="1">
      <alignment horizontal="right"/>
      <protection locked="0"/>
    </xf>
    <xf numFmtId="169" fontId="10" fillId="0" borderId="36" xfId="48" applyNumberFormat="1" applyFont="1" applyFill="1" applyBorder="1" applyAlignment="1" applyProtection="1">
      <alignment horizontal="center"/>
    </xf>
    <xf numFmtId="169" fontId="10" fillId="0" borderId="32" xfId="48" applyNumberFormat="1" applyFont="1" applyBorder="1" applyAlignment="1" applyProtection="1">
      <alignment horizontal="right"/>
    </xf>
    <xf numFmtId="0" fontId="79" fillId="0" borderId="0" xfId="0" applyFont="1" applyAlignment="1">
      <alignment horizontal="left" vertical="center" wrapText="1"/>
    </xf>
    <xf numFmtId="169" fontId="90" fillId="0" borderId="0" xfId="80" applyNumberFormat="1" applyFont="1"/>
    <xf numFmtId="169" fontId="90" fillId="0" borderId="0" xfId="80" applyNumberFormat="1" applyFont="1" applyFill="1" applyBorder="1" applyAlignment="1">
      <alignment horizontal="center"/>
    </xf>
    <xf numFmtId="49" fontId="90" fillId="0" borderId="0" xfId="80" applyNumberFormat="1" applyFont="1" applyAlignment="1">
      <alignment vertical="center" wrapText="1"/>
    </xf>
    <xf numFmtId="169" fontId="128" fillId="0" borderId="32" xfId="80" applyNumberFormat="1" applyFont="1" applyBorder="1" applyAlignment="1">
      <alignment horizontal="center" vertical="center"/>
    </xf>
    <xf numFmtId="169" fontId="128" fillId="0" borderId="20" xfId="80" applyNumberFormat="1" applyFont="1" applyBorder="1" applyAlignment="1">
      <alignment horizontal="center" vertical="center"/>
    </xf>
    <xf numFmtId="169" fontId="128" fillId="0" borderId="20" xfId="80" applyNumberFormat="1" applyFont="1" applyBorder="1" applyAlignment="1">
      <alignment horizontal="center" vertical="center" wrapText="1"/>
    </xf>
    <xf numFmtId="169" fontId="128" fillId="0" borderId="26" xfId="80" applyNumberFormat="1" applyFont="1" applyBorder="1" applyAlignment="1">
      <alignment horizontal="center" vertical="center"/>
    </xf>
    <xf numFmtId="169" fontId="90" fillId="0" borderId="32" xfId="80" applyNumberFormat="1" applyFont="1" applyBorder="1"/>
    <xf numFmtId="169" fontId="90" fillId="0" borderId="26" xfId="80" applyNumberFormat="1" applyFont="1" applyBorder="1"/>
    <xf numFmtId="169" fontId="99" fillId="0" borderId="32" xfId="80" applyNumberFormat="1" applyFont="1" applyBorder="1"/>
    <xf numFmtId="169" fontId="99" fillId="0" borderId="26" xfId="80" applyNumberFormat="1" applyFont="1" applyBorder="1"/>
    <xf numFmtId="0" fontId="85" fillId="0" borderId="32" xfId="0" applyFont="1" applyBorder="1" applyAlignment="1">
      <alignment horizontal="left" indent="2"/>
    </xf>
    <xf numFmtId="169" fontId="3" fillId="0" borderId="32" xfId="48" applyNumberFormat="1" applyFont="1" applyFill="1" applyBorder="1" applyAlignment="1">
      <alignment horizontal="right"/>
    </xf>
    <xf numFmtId="169" fontId="3" fillId="0" borderId="32" xfId="48" applyNumberFormat="1" applyFont="1" applyFill="1" applyBorder="1"/>
    <xf numFmtId="169" fontId="128" fillId="0" borderId="32" xfId="80" applyNumberFormat="1" applyFont="1" applyBorder="1"/>
    <xf numFmtId="169" fontId="90" fillId="0" borderId="0" xfId="80" applyNumberFormat="1" applyFont="1" applyBorder="1"/>
    <xf numFmtId="43" fontId="99" fillId="0" borderId="32" xfId="48" applyFont="1" applyBorder="1"/>
    <xf numFmtId="17" fontId="132" fillId="33" borderId="0" xfId="0" applyNumberFormat="1" applyFont="1" applyFill="1" applyAlignment="1" applyProtection="1">
      <alignment horizontal="center" vertical="center" wrapText="1"/>
      <protection hidden="1"/>
    </xf>
    <xf numFmtId="0" fontId="108" fillId="33" borderId="0" xfId="0" applyFont="1" applyFill="1" applyAlignment="1">
      <alignment vertical="center" wrapText="1"/>
    </xf>
    <xf numFmtId="0" fontId="96" fillId="0" borderId="0" xfId="0" applyFont="1" applyAlignment="1">
      <alignment horizontal="left" vertical="center"/>
    </xf>
    <xf numFmtId="0" fontId="125" fillId="0" borderId="0" xfId="0" applyFont="1" applyAlignment="1">
      <alignment horizontal="left" vertical="center"/>
    </xf>
    <xf numFmtId="0" fontId="96" fillId="0" borderId="0" xfId="0" applyFont="1" applyAlignment="1" applyProtection="1">
      <alignment vertical="center"/>
      <protection hidden="1"/>
    </xf>
    <xf numFmtId="0" fontId="135" fillId="0" borderId="32" xfId="0" applyFont="1" applyBorder="1" applyAlignment="1">
      <alignment horizontal="left" vertical="center"/>
    </xf>
    <xf numFmtId="0" fontId="93" fillId="0" borderId="32" xfId="0" applyFont="1" applyBorder="1" applyAlignment="1">
      <alignment horizontal="left" indent="2"/>
    </xf>
    <xf numFmtId="0" fontId="135" fillId="0" borderId="32" xfId="0" applyFont="1" applyBorder="1" applyAlignment="1">
      <alignment horizontal="left"/>
    </xf>
    <xf numFmtId="0" fontId="93" fillId="0" borderId="32" xfId="0" applyFont="1" applyBorder="1" applyAlignment="1">
      <alignment horizontal="left" vertical="center" indent="2"/>
    </xf>
    <xf numFmtId="0" fontId="135" fillId="0" borderId="32" xfId="0" applyFont="1" applyBorder="1"/>
    <xf numFmtId="0" fontId="106" fillId="0" borderId="32" xfId="0" applyFont="1" applyBorder="1"/>
    <xf numFmtId="43" fontId="78" fillId="0" borderId="0" xfId="48" applyFont="1"/>
    <xf numFmtId="43" fontId="96" fillId="0" borderId="0" xfId="48" applyFont="1"/>
    <xf numFmtId="43" fontId="97" fillId="0" borderId="0" xfId="48" applyFont="1"/>
    <xf numFmtId="43" fontId="128" fillId="0" borderId="32" xfId="48" applyFont="1" applyBorder="1" applyAlignment="1">
      <alignment horizontal="center" vertical="center"/>
    </xf>
    <xf numFmtId="43" fontId="90" fillId="0" borderId="32" xfId="48" applyFont="1" applyBorder="1"/>
    <xf numFmtId="43" fontId="90" fillId="0" borderId="0" xfId="48" applyFont="1"/>
    <xf numFmtId="0" fontId="0" fillId="34" borderId="0" xfId="0" applyFill="1"/>
    <xf numFmtId="0" fontId="141" fillId="33" borderId="32" xfId="0" applyFont="1" applyFill="1" applyBorder="1" applyAlignment="1">
      <alignment horizontal="center" vertical="center"/>
    </xf>
    <xf numFmtId="0" fontId="141" fillId="34" borderId="0" xfId="0" applyFont="1" applyFill="1" applyAlignment="1">
      <alignment horizontal="center" vertical="center"/>
    </xf>
    <xf numFmtId="0" fontId="0" fillId="0" borderId="32" xfId="0" applyBorder="1" applyAlignment="1">
      <alignment horizontal="center" vertical="center"/>
    </xf>
    <xf numFmtId="0" fontId="142" fillId="0" borderId="32" xfId="0" applyFont="1" applyBorder="1" applyAlignment="1">
      <alignment horizontal="left" vertical="center"/>
    </xf>
    <xf numFmtId="0" fontId="0" fillId="0" borderId="0" xfId="0" applyAlignment="1">
      <alignment vertical="center"/>
    </xf>
    <xf numFmtId="49" fontId="120" fillId="35" borderId="0" xfId="0" applyNumberFormat="1" applyFont="1" applyFill="1" applyAlignment="1">
      <alignment horizontal="left"/>
    </xf>
    <xf numFmtId="0" fontId="120" fillId="35" borderId="0" xfId="0" applyFont="1" applyFill="1"/>
    <xf numFmtId="49" fontId="143" fillId="0" borderId="0" xfId="0" applyNumberFormat="1" applyFont="1" applyAlignment="1">
      <alignment horizontal="left"/>
    </xf>
    <xf numFmtId="49" fontId="120" fillId="36" borderId="0" xfId="0" applyNumberFormat="1" applyFont="1" applyFill="1" applyAlignment="1">
      <alignment horizontal="left"/>
    </xf>
    <xf numFmtId="0" fontId="120" fillId="36" borderId="0" xfId="0" applyFont="1" applyFill="1"/>
    <xf numFmtId="0" fontId="120" fillId="37" borderId="0" xfId="0" applyFont="1" applyFill="1"/>
    <xf numFmtId="49" fontId="120" fillId="37" borderId="0" xfId="0" applyNumberFormat="1" applyFont="1" applyFill="1" applyAlignment="1">
      <alignment horizontal="left"/>
    </xf>
    <xf numFmtId="0" fontId="0" fillId="0" borderId="0" xfId="0" applyAlignment="1">
      <alignment wrapText="1"/>
    </xf>
    <xf numFmtId="0" fontId="146" fillId="0" borderId="0" xfId="0" applyFont="1" applyAlignment="1">
      <alignment horizontal="left" wrapText="1"/>
    </xf>
    <xf numFmtId="0" fontId="146" fillId="39" borderId="0" xfId="0" applyFont="1" applyFill="1" applyAlignment="1">
      <alignment horizontal="left" wrapText="1"/>
    </xf>
    <xf numFmtId="0" fontId="146" fillId="40" borderId="0" xfId="0" applyFont="1" applyFill="1" applyAlignment="1">
      <alignment horizontal="left" wrapText="1"/>
    </xf>
    <xf numFmtId="0" fontId="146" fillId="41" borderId="0" xfId="0" applyFont="1" applyFill="1" applyAlignment="1">
      <alignment horizontal="left" wrapText="1"/>
    </xf>
    <xf numFmtId="0" fontId="146" fillId="39" borderId="32" xfId="0" applyFont="1" applyFill="1" applyBorder="1" applyAlignment="1">
      <alignment horizontal="left" wrapText="1"/>
    </xf>
    <xf numFmtId="0" fontId="146" fillId="42" borderId="0" xfId="0" applyFont="1" applyFill="1" applyAlignment="1">
      <alignment horizontal="left" wrapText="1"/>
    </xf>
    <xf numFmtId="0" fontId="146" fillId="42" borderId="32" xfId="0" applyFont="1" applyFill="1" applyBorder="1" applyAlignment="1">
      <alignment horizontal="left" wrapText="1"/>
    </xf>
    <xf numFmtId="0" fontId="146" fillId="43" borderId="0" xfId="0" applyFont="1" applyFill="1" applyAlignment="1">
      <alignment horizontal="left" wrapText="1"/>
    </xf>
    <xf numFmtId="0" fontId="146" fillId="43" borderId="32" xfId="0" applyFont="1" applyFill="1" applyBorder="1" applyAlignment="1">
      <alignment horizontal="left" wrapText="1"/>
    </xf>
    <xf numFmtId="0" fontId="0" fillId="38" borderId="0" xfId="0" applyFill="1"/>
    <xf numFmtId="169" fontId="2" fillId="0" borderId="30" xfId="48" applyNumberFormat="1" applyFont="1" applyBorder="1" applyAlignment="1" applyProtection="1">
      <alignment horizontal="right"/>
      <protection hidden="1"/>
    </xf>
    <xf numFmtId="169" fontId="2" fillId="0" borderId="15" xfId="48" applyNumberFormat="1" applyFont="1" applyBorder="1" applyAlignment="1" applyProtection="1">
      <alignment horizontal="right"/>
      <protection hidden="1"/>
    </xf>
    <xf numFmtId="169" fontId="106" fillId="0" borderId="0" xfId="48" applyNumberFormat="1" applyFont="1" applyAlignment="1" applyProtection="1">
      <alignment horizontal="right"/>
      <protection hidden="1"/>
    </xf>
    <xf numFmtId="169" fontId="93" fillId="0" borderId="18" xfId="48" applyNumberFormat="1" applyFont="1" applyBorder="1" applyAlignment="1" applyProtection="1">
      <alignment horizontal="right"/>
      <protection locked="0" hidden="1"/>
    </xf>
    <xf numFmtId="169" fontId="93" fillId="0" borderId="26" xfId="48" applyNumberFormat="1" applyFont="1" applyBorder="1" applyAlignment="1" applyProtection="1">
      <alignment horizontal="right"/>
      <protection locked="0" hidden="1"/>
    </xf>
    <xf numFmtId="169" fontId="93" fillId="0" borderId="20" xfId="48" applyNumberFormat="1" applyFont="1" applyBorder="1" applyAlignment="1" applyProtection="1">
      <alignment horizontal="right"/>
      <protection locked="0" hidden="1"/>
    </xf>
    <xf numFmtId="169" fontId="93" fillId="0" borderId="18" xfId="48" applyNumberFormat="1" applyFont="1" applyFill="1" applyBorder="1" applyAlignment="1" applyProtection="1">
      <alignment horizontal="right"/>
      <protection locked="0" hidden="1"/>
    </xf>
    <xf numFmtId="169" fontId="93" fillId="0" borderId="26" xfId="48" applyNumberFormat="1" applyFont="1" applyFill="1" applyBorder="1" applyAlignment="1" applyProtection="1">
      <alignment horizontal="right"/>
      <protection locked="0" hidden="1"/>
    </xf>
    <xf numFmtId="169" fontId="106" fillId="0" borderId="5" xfId="48" applyNumberFormat="1" applyFont="1" applyBorder="1" applyAlignment="1" applyProtection="1">
      <alignment horizontal="right"/>
      <protection hidden="1"/>
    </xf>
    <xf numFmtId="169" fontId="106" fillId="0" borderId="28" xfId="48" applyNumberFormat="1" applyFont="1" applyBorder="1" applyAlignment="1" applyProtection="1">
      <alignment horizontal="right"/>
      <protection hidden="1"/>
    </xf>
    <xf numFmtId="169" fontId="93" fillId="0" borderId="18" xfId="48" applyNumberFormat="1" applyFont="1" applyBorder="1" applyAlignment="1" applyProtection="1">
      <alignment horizontal="right" vertical="center"/>
      <protection locked="0" hidden="1"/>
    </xf>
    <xf numFmtId="169" fontId="93" fillId="0" borderId="26" xfId="48" applyNumberFormat="1" applyFont="1" applyBorder="1" applyAlignment="1" applyProtection="1">
      <alignment horizontal="right" vertical="center"/>
      <protection locked="0" hidden="1"/>
    </xf>
    <xf numFmtId="169" fontId="106" fillId="0" borderId="16" xfId="48" applyNumberFormat="1" applyFont="1" applyBorder="1" applyAlignment="1" applyProtection="1">
      <alignment horizontal="right" vertical="center"/>
      <protection hidden="1"/>
    </xf>
    <xf numFmtId="169" fontId="93" fillId="0" borderId="27" xfId="48" applyNumberFormat="1" applyFont="1" applyBorder="1" applyAlignment="1" applyProtection="1">
      <alignment horizontal="right"/>
      <protection locked="0" hidden="1"/>
    </xf>
    <xf numFmtId="0" fontId="149" fillId="0" borderId="32" xfId="0" applyFont="1" applyBorder="1" applyAlignment="1">
      <alignment horizontal="left" vertical="center" wrapText="1"/>
    </xf>
    <xf numFmtId="169" fontId="10" fillId="0" borderId="32" xfId="48" applyNumberFormat="1" applyFont="1" applyFill="1" applyBorder="1" applyAlignment="1" applyProtection="1">
      <alignment horizontal="right" vertical="center"/>
    </xf>
    <xf numFmtId="0" fontId="93" fillId="0" borderId="0" xfId="0" applyFont="1" applyAlignment="1">
      <alignment horizontal="left" vertical="center"/>
    </xf>
    <xf numFmtId="169" fontId="4" fillId="0" borderId="0" xfId="0" applyNumberFormat="1" applyFont="1" applyAlignment="1">
      <alignment horizontal="left" vertical="center"/>
    </xf>
    <xf numFmtId="169" fontId="2" fillId="0" borderId="26" xfId="48" applyNumberFormat="1" applyFont="1" applyFill="1" applyBorder="1" applyAlignment="1" applyProtection="1">
      <alignment horizontal="right" vertical="center"/>
      <protection locked="0"/>
    </xf>
    <xf numFmtId="169" fontId="2" fillId="0" borderId="35" xfId="48" applyNumberFormat="1" applyFont="1" applyFill="1" applyBorder="1" applyAlignment="1" applyProtection="1">
      <alignment horizontal="right" vertical="center"/>
      <protection locked="0"/>
    </xf>
    <xf numFmtId="169" fontId="2" fillId="0" borderId="26" xfId="48" applyNumberFormat="1" applyFont="1" applyFill="1" applyBorder="1" applyAlignment="1" applyProtection="1">
      <alignment horizontal="right" vertical="center"/>
    </xf>
    <xf numFmtId="169" fontId="3" fillId="0" borderId="32" xfId="48" applyNumberFormat="1" applyFont="1" applyFill="1" applyBorder="1" applyAlignment="1" applyProtection="1">
      <alignment horizontal="right"/>
      <protection locked="0"/>
    </xf>
    <xf numFmtId="0" fontId="150" fillId="43" borderId="0" xfId="0" applyFont="1" applyFill="1" applyAlignment="1">
      <alignment horizontal="left" wrapText="1"/>
    </xf>
    <xf numFmtId="169" fontId="2" fillId="0" borderId="20" xfId="48" applyNumberFormat="1" applyFont="1" applyFill="1" applyBorder="1" applyAlignment="1" applyProtection="1">
      <alignment horizontal="right"/>
    </xf>
    <xf numFmtId="0" fontId="142" fillId="0" borderId="39" xfId="0" applyFont="1" applyBorder="1" applyAlignment="1">
      <alignment horizontal="left" vertical="center"/>
    </xf>
    <xf numFmtId="0" fontId="149" fillId="0" borderId="39" xfId="0" applyFont="1" applyBorder="1" applyAlignment="1">
      <alignment horizontal="left" vertical="center" wrapText="1"/>
    </xf>
    <xf numFmtId="0" fontId="120" fillId="36" borderId="0" xfId="0" applyFont="1" applyFill="1" applyAlignment="1">
      <alignment horizontal="left"/>
    </xf>
    <xf numFmtId="0" fontId="0" fillId="0" borderId="40" xfId="0" applyBorder="1" applyAlignment="1">
      <alignment horizontal="center" vertical="center"/>
    </xf>
    <xf numFmtId="0" fontId="142" fillId="0" borderId="40" xfId="0" applyFont="1" applyBorder="1" applyAlignment="1">
      <alignment horizontal="left" vertical="center"/>
    </xf>
    <xf numFmtId="0" fontId="149" fillId="0" borderId="40" xfId="0" applyFont="1" applyBorder="1" applyAlignment="1">
      <alignment horizontal="left" vertical="center" wrapText="1"/>
    </xf>
    <xf numFmtId="169" fontId="2" fillId="0" borderId="35" xfId="48" applyNumberFormat="1" applyFont="1" applyFill="1" applyBorder="1" applyAlignment="1" applyProtection="1">
      <alignment horizontal="right"/>
      <protection locked="0"/>
    </xf>
    <xf numFmtId="169" fontId="2" fillId="0" borderId="41" xfId="48" applyNumberFormat="1" applyFont="1" applyFill="1" applyBorder="1" applyAlignment="1" applyProtection="1">
      <alignment horizontal="right"/>
      <protection locked="0"/>
    </xf>
    <xf numFmtId="169" fontId="93" fillId="0" borderId="20" xfId="48" applyNumberFormat="1" applyFont="1" applyBorder="1" applyAlignment="1" applyProtection="1">
      <alignment horizontal="right" vertical="center"/>
      <protection locked="0" hidden="1"/>
    </xf>
    <xf numFmtId="0" fontId="142" fillId="0" borderId="42" xfId="0" applyFont="1" applyBorder="1" applyAlignment="1">
      <alignment horizontal="left" vertical="center"/>
    </xf>
    <xf numFmtId="0" fontId="149" fillId="0" borderId="42" xfId="0" applyFont="1" applyBorder="1" applyAlignment="1">
      <alignment horizontal="left" vertical="center" wrapText="1"/>
    </xf>
    <xf numFmtId="0" fontId="152" fillId="0" borderId="0" xfId="0" applyFont="1" applyAlignment="1">
      <alignment horizontal="center" vertical="center"/>
    </xf>
    <xf numFmtId="0" fontId="153" fillId="0" borderId="42" xfId="0" applyFont="1" applyBorder="1"/>
    <xf numFmtId="43" fontId="153" fillId="0" borderId="42" xfId="48" applyFont="1" applyBorder="1"/>
    <xf numFmtId="43" fontId="151" fillId="0" borderId="42" xfId="48" applyFont="1" applyBorder="1"/>
    <xf numFmtId="199" fontId="147" fillId="35" borderId="0" xfId="0" applyNumberFormat="1" applyFont="1" applyFill="1" applyAlignment="1">
      <alignment horizontal="right" wrapText="1"/>
    </xf>
    <xf numFmtId="199" fontId="120" fillId="35" borderId="0" xfId="48" applyNumberFormat="1" applyFont="1" applyFill="1" applyAlignment="1">
      <alignment horizontal="right"/>
    </xf>
    <xf numFmtId="199" fontId="155" fillId="35" borderId="0" xfId="0" applyNumberFormat="1" applyFont="1" applyFill="1" applyAlignment="1">
      <alignment horizontal="right" wrapText="1"/>
    </xf>
    <xf numFmtId="43" fontId="0" fillId="0" borderId="0" xfId="0" applyNumberFormat="1"/>
    <xf numFmtId="0" fontId="0" fillId="0" borderId="45" xfId="0" applyBorder="1" applyAlignment="1">
      <alignment horizontal="center" vertical="center"/>
    </xf>
    <xf numFmtId="0" fontId="149" fillId="0" borderId="45" xfId="0" applyFont="1" applyBorder="1" applyAlignment="1">
      <alignment horizontal="left" vertical="center" wrapText="1"/>
    </xf>
    <xf numFmtId="17" fontId="0" fillId="0" borderId="42" xfId="0" applyNumberFormat="1" applyBorder="1" applyAlignment="1">
      <alignment horizontal="left"/>
    </xf>
    <xf numFmtId="199" fontId="147" fillId="0" borderId="0" xfId="0" applyNumberFormat="1" applyFont="1" applyAlignment="1">
      <alignment horizontal="right" wrapText="1"/>
    </xf>
    <xf numFmtId="200" fontId="0" fillId="0" borderId="0" xfId="0" applyNumberFormat="1"/>
    <xf numFmtId="169" fontId="10" fillId="0" borderId="35" xfId="48" applyNumberFormat="1" applyFont="1" applyFill="1" applyBorder="1" applyAlignment="1" applyProtection="1">
      <alignment horizontal="right"/>
    </xf>
    <xf numFmtId="169" fontId="10" fillId="0" borderId="45" xfId="48" applyNumberFormat="1" applyFont="1" applyFill="1" applyBorder="1" applyAlignment="1" applyProtection="1">
      <alignment horizontal="right" vertical="center"/>
    </xf>
    <xf numFmtId="169" fontId="11" fillId="0" borderId="35" xfId="48" applyNumberFormat="1" applyFont="1" applyFill="1" applyBorder="1" applyAlignment="1" applyProtection="1"/>
    <xf numFmtId="169" fontId="10" fillId="0" borderId="43" xfId="48" applyNumberFormat="1" applyFont="1" applyFill="1" applyBorder="1" applyAlignment="1" applyProtection="1">
      <alignment horizontal="center"/>
    </xf>
    <xf numFmtId="169" fontId="11" fillId="0" borderId="45" xfId="48" applyNumberFormat="1" applyFont="1" applyFill="1" applyBorder="1" applyProtection="1">
      <protection locked="0"/>
    </xf>
    <xf numFmtId="169" fontId="3" fillId="0" borderId="45" xfId="48" applyNumberFormat="1" applyFont="1" applyFill="1" applyBorder="1" applyProtection="1">
      <protection locked="0"/>
    </xf>
    <xf numFmtId="169" fontId="3" fillId="0" borderId="11" xfId="48" applyNumberFormat="1" applyFont="1" applyFill="1" applyBorder="1" applyProtection="1">
      <protection locked="0"/>
    </xf>
    <xf numFmtId="4" fontId="120" fillId="35" borderId="0" xfId="48" applyNumberFormat="1" applyFont="1" applyFill="1" applyAlignment="1">
      <alignment horizontal="right"/>
    </xf>
    <xf numFmtId="0" fontId="145" fillId="0" borderId="37" xfId="0" applyFont="1" applyBorder="1" applyAlignment="1">
      <alignment horizontal="center" wrapText="1"/>
    </xf>
    <xf numFmtId="199" fontId="147" fillId="0" borderId="0" xfId="0" applyNumberFormat="1" applyFont="1" applyAlignment="1">
      <alignment wrapText="1"/>
    </xf>
    <xf numFmtId="199" fontId="155" fillId="0" borderId="0" xfId="0" applyNumberFormat="1" applyFont="1" applyAlignment="1">
      <alignment horizontal="right" wrapText="1"/>
    </xf>
    <xf numFmtId="200" fontId="146" fillId="0" borderId="38" xfId="0" applyNumberFormat="1" applyFont="1" applyBorder="1" applyAlignment="1">
      <alignment horizontal="right" wrapText="1"/>
    </xf>
    <xf numFmtId="199" fontId="147" fillId="0" borderId="32" xfId="0" applyNumberFormat="1" applyFont="1" applyBorder="1" applyAlignment="1">
      <alignment horizontal="right" wrapText="1"/>
    </xf>
    <xf numFmtId="200" fontId="146" fillId="0" borderId="0" xfId="0" applyNumberFormat="1" applyFont="1" applyAlignment="1">
      <alignment horizontal="right" wrapText="1"/>
    </xf>
    <xf numFmtId="200" fontId="146" fillId="0" borderId="32" xfId="0" applyNumberFormat="1" applyFont="1" applyBorder="1" applyAlignment="1">
      <alignment horizontal="right" wrapText="1"/>
    </xf>
    <xf numFmtId="43" fontId="120" fillId="0" borderId="0" xfId="48" applyFont="1" applyFill="1" applyAlignment="1">
      <alignment horizontal="right"/>
    </xf>
    <xf numFmtId="199" fontId="120" fillId="0" borderId="0" xfId="48" applyNumberFormat="1" applyFont="1" applyFill="1" applyAlignment="1">
      <alignment horizontal="right"/>
    </xf>
    <xf numFmtId="43" fontId="0" fillId="0" borderId="33" xfId="48" applyFont="1" applyFill="1" applyBorder="1" applyAlignment="1">
      <alignment horizontal="right"/>
    </xf>
    <xf numFmtId="43" fontId="120" fillId="0" borderId="0" xfId="48" applyFont="1" applyFill="1"/>
    <xf numFmtId="43" fontId="0" fillId="0" borderId="34" xfId="48" applyFont="1" applyFill="1" applyBorder="1" applyAlignment="1">
      <alignment horizontal="right"/>
    </xf>
    <xf numFmtId="199" fontId="156" fillId="0" borderId="0" xfId="0" applyNumberFormat="1" applyFont="1" applyAlignment="1">
      <alignment horizontal="right" wrapText="1"/>
    </xf>
    <xf numFmtId="43" fontId="78" fillId="0" borderId="0" xfId="0" applyNumberFormat="1" applyFont="1" applyProtection="1">
      <protection hidden="1"/>
    </xf>
    <xf numFmtId="4" fontId="120" fillId="0" borderId="0" xfId="48" applyNumberFormat="1" applyFont="1" applyFill="1" applyAlignment="1">
      <alignment horizontal="right"/>
    </xf>
    <xf numFmtId="0" fontId="157" fillId="0" borderId="0" xfId="0" applyFont="1"/>
    <xf numFmtId="0" fontId="137" fillId="0" borderId="0" xfId="0" applyFont="1" applyAlignment="1" applyProtection="1">
      <alignment horizontal="center" vertical="center"/>
      <protection locked="0"/>
    </xf>
    <xf numFmtId="0" fontId="116" fillId="0" borderId="0" xfId="0" applyFont="1" applyAlignment="1" applyProtection="1">
      <alignment horizontal="center" vertical="center"/>
      <protection locked="0"/>
    </xf>
    <xf numFmtId="0" fontId="122" fillId="0" borderId="0" xfId="0" applyFont="1" applyAlignment="1" applyProtection="1">
      <alignment horizontal="center" vertical="center"/>
      <protection hidden="1"/>
    </xf>
    <xf numFmtId="0" fontId="84" fillId="0" borderId="0" xfId="0" applyFont="1" applyAlignment="1">
      <alignment horizontal="center"/>
    </xf>
    <xf numFmtId="0" fontId="108" fillId="0" borderId="0" xfId="0" applyFont="1" applyAlignment="1">
      <alignment horizontal="left" vertical="center" indent="18"/>
    </xf>
    <xf numFmtId="0" fontId="104" fillId="0" borderId="0" xfId="0" applyFont="1" applyAlignment="1">
      <alignment horizontal="left"/>
    </xf>
    <xf numFmtId="166" fontId="117" fillId="0" borderId="0" xfId="0" applyNumberFormat="1" applyFont="1" applyAlignment="1">
      <alignment horizontal="center" vertical="center" wrapText="1"/>
    </xf>
    <xf numFmtId="166" fontId="104" fillId="0" borderId="0" xfId="0" applyNumberFormat="1" applyFont="1" applyAlignment="1">
      <alignment horizontal="center"/>
    </xf>
    <xf numFmtId="0" fontId="114" fillId="0" borderId="0" xfId="0" applyFont="1" applyAlignment="1" applyProtection="1">
      <alignment horizontal="left" vertical="center" wrapText="1"/>
      <protection hidden="1"/>
    </xf>
    <xf numFmtId="166" fontId="117" fillId="0" borderId="0" xfId="0" applyNumberFormat="1" applyFont="1" applyAlignment="1" applyProtection="1">
      <alignment horizontal="center" vertical="center" wrapText="1"/>
      <protection hidden="1"/>
    </xf>
    <xf numFmtId="0" fontId="110" fillId="33" borderId="0" xfId="0" applyFont="1" applyFill="1" applyAlignment="1" applyProtection="1">
      <alignment horizontal="center" vertical="center"/>
      <protection hidden="1"/>
    </xf>
    <xf numFmtId="0" fontId="108" fillId="33" borderId="0" xfId="0" applyFont="1" applyFill="1" applyAlignment="1" applyProtection="1">
      <alignment horizontal="center" vertical="center"/>
      <protection hidden="1"/>
    </xf>
    <xf numFmtId="0" fontId="136" fillId="33" borderId="0" xfId="140" applyFont="1" applyFill="1" applyAlignment="1" applyProtection="1">
      <alignment horizontal="center" vertical="center" wrapText="1"/>
      <protection hidden="1"/>
    </xf>
    <xf numFmtId="0" fontId="94" fillId="33" borderId="0" xfId="140" applyFont="1" applyFill="1" applyAlignment="1" applyProtection="1">
      <alignment horizontal="center" vertical="center" wrapText="1"/>
      <protection hidden="1"/>
    </xf>
    <xf numFmtId="0" fontId="126" fillId="0" borderId="0" xfId="0" applyFont="1" applyAlignment="1" applyProtection="1">
      <alignment horizontal="center" vertical="center" wrapText="1"/>
      <protection hidden="1"/>
    </xf>
    <xf numFmtId="0" fontId="96" fillId="0" borderId="0" xfId="0" applyFont="1" applyAlignment="1" applyProtection="1">
      <alignment horizontal="left" vertical="center"/>
      <protection hidden="1"/>
    </xf>
    <xf numFmtId="0" fontId="125" fillId="0" borderId="0" xfId="0" applyFont="1" applyAlignment="1" applyProtection="1">
      <alignment horizontal="left" vertical="center"/>
      <protection hidden="1"/>
    </xf>
    <xf numFmtId="0" fontId="110" fillId="33" borderId="0" xfId="0" applyFont="1" applyFill="1" applyAlignment="1" applyProtection="1">
      <alignment horizontal="center" vertical="center" wrapText="1"/>
      <protection hidden="1"/>
    </xf>
    <xf numFmtId="0" fontId="84" fillId="0" borderId="0" xfId="0" applyFont="1" applyAlignment="1" applyProtection="1">
      <alignment horizontal="center"/>
      <protection hidden="1"/>
    </xf>
    <xf numFmtId="0" fontId="127" fillId="0" borderId="7" xfId="0" applyFont="1" applyBorder="1" applyAlignment="1" applyProtection="1">
      <alignment horizontal="left" vertical="center"/>
      <protection hidden="1"/>
    </xf>
    <xf numFmtId="0" fontId="118" fillId="0" borderId="0" xfId="0" applyFont="1" applyAlignment="1" applyProtection="1">
      <alignment horizontal="left" vertical="center"/>
      <protection hidden="1"/>
    </xf>
    <xf numFmtId="166" fontId="104" fillId="0" borderId="0" xfId="0" applyNumberFormat="1" applyFont="1" applyAlignment="1" applyProtection="1">
      <alignment horizontal="center"/>
      <protection hidden="1"/>
    </xf>
    <xf numFmtId="0" fontId="79" fillId="0" borderId="0" xfId="0" applyFont="1" applyAlignment="1" applyProtection="1">
      <alignment horizontal="left" vertical="center" wrapText="1"/>
      <protection hidden="1"/>
    </xf>
    <xf numFmtId="0" fontId="139" fillId="34" borderId="0" xfId="0" applyFont="1" applyFill="1" applyAlignment="1">
      <alignment horizontal="left" vertical="center"/>
    </xf>
    <xf numFmtId="0" fontId="138" fillId="34" borderId="0" xfId="0" applyFont="1" applyFill="1" applyAlignment="1">
      <alignment horizontal="left" vertical="center"/>
    </xf>
    <xf numFmtId="0" fontId="140" fillId="33" borderId="35" xfId="0" applyFont="1" applyFill="1" applyBorder="1" applyAlignment="1">
      <alignment horizontal="center" vertical="center"/>
    </xf>
    <xf numFmtId="0" fontId="140" fillId="33" borderId="0" xfId="0" applyFont="1" applyFill="1" applyAlignment="1">
      <alignment horizontal="center" vertical="center"/>
    </xf>
    <xf numFmtId="0" fontId="96" fillId="0" borderId="0" xfId="0" applyFont="1" applyAlignment="1">
      <alignment horizontal="left" vertical="center"/>
    </xf>
    <xf numFmtId="0" fontId="134" fillId="33" borderId="0" xfId="0" applyFont="1" applyFill="1" applyAlignment="1">
      <alignment horizontal="center" vertical="center"/>
    </xf>
    <xf numFmtId="0" fontId="119" fillId="32" borderId="0" xfId="0" applyFont="1" applyFill="1" applyAlignment="1">
      <alignment horizontal="left" vertical="center"/>
    </xf>
    <xf numFmtId="0" fontId="119" fillId="33" borderId="0" xfId="0" applyFont="1" applyFill="1" applyAlignment="1">
      <alignment horizontal="left" vertical="center"/>
    </xf>
    <xf numFmtId="0" fontId="119" fillId="33" borderId="0" xfId="0" applyFont="1" applyFill="1" applyAlignment="1">
      <alignment horizontal="center" vertical="center"/>
    </xf>
    <xf numFmtId="0" fontId="119" fillId="32" borderId="0" xfId="0" applyFont="1" applyFill="1" applyAlignment="1">
      <alignment horizontal="center" vertical="center"/>
    </xf>
    <xf numFmtId="0" fontId="125" fillId="0" borderId="0" xfId="0" applyFont="1" applyAlignment="1">
      <alignment horizontal="left" vertical="center"/>
    </xf>
    <xf numFmtId="0" fontId="151" fillId="0" borderId="43" xfId="0" applyFont="1" applyBorder="1" applyAlignment="1">
      <alignment horizontal="left"/>
    </xf>
    <xf numFmtId="0" fontId="151" fillId="0" borderId="44" xfId="0" applyFont="1" applyBorder="1" applyAlignment="1">
      <alignment horizontal="left"/>
    </xf>
    <xf numFmtId="0" fontId="149" fillId="0" borderId="0" xfId="0" applyFont="1" applyAlignment="1">
      <alignment horizontal="left"/>
    </xf>
    <xf numFmtId="0" fontId="154" fillId="0" borderId="0" xfId="0" applyFont="1" applyAlignment="1">
      <alignment horizontal="left"/>
    </xf>
    <xf numFmtId="0" fontId="128" fillId="0" borderId="0" xfId="0" applyFont="1" applyAlignment="1" applyProtection="1">
      <alignment horizontal="right" vertical="center"/>
      <protection hidden="1"/>
    </xf>
    <xf numFmtId="0" fontId="123" fillId="0" borderId="7" xfId="0" applyFont="1" applyBorder="1" applyAlignment="1" applyProtection="1">
      <alignment horizontal="left" vertical="center" wrapText="1"/>
      <protection hidden="1"/>
    </xf>
    <xf numFmtId="0" fontId="122" fillId="0" borderId="7" xfId="0" applyFont="1" applyBorder="1" applyAlignment="1" applyProtection="1">
      <alignment horizontal="left" vertical="center" wrapText="1"/>
      <protection hidden="1"/>
    </xf>
    <xf numFmtId="0" fontId="98" fillId="33" borderId="0" xfId="0" applyFont="1" applyFill="1" applyAlignment="1" applyProtection="1">
      <alignment horizontal="center" vertical="center" wrapText="1"/>
      <protection hidden="1"/>
    </xf>
    <xf numFmtId="0" fontId="135" fillId="0" borderId="0" xfId="0" applyFont="1" applyAlignment="1" applyProtection="1">
      <alignment horizontal="right" vertical="center"/>
      <protection hidden="1"/>
    </xf>
    <xf numFmtId="168" fontId="110" fillId="33" borderId="0" xfId="0" applyNumberFormat="1" applyFont="1" applyFill="1" applyAlignment="1" applyProtection="1">
      <alignment horizontal="center" wrapText="1"/>
      <protection hidden="1"/>
    </xf>
    <xf numFmtId="167" fontId="148" fillId="33" borderId="0" xfId="0" applyNumberFormat="1" applyFont="1" applyFill="1" applyAlignment="1">
      <alignment horizontal="center" vertical="center" wrapText="1"/>
    </xf>
    <xf numFmtId="0" fontId="122" fillId="0" borderId="0" xfId="0" applyFont="1" applyAlignment="1">
      <alignment horizontal="right" vertical="center"/>
    </xf>
    <xf numFmtId="0" fontId="122" fillId="0" borderId="7" xfId="0" applyFont="1" applyBorder="1" applyAlignment="1">
      <alignment horizontal="center" vertical="center" wrapText="1"/>
    </xf>
    <xf numFmtId="167" fontId="110" fillId="33" borderId="0" xfId="0" applyNumberFormat="1" applyFont="1" applyFill="1" applyAlignment="1">
      <alignment horizontal="center" vertical="center" wrapText="1"/>
    </xf>
    <xf numFmtId="0" fontId="132" fillId="33" borderId="0" xfId="0" applyFont="1" applyFill="1" applyAlignment="1">
      <alignment horizontal="center" vertical="center" wrapText="1"/>
    </xf>
    <xf numFmtId="0" fontId="103" fillId="0" borderId="0" xfId="0" applyFont="1" applyAlignment="1">
      <alignment horizontal="left" vertical="center"/>
    </xf>
    <xf numFmtId="0" fontId="80" fillId="0" borderId="0" xfId="0" applyFont="1" applyAlignment="1">
      <alignment horizontal="left" vertical="center"/>
    </xf>
    <xf numFmtId="167" fontId="117" fillId="31" borderId="0" xfId="0" applyNumberFormat="1" applyFont="1" applyFill="1" applyAlignment="1">
      <alignment horizontal="center" vertical="center" wrapText="1"/>
    </xf>
    <xf numFmtId="168" fontId="117" fillId="31" borderId="0" xfId="0" applyNumberFormat="1" applyFont="1" applyFill="1" applyAlignment="1" applyProtection="1">
      <alignment horizontal="center" vertical="center" wrapText="1"/>
      <protection hidden="1"/>
    </xf>
    <xf numFmtId="0" fontId="90" fillId="0" borderId="0" xfId="0" applyFont="1" applyAlignment="1">
      <alignment horizontal="right"/>
    </xf>
    <xf numFmtId="0" fontId="107" fillId="0" borderId="0" xfId="0" applyFont="1" applyAlignment="1">
      <alignment horizontal="right" vertical="center"/>
    </xf>
    <xf numFmtId="0" fontId="110" fillId="33" borderId="0" xfId="0" applyFont="1" applyFill="1" applyAlignment="1">
      <alignment horizontal="center" vertical="center" wrapText="1"/>
    </xf>
    <xf numFmtId="168" fontId="117" fillId="33" borderId="0" xfId="0" applyNumberFormat="1" applyFont="1" applyFill="1" applyAlignment="1">
      <alignment horizontal="center" vertical="center" wrapText="1"/>
    </xf>
    <xf numFmtId="0" fontId="147" fillId="0" borderId="0" xfId="0" applyFont="1" applyAlignment="1">
      <alignment horizontal="center"/>
    </xf>
    <xf numFmtId="0" fontId="0" fillId="0" borderId="0" xfId="0"/>
    <xf numFmtId="0" fontId="144" fillId="0" borderId="0" xfId="0" applyFont="1" applyAlignment="1">
      <alignment horizontal="center"/>
    </xf>
    <xf numFmtId="0" fontId="65" fillId="0" borderId="0" xfId="0" applyFont="1" applyAlignment="1">
      <alignment horizontal="center"/>
    </xf>
    <xf numFmtId="4" fontId="120" fillId="0" borderId="0" xfId="0" applyNumberFormat="1" applyFont="1"/>
    <xf numFmtId="199" fontId="120" fillId="0" borderId="0" xfId="0" applyNumberFormat="1" applyFont="1"/>
    <xf numFmtId="43" fontId="120" fillId="0" borderId="0" xfId="0" applyNumberFormat="1" applyFont="1"/>
    <xf numFmtId="43" fontId="120" fillId="0" borderId="0" xfId="48" applyFont="1"/>
    <xf numFmtId="43" fontId="121" fillId="0" borderId="0" xfId="48" applyFont="1"/>
    <xf numFmtId="43" fontId="0" fillId="0" borderId="0" xfId="48" applyFont="1"/>
    <xf numFmtId="4" fontId="158" fillId="0" borderId="0" xfId="48" applyNumberFormat="1" applyFont="1" applyFill="1" applyAlignment="1">
      <alignment horizontal="right"/>
    </xf>
    <xf numFmtId="201" fontId="0" fillId="0" borderId="45" xfId="0" applyNumberFormat="1" applyBorder="1"/>
    <xf numFmtId="201" fontId="0" fillId="0" borderId="42" xfId="48" applyNumberFormat="1" applyFont="1" applyBorder="1"/>
  </cellXfs>
  <cellStyles count="475">
    <cellStyle name="/" xfId="1" xr:uid="{00000000-0005-0000-0000-000000000000}"/>
    <cellStyle name="_Worksheet in 2211  Financial statements 2008 - Final   (25-11)" xfId="2" xr:uid="{00000000-0005-0000-0000-000001000000}"/>
    <cellStyle name="_Worksheet in 5140 Fixed Asset schedule" xfId="3" xr:uid="{00000000-0005-0000-0000-000002000000}"/>
    <cellStyle name="=C:\WINNT\SYSTEM32\COMMAND.COM" xfId="4" xr:uid="{00000000-0005-0000-0000-000003000000}"/>
    <cellStyle name="=C:\WINNT\SYSTEM32\COMMAND.COM 2" xfId="5" xr:uid="{00000000-0005-0000-0000-000004000000}"/>
    <cellStyle name="=C:\WINNT\SYSTEM32\COMMAND.COM 2 2" xfId="6" xr:uid="{00000000-0005-0000-0000-000005000000}"/>
    <cellStyle name="=C:\WINNT\SYSTEM32\COMMAND.COM 3" xfId="7" xr:uid="{00000000-0005-0000-0000-000006000000}"/>
    <cellStyle name="=C:\WINNT\SYSTEM32\COMMAND.COM_Final_accounts_draft_2003_format" xfId="8" xr:uid="{00000000-0005-0000-0000-000007000000}"/>
    <cellStyle name="=C:\WINNT35\SYSTEM32\COMMAND.COM" xfId="9" xr:uid="{00000000-0005-0000-0000-000008000000}"/>
    <cellStyle name="=C:\WINNT35\SYSTEM32\COMMAND.COM 2" xfId="10" xr:uid="{00000000-0005-0000-0000-000009000000}"/>
    <cellStyle name="=C:\WINNT35\SYSTEM32\COMMAND.COM_2231 STPL  FS 2010" xfId="11" xr:uid="{00000000-0005-0000-0000-00000A000000}"/>
    <cellStyle name="20% - Accent1 2" xfId="12" xr:uid="{00000000-0005-0000-0000-00000B000000}"/>
    <cellStyle name="20% - Accent2 2" xfId="13" xr:uid="{00000000-0005-0000-0000-00000C000000}"/>
    <cellStyle name="20% - Accent3 2" xfId="14" xr:uid="{00000000-0005-0000-0000-00000D000000}"/>
    <cellStyle name="20% - Accent4 2" xfId="15" xr:uid="{00000000-0005-0000-0000-00000E000000}"/>
    <cellStyle name="20% - Accent5 2" xfId="16" xr:uid="{00000000-0005-0000-0000-00000F000000}"/>
    <cellStyle name="20% - Accent6 2" xfId="17" xr:uid="{00000000-0005-0000-0000-000010000000}"/>
    <cellStyle name="40% - Accent1 2" xfId="18" xr:uid="{00000000-0005-0000-0000-000011000000}"/>
    <cellStyle name="40% - Accent2 2" xfId="19" xr:uid="{00000000-0005-0000-0000-000012000000}"/>
    <cellStyle name="40% - Accent3 2" xfId="20" xr:uid="{00000000-0005-0000-0000-000013000000}"/>
    <cellStyle name="40% - Accent4 2" xfId="21" xr:uid="{00000000-0005-0000-0000-000014000000}"/>
    <cellStyle name="40% - Accent5 2" xfId="22" xr:uid="{00000000-0005-0000-0000-000015000000}"/>
    <cellStyle name="40% - Accent6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AeE­ [0]_INQUIRY ¿μ¾÷AßAø " xfId="36" xr:uid="{00000000-0005-0000-0000-000023000000}"/>
    <cellStyle name="AeE­_INQUIRY ¿μ¾÷AßAø " xfId="37" xr:uid="{00000000-0005-0000-0000-000024000000}"/>
    <cellStyle name="AÞ¸¶ [0]_INQUIRY ¿?¾÷AßAø " xfId="38" xr:uid="{00000000-0005-0000-0000-000025000000}"/>
    <cellStyle name="AÞ¸¶_INQUIRY ¿?¾÷AßAø " xfId="39" xr:uid="{00000000-0005-0000-0000-000026000000}"/>
    <cellStyle name="Bad 2" xfId="40" xr:uid="{00000000-0005-0000-0000-000027000000}"/>
    <cellStyle name="Body" xfId="41" xr:uid="{00000000-0005-0000-0000-000028000000}"/>
    <cellStyle name="C?AØ_¿?¾÷CoE² " xfId="42" xr:uid="{00000000-0005-0000-0000-000029000000}"/>
    <cellStyle name="C￥AØ_¿μ¾÷CoE² " xfId="43" xr:uid="{00000000-0005-0000-0000-00002A000000}"/>
    <cellStyle name="Calc Currency (0)" xfId="44" xr:uid="{00000000-0005-0000-0000-00002B000000}"/>
    <cellStyle name="Calc Currency (0) 2" xfId="45" xr:uid="{00000000-0005-0000-0000-00002C000000}"/>
    <cellStyle name="Calculation 2" xfId="46" xr:uid="{00000000-0005-0000-0000-00002D000000}"/>
    <cellStyle name="Check Cell 2" xfId="47" xr:uid="{00000000-0005-0000-0000-00002E000000}"/>
    <cellStyle name="Comma" xfId="48" builtinId="3"/>
    <cellStyle name="Comma  - Style1" xfId="49" xr:uid="{00000000-0005-0000-0000-000030000000}"/>
    <cellStyle name="Comma  - Style1 2" xfId="50" xr:uid="{00000000-0005-0000-0000-000031000000}"/>
    <cellStyle name="Comma  - Style2" xfId="51" xr:uid="{00000000-0005-0000-0000-000032000000}"/>
    <cellStyle name="Comma  - Style2 2" xfId="52" xr:uid="{00000000-0005-0000-0000-000033000000}"/>
    <cellStyle name="Comma  - Style3" xfId="53" xr:uid="{00000000-0005-0000-0000-000034000000}"/>
    <cellStyle name="Comma  - Style3 2" xfId="54" xr:uid="{00000000-0005-0000-0000-000035000000}"/>
    <cellStyle name="Comma  - Style4" xfId="55" xr:uid="{00000000-0005-0000-0000-000036000000}"/>
    <cellStyle name="Comma  - Style4 2" xfId="56" xr:uid="{00000000-0005-0000-0000-000037000000}"/>
    <cellStyle name="Comma  - Style5" xfId="57" xr:uid="{00000000-0005-0000-0000-000038000000}"/>
    <cellStyle name="Comma  - Style5 2" xfId="58" xr:uid="{00000000-0005-0000-0000-000039000000}"/>
    <cellStyle name="Comma  - Style6" xfId="59" xr:uid="{00000000-0005-0000-0000-00003A000000}"/>
    <cellStyle name="Comma  - Style6 2" xfId="60" xr:uid="{00000000-0005-0000-0000-00003B000000}"/>
    <cellStyle name="Comma  - Style7" xfId="61" xr:uid="{00000000-0005-0000-0000-00003C000000}"/>
    <cellStyle name="Comma  - Style7 2" xfId="62" xr:uid="{00000000-0005-0000-0000-00003D000000}"/>
    <cellStyle name="Comma  - Style8" xfId="63" xr:uid="{00000000-0005-0000-0000-00003E000000}"/>
    <cellStyle name="Comma  - Style8 2" xfId="64" xr:uid="{00000000-0005-0000-0000-00003F000000}"/>
    <cellStyle name="Comma [0] 2" xfId="65" xr:uid="{00000000-0005-0000-0000-000040000000}"/>
    <cellStyle name="Comma [0] 2 2" xfId="66" xr:uid="{00000000-0005-0000-0000-000041000000}"/>
    <cellStyle name="Comma [0] 2 3" xfId="67" xr:uid="{00000000-0005-0000-0000-000042000000}"/>
    <cellStyle name="Comma 10" xfId="68" xr:uid="{00000000-0005-0000-0000-000043000000}"/>
    <cellStyle name="Comma 10 2" xfId="69" xr:uid="{00000000-0005-0000-0000-000044000000}"/>
    <cellStyle name="Comma 10 3" xfId="70" xr:uid="{00000000-0005-0000-0000-000045000000}"/>
    <cellStyle name="Comma 10 4" xfId="71" xr:uid="{00000000-0005-0000-0000-000046000000}"/>
    <cellStyle name="Comma 11" xfId="72" xr:uid="{00000000-0005-0000-0000-000047000000}"/>
    <cellStyle name="Comma 11 2" xfId="73" xr:uid="{00000000-0005-0000-0000-000048000000}"/>
    <cellStyle name="Comma 12" xfId="74" xr:uid="{00000000-0005-0000-0000-000049000000}"/>
    <cellStyle name="Comma 12 2" xfId="75" xr:uid="{00000000-0005-0000-0000-00004A000000}"/>
    <cellStyle name="Comma 12 3" xfId="76" xr:uid="{00000000-0005-0000-0000-00004B000000}"/>
    <cellStyle name="Comma 13" xfId="77" xr:uid="{00000000-0005-0000-0000-00004C000000}"/>
    <cellStyle name="Comma 13 2" xfId="78" xr:uid="{00000000-0005-0000-0000-00004D000000}"/>
    <cellStyle name="Comma 14" xfId="79" xr:uid="{00000000-0005-0000-0000-00004E000000}"/>
    <cellStyle name="Comma 2" xfId="80" xr:uid="{00000000-0005-0000-0000-00004F000000}"/>
    <cellStyle name="Comma 2 2" xfId="81" xr:uid="{00000000-0005-0000-0000-000050000000}"/>
    <cellStyle name="Comma 2 2 2" xfId="82" xr:uid="{00000000-0005-0000-0000-000051000000}"/>
    <cellStyle name="Comma 2 2 3" xfId="83" xr:uid="{00000000-0005-0000-0000-000052000000}"/>
    <cellStyle name="Comma 2 3" xfId="84" xr:uid="{00000000-0005-0000-0000-000053000000}"/>
    <cellStyle name="Comma 2 4" xfId="85" xr:uid="{00000000-0005-0000-0000-000054000000}"/>
    <cellStyle name="Comma 3" xfId="86" xr:uid="{00000000-0005-0000-0000-000055000000}"/>
    <cellStyle name="Comma 3 2" xfId="87" xr:uid="{00000000-0005-0000-0000-000056000000}"/>
    <cellStyle name="Comma 3 3" xfId="88" xr:uid="{00000000-0005-0000-0000-000057000000}"/>
    <cellStyle name="Comma 4" xfId="89" xr:uid="{00000000-0005-0000-0000-000058000000}"/>
    <cellStyle name="Comma 4 2" xfId="90" xr:uid="{00000000-0005-0000-0000-000059000000}"/>
    <cellStyle name="Comma 5" xfId="91" xr:uid="{00000000-0005-0000-0000-00005A000000}"/>
    <cellStyle name="Comma 5 2" xfId="92" xr:uid="{00000000-0005-0000-0000-00005B000000}"/>
    <cellStyle name="Comma 5 3" xfId="93" xr:uid="{00000000-0005-0000-0000-00005C000000}"/>
    <cellStyle name="Comma 6" xfId="94" xr:uid="{00000000-0005-0000-0000-00005D000000}"/>
    <cellStyle name="Comma 6 2" xfId="95" xr:uid="{00000000-0005-0000-0000-00005E000000}"/>
    <cellStyle name="Comma 7" xfId="96" xr:uid="{00000000-0005-0000-0000-00005F000000}"/>
    <cellStyle name="Comma 7 14" xfId="97" xr:uid="{00000000-0005-0000-0000-000060000000}"/>
    <cellStyle name="Comma 7 2" xfId="98" xr:uid="{00000000-0005-0000-0000-000061000000}"/>
    <cellStyle name="Comma 7 3" xfId="99" xr:uid="{00000000-0005-0000-0000-000062000000}"/>
    <cellStyle name="Comma 8" xfId="100" xr:uid="{00000000-0005-0000-0000-000063000000}"/>
    <cellStyle name="Comma 8 2" xfId="101" xr:uid="{00000000-0005-0000-0000-000064000000}"/>
    <cellStyle name="Comma 8 3" xfId="102" xr:uid="{00000000-0005-0000-0000-000065000000}"/>
    <cellStyle name="Comma 9" xfId="103" xr:uid="{00000000-0005-0000-0000-000066000000}"/>
    <cellStyle name="Comma 9 2" xfId="104" xr:uid="{00000000-0005-0000-0000-000067000000}"/>
    <cellStyle name="Comma0" xfId="105" xr:uid="{00000000-0005-0000-0000-000068000000}"/>
    <cellStyle name="CommaWIRR_pldt" xfId="106" xr:uid="{00000000-0005-0000-0000-000069000000}"/>
    <cellStyle name="Copied" xfId="107" xr:uid="{00000000-0005-0000-0000-00006A000000}"/>
    <cellStyle name="Ctrrency [0]_laroux_2_Locas_1" xfId="108" xr:uid="{00000000-0005-0000-0000-00006B000000}"/>
    <cellStyle name="Currency0" xfId="109" xr:uid="{00000000-0005-0000-0000-00006C000000}"/>
    <cellStyle name="Custom - Style8" xfId="110" xr:uid="{00000000-0005-0000-0000-00006D000000}"/>
    <cellStyle name="Date" xfId="111" xr:uid="{00000000-0005-0000-0000-00006E000000}"/>
    <cellStyle name="Debit" xfId="112" xr:uid="{00000000-0005-0000-0000-00006F000000}"/>
    <cellStyle name="Define your own named style" xfId="113" xr:uid="{00000000-0005-0000-0000-000070000000}"/>
    <cellStyle name="Dezimal [0]_NEGS" xfId="114" xr:uid="{00000000-0005-0000-0000-000071000000}"/>
    <cellStyle name="Dezimal_NEGS" xfId="115" xr:uid="{00000000-0005-0000-0000-000072000000}"/>
    <cellStyle name="Dollar" xfId="116" xr:uid="{00000000-0005-0000-0000-000073000000}"/>
    <cellStyle name="Draw lines around data in range" xfId="117" xr:uid="{00000000-0005-0000-0000-000074000000}"/>
    <cellStyle name="Draw shadow and lines within range" xfId="118" xr:uid="{00000000-0005-0000-0000-000075000000}"/>
    <cellStyle name="Enlarge title text, yellow on blue" xfId="119" xr:uid="{00000000-0005-0000-0000-000076000000}"/>
    <cellStyle name="Entered" xfId="120" xr:uid="{00000000-0005-0000-0000-000077000000}"/>
    <cellStyle name="Euro" xfId="121" xr:uid="{00000000-0005-0000-0000-000078000000}"/>
    <cellStyle name="Explanatory Text 2" xfId="122" xr:uid="{00000000-0005-0000-0000-000079000000}"/>
    <cellStyle name="Fixed" xfId="123" xr:uid="{00000000-0005-0000-0000-00007A000000}"/>
    <cellStyle name="Format a column of totals" xfId="124" xr:uid="{00000000-0005-0000-0000-00007B000000}"/>
    <cellStyle name="Format a row of totals" xfId="125" xr:uid="{00000000-0005-0000-0000-00007C000000}"/>
    <cellStyle name="Format text as bold, black on yellow" xfId="126" xr:uid="{00000000-0005-0000-0000-00007D000000}"/>
    <cellStyle name="fs" xfId="127" xr:uid="{00000000-0005-0000-0000-00007E000000}"/>
    <cellStyle name="Good 2" xfId="128" xr:uid="{00000000-0005-0000-0000-00007F000000}"/>
    <cellStyle name="Grey" xfId="129" xr:uid="{00000000-0005-0000-0000-000080000000}"/>
    <cellStyle name="Grey 2" xfId="130" xr:uid="{00000000-0005-0000-0000-000081000000}"/>
    <cellStyle name="Header1" xfId="131" xr:uid="{00000000-0005-0000-0000-000082000000}"/>
    <cellStyle name="Header1 2" xfId="132" xr:uid="{00000000-0005-0000-0000-000083000000}"/>
    <cellStyle name="Header2" xfId="133" xr:uid="{00000000-0005-0000-0000-000084000000}"/>
    <cellStyle name="Header2 2" xfId="134" xr:uid="{00000000-0005-0000-0000-000085000000}"/>
    <cellStyle name="Heading" xfId="135" xr:uid="{00000000-0005-0000-0000-000086000000}"/>
    <cellStyle name="Heading 1 2" xfId="136" xr:uid="{00000000-0005-0000-0000-000087000000}"/>
    <cellStyle name="Heading 2 2" xfId="137" xr:uid="{00000000-0005-0000-0000-000088000000}"/>
    <cellStyle name="Heading 3 2" xfId="138" xr:uid="{00000000-0005-0000-0000-000089000000}"/>
    <cellStyle name="Heading 4 2" xfId="139" xr:uid="{00000000-0005-0000-0000-00008A000000}"/>
    <cellStyle name="Hyperlink" xfId="140" builtinId="8"/>
    <cellStyle name="Hyperlink 2" xfId="141" xr:uid="{00000000-0005-0000-0000-00008C000000}"/>
    <cellStyle name="Input [yellow]" xfId="142" xr:uid="{00000000-0005-0000-0000-00008D000000}"/>
    <cellStyle name="Input [yellow] 2" xfId="143" xr:uid="{00000000-0005-0000-0000-00008E000000}"/>
    <cellStyle name="Input 2" xfId="144" xr:uid="{00000000-0005-0000-0000-00008F000000}"/>
    <cellStyle name="Input 3" xfId="145" xr:uid="{00000000-0005-0000-0000-000090000000}"/>
    <cellStyle name="Input 4" xfId="146" xr:uid="{00000000-0005-0000-0000-000091000000}"/>
    <cellStyle name="Input 5" xfId="147" xr:uid="{00000000-0005-0000-0000-000092000000}"/>
    <cellStyle name="Instructions" xfId="148" xr:uid="{00000000-0005-0000-0000-000093000000}"/>
    <cellStyle name="Instructions 2" xfId="149" xr:uid="{00000000-0005-0000-0000-000094000000}"/>
    <cellStyle name="Linked Cell 2" xfId="150" xr:uid="{00000000-0005-0000-0000-000095000000}"/>
    <cellStyle name="Millares [0]_laroux" xfId="151" xr:uid="{00000000-0005-0000-0000-000096000000}"/>
    <cellStyle name="Millares_laroux" xfId="152" xr:uid="{00000000-0005-0000-0000-000097000000}"/>
    <cellStyle name="Milliers [0]_AR1194" xfId="153" xr:uid="{00000000-0005-0000-0000-000098000000}"/>
    <cellStyle name="Milliers_AR1194" xfId="154" xr:uid="{00000000-0005-0000-0000-000099000000}"/>
    <cellStyle name="Monétaire [0]_AR1194" xfId="155" xr:uid="{00000000-0005-0000-0000-00009A000000}"/>
    <cellStyle name="Monétaire_AR1194" xfId="156" xr:uid="{00000000-0005-0000-0000-00009B000000}"/>
    <cellStyle name="MOQ" xfId="157" xr:uid="{00000000-0005-0000-0000-00009C000000}"/>
    <cellStyle name="Neutral 2" xfId="158" xr:uid="{00000000-0005-0000-0000-00009D000000}"/>
    <cellStyle name="no dec" xfId="159" xr:uid="{00000000-0005-0000-0000-00009E000000}"/>
    <cellStyle name="Normal" xfId="0" builtinId="0"/>
    <cellStyle name="Normal - Style1" xfId="160" xr:uid="{00000000-0005-0000-0000-0000A0000000}"/>
    <cellStyle name="Normal - Style1 2" xfId="161" xr:uid="{00000000-0005-0000-0000-0000A1000000}"/>
    <cellStyle name="Normal - Style1 2 2" xfId="162" xr:uid="{00000000-0005-0000-0000-0000A2000000}"/>
    <cellStyle name="Normal - Style1_TRADE DEBTS 2011-2012 wvg" xfId="163" xr:uid="{00000000-0005-0000-0000-0000A3000000}"/>
    <cellStyle name="Normal - Style2" xfId="164" xr:uid="{00000000-0005-0000-0000-0000A4000000}"/>
    <cellStyle name="Normal - Style2 2" xfId="165" xr:uid="{00000000-0005-0000-0000-0000A5000000}"/>
    <cellStyle name="Normal - Style3" xfId="166" xr:uid="{00000000-0005-0000-0000-0000A6000000}"/>
    <cellStyle name="Normal - Style3 2" xfId="167" xr:uid="{00000000-0005-0000-0000-0000A7000000}"/>
    <cellStyle name="Normal - Style4" xfId="168" xr:uid="{00000000-0005-0000-0000-0000A8000000}"/>
    <cellStyle name="Normal - Style4 2" xfId="169" xr:uid="{00000000-0005-0000-0000-0000A9000000}"/>
    <cellStyle name="Normal - Style5" xfId="170" xr:uid="{00000000-0005-0000-0000-0000AA000000}"/>
    <cellStyle name="Normal - Style5 2" xfId="171" xr:uid="{00000000-0005-0000-0000-0000AB000000}"/>
    <cellStyle name="Normal - Style6" xfId="172" xr:uid="{00000000-0005-0000-0000-0000AC000000}"/>
    <cellStyle name="Normal - Style6 2" xfId="173" xr:uid="{00000000-0005-0000-0000-0000AD000000}"/>
    <cellStyle name="Normal - Style7" xfId="174" xr:uid="{00000000-0005-0000-0000-0000AE000000}"/>
    <cellStyle name="Normal - Style7 2" xfId="175" xr:uid="{00000000-0005-0000-0000-0000AF000000}"/>
    <cellStyle name="Normal - Style8" xfId="176" xr:uid="{00000000-0005-0000-0000-0000B0000000}"/>
    <cellStyle name="Normal - Style8 2" xfId="177" xr:uid="{00000000-0005-0000-0000-0000B1000000}"/>
    <cellStyle name="Normal 10" xfId="178" xr:uid="{00000000-0005-0000-0000-0000B2000000}"/>
    <cellStyle name="Normal 10 2" xfId="179" xr:uid="{00000000-0005-0000-0000-0000B3000000}"/>
    <cellStyle name="Normal 10 3" xfId="180" xr:uid="{00000000-0005-0000-0000-0000B4000000}"/>
    <cellStyle name="Normal 10 4" xfId="181" xr:uid="{00000000-0005-0000-0000-0000B5000000}"/>
    <cellStyle name="Normal 10 5" xfId="182" xr:uid="{00000000-0005-0000-0000-0000B6000000}"/>
    <cellStyle name="Normal 10 6" xfId="183" xr:uid="{00000000-0005-0000-0000-0000B7000000}"/>
    <cellStyle name="Normal 100" xfId="184" xr:uid="{00000000-0005-0000-0000-0000B8000000}"/>
    <cellStyle name="Normal 101" xfId="185" xr:uid="{00000000-0005-0000-0000-0000B9000000}"/>
    <cellStyle name="Normal 102" xfId="186" xr:uid="{00000000-0005-0000-0000-0000BA000000}"/>
    <cellStyle name="Normal 103" xfId="187" xr:uid="{00000000-0005-0000-0000-0000BB000000}"/>
    <cellStyle name="Normal 104" xfId="188" xr:uid="{00000000-0005-0000-0000-0000BC000000}"/>
    <cellStyle name="Normal 105" xfId="189" xr:uid="{00000000-0005-0000-0000-0000BD000000}"/>
    <cellStyle name="Normal 106" xfId="190" xr:uid="{00000000-0005-0000-0000-0000BE000000}"/>
    <cellStyle name="Normal 107" xfId="191" xr:uid="{00000000-0005-0000-0000-0000BF000000}"/>
    <cellStyle name="Normal 108" xfId="192" xr:uid="{00000000-0005-0000-0000-0000C0000000}"/>
    <cellStyle name="Normal 109" xfId="193" xr:uid="{00000000-0005-0000-0000-0000C1000000}"/>
    <cellStyle name="Normal 11" xfId="194" xr:uid="{00000000-0005-0000-0000-0000C2000000}"/>
    <cellStyle name="Normal 11 2" xfId="195" xr:uid="{00000000-0005-0000-0000-0000C3000000}"/>
    <cellStyle name="Normal 11 3" xfId="196" xr:uid="{00000000-0005-0000-0000-0000C4000000}"/>
    <cellStyle name="Normal 110" xfId="197" xr:uid="{00000000-0005-0000-0000-0000C5000000}"/>
    <cellStyle name="Normal 111" xfId="198" xr:uid="{00000000-0005-0000-0000-0000C6000000}"/>
    <cellStyle name="Normal 112" xfId="199" xr:uid="{00000000-0005-0000-0000-0000C7000000}"/>
    <cellStyle name="Normal 113" xfId="200" xr:uid="{00000000-0005-0000-0000-0000C8000000}"/>
    <cellStyle name="Normal 114" xfId="201" xr:uid="{00000000-0005-0000-0000-0000C9000000}"/>
    <cellStyle name="Normal 115" xfId="202" xr:uid="{00000000-0005-0000-0000-0000CA000000}"/>
    <cellStyle name="Normal 116" xfId="203" xr:uid="{00000000-0005-0000-0000-0000CB000000}"/>
    <cellStyle name="Normal 117" xfId="204" xr:uid="{00000000-0005-0000-0000-0000CC000000}"/>
    <cellStyle name="Normal 118" xfId="205" xr:uid="{00000000-0005-0000-0000-0000CD000000}"/>
    <cellStyle name="Normal 119" xfId="206" xr:uid="{00000000-0005-0000-0000-0000CE000000}"/>
    <cellStyle name="Normal 12" xfId="207" xr:uid="{00000000-0005-0000-0000-0000CF000000}"/>
    <cellStyle name="Normal 12 2" xfId="208" xr:uid="{00000000-0005-0000-0000-0000D0000000}"/>
    <cellStyle name="Normal 120" xfId="209" xr:uid="{00000000-0005-0000-0000-0000D1000000}"/>
    <cellStyle name="Normal 121" xfId="210" xr:uid="{00000000-0005-0000-0000-0000D2000000}"/>
    <cellStyle name="Normal 122" xfId="211" xr:uid="{00000000-0005-0000-0000-0000D3000000}"/>
    <cellStyle name="Normal 123" xfId="212" xr:uid="{00000000-0005-0000-0000-0000D4000000}"/>
    <cellStyle name="Normal 124" xfId="213" xr:uid="{00000000-0005-0000-0000-0000D5000000}"/>
    <cellStyle name="Normal 125" xfId="214" xr:uid="{00000000-0005-0000-0000-0000D6000000}"/>
    <cellStyle name="Normal 126" xfId="215" xr:uid="{00000000-0005-0000-0000-0000D7000000}"/>
    <cellStyle name="Normal 127" xfId="216" xr:uid="{00000000-0005-0000-0000-0000D8000000}"/>
    <cellStyle name="Normal 128" xfId="217" xr:uid="{00000000-0005-0000-0000-0000D9000000}"/>
    <cellStyle name="Normal 129" xfId="218" xr:uid="{00000000-0005-0000-0000-0000DA000000}"/>
    <cellStyle name="Normal 13" xfId="219" xr:uid="{00000000-0005-0000-0000-0000DB000000}"/>
    <cellStyle name="Normal 130" xfId="220" xr:uid="{00000000-0005-0000-0000-0000DC000000}"/>
    <cellStyle name="Normal 131" xfId="221" xr:uid="{00000000-0005-0000-0000-0000DD000000}"/>
    <cellStyle name="Normal 132" xfId="222" xr:uid="{00000000-0005-0000-0000-0000DE000000}"/>
    <cellStyle name="Normal 133" xfId="223" xr:uid="{00000000-0005-0000-0000-0000DF000000}"/>
    <cellStyle name="Normal 134" xfId="224" xr:uid="{00000000-0005-0000-0000-0000E0000000}"/>
    <cellStyle name="Normal 135" xfId="225" xr:uid="{00000000-0005-0000-0000-0000E1000000}"/>
    <cellStyle name="Normal 136" xfId="226" xr:uid="{00000000-0005-0000-0000-0000E2000000}"/>
    <cellStyle name="Normal 137" xfId="227" xr:uid="{00000000-0005-0000-0000-0000E3000000}"/>
    <cellStyle name="Normal 138" xfId="228" xr:uid="{00000000-0005-0000-0000-0000E4000000}"/>
    <cellStyle name="Normal 139" xfId="229" xr:uid="{00000000-0005-0000-0000-0000E5000000}"/>
    <cellStyle name="Normal 14" xfId="230" xr:uid="{00000000-0005-0000-0000-0000E6000000}"/>
    <cellStyle name="Normal 140" xfId="231" xr:uid="{00000000-0005-0000-0000-0000E7000000}"/>
    <cellStyle name="Normal 141" xfId="232" xr:uid="{00000000-0005-0000-0000-0000E8000000}"/>
    <cellStyle name="Normal 142" xfId="233" xr:uid="{00000000-0005-0000-0000-0000E9000000}"/>
    <cellStyle name="Normal 143" xfId="234" xr:uid="{00000000-0005-0000-0000-0000EA000000}"/>
    <cellStyle name="Normal 144" xfId="235" xr:uid="{00000000-0005-0000-0000-0000EB000000}"/>
    <cellStyle name="Normal 145" xfId="236" xr:uid="{00000000-0005-0000-0000-0000EC000000}"/>
    <cellStyle name="Normal 146" xfId="237" xr:uid="{00000000-0005-0000-0000-0000ED000000}"/>
    <cellStyle name="Normal 147" xfId="238" xr:uid="{00000000-0005-0000-0000-0000EE000000}"/>
    <cellStyle name="Normal 148" xfId="239" xr:uid="{00000000-0005-0000-0000-0000EF000000}"/>
    <cellStyle name="Normal 149" xfId="240" xr:uid="{00000000-0005-0000-0000-0000F0000000}"/>
    <cellStyle name="Normal 15" xfId="241" xr:uid="{00000000-0005-0000-0000-0000F1000000}"/>
    <cellStyle name="Normal 150" xfId="242" xr:uid="{00000000-0005-0000-0000-0000F2000000}"/>
    <cellStyle name="Normal 151" xfId="243" xr:uid="{00000000-0005-0000-0000-0000F3000000}"/>
    <cellStyle name="Normal 152" xfId="244" xr:uid="{00000000-0005-0000-0000-0000F4000000}"/>
    <cellStyle name="Normal 153" xfId="245" xr:uid="{00000000-0005-0000-0000-0000F5000000}"/>
    <cellStyle name="Normal 154" xfId="246" xr:uid="{00000000-0005-0000-0000-0000F6000000}"/>
    <cellStyle name="Normal 155" xfId="247" xr:uid="{00000000-0005-0000-0000-0000F7000000}"/>
    <cellStyle name="Normal 156" xfId="248" xr:uid="{00000000-0005-0000-0000-0000F8000000}"/>
    <cellStyle name="Normal 157" xfId="249" xr:uid="{00000000-0005-0000-0000-0000F9000000}"/>
    <cellStyle name="Normal 158" xfId="250" xr:uid="{00000000-0005-0000-0000-0000FA000000}"/>
    <cellStyle name="Normal 159" xfId="251" xr:uid="{00000000-0005-0000-0000-0000FB000000}"/>
    <cellStyle name="Normal 16" xfId="252" xr:uid="{00000000-0005-0000-0000-0000FC000000}"/>
    <cellStyle name="Normal 160" xfId="253" xr:uid="{00000000-0005-0000-0000-0000FD000000}"/>
    <cellStyle name="Normal 160 2" xfId="254" xr:uid="{00000000-0005-0000-0000-0000FE000000}"/>
    <cellStyle name="Normal 161" xfId="255" xr:uid="{00000000-0005-0000-0000-0000FF000000}"/>
    <cellStyle name="Normal 162" xfId="256" xr:uid="{00000000-0005-0000-0000-000000010000}"/>
    <cellStyle name="Normal 163" xfId="257" xr:uid="{00000000-0005-0000-0000-000001010000}"/>
    <cellStyle name="Normal 164" xfId="258" xr:uid="{00000000-0005-0000-0000-000002010000}"/>
    <cellStyle name="Normal 165" xfId="259" xr:uid="{00000000-0005-0000-0000-000003010000}"/>
    <cellStyle name="Normal 166" xfId="260" xr:uid="{00000000-0005-0000-0000-000004010000}"/>
    <cellStyle name="Normal 166 2" xfId="261" xr:uid="{00000000-0005-0000-0000-000005010000}"/>
    <cellStyle name="Normal 167" xfId="262" xr:uid="{00000000-0005-0000-0000-000006010000}"/>
    <cellStyle name="Normal 17" xfId="263" xr:uid="{00000000-0005-0000-0000-000007010000}"/>
    <cellStyle name="Normal 18" xfId="264" xr:uid="{00000000-0005-0000-0000-000008010000}"/>
    <cellStyle name="Normal 19" xfId="265" xr:uid="{00000000-0005-0000-0000-000009010000}"/>
    <cellStyle name="Normal 2" xfId="266" xr:uid="{00000000-0005-0000-0000-00000A010000}"/>
    <cellStyle name="Normal 2 10" xfId="267" xr:uid="{00000000-0005-0000-0000-00000B010000}"/>
    <cellStyle name="Normal 2 11" xfId="268" xr:uid="{00000000-0005-0000-0000-00000C010000}"/>
    <cellStyle name="Normal 2 12" xfId="269" xr:uid="{00000000-0005-0000-0000-00000D010000}"/>
    <cellStyle name="Normal 2 13" xfId="270" xr:uid="{00000000-0005-0000-0000-00000E010000}"/>
    <cellStyle name="Normal 2 14" xfId="271" xr:uid="{00000000-0005-0000-0000-00000F010000}"/>
    <cellStyle name="Normal 2 15" xfId="272" xr:uid="{00000000-0005-0000-0000-000010010000}"/>
    <cellStyle name="Normal 2 16" xfId="273" xr:uid="{00000000-0005-0000-0000-000011010000}"/>
    <cellStyle name="Normal 2 17" xfId="274" xr:uid="{00000000-0005-0000-0000-000012010000}"/>
    <cellStyle name="Normal 2 18" xfId="275" xr:uid="{00000000-0005-0000-0000-000013010000}"/>
    <cellStyle name="Normal 2 19" xfId="276" xr:uid="{00000000-0005-0000-0000-000014010000}"/>
    <cellStyle name="Normal 2 2" xfId="277" xr:uid="{00000000-0005-0000-0000-000015010000}"/>
    <cellStyle name="Normal 2 2 2" xfId="278" xr:uid="{00000000-0005-0000-0000-000016010000}"/>
    <cellStyle name="Normal 2 2 3" xfId="279" xr:uid="{00000000-0005-0000-0000-000017010000}"/>
    <cellStyle name="Normal 2 20" xfId="280" xr:uid="{00000000-0005-0000-0000-000018010000}"/>
    <cellStyle name="Normal 2 21" xfId="281" xr:uid="{00000000-0005-0000-0000-000019010000}"/>
    <cellStyle name="Normal 2 22" xfId="282" xr:uid="{00000000-0005-0000-0000-00001A010000}"/>
    <cellStyle name="Normal 2 23" xfId="283" xr:uid="{00000000-0005-0000-0000-00001B010000}"/>
    <cellStyle name="Normal 2 24" xfId="284" xr:uid="{00000000-0005-0000-0000-00001C010000}"/>
    <cellStyle name="Normal 2 25" xfId="285" xr:uid="{00000000-0005-0000-0000-00001D010000}"/>
    <cellStyle name="Normal 2 26" xfId="286" xr:uid="{00000000-0005-0000-0000-00001E010000}"/>
    <cellStyle name="Normal 2 27" xfId="287" xr:uid="{00000000-0005-0000-0000-00001F010000}"/>
    <cellStyle name="Normal 2 28" xfId="288" xr:uid="{00000000-0005-0000-0000-000020010000}"/>
    <cellStyle name="Normal 2 29" xfId="289" xr:uid="{00000000-0005-0000-0000-000021010000}"/>
    <cellStyle name="Normal 2 3" xfId="290" xr:uid="{00000000-0005-0000-0000-000022010000}"/>
    <cellStyle name="Normal 2 3 2" xfId="291" xr:uid="{00000000-0005-0000-0000-000023010000}"/>
    <cellStyle name="Normal 2 30" xfId="292" xr:uid="{00000000-0005-0000-0000-000024010000}"/>
    <cellStyle name="Normal 2 31" xfId="293" xr:uid="{00000000-0005-0000-0000-000025010000}"/>
    <cellStyle name="Normal 2 32" xfId="294" xr:uid="{00000000-0005-0000-0000-000026010000}"/>
    <cellStyle name="Normal 2 33" xfId="295" xr:uid="{00000000-0005-0000-0000-000027010000}"/>
    <cellStyle name="Normal 2 34" xfId="296" xr:uid="{00000000-0005-0000-0000-000028010000}"/>
    <cellStyle name="Normal 2 35" xfId="297" xr:uid="{00000000-0005-0000-0000-000029010000}"/>
    <cellStyle name="Normal 2 36" xfId="298" xr:uid="{00000000-0005-0000-0000-00002A010000}"/>
    <cellStyle name="Normal 2 37" xfId="299" xr:uid="{00000000-0005-0000-0000-00002B010000}"/>
    <cellStyle name="Normal 2 38" xfId="300" xr:uid="{00000000-0005-0000-0000-00002C010000}"/>
    <cellStyle name="Normal 2 4" xfId="301" xr:uid="{00000000-0005-0000-0000-00002D010000}"/>
    <cellStyle name="Normal 2 5" xfId="302" xr:uid="{00000000-0005-0000-0000-00002E010000}"/>
    <cellStyle name="Normal 2 6" xfId="303" xr:uid="{00000000-0005-0000-0000-00002F010000}"/>
    <cellStyle name="Normal 2 7" xfId="304" xr:uid="{00000000-0005-0000-0000-000030010000}"/>
    <cellStyle name="Normal 2 8" xfId="305" xr:uid="{00000000-0005-0000-0000-000031010000}"/>
    <cellStyle name="Normal 2 9" xfId="306" xr:uid="{00000000-0005-0000-0000-000032010000}"/>
    <cellStyle name="Normal 2_CWIP Bld" xfId="307" xr:uid="{00000000-0005-0000-0000-000033010000}"/>
    <cellStyle name="Normal 20" xfId="308" xr:uid="{00000000-0005-0000-0000-000034010000}"/>
    <cellStyle name="Normal 21" xfId="309" xr:uid="{00000000-0005-0000-0000-000035010000}"/>
    <cellStyle name="Normal 22" xfId="310" xr:uid="{00000000-0005-0000-0000-000036010000}"/>
    <cellStyle name="Normal 23" xfId="311" xr:uid="{00000000-0005-0000-0000-000037010000}"/>
    <cellStyle name="Normal 24" xfId="312" xr:uid="{00000000-0005-0000-0000-000038010000}"/>
    <cellStyle name="Normal 24 2" xfId="313" xr:uid="{00000000-0005-0000-0000-000039010000}"/>
    <cellStyle name="Normal 25" xfId="314" xr:uid="{00000000-0005-0000-0000-00003A010000}"/>
    <cellStyle name="Normal 26" xfId="315" xr:uid="{00000000-0005-0000-0000-00003B010000}"/>
    <cellStyle name="Normal 27" xfId="316" xr:uid="{00000000-0005-0000-0000-00003C010000}"/>
    <cellStyle name="Normal 28" xfId="317" xr:uid="{00000000-0005-0000-0000-00003D010000}"/>
    <cellStyle name="Normal 29" xfId="318" xr:uid="{00000000-0005-0000-0000-00003E010000}"/>
    <cellStyle name="Normal 3" xfId="319" xr:uid="{00000000-0005-0000-0000-00003F010000}"/>
    <cellStyle name="Normal 3 2" xfId="320" xr:uid="{00000000-0005-0000-0000-000040010000}"/>
    <cellStyle name="Normal 3 3" xfId="321" xr:uid="{00000000-0005-0000-0000-000041010000}"/>
    <cellStyle name="Normal 3 4" xfId="322" xr:uid="{00000000-0005-0000-0000-000042010000}"/>
    <cellStyle name="Normal 3 5" xfId="323" xr:uid="{00000000-0005-0000-0000-000043010000}"/>
    <cellStyle name="Normal 3 6" xfId="324" xr:uid="{00000000-0005-0000-0000-000044010000}"/>
    <cellStyle name="Normal 3 7" xfId="325" xr:uid="{00000000-0005-0000-0000-000045010000}"/>
    <cellStyle name="Normal 3_CWIP Bld" xfId="326" xr:uid="{00000000-0005-0000-0000-000046010000}"/>
    <cellStyle name="Normal 30" xfId="327" xr:uid="{00000000-0005-0000-0000-000047010000}"/>
    <cellStyle name="Normal 31" xfId="328" xr:uid="{00000000-0005-0000-0000-000048010000}"/>
    <cellStyle name="Normal 32" xfId="329" xr:uid="{00000000-0005-0000-0000-000049010000}"/>
    <cellStyle name="Normal 33" xfId="330" xr:uid="{00000000-0005-0000-0000-00004A010000}"/>
    <cellStyle name="Normal 34" xfId="331" xr:uid="{00000000-0005-0000-0000-00004B010000}"/>
    <cellStyle name="Normal 35" xfId="332" xr:uid="{00000000-0005-0000-0000-00004C010000}"/>
    <cellStyle name="Normal 36" xfId="333" xr:uid="{00000000-0005-0000-0000-00004D010000}"/>
    <cellStyle name="Normal 37" xfId="334" xr:uid="{00000000-0005-0000-0000-00004E010000}"/>
    <cellStyle name="Normal 38" xfId="335" xr:uid="{00000000-0005-0000-0000-00004F010000}"/>
    <cellStyle name="Normal 39" xfId="336" xr:uid="{00000000-0005-0000-0000-000050010000}"/>
    <cellStyle name="Normal 4" xfId="337" xr:uid="{00000000-0005-0000-0000-000051010000}"/>
    <cellStyle name="Normal 4 2" xfId="338" xr:uid="{00000000-0005-0000-0000-000052010000}"/>
    <cellStyle name="Normal 4 3" xfId="339" xr:uid="{00000000-0005-0000-0000-000053010000}"/>
    <cellStyle name="Normal 4 4" xfId="340" xr:uid="{00000000-0005-0000-0000-000054010000}"/>
    <cellStyle name="Normal 4 5" xfId="341" xr:uid="{00000000-0005-0000-0000-000055010000}"/>
    <cellStyle name="Normal 40" xfId="342" xr:uid="{00000000-0005-0000-0000-000056010000}"/>
    <cellStyle name="Normal 41" xfId="343" xr:uid="{00000000-0005-0000-0000-000057010000}"/>
    <cellStyle name="Normal 42" xfId="344" xr:uid="{00000000-0005-0000-0000-000058010000}"/>
    <cellStyle name="Normal 43" xfId="345" xr:uid="{00000000-0005-0000-0000-000059010000}"/>
    <cellStyle name="Normal 44" xfId="346" xr:uid="{00000000-0005-0000-0000-00005A010000}"/>
    <cellStyle name="Normal 45" xfId="347" xr:uid="{00000000-0005-0000-0000-00005B010000}"/>
    <cellStyle name="Normal 46" xfId="348" xr:uid="{00000000-0005-0000-0000-00005C010000}"/>
    <cellStyle name="Normal 47" xfId="349" xr:uid="{00000000-0005-0000-0000-00005D010000}"/>
    <cellStyle name="Normal 48" xfId="350" xr:uid="{00000000-0005-0000-0000-00005E010000}"/>
    <cellStyle name="Normal 49" xfId="351" xr:uid="{00000000-0005-0000-0000-00005F010000}"/>
    <cellStyle name="Normal 5" xfId="352" xr:uid="{00000000-0005-0000-0000-000060010000}"/>
    <cellStyle name="Normal 5 2" xfId="353" xr:uid="{00000000-0005-0000-0000-000061010000}"/>
    <cellStyle name="Normal 50" xfId="354" xr:uid="{00000000-0005-0000-0000-000062010000}"/>
    <cellStyle name="Normal 51" xfId="355" xr:uid="{00000000-0005-0000-0000-000063010000}"/>
    <cellStyle name="Normal 52" xfId="356" xr:uid="{00000000-0005-0000-0000-000064010000}"/>
    <cellStyle name="Normal 53" xfId="357" xr:uid="{00000000-0005-0000-0000-000065010000}"/>
    <cellStyle name="Normal 54" xfId="358" xr:uid="{00000000-0005-0000-0000-000066010000}"/>
    <cellStyle name="Normal 55" xfId="359" xr:uid="{00000000-0005-0000-0000-000067010000}"/>
    <cellStyle name="Normal 56" xfId="360" xr:uid="{00000000-0005-0000-0000-000068010000}"/>
    <cellStyle name="Normal 57" xfId="361" xr:uid="{00000000-0005-0000-0000-000069010000}"/>
    <cellStyle name="Normal 58" xfId="362" xr:uid="{00000000-0005-0000-0000-00006A010000}"/>
    <cellStyle name="Normal 59" xfId="363" xr:uid="{00000000-0005-0000-0000-00006B010000}"/>
    <cellStyle name="Normal 6" xfId="364" xr:uid="{00000000-0005-0000-0000-00006C010000}"/>
    <cellStyle name="Normal 6 2" xfId="365" xr:uid="{00000000-0005-0000-0000-00006D010000}"/>
    <cellStyle name="Normal 60" xfId="366" xr:uid="{00000000-0005-0000-0000-00006E010000}"/>
    <cellStyle name="Normal 61" xfId="367" xr:uid="{00000000-0005-0000-0000-00006F010000}"/>
    <cellStyle name="Normal 62" xfId="368" xr:uid="{00000000-0005-0000-0000-000070010000}"/>
    <cellStyle name="Normal 63" xfId="369" xr:uid="{00000000-0005-0000-0000-000071010000}"/>
    <cellStyle name="Normal 64" xfId="370" xr:uid="{00000000-0005-0000-0000-000072010000}"/>
    <cellStyle name="Normal 65" xfId="371" xr:uid="{00000000-0005-0000-0000-000073010000}"/>
    <cellStyle name="Normal 66" xfId="372" xr:uid="{00000000-0005-0000-0000-000074010000}"/>
    <cellStyle name="Normal 67" xfId="373" xr:uid="{00000000-0005-0000-0000-000075010000}"/>
    <cellStyle name="Normal 68" xfId="374" xr:uid="{00000000-0005-0000-0000-000076010000}"/>
    <cellStyle name="Normal 69" xfId="375" xr:uid="{00000000-0005-0000-0000-000077010000}"/>
    <cellStyle name="Normal 7" xfId="376" xr:uid="{00000000-0005-0000-0000-000078010000}"/>
    <cellStyle name="Normal 7 2" xfId="377" xr:uid="{00000000-0005-0000-0000-000079010000}"/>
    <cellStyle name="Normal 70" xfId="378" xr:uid="{00000000-0005-0000-0000-00007A010000}"/>
    <cellStyle name="Normal 71" xfId="379" xr:uid="{00000000-0005-0000-0000-00007B010000}"/>
    <cellStyle name="Normal 72" xfId="380" xr:uid="{00000000-0005-0000-0000-00007C010000}"/>
    <cellStyle name="Normal 73" xfId="381" xr:uid="{00000000-0005-0000-0000-00007D010000}"/>
    <cellStyle name="Normal 74" xfId="382" xr:uid="{00000000-0005-0000-0000-00007E010000}"/>
    <cellStyle name="Normal 75" xfId="383" xr:uid="{00000000-0005-0000-0000-00007F010000}"/>
    <cellStyle name="Normal 76" xfId="384" xr:uid="{00000000-0005-0000-0000-000080010000}"/>
    <cellStyle name="Normal 77" xfId="385" xr:uid="{00000000-0005-0000-0000-000081010000}"/>
    <cellStyle name="Normal 78" xfId="386" xr:uid="{00000000-0005-0000-0000-000082010000}"/>
    <cellStyle name="Normal 79" xfId="387" xr:uid="{00000000-0005-0000-0000-000083010000}"/>
    <cellStyle name="Normal 8" xfId="388" xr:uid="{00000000-0005-0000-0000-000084010000}"/>
    <cellStyle name="Normal 8 2" xfId="389" xr:uid="{00000000-0005-0000-0000-000085010000}"/>
    <cellStyle name="Normal 80" xfId="390" xr:uid="{00000000-0005-0000-0000-000086010000}"/>
    <cellStyle name="Normal 81" xfId="391" xr:uid="{00000000-0005-0000-0000-000087010000}"/>
    <cellStyle name="Normal 82" xfId="392" xr:uid="{00000000-0005-0000-0000-000088010000}"/>
    <cellStyle name="Normal 83" xfId="393" xr:uid="{00000000-0005-0000-0000-000089010000}"/>
    <cellStyle name="Normal 84" xfId="394" xr:uid="{00000000-0005-0000-0000-00008A010000}"/>
    <cellStyle name="Normal 85" xfId="395" xr:uid="{00000000-0005-0000-0000-00008B010000}"/>
    <cellStyle name="Normal 86" xfId="396" xr:uid="{00000000-0005-0000-0000-00008C010000}"/>
    <cellStyle name="Normal 87" xfId="397" xr:uid="{00000000-0005-0000-0000-00008D010000}"/>
    <cellStyle name="Normal 88" xfId="398" xr:uid="{00000000-0005-0000-0000-00008E010000}"/>
    <cellStyle name="Normal 89" xfId="399" xr:uid="{00000000-0005-0000-0000-00008F010000}"/>
    <cellStyle name="Normal 9" xfId="400" xr:uid="{00000000-0005-0000-0000-000090010000}"/>
    <cellStyle name="Normal 9 2" xfId="401" xr:uid="{00000000-0005-0000-0000-000091010000}"/>
    <cellStyle name="Normal 90" xfId="402" xr:uid="{00000000-0005-0000-0000-000092010000}"/>
    <cellStyle name="Normal 91" xfId="403" xr:uid="{00000000-0005-0000-0000-000093010000}"/>
    <cellStyle name="Normal 92" xfId="404" xr:uid="{00000000-0005-0000-0000-000094010000}"/>
    <cellStyle name="Normal 93" xfId="405" xr:uid="{00000000-0005-0000-0000-000095010000}"/>
    <cellStyle name="Normal 94" xfId="406" xr:uid="{00000000-0005-0000-0000-000096010000}"/>
    <cellStyle name="Normal 95" xfId="407" xr:uid="{00000000-0005-0000-0000-000097010000}"/>
    <cellStyle name="Normal 96" xfId="408" xr:uid="{00000000-0005-0000-0000-000098010000}"/>
    <cellStyle name="Normal 97" xfId="409" xr:uid="{00000000-0005-0000-0000-000099010000}"/>
    <cellStyle name="Normal 98" xfId="410" xr:uid="{00000000-0005-0000-0000-00009A010000}"/>
    <cellStyle name="Normal 99" xfId="411" xr:uid="{00000000-0005-0000-0000-00009B010000}"/>
    <cellStyle name="Note 2" xfId="412" xr:uid="{00000000-0005-0000-0000-00009C010000}"/>
    <cellStyle name="Output 2" xfId="413" xr:uid="{00000000-0005-0000-0000-00009D010000}"/>
    <cellStyle name="Output Amounts" xfId="414" xr:uid="{00000000-0005-0000-0000-00009E010000}"/>
    <cellStyle name="Output Column Headings" xfId="415" xr:uid="{00000000-0005-0000-0000-00009F010000}"/>
    <cellStyle name="Output Line Items" xfId="416" xr:uid="{00000000-0005-0000-0000-0000A0010000}"/>
    <cellStyle name="Output Report Heading" xfId="417" xr:uid="{00000000-0005-0000-0000-0000A1010000}"/>
    <cellStyle name="Output Report Title" xfId="418" xr:uid="{00000000-0005-0000-0000-0000A2010000}"/>
    <cellStyle name="Percent (0)" xfId="419" xr:uid="{00000000-0005-0000-0000-0000A3010000}"/>
    <cellStyle name="Percent [2]" xfId="420" xr:uid="{00000000-0005-0000-0000-0000A4010000}"/>
    <cellStyle name="Percent [2] 2" xfId="421" xr:uid="{00000000-0005-0000-0000-0000A5010000}"/>
    <cellStyle name="Percent [2] 3" xfId="422" xr:uid="{00000000-0005-0000-0000-0000A6010000}"/>
    <cellStyle name="Percent [2] 4" xfId="423" xr:uid="{00000000-0005-0000-0000-0000A7010000}"/>
    <cellStyle name="Percent 10" xfId="424" xr:uid="{00000000-0005-0000-0000-0000A8010000}"/>
    <cellStyle name="Percent 2" xfId="425" xr:uid="{00000000-0005-0000-0000-0000A9010000}"/>
    <cellStyle name="Percent 2 2" xfId="426" xr:uid="{00000000-0005-0000-0000-0000AA010000}"/>
    <cellStyle name="Percent 3" xfId="427" xr:uid="{00000000-0005-0000-0000-0000AB010000}"/>
    <cellStyle name="Percent 3 2" xfId="428" xr:uid="{00000000-0005-0000-0000-0000AC010000}"/>
    <cellStyle name="Percent 4" xfId="429" xr:uid="{00000000-0005-0000-0000-0000AD010000}"/>
    <cellStyle name="Percent 4 2" xfId="430" xr:uid="{00000000-0005-0000-0000-0000AE010000}"/>
    <cellStyle name="Percent 5" xfId="431" xr:uid="{00000000-0005-0000-0000-0000AF010000}"/>
    <cellStyle name="Percent 5 2" xfId="432" xr:uid="{00000000-0005-0000-0000-0000B0010000}"/>
    <cellStyle name="Percent 6" xfId="433" xr:uid="{00000000-0005-0000-0000-0000B1010000}"/>
    <cellStyle name="Percent 6 2" xfId="434" xr:uid="{00000000-0005-0000-0000-0000B2010000}"/>
    <cellStyle name="Percent 7" xfId="435" xr:uid="{00000000-0005-0000-0000-0000B3010000}"/>
    <cellStyle name="Percent 8" xfId="436" xr:uid="{00000000-0005-0000-0000-0000B4010000}"/>
    <cellStyle name="Percent 9" xfId="437" xr:uid="{00000000-0005-0000-0000-0000B5010000}"/>
    <cellStyle name="PERCENTAGE" xfId="438" xr:uid="{00000000-0005-0000-0000-0000B6010000}"/>
    <cellStyle name="Pourcentage_pldt" xfId="439" xr:uid="{00000000-0005-0000-0000-0000B7010000}"/>
    <cellStyle name="Reset range style to defaults" xfId="440" xr:uid="{00000000-0005-0000-0000-0000B8010000}"/>
    <cellStyle name="RevList" xfId="441" xr:uid="{00000000-0005-0000-0000-0000B9010000}"/>
    <cellStyle name="Standard_NEGS" xfId="442" xr:uid="{00000000-0005-0000-0000-0000BA010000}"/>
    <cellStyle name="Style 1" xfId="443" xr:uid="{00000000-0005-0000-0000-0000BB010000}"/>
    <cellStyle name="Style1" xfId="444" xr:uid="{00000000-0005-0000-0000-0000BC010000}"/>
    <cellStyle name="Style2" xfId="445" xr:uid="{00000000-0005-0000-0000-0000BD010000}"/>
    <cellStyle name="Style3" xfId="446" xr:uid="{00000000-0005-0000-0000-0000BE010000}"/>
    <cellStyle name="Style4" xfId="447" xr:uid="{00000000-0005-0000-0000-0000BF010000}"/>
    <cellStyle name="Style5" xfId="448" xr:uid="{00000000-0005-0000-0000-0000C0010000}"/>
    <cellStyle name="Style6" xfId="449" xr:uid="{00000000-0005-0000-0000-0000C1010000}"/>
    <cellStyle name="Style7" xfId="450" xr:uid="{00000000-0005-0000-0000-0000C2010000}"/>
    <cellStyle name="Style8" xfId="451" xr:uid="{00000000-0005-0000-0000-0000C3010000}"/>
    <cellStyle name="Sub-group Hdg" xfId="452" xr:uid="{00000000-0005-0000-0000-0000C4010000}"/>
    <cellStyle name="Sub-heading" xfId="453" xr:uid="{00000000-0005-0000-0000-0000C5010000}"/>
    <cellStyle name="Subtotal" xfId="454" xr:uid="{00000000-0005-0000-0000-0000C6010000}"/>
    <cellStyle name="Tickmark" xfId="455" xr:uid="{00000000-0005-0000-0000-0000C7010000}"/>
    <cellStyle name="Tickmark 2" xfId="456" xr:uid="{00000000-0005-0000-0000-0000C8010000}"/>
    <cellStyle name="Total 2" xfId="457" xr:uid="{00000000-0005-0000-0000-0000C9010000}"/>
    <cellStyle name="Tusental (0)_pldt" xfId="458" xr:uid="{00000000-0005-0000-0000-0000CA010000}"/>
    <cellStyle name="Tusental_pldt" xfId="459" xr:uid="{00000000-0005-0000-0000-0000CB010000}"/>
    <cellStyle name="Valuta (0)_pldt" xfId="460" xr:uid="{00000000-0005-0000-0000-0000CC010000}"/>
    <cellStyle name="Valuta_pldt" xfId="461" xr:uid="{00000000-0005-0000-0000-0000CD010000}"/>
    <cellStyle name="Warning Text 2" xfId="462" xr:uid="{00000000-0005-0000-0000-0000CE010000}"/>
    <cellStyle name="똿뗦먛귟 [0.00]_PRODUCT DETAIL Q1" xfId="463" xr:uid="{00000000-0005-0000-0000-0000CF010000}"/>
    <cellStyle name="똿뗦먛귟_PRODUCT DETAIL Q1" xfId="464" xr:uid="{00000000-0005-0000-0000-0000D0010000}"/>
    <cellStyle name="믅됞 [0.00]_PRODUCT DETAIL Q1" xfId="465" xr:uid="{00000000-0005-0000-0000-0000D1010000}"/>
    <cellStyle name="믅됞_PRODUCT DETAIL Q1" xfId="466" xr:uid="{00000000-0005-0000-0000-0000D2010000}"/>
    <cellStyle name="백분율_HOBONG" xfId="467" xr:uid="{00000000-0005-0000-0000-0000D3010000}"/>
    <cellStyle name="뷭?_BOOKSHIP" xfId="468" xr:uid="{00000000-0005-0000-0000-0000D4010000}"/>
    <cellStyle name="콤마 [0]_1202" xfId="469" xr:uid="{00000000-0005-0000-0000-0000D5010000}"/>
    <cellStyle name="콤마_1202" xfId="470" xr:uid="{00000000-0005-0000-0000-0000D6010000}"/>
    <cellStyle name="통화 [0]_1202" xfId="471" xr:uid="{00000000-0005-0000-0000-0000D7010000}"/>
    <cellStyle name="통화_1202" xfId="472" xr:uid="{00000000-0005-0000-0000-0000D8010000}"/>
    <cellStyle name="표준_(정보부문)월별인원계획" xfId="473" xr:uid="{00000000-0005-0000-0000-0000D9010000}"/>
    <cellStyle name="標準_設備ﾘｽﾄ原紙_Building &amp; Civil Work Investment Comparison" xfId="474" xr:uid="{00000000-0005-0000-0000-0000DA01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FF"/>
      <color rgb="FF993300"/>
      <color rgb="FF800000"/>
      <color rgb="FFA50021"/>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66" Type="http://schemas.openxmlformats.org/officeDocument/2006/relationships/externalLink" Target="externalLinks/externalLink51.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6.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 Type="http://schemas.openxmlformats.org/officeDocument/2006/relationships/worksheet" Target="worksheets/sheet7.xml"/><Relationship Id="rId71"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Galance!$B$24</c:f>
              <c:strCache>
                <c:ptCount val="1"/>
                <c:pt idx="0">
                  <c:v> Revenue </c:v>
                </c:pt>
              </c:strCache>
            </c:strRef>
          </c:tx>
          <c:invertIfNegative val="0"/>
          <c:cat>
            <c:numRef>
              <c:f>Galance!$C$22:$H$22</c:f>
              <c:numCache>
                <c:formatCode>mmm\-yy</c:formatCode>
                <c:ptCount val="6"/>
                <c:pt idx="0">
                  <c:v>45809</c:v>
                </c:pt>
                <c:pt idx="1">
                  <c:v>45778</c:v>
                </c:pt>
                <c:pt idx="2">
                  <c:v>45748</c:v>
                </c:pt>
                <c:pt idx="3">
                  <c:v>45717</c:v>
                </c:pt>
                <c:pt idx="4">
                  <c:v>45689</c:v>
                </c:pt>
                <c:pt idx="5">
                  <c:v>45658</c:v>
                </c:pt>
              </c:numCache>
            </c:numRef>
          </c:cat>
          <c:val>
            <c:numRef>
              <c:f>Galance!$C$24:$H$24</c:f>
              <c:numCache>
                <c:formatCode>#,##0_);\(#,##0\)</c:formatCode>
                <c:ptCount val="6"/>
                <c:pt idx="0">
                  <c:v>67980.55</c:v>
                </c:pt>
                <c:pt idx="1">
                  <c:v>87520.01999999999</c:v>
                </c:pt>
                <c:pt idx="2">
                  <c:v>87876.290000000008</c:v>
                </c:pt>
                <c:pt idx="3">
                  <c:v>61941.45</c:v>
                </c:pt>
                <c:pt idx="4">
                  <c:v>111884.84</c:v>
                </c:pt>
                <c:pt idx="5">
                  <c:v>119041.63</c:v>
                </c:pt>
              </c:numCache>
            </c:numRef>
          </c:val>
          <c:extLst>
            <c:ext xmlns:c16="http://schemas.microsoft.com/office/drawing/2014/chart" uri="{C3380CC4-5D6E-409C-BE32-E72D297353CC}">
              <c16:uniqueId val="{00000000-2AA4-46B5-A01D-6AAB5F4267A6}"/>
            </c:ext>
          </c:extLst>
        </c:ser>
        <c:ser>
          <c:idx val="2"/>
          <c:order val="1"/>
          <c:tx>
            <c:strRef>
              <c:f>Galance!$B$25</c:f>
              <c:strCache>
                <c:ptCount val="1"/>
                <c:pt idx="0">
                  <c:v> Direct Expenses </c:v>
                </c:pt>
              </c:strCache>
            </c:strRef>
          </c:tx>
          <c:invertIfNegative val="0"/>
          <c:cat>
            <c:numRef>
              <c:f>Galance!$C$22:$H$22</c:f>
              <c:numCache>
                <c:formatCode>mmm\-yy</c:formatCode>
                <c:ptCount val="6"/>
                <c:pt idx="0">
                  <c:v>45809</c:v>
                </c:pt>
                <c:pt idx="1">
                  <c:v>45778</c:v>
                </c:pt>
                <c:pt idx="2">
                  <c:v>45748</c:v>
                </c:pt>
                <c:pt idx="3">
                  <c:v>45717</c:v>
                </c:pt>
                <c:pt idx="4">
                  <c:v>45689</c:v>
                </c:pt>
                <c:pt idx="5">
                  <c:v>45658</c:v>
                </c:pt>
              </c:numCache>
            </c:numRef>
          </c:cat>
          <c:val>
            <c:numRef>
              <c:f>Galance!$C$25:$H$25</c:f>
              <c:numCache>
                <c:formatCode>#,##0_);\(#,##0\)</c:formatCode>
                <c:ptCount val="6"/>
                <c:pt idx="0">
                  <c:v>38352.35</c:v>
                </c:pt>
                <c:pt idx="1">
                  <c:v>42536.15</c:v>
                </c:pt>
                <c:pt idx="2">
                  <c:v>53057.19</c:v>
                </c:pt>
                <c:pt idx="3">
                  <c:v>22914.83</c:v>
                </c:pt>
                <c:pt idx="4">
                  <c:v>57339.56</c:v>
                </c:pt>
                <c:pt idx="5">
                  <c:v>60816.33</c:v>
                </c:pt>
              </c:numCache>
            </c:numRef>
          </c:val>
          <c:extLst>
            <c:ext xmlns:c16="http://schemas.microsoft.com/office/drawing/2014/chart" uri="{C3380CC4-5D6E-409C-BE32-E72D297353CC}">
              <c16:uniqueId val="{00000001-2AA4-46B5-A01D-6AAB5F4267A6}"/>
            </c:ext>
          </c:extLst>
        </c:ser>
        <c:ser>
          <c:idx val="3"/>
          <c:order val="2"/>
          <c:tx>
            <c:strRef>
              <c:f>Galance!$B$26</c:f>
              <c:strCache>
                <c:ptCount val="1"/>
                <c:pt idx="0">
                  <c:v> Gross Profit / (Loss) </c:v>
                </c:pt>
              </c:strCache>
            </c:strRef>
          </c:tx>
          <c:invertIfNegative val="0"/>
          <c:cat>
            <c:numRef>
              <c:f>Galance!$C$22:$H$22</c:f>
              <c:numCache>
                <c:formatCode>mmm\-yy</c:formatCode>
                <c:ptCount val="6"/>
                <c:pt idx="0">
                  <c:v>45809</c:v>
                </c:pt>
                <c:pt idx="1">
                  <c:v>45778</c:v>
                </c:pt>
                <c:pt idx="2">
                  <c:v>45748</c:v>
                </c:pt>
                <c:pt idx="3">
                  <c:v>45717</c:v>
                </c:pt>
                <c:pt idx="4">
                  <c:v>45689</c:v>
                </c:pt>
                <c:pt idx="5">
                  <c:v>45658</c:v>
                </c:pt>
              </c:numCache>
            </c:numRef>
          </c:cat>
          <c:val>
            <c:numRef>
              <c:f>Galance!$C$26:$H$26</c:f>
              <c:numCache>
                <c:formatCode>#,##0_);\(#,##0\)</c:formatCode>
                <c:ptCount val="6"/>
                <c:pt idx="0">
                  <c:v>29628.200000000004</c:v>
                </c:pt>
                <c:pt idx="1">
                  <c:v>44983.869999999988</c:v>
                </c:pt>
                <c:pt idx="2">
                  <c:v>34819.100000000006</c:v>
                </c:pt>
                <c:pt idx="3">
                  <c:v>39026.619999999995</c:v>
                </c:pt>
                <c:pt idx="4">
                  <c:v>54545.279999999999</c:v>
                </c:pt>
                <c:pt idx="5">
                  <c:v>58225.3</c:v>
                </c:pt>
              </c:numCache>
            </c:numRef>
          </c:val>
          <c:extLst>
            <c:ext xmlns:c16="http://schemas.microsoft.com/office/drawing/2014/chart" uri="{C3380CC4-5D6E-409C-BE32-E72D297353CC}">
              <c16:uniqueId val="{00000002-2AA4-46B5-A01D-6AAB5F4267A6}"/>
            </c:ext>
          </c:extLst>
        </c:ser>
        <c:ser>
          <c:idx val="4"/>
          <c:order val="3"/>
          <c:tx>
            <c:strRef>
              <c:f>Galance!$B$27</c:f>
              <c:strCache>
                <c:ptCount val="1"/>
                <c:pt idx="0">
                  <c:v> Indirect Expenses </c:v>
                </c:pt>
              </c:strCache>
            </c:strRef>
          </c:tx>
          <c:invertIfNegative val="0"/>
          <c:cat>
            <c:numRef>
              <c:f>Galance!$C$22:$H$22</c:f>
              <c:numCache>
                <c:formatCode>mmm\-yy</c:formatCode>
                <c:ptCount val="6"/>
                <c:pt idx="0">
                  <c:v>45809</c:v>
                </c:pt>
                <c:pt idx="1">
                  <c:v>45778</c:v>
                </c:pt>
                <c:pt idx="2">
                  <c:v>45748</c:v>
                </c:pt>
                <c:pt idx="3">
                  <c:v>45717</c:v>
                </c:pt>
                <c:pt idx="4">
                  <c:v>45689</c:v>
                </c:pt>
                <c:pt idx="5">
                  <c:v>45658</c:v>
                </c:pt>
              </c:numCache>
            </c:numRef>
          </c:cat>
          <c:val>
            <c:numRef>
              <c:f>Galance!$C$27:$H$27</c:f>
              <c:numCache>
                <c:formatCode>#,##0_);\(#,##0\)</c:formatCode>
                <c:ptCount val="6"/>
                <c:pt idx="0">
                  <c:v>103004.37000000001</c:v>
                </c:pt>
                <c:pt idx="1">
                  <c:v>118541.28</c:v>
                </c:pt>
                <c:pt idx="2">
                  <c:v>84142.9</c:v>
                </c:pt>
                <c:pt idx="3">
                  <c:v>116857.08</c:v>
                </c:pt>
                <c:pt idx="4">
                  <c:v>88613.98</c:v>
                </c:pt>
                <c:pt idx="5">
                  <c:v>147096.5</c:v>
                </c:pt>
              </c:numCache>
            </c:numRef>
          </c:val>
          <c:extLst>
            <c:ext xmlns:c16="http://schemas.microsoft.com/office/drawing/2014/chart" uri="{C3380CC4-5D6E-409C-BE32-E72D297353CC}">
              <c16:uniqueId val="{00000003-2AA4-46B5-A01D-6AAB5F4267A6}"/>
            </c:ext>
          </c:extLst>
        </c:ser>
        <c:ser>
          <c:idx val="5"/>
          <c:order val="4"/>
          <c:tx>
            <c:strRef>
              <c:f>Galance!$B$28</c:f>
              <c:strCache>
                <c:ptCount val="1"/>
                <c:pt idx="0">
                  <c:v> Net Profit / (Loss) </c:v>
                </c:pt>
              </c:strCache>
            </c:strRef>
          </c:tx>
          <c:invertIfNegative val="0"/>
          <c:cat>
            <c:numRef>
              <c:f>Galance!$C$22:$H$22</c:f>
              <c:numCache>
                <c:formatCode>mmm\-yy</c:formatCode>
                <c:ptCount val="6"/>
                <c:pt idx="0">
                  <c:v>45809</c:v>
                </c:pt>
                <c:pt idx="1">
                  <c:v>45778</c:v>
                </c:pt>
                <c:pt idx="2">
                  <c:v>45748</c:v>
                </c:pt>
                <c:pt idx="3">
                  <c:v>45717</c:v>
                </c:pt>
                <c:pt idx="4">
                  <c:v>45689</c:v>
                </c:pt>
                <c:pt idx="5">
                  <c:v>45658</c:v>
                </c:pt>
              </c:numCache>
            </c:numRef>
          </c:cat>
          <c:val>
            <c:numRef>
              <c:f>Galance!$C$28:$H$28</c:f>
              <c:numCache>
                <c:formatCode>#,##0_);\(#,##0\)</c:formatCode>
                <c:ptCount val="6"/>
                <c:pt idx="0">
                  <c:v>-73376.170000000013</c:v>
                </c:pt>
                <c:pt idx="1">
                  <c:v>-73557.41</c:v>
                </c:pt>
                <c:pt idx="2">
                  <c:v>-49323.799999999988</c:v>
                </c:pt>
                <c:pt idx="3">
                  <c:v>-77830.460000000006</c:v>
                </c:pt>
                <c:pt idx="4">
                  <c:v>-34068.699999999997</c:v>
                </c:pt>
                <c:pt idx="5">
                  <c:v>-88871.2</c:v>
                </c:pt>
              </c:numCache>
            </c:numRef>
          </c:val>
          <c:extLst>
            <c:ext xmlns:c16="http://schemas.microsoft.com/office/drawing/2014/chart" uri="{C3380CC4-5D6E-409C-BE32-E72D297353CC}">
              <c16:uniqueId val="{00000004-2AA4-46B5-A01D-6AAB5F4267A6}"/>
            </c:ext>
          </c:extLst>
        </c:ser>
        <c:dLbls>
          <c:showLegendKey val="0"/>
          <c:showVal val="0"/>
          <c:showCatName val="0"/>
          <c:showSerName val="0"/>
          <c:showPercent val="0"/>
          <c:showBubbleSize val="0"/>
        </c:dLbls>
        <c:gapWidth val="150"/>
        <c:shape val="box"/>
        <c:axId val="107364736"/>
        <c:axId val="107366272"/>
        <c:axId val="0"/>
      </c:bar3DChart>
      <c:catAx>
        <c:axId val="107364736"/>
        <c:scaling>
          <c:orientation val="minMax"/>
        </c:scaling>
        <c:delete val="0"/>
        <c:axPos val="b"/>
        <c:numFmt formatCode="mmm\-yy"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366272"/>
        <c:crosses val="autoZero"/>
        <c:auto val="0"/>
        <c:lblAlgn val="ctr"/>
        <c:lblOffset val="100"/>
        <c:noMultiLvlLbl val="1"/>
      </c:catAx>
      <c:valAx>
        <c:axId val="107366272"/>
        <c:scaling>
          <c:orientation val="minMax"/>
        </c:scaling>
        <c:delete val="0"/>
        <c:axPos val="l"/>
        <c:majorGridlines/>
        <c:numFmt formatCode="#,##0_);\(#,##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364736"/>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spPr>
    <a:ln>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Galance!$B$11</c:f>
              <c:strCache>
                <c:ptCount val="1"/>
                <c:pt idx="0">
                  <c:v>ASSETS:</c:v>
                </c:pt>
              </c:strCache>
            </c:strRef>
          </c:tx>
          <c:invertIfNegative val="0"/>
          <c:cat>
            <c:numRef>
              <c:f>Galance!$C$9:$H$9</c:f>
              <c:numCache>
                <c:formatCode>mmm\-yy</c:formatCode>
                <c:ptCount val="6"/>
                <c:pt idx="0">
                  <c:v>45809</c:v>
                </c:pt>
                <c:pt idx="1">
                  <c:v>45778</c:v>
                </c:pt>
                <c:pt idx="2">
                  <c:v>45748</c:v>
                </c:pt>
                <c:pt idx="3">
                  <c:v>45717</c:v>
                </c:pt>
                <c:pt idx="4">
                  <c:v>45689</c:v>
                </c:pt>
                <c:pt idx="5">
                  <c:v>45658</c:v>
                </c:pt>
              </c:numCache>
            </c:numRef>
          </c:cat>
          <c:val>
            <c:numRef>
              <c:f>Galance!$C$11:$H$11</c:f>
              <c:numCache>
                <c:formatCode>#,##0</c:formatCode>
                <c:ptCount val="6"/>
                <c:pt idx="0">
                  <c:v>1008592.1</c:v>
                </c:pt>
                <c:pt idx="1">
                  <c:v>1017229.55</c:v>
                </c:pt>
                <c:pt idx="2">
                  <c:v>1037261.7500000001</c:v>
                </c:pt>
                <c:pt idx="3">
                  <c:v>1038541.4500000001</c:v>
                </c:pt>
                <c:pt idx="4">
                  <c:v>1081269.1200000001</c:v>
                </c:pt>
                <c:pt idx="5">
                  <c:v>1031307.18</c:v>
                </c:pt>
              </c:numCache>
            </c:numRef>
          </c:val>
          <c:extLst>
            <c:ext xmlns:c16="http://schemas.microsoft.com/office/drawing/2014/chart" uri="{C3380CC4-5D6E-409C-BE32-E72D297353CC}">
              <c16:uniqueId val="{00000000-A46B-4C91-9E91-BA3B928C994E}"/>
            </c:ext>
          </c:extLst>
        </c:ser>
        <c:ser>
          <c:idx val="1"/>
          <c:order val="1"/>
          <c:tx>
            <c:strRef>
              <c:f>Galance!$B$15</c:f>
              <c:strCache>
                <c:ptCount val="1"/>
                <c:pt idx="0">
                  <c:v>LIABILITIES:</c:v>
                </c:pt>
              </c:strCache>
            </c:strRef>
          </c:tx>
          <c:invertIfNegative val="0"/>
          <c:cat>
            <c:numRef>
              <c:f>Galance!$C$9:$H$9</c:f>
              <c:numCache>
                <c:formatCode>mmm\-yy</c:formatCode>
                <c:ptCount val="6"/>
                <c:pt idx="0">
                  <c:v>45809</c:v>
                </c:pt>
                <c:pt idx="1">
                  <c:v>45778</c:v>
                </c:pt>
                <c:pt idx="2">
                  <c:v>45748</c:v>
                </c:pt>
                <c:pt idx="3">
                  <c:v>45717</c:v>
                </c:pt>
                <c:pt idx="4">
                  <c:v>45689</c:v>
                </c:pt>
                <c:pt idx="5">
                  <c:v>45658</c:v>
                </c:pt>
              </c:numCache>
            </c:numRef>
          </c:cat>
          <c:val>
            <c:numRef>
              <c:f>Galance!$C$15:$H$15</c:f>
              <c:numCache>
                <c:formatCode>#,##0</c:formatCode>
                <c:ptCount val="6"/>
                <c:pt idx="0">
                  <c:v>-1886579.85</c:v>
                </c:pt>
                <c:pt idx="1">
                  <c:v>-1822545.72</c:v>
                </c:pt>
                <c:pt idx="2">
                  <c:v>-1767570.77</c:v>
                </c:pt>
                <c:pt idx="3">
                  <c:v>-1718426.67</c:v>
                </c:pt>
                <c:pt idx="4">
                  <c:v>-1683611.13</c:v>
                </c:pt>
                <c:pt idx="5">
                  <c:v>-1603018.14</c:v>
                </c:pt>
              </c:numCache>
            </c:numRef>
          </c:val>
          <c:extLst>
            <c:ext xmlns:c16="http://schemas.microsoft.com/office/drawing/2014/chart" uri="{C3380CC4-5D6E-409C-BE32-E72D297353CC}">
              <c16:uniqueId val="{00000001-A46B-4C91-9E91-BA3B928C994E}"/>
            </c:ext>
          </c:extLst>
        </c:ser>
        <c:dLbls>
          <c:showLegendKey val="0"/>
          <c:showVal val="0"/>
          <c:showCatName val="0"/>
          <c:showSerName val="0"/>
          <c:showPercent val="0"/>
          <c:showBubbleSize val="0"/>
        </c:dLbls>
        <c:gapWidth val="269"/>
        <c:overlap val="100"/>
        <c:axId val="107410560"/>
        <c:axId val="107412480"/>
      </c:barChart>
      <c:lineChart>
        <c:grouping val="standard"/>
        <c:varyColors val="0"/>
        <c:ser>
          <c:idx val="2"/>
          <c:order val="2"/>
          <c:tx>
            <c:strRef>
              <c:f>Galance!$B$18</c:f>
              <c:strCache>
                <c:ptCount val="1"/>
                <c:pt idx="0">
                  <c:v>Net worth</c:v>
                </c:pt>
              </c:strCache>
            </c:strRef>
          </c:tx>
          <c:spPr>
            <a:ln w="34925">
              <a:solidFill>
                <a:schemeClr val="accent6"/>
              </a:solidFill>
            </a:ln>
          </c:spPr>
          <c:marker>
            <c:symbol val="diamond"/>
            <c:size val="10"/>
            <c:spPr>
              <a:solidFill>
                <a:schemeClr val="accent6"/>
              </a:solidFill>
              <a:ln>
                <a:solidFill>
                  <a:schemeClr val="accent5"/>
                </a:solidFill>
              </a:ln>
            </c:spPr>
          </c:marker>
          <c:cat>
            <c:numRef>
              <c:f>Galance!$C$9:$H$9</c:f>
              <c:numCache>
                <c:formatCode>mmm\-yy</c:formatCode>
                <c:ptCount val="6"/>
                <c:pt idx="0">
                  <c:v>45809</c:v>
                </c:pt>
                <c:pt idx="1">
                  <c:v>45778</c:v>
                </c:pt>
                <c:pt idx="2">
                  <c:v>45748</c:v>
                </c:pt>
                <c:pt idx="3">
                  <c:v>45717</c:v>
                </c:pt>
                <c:pt idx="4">
                  <c:v>45689</c:v>
                </c:pt>
                <c:pt idx="5">
                  <c:v>45658</c:v>
                </c:pt>
              </c:numCache>
            </c:numRef>
          </c:cat>
          <c:val>
            <c:numRef>
              <c:f>Galance!$C$18:$H$18</c:f>
              <c:numCache>
                <c:formatCode>#,##0</c:formatCode>
                <c:ptCount val="6"/>
                <c:pt idx="0">
                  <c:v>-877987.75000000012</c:v>
                </c:pt>
                <c:pt idx="1">
                  <c:v>-805316.16999999993</c:v>
                </c:pt>
                <c:pt idx="2">
                  <c:v>-730309.0199999999</c:v>
                </c:pt>
                <c:pt idx="3">
                  <c:v>-679885.21999999986</c:v>
                </c:pt>
                <c:pt idx="4">
                  <c:v>-602342.00999999978</c:v>
                </c:pt>
                <c:pt idx="5">
                  <c:v>-571710.95999999985</c:v>
                </c:pt>
              </c:numCache>
            </c:numRef>
          </c:val>
          <c:smooth val="0"/>
          <c:extLst>
            <c:ext xmlns:c16="http://schemas.microsoft.com/office/drawing/2014/chart" uri="{C3380CC4-5D6E-409C-BE32-E72D297353CC}">
              <c16:uniqueId val="{00000002-A46B-4C91-9E91-BA3B928C994E}"/>
            </c:ext>
          </c:extLst>
        </c:ser>
        <c:dLbls>
          <c:showLegendKey val="0"/>
          <c:showVal val="0"/>
          <c:showCatName val="0"/>
          <c:showSerName val="0"/>
          <c:showPercent val="0"/>
          <c:showBubbleSize val="0"/>
        </c:dLbls>
        <c:marker val="1"/>
        <c:smooth val="0"/>
        <c:axId val="107410560"/>
        <c:axId val="107412480"/>
      </c:lineChart>
      <c:catAx>
        <c:axId val="107410560"/>
        <c:scaling>
          <c:orientation val="minMax"/>
        </c:scaling>
        <c:delete val="0"/>
        <c:axPos val="b"/>
        <c:numFmt formatCode="mmm\-yy" sourceLinked="1"/>
        <c:majorTickMark val="none"/>
        <c:minorTickMark val="none"/>
        <c:tickLblPos val="nextTo"/>
        <c:spPr>
          <a:ln w="6350"/>
        </c:spPr>
        <c:txPr>
          <a:bodyPr rot="0" vert="horz"/>
          <a:lstStyle/>
          <a:p>
            <a:pPr>
              <a:defRPr sz="1000" b="0" i="0" u="none" strike="noStrike" baseline="0">
                <a:solidFill>
                  <a:srgbClr val="000000"/>
                </a:solidFill>
                <a:latin typeface="Calibri"/>
                <a:ea typeface="Calibri"/>
                <a:cs typeface="Calibri"/>
              </a:defRPr>
            </a:pPr>
            <a:endParaRPr lang="en-US"/>
          </a:p>
        </c:txPr>
        <c:crossAx val="107412480"/>
        <c:crosses val="autoZero"/>
        <c:auto val="0"/>
        <c:lblAlgn val="ctr"/>
        <c:lblOffset val="100"/>
        <c:noMultiLvlLbl val="0"/>
      </c:catAx>
      <c:valAx>
        <c:axId val="107412480"/>
        <c:scaling>
          <c:orientation val="minMax"/>
        </c:scaling>
        <c:delete val="0"/>
        <c:axPos val="l"/>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10560"/>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plotArea>
    <c:legend>
      <c:legendPos val="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spPr>
    <a:ln w="9525">
      <a:solidFill>
        <a:schemeClr val="dk1">
          <a:shade val="95000"/>
          <a:satMod val="10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Revenue  Comparison</a:t>
            </a:r>
          </a:p>
        </c:rich>
      </c:tx>
      <c:overlay val="0"/>
    </c:title>
    <c:autoTitleDeleted val="0"/>
    <c:view3D>
      <c:rotX val="15"/>
      <c:hPercent val="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[25]Galance!$B$25</c:f>
              <c:strCache>
                <c:ptCount val="1"/>
                <c:pt idx="0">
                  <c:v>Revenue</c:v>
                </c:pt>
              </c:strCache>
            </c:strRef>
          </c:tx>
          <c:invertIfNegative val="0"/>
          <c:cat>
            <c:numRef>
              <c:f>[25]Galance!$C$23:$H$23</c:f>
              <c:numCache>
                <c:formatCode>General</c:formatCode>
                <c:ptCount val="6"/>
                <c:pt idx="0">
                  <c:v>42675</c:v>
                </c:pt>
                <c:pt idx="1">
                  <c:v>42644</c:v>
                </c:pt>
                <c:pt idx="2">
                  <c:v>42614</c:v>
                </c:pt>
                <c:pt idx="3">
                  <c:v>42583</c:v>
                </c:pt>
                <c:pt idx="4">
                  <c:v>42552</c:v>
                </c:pt>
                <c:pt idx="5">
                  <c:v>42522</c:v>
                </c:pt>
              </c:numCache>
            </c:numRef>
          </c:cat>
          <c:val>
            <c:numRef>
              <c:f>[25]Galance!$C$25:$H$25</c:f>
              <c:numCache>
                <c:formatCode>General</c:formatCode>
                <c:ptCount val="6"/>
                <c:pt idx="0">
                  <c:v>129315</c:v>
                </c:pt>
                <c:pt idx="1">
                  <c:v>162815</c:v>
                </c:pt>
                <c:pt idx="2">
                  <c:v>108440</c:v>
                </c:pt>
                <c:pt idx="3">
                  <c:v>0</c:v>
                </c:pt>
                <c:pt idx="4">
                  <c:v>0</c:v>
                </c:pt>
                <c:pt idx="5">
                  <c:v>0</c:v>
                </c:pt>
              </c:numCache>
            </c:numRef>
          </c:val>
          <c:extLst>
            <c:ext xmlns:c16="http://schemas.microsoft.com/office/drawing/2014/chart" uri="{C3380CC4-5D6E-409C-BE32-E72D297353CC}">
              <c16:uniqueId val="{00000000-A235-4313-B290-2EC101318E15}"/>
            </c:ext>
          </c:extLst>
        </c:ser>
        <c:dLbls>
          <c:showLegendKey val="0"/>
          <c:showVal val="0"/>
          <c:showCatName val="0"/>
          <c:showSerName val="0"/>
          <c:showPercent val="0"/>
          <c:showBubbleSize val="0"/>
        </c:dLbls>
        <c:gapWidth val="150"/>
        <c:shape val="box"/>
        <c:axId val="107442176"/>
        <c:axId val="107443712"/>
        <c:axId val="0"/>
      </c:bar3DChart>
      <c:catAx>
        <c:axId val="107442176"/>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43712"/>
        <c:crosses val="autoZero"/>
        <c:auto val="0"/>
        <c:lblAlgn val="ctr"/>
        <c:lblOffset val="100"/>
        <c:noMultiLvlLbl val="1"/>
      </c:catAx>
      <c:valAx>
        <c:axId val="10744371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42176"/>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25" r="0.25" t="0.75000000000000011" header="0.30000000000000004" footer="0.30000000000000004"/>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Revenue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1"/>
          <c:order val="0"/>
          <c:tx>
            <c:strRef>
              <c:f>SOMCI!$A$11</c:f>
              <c:strCache>
                <c:ptCount val="1"/>
                <c:pt idx="0">
                  <c:v>Revenue</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SOMCI!$F$11:$Q$11</c:f>
              <c:numCache>
                <c:formatCode>_(* #,##0_);_(* \(#,##0\);_(* "-"??_);_(@_)</c:formatCode>
                <c:ptCount val="12"/>
                <c:pt idx="0">
                  <c:v>136750.69999999998</c:v>
                </c:pt>
                <c:pt idx="1">
                  <c:v>133153.09</c:v>
                </c:pt>
                <c:pt idx="2">
                  <c:v>147771.74</c:v>
                </c:pt>
                <c:pt idx="3">
                  <c:v>142417.37</c:v>
                </c:pt>
                <c:pt idx="4">
                  <c:v>178389.79</c:v>
                </c:pt>
                <c:pt idx="5">
                  <c:v>119041.63</c:v>
                </c:pt>
                <c:pt idx="6">
                  <c:v>109659.69999999998</c:v>
                </c:pt>
                <c:pt idx="7">
                  <c:v>111884.84</c:v>
                </c:pt>
                <c:pt idx="8">
                  <c:v>61941.45</c:v>
                </c:pt>
                <c:pt idx="9">
                  <c:v>87876.290000000008</c:v>
                </c:pt>
                <c:pt idx="10">
                  <c:v>87520.01999999999</c:v>
                </c:pt>
                <c:pt idx="11">
                  <c:v>67980.55</c:v>
                </c:pt>
              </c:numCache>
            </c:numRef>
          </c:val>
          <c:extLst>
            <c:ext xmlns:c16="http://schemas.microsoft.com/office/drawing/2014/chart" uri="{C3380CC4-5D6E-409C-BE32-E72D297353CC}">
              <c16:uniqueId val="{00000000-A6DD-473C-8AAE-7755C5C04A2F}"/>
            </c:ext>
          </c:extLst>
        </c:ser>
        <c:ser>
          <c:idx val="0"/>
          <c:order val="1"/>
          <c:tx>
            <c:strRef>
              <c:f>SOMCI!$A$63</c:f>
              <c:strCache>
                <c:ptCount val="1"/>
                <c:pt idx="0">
                  <c:v>Other Income</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SOMCI!$F$64:$Q$64</c:f>
              <c:numCache>
                <c:formatCode>_(* #,##0_);_(* \(#,##0\);_(* "-"??_);_(@_)</c:formatCode>
                <c:ptCount val="12"/>
                <c:pt idx="0">
                  <c:v>0</c:v>
                </c:pt>
                <c:pt idx="1">
                  <c:v>0</c:v>
                </c:pt>
                <c:pt idx="2">
                  <c:v>0</c:v>
                </c:pt>
                <c:pt idx="3">
                  <c:v>0</c:v>
                </c:pt>
                <c:pt idx="4">
                  <c:v>0</c:v>
                </c:pt>
                <c:pt idx="5">
                  <c:v>0</c:v>
                </c:pt>
                <c:pt idx="6">
                  <c:v>0</c:v>
                </c:pt>
                <c:pt idx="7">
                  <c:v>262.5</c:v>
                </c:pt>
                <c:pt idx="8">
                  <c:v>0</c:v>
                </c:pt>
                <c:pt idx="9">
                  <c:v>0</c:v>
                </c:pt>
                <c:pt idx="10">
                  <c:v>0</c:v>
                </c:pt>
                <c:pt idx="11">
                  <c:v>0</c:v>
                </c:pt>
              </c:numCache>
            </c:numRef>
          </c:val>
          <c:extLst>
            <c:ext xmlns:c16="http://schemas.microsoft.com/office/drawing/2014/chart" uri="{C3380CC4-5D6E-409C-BE32-E72D297353CC}">
              <c16:uniqueId val="{00000002-6D28-4807-A9AB-E52038D806DC}"/>
            </c:ext>
          </c:extLst>
        </c:ser>
        <c:dLbls>
          <c:showLegendKey val="0"/>
          <c:showVal val="0"/>
          <c:showCatName val="0"/>
          <c:showSerName val="0"/>
          <c:showPercent val="0"/>
          <c:showBubbleSize val="0"/>
        </c:dLbls>
        <c:gapWidth val="150"/>
        <c:shape val="box"/>
        <c:axId val="107478400"/>
        <c:axId val="107488384"/>
        <c:axId val="0"/>
      </c:bar3DChart>
      <c:catAx>
        <c:axId val="107478400"/>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488384"/>
        <c:crosses val="autoZero"/>
        <c:auto val="0"/>
        <c:lblAlgn val="ctr"/>
        <c:lblOffset val="100"/>
        <c:noMultiLvlLbl val="1"/>
      </c:catAx>
      <c:valAx>
        <c:axId val="107488384"/>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478400"/>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sz="1800" b="1" i="0" u="none" strike="noStrike" baseline="0">
                <a:solidFill>
                  <a:srgbClr val="000000"/>
                </a:solidFill>
                <a:latin typeface="Calibri"/>
                <a:ea typeface="Calibri"/>
                <a:cs typeface="Calibri"/>
              </a:defRPr>
            </a:pPr>
            <a:r>
              <a:rPr lang="en-US"/>
              <a:t>Expense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2"/>
          <c:order val="0"/>
          <c:tx>
            <c:strRef>
              <c:f>SOMCI!$A$18</c:f>
              <c:strCache>
                <c:ptCount val="1"/>
                <c:pt idx="0">
                  <c:v>Direct Expenses</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SOMCI!$F$18:$Q$18</c:f>
              <c:numCache>
                <c:formatCode>_(* #,##0_);_(* \(#,##0\);_(* "-"??_);_(@_)</c:formatCode>
                <c:ptCount val="12"/>
                <c:pt idx="0">
                  <c:v>67880.66</c:v>
                </c:pt>
                <c:pt idx="1">
                  <c:v>62184.86</c:v>
                </c:pt>
                <c:pt idx="2">
                  <c:v>66355.92</c:v>
                </c:pt>
                <c:pt idx="3">
                  <c:v>76644.679999999993</c:v>
                </c:pt>
                <c:pt idx="4">
                  <c:v>79293.56</c:v>
                </c:pt>
                <c:pt idx="5">
                  <c:v>52331.51</c:v>
                </c:pt>
                <c:pt idx="6">
                  <c:v>60816.33</c:v>
                </c:pt>
                <c:pt idx="7">
                  <c:v>57339.56</c:v>
                </c:pt>
                <c:pt idx="8">
                  <c:v>22914.83</c:v>
                </c:pt>
                <c:pt idx="9">
                  <c:v>53057.19</c:v>
                </c:pt>
                <c:pt idx="10">
                  <c:v>42536.15</c:v>
                </c:pt>
                <c:pt idx="11">
                  <c:v>38352.35</c:v>
                </c:pt>
              </c:numCache>
            </c:numRef>
          </c:val>
          <c:extLst>
            <c:ext xmlns:c16="http://schemas.microsoft.com/office/drawing/2014/chart" uri="{C3380CC4-5D6E-409C-BE32-E72D297353CC}">
              <c16:uniqueId val="{00000000-7A95-469E-AD43-A164300D3295}"/>
            </c:ext>
          </c:extLst>
        </c:ser>
        <c:ser>
          <c:idx val="4"/>
          <c:order val="1"/>
          <c:tx>
            <c:strRef>
              <c:f>SOMCI!$A$22</c:f>
              <c:strCache>
                <c:ptCount val="1"/>
                <c:pt idx="0">
                  <c:v>Indirect Expenses</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SOMCI!$F$22:$Q$22</c:f>
              <c:numCache>
                <c:formatCode>_(* #,##0_);_(* \(#,##0\);_(* "-"??_);_(@_)</c:formatCode>
                <c:ptCount val="12"/>
                <c:pt idx="0">
                  <c:v>100987.46</c:v>
                </c:pt>
                <c:pt idx="1">
                  <c:v>102689.25</c:v>
                </c:pt>
                <c:pt idx="2">
                  <c:v>133727.42000000001</c:v>
                </c:pt>
                <c:pt idx="3">
                  <c:v>100157.03</c:v>
                </c:pt>
                <c:pt idx="4">
                  <c:v>111539.7</c:v>
                </c:pt>
                <c:pt idx="5">
                  <c:v>91200.3</c:v>
                </c:pt>
                <c:pt idx="6">
                  <c:v>147096.5</c:v>
                </c:pt>
                <c:pt idx="7">
                  <c:v>88613.98</c:v>
                </c:pt>
                <c:pt idx="8">
                  <c:v>116857.08</c:v>
                </c:pt>
                <c:pt idx="9">
                  <c:v>84142.9</c:v>
                </c:pt>
                <c:pt idx="10">
                  <c:v>118541.28</c:v>
                </c:pt>
                <c:pt idx="11">
                  <c:v>103004.37000000001</c:v>
                </c:pt>
              </c:numCache>
            </c:numRef>
          </c:val>
          <c:extLst>
            <c:ext xmlns:c16="http://schemas.microsoft.com/office/drawing/2014/chart" uri="{C3380CC4-5D6E-409C-BE32-E72D297353CC}">
              <c16:uniqueId val="{00000001-7A95-469E-AD43-A164300D3295}"/>
            </c:ext>
          </c:extLst>
        </c:ser>
        <c:dLbls>
          <c:showLegendKey val="0"/>
          <c:showVal val="0"/>
          <c:showCatName val="0"/>
          <c:showSerName val="0"/>
          <c:showPercent val="0"/>
          <c:showBubbleSize val="0"/>
        </c:dLbls>
        <c:gapWidth val="150"/>
        <c:shape val="box"/>
        <c:axId val="107507072"/>
        <c:axId val="107521152"/>
        <c:axId val="0"/>
      </c:bar3DChart>
      <c:catAx>
        <c:axId val="107507072"/>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521152"/>
        <c:crosses val="autoZero"/>
        <c:auto val="0"/>
        <c:lblAlgn val="ctr"/>
        <c:lblOffset val="100"/>
        <c:noMultiLvlLbl val="1"/>
      </c:catAx>
      <c:valAx>
        <c:axId val="10752115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507072"/>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chart>
    <c:title>
      <c:tx>
        <c:rich>
          <a:bodyPr/>
          <a:lstStyle/>
          <a:p>
            <a:pPr>
              <a:defRPr sz="1800" b="1" i="0" u="none" strike="noStrike" baseline="0">
                <a:solidFill>
                  <a:srgbClr val="000000"/>
                </a:solidFill>
                <a:latin typeface="Calibri"/>
                <a:ea typeface="Calibri"/>
                <a:cs typeface="Calibri"/>
              </a:defRPr>
            </a:pPr>
            <a:r>
              <a:rPr lang="en-US"/>
              <a:t>Profit / (Loss) Comparison</a:t>
            </a:r>
          </a:p>
        </c:rich>
      </c:tx>
      <c:overlay val="0"/>
    </c:title>
    <c:autoTitleDeleted val="0"/>
    <c:view3D>
      <c:rotX val="15"/>
      <c:rotY val="20"/>
      <c:depthPercent val="100"/>
      <c:rAngAx val="0"/>
    </c:view3D>
    <c:floor>
      <c:thickness val="0"/>
    </c:floor>
    <c:sideWall>
      <c:thickness val="0"/>
    </c:sideWall>
    <c:backWall>
      <c:thickness val="0"/>
    </c:backWall>
    <c:plotArea>
      <c:layout/>
      <c:bar3DChart>
        <c:barDir val="col"/>
        <c:grouping val="clustered"/>
        <c:varyColors val="0"/>
        <c:ser>
          <c:idx val="2"/>
          <c:order val="0"/>
          <c:tx>
            <c:strRef>
              <c:f>SOMCI!$A$21</c:f>
              <c:strCache>
                <c:ptCount val="1"/>
                <c:pt idx="0">
                  <c:v>Gross Profit / (Loss)</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SOMCI!$F$21:$Q$21</c:f>
              <c:numCache>
                <c:formatCode>_(* #,##0_);_(* \(#,##0\);_(* "-"??_);_(@_)</c:formatCode>
                <c:ptCount val="12"/>
                <c:pt idx="0">
                  <c:v>68870.039999999979</c:v>
                </c:pt>
                <c:pt idx="1">
                  <c:v>70968.23</c:v>
                </c:pt>
                <c:pt idx="2">
                  <c:v>81415.819999999992</c:v>
                </c:pt>
                <c:pt idx="3">
                  <c:v>65772.69</c:v>
                </c:pt>
                <c:pt idx="4">
                  <c:v>99096.23000000001</c:v>
                </c:pt>
                <c:pt idx="5">
                  <c:v>66710.12</c:v>
                </c:pt>
                <c:pt idx="6">
                  <c:v>48843.369999999981</c:v>
                </c:pt>
                <c:pt idx="7">
                  <c:v>54545.279999999999</c:v>
                </c:pt>
                <c:pt idx="8">
                  <c:v>39026.619999999995</c:v>
                </c:pt>
                <c:pt idx="9">
                  <c:v>34819.100000000006</c:v>
                </c:pt>
                <c:pt idx="10">
                  <c:v>44983.869999999988</c:v>
                </c:pt>
                <c:pt idx="11">
                  <c:v>29628.200000000004</c:v>
                </c:pt>
              </c:numCache>
            </c:numRef>
          </c:val>
          <c:extLst>
            <c:ext xmlns:c16="http://schemas.microsoft.com/office/drawing/2014/chart" uri="{C3380CC4-5D6E-409C-BE32-E72D297353CC}">
              <c16:uniqueId val="{00000000-30BE-4BD8-B7D2-FACF39B6B93D}"/>
            </c:ext>
          </c:extLst>
        </c:ser>
        <c:ser>
          <c:idx val="4"/>
          <c:order val="1"/>
          <c:tx>
            <c:strRef>
              <c:f>SOMCI!$A$65</c:f>
              <c:strCache>
                <c:ptCount val="1"/>
                <c:pt idx="0">
                  <c:v>Net Profit / (Loss)</c:v>
                </c:pt>
              </c:strCache>
            </c:strRef>
          </c:tx>
          <c:invertIfNegative val="0"/>
          <c:cat>
            <c:numRef>
              <c:f>SOMCI!$F$9:$Q$9</c:f>
              <c:numCache>
                <c:formatCode>mmm\-yy</c:formatCode>
                <c:ptCount val="1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numCache>
            </c:numRef>
          </c:cat>
          <c:val>
            <c:numRef>
              <c:f>SOMCI!$F$65:$Q$65</c:f>
              <c:numCache>
                <c:formatCode>_(* #,##0_);_(* \(#,##0\);_(* "-"??_);_(@_)</c:formatCode>
                <c:ptCount val="12"/>
                <c:pt idx="0">
                  <c:v>-32117.420000000016</c:v>
                </c:pt>
                <c:pt idx="1">
                  <c:v>-32821.020000000004</c:v>
                </c:pt>
                <c:pt idx="2">
                  <c:v>-53411.6</c:v>
                </c:pt>
                <c:pt idx="3">
                  <c:v>-35484.339999999997</c:v>
                </c:pt>
                <c:pt idx="4">
                  <c:v>-13543.469999999983</c:v>
                </c:pt>
                <c:pt idx="5">
                  <c:v>-25590.180000000004</c:v>
                </c:pt>
                <c:pt idx="6">
                  <c:v>-99353.130000000019</c:v>
                </c:pt>
                <c:pt idx="7">
                  <c:v>-34906.200000000004</c:v>
                </c:pt>
                <c:pt idx="8">
                  <c:v>-78930.460000000006</c:v>
                </c:pt>
                <c:pt idx="9">
                  <c:v>-50423.799999999988</c:v>
                </c:pt>
                <c:pt idx="10">
                  <c:v>-74657.41</c:v>
                </c:pt>
                <c:pt idx="11">
                  <c:v>-73376.170000000013</c:v>
                </c:pt>
              </c:numCache>
            </c:numRef>
          </c:val>
          <c:extLst>
            <c:ext xmlns:c16="http://schemas.microsoft.com/office/drawing/2014/chart" uri="{C3380CC4-5D6E-409C-BE32-E72D297353CC}">
              <c16:uniqueId val="{00000001-30BE-4BD8-B7D2-FACF39B6B93D}"/>
            </c:ext>
          </c:extLst>
        </c:ser>
        <c:dLbls>
          <c:showLegendKey val="0"/>
          <c:showVal val="0"/>
          <c:showCatName val="0"/>
          <c:showSerName val="0"/>
          <c:showPercent val="0"/>
          <c:showBubbleSize val="0"/>
        </c:dLbls>
        <c:gapWidth val="150"/>
        <c:shape val="box"/>
        <c:axId val="107535744"/>
        <c:axId val="107541632"/>
        <c:axId val="0"/>
      </c:bar3DChart>
      <c:catAx>
        <c:axId val="107535744"/>
        <c:scaling>
          <c:orientation val="minMax"/>
        </c:scaling>
        <c:delete val="0"/>
        <c:axPos val="b"/>
        <c:numFmt formatCode="mmm\-yy" sourceLinked="1"/>
        <c:majorTickMark val="none"/>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107541632"/>
        <c:crosses val="autoZero"/>
        <c:auto val="0"/>
        <c:lblAlgn val="ctr"/>
        <c:lblOffset val="100"/>
        <c:noMultiLvlLbl val="1"/>
      </c:catAx>
      <c:valAx>
        <c:axId val="10754163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Amounts in AED</a:t>
                </a:r>
              </a:p>
            </c:rich>
          </c:tx>
          <c:overlay val="0"/>
        </c:title>
        <c:numFmt formatCode="_(* #,##0_);_(* \(#,##0\);_(* &quot;-&quot;??_);_(@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535744"/>
        <c:crosses val="autoZero"/>
        <c:crossBetween val="between"/>
      </c:valAx>
      <c:dTable>
        <c:showHorzBorder val="1"/>
        <c:showVertBorder val="1"/>
        <c:showOutline val="1"/>
        <c:showKeys val="1"/>
        <c:txPr>
          <a:bodyPr/>
          <a:lstStyle/>
          <a:p>
            <a:pPr rtl="0">
              <a:defRPr sz="1000" b="0" i="0" u="none" strike="noStrike" baseline="0">
                <a:solidFill>
                  <a:srgbClr val="000000"/>
                </a:solidFill>
                <a:latin typeface="Calibri"/>
                <a:ea typeface="Calibri"/>
                <a:cs typeface="Calibri"/>
              </a:defRPr>
            </a:pPr>
            <a:endParaRPr lang="en-US"/>
          </a:p>
        </c:txPr>
      </c:dTable>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c:printSettings>
</c:chartSpace>
</file>

<file path=xl/ctrlProps/ctrlProp1.xml><?xml version="1.0" encoding="utf-8"?>
<formControlPr xmlns="http://schemas.microsoft.com/office/spreadsheetml/2009/9/main" objectType="Drop" dropLines="12" dropStyle="combo" dx="16" fmlaLink="$C$3" fmlaRange="$J$4:$J$17" sel="12"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4.jpeg"/><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31750</xdr:colOff>
      <xdr:row>3</xdr:row>
      <xdr:rowOff>254000</xdr:rowOff>
    </xdr:from>
    <xdr:to>
      <xdr:col>3</xdr:col>
      <xdr:colOff>603250</xdr:colOff>
      <xdr:row>5</xdr:row>
      <xdr:rowOff>85726</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31750" y="814917"/>
          <a:ext cx="7186083" cy="593726"/>
        </a:xfrm>
        <a:prstGeom prst="rect">
          <a:avLst/>
        </a:prstGeom>
        <a:solidFill>
          <a:srgbClr val="993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MIS (Management</a:t>
          </a:r>
          <a:r>
            <a:rPr lang="en-US" sz="2800" b="1" baseline="0">
              <a:solidFill>
                <a:schemeClr val="bg1"/>
              </a:solidFill>
            </a:rPr>
            <a:t> Information System) </a:t>
          </a:r>
          <a:endParaRPr lang="en-US" sz="28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absolute">
        <xdr:from>
          <xdr:col>2</xdr:col>
          <xdr:colOff>1668780</xdr:colOff>
          <xdr:row>5</xdr:row>
          <xdr:rowOff>175260</xdr:rowOff>
        </xdr:from>
        <xdr:to>
          <xdr:col>3</xdr:col>
          <xdr:colOff>472440</xdr:colOff>
          <xdr:row>6</xdr:row>
          <xdr:rowOff>99060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oneCellAnchor>
    <xdr:from>
      <xdr:col>2</xdr:col>
      <xdr:colOff>0</xdr:colOff>
      <xdr:row>22</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4686300" y="7035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E" sz="1100"/>
        </a:p>
      </xdr:txBody>
    </xdr:sp>
    <xdr:clientData/>
  </xdr:oneCellAnchor>
  <xdr:twoCellAnchor>
    <xdr:from>
      <xdr:col>0</xdr:col>
      <xdr:colOff>10583</xdr:colOff>
      <xdr:row>15</xdr:row>
      <xdr:rowOff>211666</xdr:rowOff>
    </xdr:from>
    <xdr:to>
      <xdr:col>3</xdr:col>
      <xdr:colOff>560918</xdr:colOff>
      <xdr:row>31</xdr:row>
      <xdr:rowOff>116416</xdr:rowOff>
    </xdr:to>
    <xdr:grpSp>
      <xdr:nvGrpSpPr>
        <xdr:cNvPr id="37" name="Group 36">
          <a:extLst>
            <a:ext uri="{FF2B5EF4-FFF2-40B4-BE49-F238E27FC236}">
              <a16:creationId xmlns:a16="http://schemas.microsoft.com/office/drawing/2014/main" id="{00000000-0008-0000-0000-000025000000}"/>
            </a:ext>
          </a:extLst>
        </xdr:cNvPr>
        <xdr:cNvGrpSpPr/>
      </xdr:nvGrpSpPr>
      <xdr:grpSpPr>
        <a:xfrm>
          <a:off x="10583" y="4580466"/>
          <a:ext cx="7052735" cy="5695950"/>
          <a:chOff x="0" y="4214818"/>
          <a:chExt cx="6719567" cy="5155924"/>
        </a:xfrm>
      </xdr:grpSpPr>
      <xdr:sp macro="" textlink="">
        <xdr:nvSpPr>
          <xdr:cNvPr id="2" name="Hexagon 1">
            <a:extLst>
              <a:ext uri="{FF2B5EF4-FFF2-40B4-BE49-F238E27FC236}">
                <a16:creationId xmlns:a16="http://schemas.microsoft.com/office/drawing/2014/main" id="{00000000-0008-0000-0000-000002000000}"/>
              </a:ext>
            </a:extLst>
          </xdr:cNvPr>
          <xdr:cNvSpPr/>
        </xdr:nvSpPr>
        <xdr:spPr>
          <a:xfrm>
            <a:off x="1469765" y="7907907"/>
            <a:ext cx="4934116" cy="720000"/>
          </a:xfrm>
          <a:prstGeom prst="hexagon">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400" b="1">
                <a:solidFill>
                  <a:sysClr val="windowText" lastClr="000000"/>
                </a:solidFill>
                <a:latin typeface="+mn-lt"/>
                <a:ea typeface="+mn-ea"/>
                <a:cs typeface="+mn-cs"/>
              </a:rPr>
              <a:t>Classifying</a:t>
            </a:r>
          </a:p>
        </xdr:txBody>
      </xdr:sp>
      <xdr:sp macro="" textlink="">
        <xdr:nvSpPr>
          <xdr:cNvPr id="16" name="Hexagon 15">
            <a:extLst>
              <a:ext uri="{FF2B5EF4-FFF2-40B4-BE49-F238E27FC236}">
                <a16:creationId xmlns:a16="http://schemas.microsoft.com/office/drawing/2014/main" id="{00000000-0008-0000-0000-000010000000}"/>
              </a:ext>
            </a:extLst>
          </xdr:cNvPr>
          <xdr:cNvSpPr/>
        </xdr:nvSpPr>
        <xdr:spPr>
          <a:xfrm>
            <a:off x="0" y="4214818"/>
            <a:ext cx="4934117" cy="720000"/>
          </a:xfrm>
          <a:prstGeom prst="hexagon">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b="1">
                <a:ln>
                  <a:noFill/>
                </a:ln>
                <a:solidFill>
                  <a:sysClr val="windowText" lastClr="000000"/>
                </a:solidFill>
              </a:rPr>
              <a:t>Recording</a:t>
            </a:r>
            <a:r>
              <a:rPr lang="en-AE" sz="2400" b="1" baseline="0">
                <a:ln>
                  <a:noFill/>
                </a:ln>
                <a:solidFill>
                  <a:sysClr val="windowText" lastClr="000000"/>
                </a:solidFill>
              </a:rPr>
              <a:t> </a:t>
            </a:r>
            <a:endParaRPr lang="en-AE" sz="2400" b="1">
              <a:ln>
                <a:noFill/>
              </a:ln>
              <a:solidFill>
                <a:sysClr val="windowText" lastClr="000000"/>
              </a:solidFill>
            </a:endParaRPr>
          </a:p>
        </xdr:txBody>
      </xdr:sp>
      <xdr:sp macro="" textlink="">
        <xdr:nvSpPr>
          <xdr:cNvPr id="18" name="Hexagon 17">
            <a:extLst>
              <a:ext uri="{FF2B5EF4-FFF2-40B4-BE49-F238E27FC236}">
                <a16:creationId xmlns:a16="http://schemas.microsoft.com/office/drawing/2014/main" id="{00000000-0008-0000-0000-000012000000}"/>
              </a:ext>
            </a:extLst>
          </xdr:cNvPr>
          <xdr:cNvSpPr/>
        </xdr:nvSpPr>
        <xdr:spPr>
          <a:xfrm>
            <a:off x="680015" y="5679241"/>
            <a:ext cx="4934117" cy="720000"/>
          </a:xfrm>
          <a:prstGeom prst="hexagon">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ysClr val="windowText" lastClr="000000"/>
                </a:solidFill>
                <a:latin typeface="+mn-lt"/>
                <a:ea typeface="+mn-ea"/>
                <a:cs typeface="+mn-cs"/>
              </a:rPr>
              <a:t>Segregating</a:t>
            </a:r>
            <a:endParaRPr lang="en-AE" sz="2000" b="1">
              <a:solidFill>
                <a:sysClr val="windowText" lastClr="000000"/>
              </a:solidFill>
              <a:latin typeface="+mn-lt"/>
              <a:ea typeface="+mn-ea"/>
              <a:cs typeface="+mn-cs"/>
            </a:endParaRPr>
          </a:p>
        </xdr:txBody>
      </xdr:sp>
      <xdr:sp macro="" textlink="">
        <xdr:nvSpPr>
          <xdr:cNvPr id="19" name="Hexagon 18">
            <a:extLst>
              <a:ext uri="{FF2B5EF4-FFF2-40B4-BE49-F238E27FC236}">
                <a16:creationId xmlns:a16="http://schemas.microsoft.com/office/drawing/2014/main" id="{00000000-0008-0000-0000-000013000000}"/>
              </a:ext>
            </a:extLst>
          </xdr:cNvPr>
          <xdr:cNvSpPr/>
        </xdr:nvSpPr>
        <xdr:spPr>
          <a:xfrm>
            <a:off x="1236573" y="7162722"/>
            <a:ext cx="4936233" cy="720000"/>
          </a:xfrm>
          <a:prstGeom prst="hexagon">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ysClr val="windowText" lastClr="000000"/>
                </a:solidFill>
                <a:latin typeface="+mn-lt"/>
                <a:ea typeface="+mn-ea"/>
                <a:cs typeface="+mn-cs"/>
              </a:rPr>
              <a:t>Summarizing</a:t>
            </a:r>
            <a:endParaRPr lang="en-AE" sz="2400" b="1">
              <a:solidFill>
                <a:sysClr val="windowText" lastClr="000000"/>
              </a:solidFill>
              <a:latin typeface="+mn-lt"/>
              <a:ea typeface="+mn-ea"/>
              <a:cs typeface="+mn-cs"/>
            </a:endParaRPr>
          </a:p>
        </xdr:txBody>
      </xdr:sp>
      <xdr:sp macro="" textlink="">
        <xdr:nvSpPr>
          <xdr:cNvPr id="20" name="Hexagon 19">
            <a:extLst>
              <a:ext uri="{FF2B5EF4-FFF2-40B4-BE49-F238E27FC236}">
                <a16:creationId xmlns:a16="http://schemas.microsoft.com/office/drawing/2014/main" id="{00000000-0008-0000-0000-000014000000}"/>
              </a:ext>
            </a:extLst>
          </xdr:cNvPr>
          <xdr:cNvSpPr/>
        </xdr:nvSpPr>
        <xdr:spPr>
          <a:xfrm>
            <a:off x="1010104" y="6421838"/>
            <a:ext cx="4936233" cy="720000"/>
          </a:xfrm>
          <a:prstGeom prst="hexagon">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ysClr val="windowText" lastClr="000000"/>
                </a:solidFill>
                <a:latin typeface="+mn-lt"/>
                <a:ea typeface="+mn-ea"/>
                <a:cs typeface="+mn-cs"/>
              </a:rPr>
              <a:t>Interpreting</a:t>
            </a:r>
          </a:p>
        </xdr:txBody>
      </xdr:sp>
      <xdr:sp macro="" textlink="">
        <xdr:nvSpPr>
          <xdr:cNvPr id="21" name="Hexagon 20">
            <a:extLst>
              <a:ext uri="{FF2B5EF4-FFF2-40B4-BE49-F238E27FC236}">
                <a16:creationId xmlns:a16="http://schemas.microsoft.com/office/drawing/2014/main" id="{00000000-0008-0000-0000-000015000000}"/>
              </a:ext>
            </a:extLst>
          </xdr:cNvPr>
          <xdr:cNvSpPr/>
        </xdr:nvSpPr>
        <xdr:spPr>
          <a:xfrm>
            <a:off x="320860" y="4945412"/>
            <a:ext cx="4934117" cy="720000"/>
          </a:xfrm>
          <a:prstGeom prst="hexagon">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400" b="1">
                <a:solidFill>
                  <a:sysClr val="windowText" lastClr="000000"/>
                </a:solidFill>
                <a:latin typeface="+mn-lt"/>
                <a:ea typeface="+mn-ea"/>
                <a:cs typeface="+mn-cs"/>
              </a:rPr>
              <a:t>Reporting</a:t>
            </a:r>
          </a:p>
        </xdr:txBody>
      </xdr:sp>
      <xdr:sp macro="" textlink="">
        <xdr:nvSpPr>
          <xdr:cNvPr id="24" name="Hexagon 23">
            <a:extLst>
              <a:ext uri="{FF2B5EF4-FFF2-40B4-BE49-F238E27FC236}">
                <a16:creationId xmlns:a16="http://schemas.microsoft.com/office/drawing/2014/main" id="{00000000-0008-0000-0000-000018000000}"/>
              </a:ext>
            </a:extLst>
          </xdr:cNvPr>
          <xdr:cNvSpPr/>
        </xdr:nvSpPr>
        <xdr:spPr>
          <a:xfrm>
            <a:off x="1785451" y="8650742"/>
            <a:ext cx="4934116" cy="720000"/>
          </a:xfrm>
          <a:prstGeom prst="hexagon">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2000" b="1">
                <a:solidFill>
                  <a:schemeClr val="bg1"/>
                </a:solidFill>
                <a:latin typeface="+mn-lt"/>
                <a:ea typeface="+mn-ea"/>
                <a:cs typeface="+mn-cs"/>
              </a:rPr>
              <a:t>Analyzing </a:t>
            </a:r>
            <a:endParaRPr lang="en-AE" sz="2400" b="1">
              <a:solidFill>
                <a:schemeClr val="bg1"/>
              </a:solidFill>
              <a:latin typeface="+mn-lt"/>
              <a:ea typeface="+mn-ea"/>
              <a:cs typeface="+mn-cs"/>
            </a:endParaRPr>
          </a:p>
        </xdr:txBody>
      </xdr:sp>
    </xdr:grpSp>
    <xdr:clientData/>
  </xdr:twoCellAnchor>
  <xdr:twoCellAnchor>
    <xdr:from>
      <xdr:col>0</xdr:col>
      <xdr:colOff>42333</xdr:colOff>
      <xdr:row>32</xdr:row>
      <xdr:rowOff>31750</xdr:rowOff>
    </xdr:from>
    <xdr:to>
      <xdr:col>3</xdr:col>
      <xdr:colOff>613834</xdr:colOff>
      <xdr:row>34</xdr:row>
      <xdr:rowOff>359831</xdr:rowOff>
    </xdr:to>
    <xdr:sp macro="" textlink="">
      <xdr:nvSpPr>
        <xdr:cNvPr id="25" name="L-Shape 24">
          <a:extLst>
            <a:ext uri="{FF2B5EF4-FFF2-40B4-BE49-F238E27FC236}">
              <a16:creationId xmlns:a16="http://schemas.microsoft.com/office/drawing/2014/main" id="{00000000-0008-0000-0000-000019000000}"/>
            </a:ext>
          </a:extLst>
        </xdr:cNvPr>
        <xdr:cNvSpPr/>
      </xdr:nvSpPr>
      <xdr:spPr>
        <a:xfrm>
          <a:off x="42333" y="10424583"/>
          <a:ext cx="7186084" cy="846665"/>
        </a:xfrm>
        <a:prstGeom prst="corner">
          <a:avLst>
            <a:gd name="adj1" fmla="val 94754"/>
            <a:gd name="adj2" fmla="val 2667"/>
          </a:avLst>
        </a:prstGeom>
        <a:solidFill>
          <a:srgbClr val="993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baseline="0">
              <a:solidFill>
                <a:schemeClr val="lt1"/>
              </a:solidFill>
              <a:effectLst/>
              <a:latin typeface="+mn-lt"/>
              <a:ea typeface="+mn-ea"/>
              <a:cs typeface="+mn-cs"/>
            </a:rPr>
            <a:t>OFFICE : 1003 LATIFA TOWER, SHEIKH ZAYED ROAD, DUBAI , UAE</a:t>
          </a:r>
          <a:endParaRPr lang="en-AE" sz="2000">
            <a:solidFill>
              <a:schemeClr val="bg1"/>
            </a:solidFill>
          </a:endParaRPr>
        </a:p>
      </xdr:txBody>
    </xdr:sp>
    <xdr:clientData/>
  </xdr:twoCellAnchor>
  <xdr:twoCellAnchor editAs="oneCell">
    <xdr:from>
      <xdr:col>0</xdr:col>
      <xdr:colOff>1079501</xdr:colOff>
      <xdr:row>7</xdr:row>
      <xdr:rowOff>52916</xdr:rowOff>
    </xdr:from>
    <xdr:to>
      <xdr:col>2</xdr:col>
      <xdr:colOff>899584</xdr:colOff>
      <xdr:row>11</xdr:row>
      <xdr:rowOff>52916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079501" y="2137833"/>
          <a:ext cx="4508500" cy="152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16231</xdr:rowOff>
    </xdr:from>
    <xdr:to>
      <xdr:col>1</xdr:col>
      <xdr:colOff>712800</xdr:colOff>
      <xdr:row>3</xdr:row>
      <xdr:rowOff>316181</xdr:rowOff>
    </xdr:to>
    <xdr:sp macro="" textlink="">
      <xdr:nvSpPr>
        <xdr:cNvPr id="2" name="Isosceles Triangle 1">
          <a:extLst>
            <a:ext uri="{FF2B5EF4-FFF2-40B4-BE49-F238E27FC236}">
              <a16:creationId xmlns:a16="http://schemas.microsoft.com/office/drawing/2014/main" id="{00000000-0008-0000-0100-000002000000}"/>
            </a:ext>
          </a:extLst>
        </xdr:cNvPr>
        <xdr:cNvSpPr/>
      </xdr:nvSpPr>
      <xdr:spPr>
        <a:xfrm rot="5400000">
          <a:off x="108000" y="22531"/>
          <a:ext cx="954000" cy="1170000"/>
        </a:xfrm>
        <a:prstGeom prst="triangle">
          <a:avLst/>
        </a:prstGeom>
        <a:solidFill>
          <a:schemeClr val="tx1"/>
        </a:solidFill>
        <a:ln>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736600</xdr:colOff>
      <xdr:row>1</xdr:row>
      <xdr:rowOff>47981</xdr:rowOff>
    </xdr:from>
    <xdr:to>
      <xdr:col>4</xdr:col>
      <xdr:colOff>1904960</xdr:colOff>
      <xdr:row>3</xdr:row>
      <xdr:rowOff>349250</xdr:rowOff>
    </xdr:to>
    <xdr:sp macro="" textlink="">
      <xdr:nvSpPr>
        <xdr:cNvPr id="3" name="Isosceles Triangle 2">
          <a:extLst>
            <a:ext uri="{FF2B5EF4-FFF2-40B4-BE49-F238E27FC236}">
              <a16:creationId xmlns:a16="http://schemas.microsoft.com/office/drawing/2014/main" id="{00000000-0008-0000-0100-000003000000}"/>
            </a:ext>
          </a:extLst>
        </xdr:cNvPr>
        <xdr:cNvSpPr/>
      </xdr:nvSpPr>
      <xdr:spPr>
        <a:xfrm rot="16200000">
          <a:off x="6831170" y="55761"/>
          <a:ext cx="955319" cy="1168360"/>
        </a:xfrm>
        <a:prstGeom prst="triangle">
          <a:avLst/>
        </a:prstGeom>
        <a:solidFill>
          <a:schemeClr val="tx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3744247</xdr:colOff>
      <xdr:row>0</xdr:row>
      <xdr:rowOff>187326</xdr:rowOff>
    </xdr:from>
    <xdr:to>
      <xdr:col>5</xdr:col>
      <xdr:colOff>600996</xdr:colOff>
      <xdr:row>3</xdr:row>
      <xdr:rowOff>243418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03664" y="187326"/>
          <a:ext cx="1915582" cy="124142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18</xdr:row>
      <xdr:rowOff>299085</xdr:rowOff>
    </xdr:from>
    <xdr:to>
      <xdr:col>8</xdr:col>
      <xdr:colOff>30480</xdr:colOff>
      <xdr:row>34</xdr:row>
      <xdr:rowOff>165735</xdr:rowOff>
    </xdr:to>
    <xdr:graphicFrame macro="">
      <xdr:nvGraphicFramePr>
        <xdr:cNvPr id="4112" name="Chart 7">
          <a:extLst>
            <a:ext uri="{FF2B5EF4-FFF2-40B4-BE49-F238E27FC236}">
              <a16:creationId xmlns:a16="http://schemas.microsoft.com/office/drawing/2014/main" id="{00000000-0008-0000-0300-000010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7</xdr:row>
      <xdr:rowOff>116205</xdr:rowOff>
    </xdr:from>
    <xdr:to>
      <xdr:col>8</xdr:col>
      <xdr:colOff>22860</xdr:colOff>
      <xdr:row>18</xdr:row>
      <xdr:rowOff>173355</xdr:rowOff>
    </xdr:to>
    <xdr:graphicFrame macro="">
      <xdr:nvGraphicFramePr>
        <xdr:cNvPr id="4113" name="Chart 1">
          <a:extLst>
            <a:ext uri="{FF2B5EF4-FFF2-40B4-BE49-F238E27FC236}">
              <a16:creationId xmlns:a16="http://schemas.microsoft.com/office/drawing/2014/main" id="{00000000-0008-0000-0300-00001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355600</xdr:colOff>
      <xdr:row>0</xdr:row>
      <xdr:rowOff>165100</xdr:rowOff>
    </xdr:from>
    <xdr:to>
      <xdr:col>7</xdr:col>
      <xdr:colOff>484770</xdr:colOff>
      <xdr:row>3</xdr:row>
      <xdr:rowOff>212725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57900" y="165100"/>
          <a:ext cx="1386470" cy="89852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3552825</xdr:colOff>
      <xdr:row>6</xdr:row>
      <xdr:rowOff>180975</xdr:rowOff>
    </xdr:from>
    <xdr:to>
      <xdr:col>3</xdr:col>
      <xdr:colOff>9563100</xdr:colOff>
      <xdr:row>25</xdr:row>
      <xdr:rowOff>47625</xdr:rowOff>
    </xdr:to>
    <xdr:graphicFrame macro="">
      <xdr:nvGraphicFramePr>
        <xdr:cNvPr id="2074" name="Chart 7">
          <a:extLst>
            <a:ext uri="{FF2B5EF4-FFF2-40B4-BE49-F238E27FC236}">
              <a16:creationId xmlns:a16="http://schemas.microsoft.com/office/drawing/2014/main" id="{00000000-0008-0000-0400-00001A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5</xdr:row>
      <xdr:rowOff>171450</xdr:rowOff>
    </xdr:from>
    <xdr:to>
      <xdr:col>5</xdr:col>
      <xdr:colOff>2143125</xdr:colOff>
      <xdr:row>24</xdr:row>
      <xdr:rowOff>38100</xdr:rowOff>
    </xdr:to>
    <xdr:graphicFrame macro="">
      <xdr:nvGraphicFramePr>
        <xdr:cNvPr id="2076" name="Chart 7">
          <a:extLst>
            <a:ext uri="{FF2B5EF4-FFF2-40B4-BE49-F238E27FC236}">
              <a16:creationId xmlns:a16="http://schemas.microsoft.com/office/drawing/2014/main" id="{00000000-0008-0000-0400-00001C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26</xdr:row>
      <xdr:rowOff>0</xdr:rowOff>
    </xdr:from>
    <xdr:to>
      <xdr:col>5</xdr:col>
      <xdr:colOff>2143125</xdr:colOff>
      <xdr:row>46</xdr:row>
      <xdr:rowOff>76200</xdr:rowOff>
    </xdr:to>
    <xdr:graphicFrame macro="">
      <xdr:nvGraphicFramePr>
        <xdr:cNvPr id="2077" name="Chart 7">
          <a:extLst>
            <a:ext uri="{FF2B5EF4-FFF2-40B4-BE49-F238E27FC236}">
              <a16:creationId xmlns:a16="http://schemas.microsoft.com/office/drawing/2014/main" id="{00000000-0008-0000-0400-00001D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47</xdr:row>
      <xdr:rowOff>47625</xdr:rowOff>
    </xdr:from>
    <xdr:to>
      <xdr:col>5</xdr:col>
      <xdr:colOff>2124075</xdr:colOff>
      <xdr:row>67</xdr:row>
      <xdr:rowOff>123825</xdr:rowOff>
    </xdr:to>
    <xdr:graphicFrame macro="">
      <xdr:nvGraphicFramePr>
        <xdr:cNvPr id="2078" name="Chart 7">
          <a:extLst>
            <a:ext uri="{FF2B5EF4-FFF2-40B4-BE49-F238E27FC236}">
              <a16:creationId xmlns:a16="http://schemas.microsoft.com/office/drawing/2014/main" id="{00000000-0008-0000-0400-00001E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412750</xdr:colOff>
      <xdr:row>0</xdr:row>
      <xdr:rowOff>95250</xdr:rowOff>
    </xdr:from>
    <xdr:to>
      <xdr:col>5</xdr:col>
      <xdr:colOff>2171700</xdr:colOff>
      <xdr:row>3</xdr:row>
      <xdr:rowOff>215901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15000" y="95250"/>
          <a:ext cx="1758950" cy="971551"/>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609600</xdr:colOff>
      <xdr:row>0</xdr:row>
      <xdr:rowOff>91441</xdr:rowOff>
    </xdr:from>
    <xdr:to>
      <xdr:col>2</xdr:col>
      <xdr:colOff>2011680</xdr:colOff>
      <xdr:row>4</xdr:row>
      <xdr:rowOff>83820</xdr:rowOff>
    </xdr:to>
    <xdr:pic>
      <xdr:nvPicPr>
        <xdr:cNvPr id="2" name="Picture 1">
          <a:extLst>
            <a:ext uri="{FF2B5EF4-FFF2-40B4-BE49-F238E27FC236}">
              <a16:creationId xmlns:a16="http://schemas.microsoft.com/office/drawing/2014/main" id="{7BB3F2FC-5676-404D-852C-C9828F81E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220" y="91441"/>
          <a:ext cx="1402080" cy="784859"/>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311150</xdr:colOff>
      <xdr:row>0</xdr:row>
      <xdr:rowOff>119004</xdr:rowOff>
    </xdr:from>
    <xdr:to>
      <xdr:col>6</xdr:col>
      <xdr:colOff>781050</xdr:colOff>
      <xdr:row>3</xdr:row>
      <xdr:rowOff>276225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1550" y="119004"/>
          <a:ext cx="1447800" cy="938271"/>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592140</xdr:colOff>
      <xdr:row>0</xdr:row>
      <xdr:rowOff>87315</xdr:rowOff>
    </xdr:from>
    <xdr:to>
      <xdr:col>15</xdr:col>
      <xdr:colOff>761472</xdr:colOff>
      <xdr:row>3</xdr:row>
      <xdr:rowOff>344489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55390" y="87315"/>
          <a:ext cx="1883832" cy="1047749"/>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95250</xdr:colOff>
      <xdr:row>0</xdr:row>
      <xdr:rowOff>184150</xdr:rowOff>
    </xdr:from>
    <xdr:to>
      <xdr:col>9</xdr:col>
      <xdr:colOff>699241</xdr:colOff>
      <xdr:row>3</xdr:row>
      <xdr:rowOff>212725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3700" y="184150"/>
          <a:ext cx="1562841" cy="879475"/>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30842</xdr:colOff>
      <xdr:row>0</xdr:row>
      <xdr:rowOff>158750</xdr:rowOff>
    </xdr:from>
    <xdr:to>
      <xdr:col>17</xdr:col>
      <xdr:colOff>824591</xdr:colOff>
      <xdr:row>3</xdr:row>
      <xdr:rowOff>217486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5871" y="158750"/>
          <a:ext cx="1697264" cy="907822"/>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25</xdr:col>
      <xdr:colOff>376514</xdr:colOff>
      <xdr:row>0</xdr:row>
      <xdr:rowOff>38100</xdr:rowOff>
    </xdr:from>
    <xdr:to>
      <xdr:col>27</xdr:col>
      <xdr:colOff>279022</xdr:colOff>
      <xdr:row>3</xdr:row>
      <xdr:rowOff>152400</xdr:rowOff>
    </xdr:to>
    <xdr:pic>
      <xdr:nvPicPr>
        <xdr:cNvPr id="2" name="Picture 3">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5302749" y="38100"/>
          <a:ext cx="960344" cy="96594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ibtain%20Nadeem\AppData\Local\Microsoft\Windows\Temporary%20Internet%20Files\Content.Outlook\TY12SX52\J.K%20spinning2007\JK%20SPINNING%202007\JKS%202006-07\workings\DEPRECIATION%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server1\audit\Financial%20statements%20from%20Karachi\2211%20SALFI%20FS%20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HCC-Students\Shuaib_backup\Universal%20insurance\FEL%2031-03-20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RSHAD\COS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Administrator.SOHAILALI\Desktop\ls\tax%20depreciation%20schedules.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2212%20MFTM%20final%20Accounts%20200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Arif%20Working\SOM%20Audit%202012\Documents%20and%20Settings\auditor\Desktop\Final%20account%20Gadoon%20June%2030%202005-by%20soha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kyDrive\FRANTS%20Office\CLIENTS%20Frants%20&amp;%20Co\AHTML\AHTML%20Annual%20audit%202013%20-%20data\AHTML%20FINAL%20WORKING\FIXED%20ASSET\SUNRAYS2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swml\swml_pubic_data\N_EJAZ%202009-2010\Profit_Loss%20Accounts%20UPTO%20NOV-20091-ehs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dc2000\DATA_X\Audit%202003-04\Roohi\Mahira--%20DFeskto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dmin\AppData\Local\Temp\wzc2a3\Documents%20and%20Settings\Administrator.SOHAILALI\Desktop\ls\tax%20depreciation%20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jaz\Shared%20Documents\N_EJAZ%202008-2009\MTM%20Financial%20Statements%20Q.E%2030,SEP-2008-20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YT\Accoutns\AUDIT%20DEC%202012\Deliverables\SUNRAYS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swml\swml_pubic_data\SUNRAYS20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server1\Audit%20P-1\Sunrays%20Textile\Sunrays2003\segmental%202003(15-12-2003)after%20tax(adjusted)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J.K%20spinning2007\JK%20SPINNING%202007\JKS%202006-07\workings\DEPRECIATION%202007.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6511%20Surplus%20on%20Revaluation"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5110.1%20QTML%20Accounts%202006"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Arif%20Working\SOM%20Audit%202012\SUNRAYS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ileserver\Myasco\Documents%20and%20Settings\Administrator\Desktop\Gadoon%202005\SEPT-ACC2004.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20%20%20%20%20%20Illustrative%20Financial%20Statements%20-%20Excel"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YT\Accoutns\AUDIT%20DEC%202012\Deliverables\Personal\Provisions\2004-2005\Jun05-provis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swml\swml_pubic_data\Personal\Provisions\2004-2005\Jun05-provision.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2231.1%20Financial%20Statments%20-2007"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ata%201dec15\PD%2009mar15\Accuperts\ZA\Nesterz%20Real%20Estate%2025May15\MIS\Nesterz%20Real%20Estate%2010Jan17.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Sibtain%20Nadeem\AppData\Local\Microsoft\Windows\Temporary%20Internet%20Files\Content.Outlook\TY12SX52\My%20Documents\Raza\Loan_Amortization_calculato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erguson1\auditors\Auditors%20data\Farrukh%20Client%20files\KEL%2004\Accounts\Misc%20accounts\Pkg%202003%20(In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Program%20Files\Microsoft%20Office\Office\ARSHI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SkyDrive\FRANTS%20Office\CLIENTS%20Frants%20&amp;%20Co\AHTML\AHTML%20Annual%20audit%202013%20-%20data\AHTML%20FINAL%20WORKING\FIXED%20ASSET\Personal\Provisions\2004-2005\Jun05-provi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WINDOWS\TEMP\Calender%2020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audit\NWFP\SAIF-BEV\AUDIT\JUNE%2030,%202002%2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iaz\E\AUDIT\DGKHAN\DG%20Khan%20Accounts%20forthe%20year%202004\DG%20accounts%202004.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110.1%20TANGIBLE%20FIXED%20ASSETS%20Combined%20Leadsheet"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ANNUAL%2520ACCOUNTS\JUN%25202012\DETAILS\LSALE%252011.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Worksheet%20in%202334.1%20Finansial%20Statements%20June%2030,%202007"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FRANTS%20WORK\External\Khawaja%20Feeds%20(Pvt.)%20Ltd\2015\External%20Audit%202015\Workings\Qasim\04-Liabilities%20against%20Assets%20subject%20to%20Finance%20Lease\Current%20Portion%20of%20LTF.xlsx"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Worksheet%20in%202231%20%20Financial%20statement%20Dec%2031,%2008%20(Final)"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cpu-489\insurance\Sohail%20Iqbal\Audit\Audit%20Jul-02~Sep-02.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20Financial%20Statements%202007"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84.12.57\Tax\Documents%20and%20Settings\de\Desktop\DG%20Audit%20Data\Property,%20plant%20and%20equipmen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er-swml\swml_pubic_data\FAIZ%20SB\D%20drive\F\AUDIT%202006-2007\FINANCIALS%20STATEMENT2006-2007(20-09-07).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Worksheet%20in%205632%20Building%20on%20freehold%20land"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Umar%20Naseer\Desktop\propert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erver-swml\swml_pubic_data\Documents%20and%20Settings\ijaz-khan\Desktop\IJAZ%20KHAN\Annual%20Audit\Year%202008-09\Accounts%20-%2030-06-2009-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rver-swml\swml_pubic_data\Arif%20Murad\2233%20%20Accounts%2030-06-2012-final%20ist%20draft%20from%20yousaf%20adil.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Worksheet%20in%202232%20Financial%20statements%20-%202008-%20Final%20with%20qualf.%20trad%20sale"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erver-swml\swml_pubic_data\IJAZ%20KHAN\Annual%20Audit\Year%202010-11\Accounts%2030-06-2011-final%20draft.xl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Worksheet%20in%202334%20Financial%20Statements%20June%2030,%202006"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ashifraza\Audit%20Accounts%202006%202007\5530%20Working%20of%20Stock%20in%20tade-Spinning%20Unit.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Worksheet%20in%205411%20Stock%20valuation%202007-2008"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Worksheet%20in%20%20%20ELECTRIC%20INSTALLATION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Users\Umar%20Naseer\Desktop\Sunrays%20Textile%20Mills\5633%20Fixed%20Asset%20Adition%20Disposal.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C)%205831%20Disposal%20Schedule"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Umar%20Naseer\Desktop\Sunrays%20Textile%20Mills\ASSETS.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file:///D:\Bin%20Ghannam\Western%20Vending%20Machine\2024\11.%20November%202024\Report\Western+Vending+Machines_Balance+Sheet.xlsx" TargetMode="External"/><Relationship Id="rId1" Type="http://schemas.openxmlformats.org/officeDocument/2006/relationships/externalLinkPath" Target="/Bin%20Ghannam/Western%20Vending%20Machine/2024/11.%20November%202024/Report/Western+Vending+Machines_Balance+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working audit with codes"/>
      <sheetName val="May 07"/>
      <sheetName val="APRIL-07"/>
      <sheetName val="March 07"/>
      <sheetName val="FEB 07"/>
      <sheetName val="JAN07"/>
      <sheetName val="DEC 06"/>
      <sheetName val="NOV-06"/>
      <sheetName val="OCT-06"/>
      <sheetName val="SEP-06"/>
      <sheetName val="AUG-06"/>
      <sheetName val="JULY-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REVISED"/>
      <sheetName val="Audit report"/>
      <sheetName val="BALANCE SHEET"/>
      <sheetName val="P&amp;L, CF and Notes"/>
      <sheetName val="Note-13"/>
      <sheetName val="Changes in equity"/>
      <sheetName val="BALANCE SHEET (2)"/>
      <sheetName val="Sheet2"/>
      <sheetName val="Sheet1"/>
      <sheetName val="P_L_ CF and No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B-Sheet"/>
      <sheetName val="PL"/>
      <sheetName val="C-FLOW"/>
      <sheetName val="Equity"/>
      <sheetName val="Notes"/>
      <sheetName val="segmentwise result"/>
      <sheetName val="P&amp;L, CF and Not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N"/>
      <sheetName val="LOOM"/>
      <sheetName val="QUALITY"/>
      <sheetName val="LOOM3"/>
      <sheetName val="SPIN3"/>
      <sheetName val="Graph"/>
      <sheetName val="Sheet1 (2)"/>
    </sheetNames>
    <sheetDataSet>
      <sheetData sheetId="0" refreshError="1">
        <row r="40">
          <cell r="A40" t="str">
            <v>SPINING PRODUCTION PER SPINDLE &amp; EFFICIENCY</v>
          </cell>
        </row>
        <row r="41">
          <cell r="A41" t="str">
            <v>FOR THE MONTH OF OCTOBER 1997</v>
          </cell>
        </row>
        <row r="73">
          <cell r="A73" t="str">
            <v>SPINNING PRODUCTION PER SPINDLE &amp; EFFICIENCY</v>
          </cell>
        </row>
        <row r="74">
          <cell r="A74" t="str">
            <v>FOR THE MONTH OF NOV 1997</v>
          </cell>
        </row>
        <row r="105">
          <cell r="A105" t="str">
            <v>SPINNING PRODUCTION PER SPINDLE &amp; EFFICIENCY</v>
          </cell>
        </row>
        <row r="106">
          <cell r="A106" t="str">
            <v>FOR THE MONTH OF DEC 1997</v>
          </cell>
        </row>
        <row r="135">
          <cell r="A135" t="str">
            <v>SPINNING PRODUCTION PER SPINDLE &amp; EFFICIENCY</v>
          </cell>
        </row>
        <row r="136">
          <cell r="A136" t="str">
            <v>FOR THE MONTH OF JAN 1998</v>
          </cell>
        </row>
        <row r="155">
          <cell r="A155" t="str">
            <v>SPINNING PRODUCTION PER SPINDLE &amp; EFFICIENCY</v>
          </cell>
        </row>
        <row r="156">
          <cell r="A156" t="str">
            <v>FOR THE MONTH OF FEB 1998</v>
          </cell>
        </row>
        <row r="180">
          <cell r="A180" t="str">
            <v>SPINNING PRODUCTION PER SPINDLE &amp; EFFICIENCY</v>
          </cell>
        </row>
        <row r="181">
          <cell r="A181" t="str">
            <v>FOR THE MONTH OF MAR 1998</v>
          </cell>
        </row>
        <row r="207">
          <cell r="A207" t="str">
            <v>SPINNING PRODUCTION PER SPINDLE &amp; EFFICIENCY</v>
          </cell>
        </row>
        <row r="208">
          <cell r="A208" t="str">
            <v>FOR THE MONTH OF APRIL 1998</v>
          </cell>
        </row>
        <row r="237">
          <cell r="A237" t="str">
            <v>SPINING PRODUCTION PER SPINDLE &amp; EFFICIENCY</v>
          </cell>
        </row>
        <row r="238">
          <cell r="A238" t="str">
            <v>FOR THE MONTH OF MAY 1998</v>
          </cell>
        </row>
      </sheetData>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rred tax 2008"/>
      <sheetName val="Sugar tax dep"/>
      <sheetName val="MDF tax de"/>
      <sheetName val="Current-Tax-2008"/>
      <sheetName val="Deferred-Tax-2008-June"/>
      <sheetName val="Accounting-Dep-2008"/>
      <sheetName val="Tax WDV"/>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FINAL (2)"/>
      <sheetName val="BS"/>
      <sheetName val="P&amp;L"/>
      <sheetName val="FF"/>
      <sheetName val="EQUITY"/>
      <sheetName val="1 TO 4"/>
      <sheetName val="5 TO 36"/>
      <sheetName val="29 TO 32"/>
      <sheetName val="14"/>
      <sheetName val="14.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REPORT FINAL"/>
      <sheetName val="Balance Sheet"/>
      <sheetName val="Income Statement"/>
      <sheetName val="Cash Flow"/>
      <sheetName val="Changes in equity"/>
      <sheetName val="Note 1 to 4"/>
      <sheetName val="Note No. 5"/>
      <sheetName val="Note 10"/>
      <sheetName val="Disposal"/>
      <sheetName val="Note 6 to 35"/>
      <sheetName val="Note 30 &amp; 31"/>
      <sheetName val="Note 32"/>
      <sheetName val="Lead"/>
      <sheetName val="Links"/>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Changes in Equity"/>
      <sheetName val="P&amp;L"/>
      <sheetName val="P-L NOTES (2)"/>
      <sheetName val="P - L (2)"/>
      <sheetName val="P-L NOTES"/>
      <sheetName val="Trial Balance"/>
      <sheetName val="Tax-2 (2)"/>
    </sheetNames>
    <sheetDataSet>
      <sheetData sheetId="0" refreshError="1"/>
      <sheetData sheetId="1"/>
      <sheetData sheetId="2"/>
      <sheetData sheetId="3"/>
      <sheetData sheetId="4" refreshError="1"/>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ments"/>
      <sheetName val="Acct"/>
      <sheetName val="Equity"/>
      <sheetName val="6.1"/>
      <sheetName val="13"/>
      <sheetName val="14"/>
      <sheetName val="37"/>
      <sheetName val="Sheet1"/>
      <sheetName val="Sheet2"/>
      <sheetName val="Sheet3"/>
      <sheetName val="Lead Schedule"/>
      <sheetName val="1"/>
      <sheetName val="6_1"/>
      <sheetName val="Lead_Schedule"/>
      <sheetName val="6_11"/>
      <sheetName val="Lead_Schedule1"/>
      <sheetName val="Avsb"/>
      <sheetName val="P&amp;L"/>
      <sheetName val="Mst"/>
      <sheetName val="Mahira-- DFesktop"/>
      <sheetName val="6_12"/>
      <sheetName val="Lead_Schedule2"/>
      <sheetName val="Notes"/>
      <sheetName val="11"/>
      <sheetName val="OAR BS"/>
      <sheetName val="6_13"/>
      <sheetName val="Lead_Schedule3"/>
      <sheetName val="6_14"/>
      <sheetName val="Lead_Schedule4"/>
      <sheetName val="Mahira--_DFesktop"/>
      <sheetName val="rm"/>
      <sheetName val="A"/>
      <sheetName val="6_15"/>
      <sheetName val="Lead_Schedule5"/>
      <sheetName val="Mahira--_DFesktop1"/>
      <sheetName val="6_16"/>
      <sheetName val="Lead_Schedule6"/>
      <sheetName val="Mahira--_DFesktop2"/>
      <sheetName val="6_17"/>
      <sheetName val="Lead_Schedule7"/>
      <sheetName val="Mahira--_DFesktop3"/>
      <sheetName val="6_18"/>
      <sheetName val="Lead_Schedule8"/>
      <sheetName val="Mahira--_DFesktop4"/>
      <sheetName val="Trial July-08 to Jun-09"/>
      <sheetName val="WorkLevels"/>
      <sheetName val="6_19"/>
      <sheetName val="Lead_Schedule9"/>
      <sheetName val="Mahira--_DFesktop5"/>
      <sheetName val="6_110"/>
      <sheetName val="Lead_Schedule10"/>
      <sheetName val="Mahira--_DFesktop6"/>
      <sheetName val="6_111"/>
      <sheetName val="Lead_Schedule11"/>
      <sheetName val="Mahira--_DFesktop7"/>
      <sheetName val="B-S(p)"/>
      <sheetName val="Prepaid Sheet"/>
      <sheetName val="Summary"/>
      <sheetName val="DF"/>
      <sheetName val="Data for Graphs"/>
      <sheetName val="clr Agent"/>
      <sheetName val="Trial"/>
      <sheetName val="6_112"/>
      <sheetName val="Lead_Schedule12"/>
      <sheetName val="Mahira--_DFesktop8"/>
      <sheetName val="6_113"/>
      <sheetName val="Lead_Schedule13"/>
      <sheetName val="Mahira--_DFesktop9"/>
      <sheetName val="6_114"/>
      <sheetName val="Lead_Schedule14"/>
      <sheetName val="Mahira--_DFesktop10"/>
      <sheetName val="FIB"/>
      <sheetName val="Sajad requireds"/>
      <sheetName val="08"/>
      <sheetName val="capex"/>
      <sheetName val="Green Tyre Curing"/>
      <sheetName val="Target"/>
      <sheetName val="AUGUST"/>
      <sheetName val="CLIENTSHEET2"/>
      <sheetName val="NOTES 1-25"/>
      <sheetName val="TB"/>
      <sheetName val="6_115"/>
      <sheetName val="Lead_Schedule15"/>
      <sheetName val="Mahira--_DFesktop11"/>
      <sheetName val="OAR_BS"/>
      <sheetName val="Trial_July-08_to_Jun-09"/>
      <sheetName val="Data_for_Graphs"/>
      <sheetName val="clr_Agent"/>
      <sheetName val="Sajad_requireds"/>
      <sheetName val="depreciation testing"/>
      <sheetName val="Variables"/>
      <sheetName val="Lodges Backup Pages"/>
      <sheetName val="PL3A"/>
      <sheetName val="Administration"/>
      <sheetName val="Fixed Assets Department wise"/>
      <sheetName val="Operation"/>
      <sheetName val="Technical"/>
      <sheetName val="Marketing"/>
      <sheetName val="Currency"/>
      <sheetName val="Prepaid_Sheet"/>
      <sheetName val="F. Assets"/>
      <sheetName val="3-9,10.3-27"/>
      <sheetName val="BS"/>
      <sheetName val="Green_Tyre_Curing"/>
      <sheetName val="PPE"/>
      <sheetName val="I-B"/>
      <sheetName val="I-BR"/>
      <sheetName val="Cutt"/>
      <sheetName val="基础单价"/>
      <sheetName val="102B"/>
      <sheetName val="REGISTER"/>
      <sheetName val="June 2021 Import Req."/>
      <sheetName val="6_116"/>
      <sheetName val="Lead_Schedule16"/>
      <sheetName val="Mahira--_DFesktop12"/>
      <sheetName val="OAR_BS1"/>
      <sheetName val="Trial_July-08_to_Jun-091"/>
      <sheetName val="Data_for_Graphs1"/>
      <sheetName val="clr_Agent1"/>
      <sheetName val="Green_Tyre_Curing1"/>
      <sheetName val="Sajad_requireds1"/>
      <sheetName val="6_117"/>
      <sheetName val="Lead_Schedule17"/>
      <sheetName val="Mahira--_DFesktop13"/>
      <sheetName val="Data_for_Graphs2"/>
      <sheetName val="clr_Agent2"/>
      <sheetName val="OAR_BS2"/>
      <sheetName val="Trial_July-08_to_Jun-092"/>
      <sheetName val="Sajad_requireds2"/>
      <sheetName val="Green_Tyre_Curing2"/>
      <sheetName val="NOTES_1-25"/>
      <sheetName val="Prepaid_Sheet1"/>
      <sheetName val="Fixed_Assets_Department_wise"/>
      <sheetName val="F__Assets"/>
      <sheetName val="3-9,10_3-27"/>
      <sheetName val="LOCAL STUDENTS"/>
      <sheetName val="stock-level"/>
      <sheetName val="F&amp;F"/>
      <sheetName val="T.B with Adj Entries 2012 ,TBAE"/>
      <sheetName val="NOTES 1-27"/>
      <sheetName val="WORKING FOR SJV"/>
      <sheetName val="dis"/>
      <sheetName val="rec"/>
      <sheetName val="FG"/>
      <sheetName val="Sheet8"/>
      <sheetName val="NOTES_1-252"/>
      <sheetName val="Prepaid_Sheet2"/>
      <sheetName val="NOTES_1-251"/>
      <sheetName val="Selections"/>
      <sheetName val="ESEL Cards"/>
      <sheetName val="Combo Box Lists"/>
      <sheetName val="Table Data"/>
      <sheetName val="PDSN FA"/>
      <sheetName val="MTX SS7 &amp; E1s"/>
      <sheetName val="Customer Deposits"/>
      <sheetName val="Investment Branch level"/>
      <sheetName val="Loan Portfolio"/>
      <sheetName val="OAC Branch level"/>
      <sheetName val="Personnel"/>
      <sheetName val="6_118"/>
      <sheetName val="Lead_Schedule18"/>
      <sheetName val="Mahira--_DFesktop14"/>
      <sheetName val="OAR_BS3"/>
      <sheetName val="Trial_July-08_to_Jun-093"/>
      <sheetName val="Data_for_Graphs3"/>
      <sheetName val="clr_Agent3"/>
      <sheetName val="Sajad_requireds3"/>
      <sheetName val="Green_Tyre_Curing3"/>
      <sheetName val="Prepaid_Sheet3"/>
      <sheetName val="NOTES_1-253"/>
      <sheetName val="depreciation_testing"/>
      <sheetName val="Lodges_Backup_Pages"/>
      <sheetName val="June_2021_Import_Req_"/>
      <sheetName val="WORKING_FOR_SJV"/>
      <sheetName val="ESEL_Cards"/>
      <sheetName val="Combo_Box_Lists"/>
      <sheetName val="Table_Data"/>
      <sheetName val="PDSN_FA"/>
      <sheetName val="MTX_SS7_&amp;_E1s"/>
      <sheetName val="ESML_9394"/>
      <sheetName val="STL_Accural month of Jan-11"/>
      <sheetName val="J"/>
      <sheetName val="last qrt2001"/>
      <sheetName val="OCL-Accrued liab_200"/>
      <sheetName val="OAR_BS4"/>
      <sheetName val="OAR_BS5"/>
      <sheetName val="OAR_BS6"/>
      <sheetName val="OAR_BS7"/>
      <sheetName val="OAR_BS8"/>
      <sheetName val="OAR_BS9"/>
      <sheetName val="6_119"/>
      <sheetName val="Lead_Schedule19"/>
      <sheetName val="Mahira--_DFesktop15"/>
      <sheetName val="OAR_BS10"/>
      <sheetName val="6_120"/>
      <sheetName val="Lead_Schedule20"/>
      <sheetName val="Mahira--_DFesktop16"/>
      <sheetName val="OAR_BS11"/>
      <sheetName val="6_121"/>
      <sheetName val="Lead_Schedule21"/>
      <sheetName val="Mahira--_DFesktop17"/>
      <sheetName val="OAR_BS12"/>
      <sheetName val="6_122"/>
      <sheetName val="Lead_Schedule22"/>
      <sheetName val="Mahira--_DFesktop18"/>
      <sheetName val="OAR_BS13"/>
      <sheetName val="6_123"/>
      <sheetName val="Lead_Schedule23"/>
      <sheetName val="Mahira--_DFesktop19"/>
      <sheetName val="OAR_BS14"/>
      <sheetName val="6_124"/>
      <sheetName val="Lead_Schedule24"/>
      <sheetName val="Mahira--_DFesktop20"/>
      <sheetName val="OAR_BS15"/>
      <sheetName val="6_125"/>
      <sheetName val="Lead_Schedule25"/>
      <sheetName val="Mahira--_DFesktop21"/>
      <sheetName val="OAR_BS16"/>
      <sheetName val="6_126"/>
      <sheetName val="Lead_Schedule26"/>
      <sheetName val="Mahira--_DFesktop22"/>
      <sheetName val="OAR_BS17"/>
      <sheetName val="6_127"/>
      <sheetName val="Lead_Schedule27"/>
      <sheetName val="Mahira--_DFesktop23"/>
      <sheetName val="OAR_BS18"/>
      <sheetName val="6_128"/>
      <sheetName val="Lead_Schedule28"/>
      <sheetName val="Mahira--_DFesktop24"/>
      <sheetName val="OAR_BS19"/>
      <sheetName val="Currencies"/>
      <sheetName val="CONSTRUCTION"/>
      <sheetName val="#ССЫЛКА"/>
      <sheetName val="5222 "/>
      <sheetName val="Инвестиции"/>
      <sheetName val="Курсы валют ЦБ"/>
      <sheetName val="Консолидация"/>
      <sheetName val="СЭЛТ"/>
      <sheetName val="5"/>
      <sheetName val="Перечень компаний"/>
      <sheetName val="МСФО"/>
      <sheetName val="УрРасч"/>
      <sheetName val="scenario1"/>
      <sheetName val="АКРасч"/>
      <sheetName val="РСБУ_МСФО"/>
      <sheetName val="5.2"/>
      <sheetName val="Титул"/>
      <sheetName val="Приложение 3"/>
      <sheetName val="МБП"/>
      <sheetName val="OS01_6OZ"/>
      <sheetName val="OtherKPI"/>
      <sheetName val="Fixed_Assets_Department_wise1"/>
      <sheetName val="F__Assets1"/>
      <sheetName val="3-9,10_3-271"/>
      <sheetName val="Balance Sheet"/>
      <sheetName val="Customer_Deposits"/>
      <sheetName val="Investment_Branch_level"/>
      <sheetName val="Loan_Portfolio"/>
      <sheetName val="OAC_Branch_level"/>
      <sheetName val="YTDdir06"/>
      <sheetName val="ytdmayind06"/>
      <sheetName val="ytdind07 "/>
      <sheetName val="fydir06"/>
      <sheetName val="fydir07"/>
      <sheetName val="YTD Direct May08 "/>
      <sheetName val="ytdmayind08"/>
      <sheetName val="Non-Statistical Sampling Master"/>
      <sheetName val="Q1"/>
      <sheetName val="KHI-262&amp;311"/>
      <sheetName val="Assumptions"/>
      <sheetName val="YRATE"/>
      <sheetName val="Local sales NRP - Yarn"/>
      <sheetName val="COA"/>
      <sheetName val="BSL"/>
      <sheetName val="Projections"/>
      <sheetName val="42-44.2"/>
      <sheetName val="Planning"/>
      <sheetName val=""/>
      <sheetName val="dIRECT VISI"/>
      <sheetName val="2004 aylık degerlenmis tl"/>
      <sheetName val="LCR"/>
      <sheetName val="TL B.Y. DATA"/>
      <sheetName val="TL F.Y. DATA"/>
      <sheetName val="TL G.Y. DATA"/>
      <sheetName val="TL R.B.Y. DATA"/>
      <sheetName val="Dist. Sales Target"/>
      <sheetName val="карт"/>
      <sheetName val="YTD SALES"/>
      <sheetName val="YTD TARGET"/>
      <sheetName val="100082"/>
      <sheetName val="YÖN ÖZET DATA"/>
      <sheetName val="Import Sale"/>
      <sheetName val="Rates"/>
      <sheetName val="12"/>
      <sheetName val="Drivers"/>
      <sheetName val="Augbkp98"/>
      <sheetName val="June 2009"/>
      <sheetName val="REV-SH "/>
      <sheetName val="Fixed Assets"/>
      <sheetName val="TB-DISC"/>
      <sheetName val="SCRIPTS"/>
      <sheetName val="F-HL"/>
      <sheetName val="MTM-P"/>
      <sheetName val="PKRV"/>
      <sheetName val="TB-HOL"/>
      <sheetName val="EXP"/>
      <sheetName val="DISC"/>
      <sheetName val="KH-57"/>
      <sheetName val="GA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sheetData sheetId="104" refreshError="1"/>
      <sheetData sheetId="105"/>
      <sheetData sheetId="106"/>
      <sheetData sheetId="107" refreshError="1"/>
      <sheetData sheetId="108" refreshError="1"/>
      <sheetData sheetId="109" refreshError="1"/>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rred tax 2008"/>
      <sheetName val="Sugar tax dep"/>
      <sheetName val="MDF tax de"/>
      <sheetName val="Current-Tax-2008"/>
      <sheetName val="Deferred-Tax-2008-June"/>
      <sheetName val="Accounting-Dep-2008"/>
      <sheetName val="Tax WDV"/>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 flow"/>
      <sheetName val="Changes in equity"/>
      <sheetName val="P.L NOTES "/>
      <sheetName val="TAXATION"/>
    </sheetNames>
    <sheetDataSet>
      <sheetData sheetId="0"/>
      <sheetData sheetId="1"/>
      <sheetData sheetId="2"/>
      <sheetData sheetId="3" refreshError="1"/>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revaluation"/>
      <sheetName val="Sheet2"/>
      <sheetName val="Notes Analy"/>
      <sheetName val="PL-Analy"/>
      <sheetName val="BS-Analytical"/>
      <sheetName val="Surplus dep"/>
      <sheetName val="Assets"/>
      <sheetName val="Subsequent"/>
      <sheetName val="Surp-Dep"/>
      <sheetName val="TRIAL BALANCE"/>
      <sheetName val="BS"/>
      <sheetName val="PL"/>
      <sheetName val="equity"/>
      <sheetName val="CashFlow"/>
      <sheetName val="Notes"/>
      <sheetName val="financial instruments"/>
      <sheetName val="Sheet1"/>
      <sheetName val="Long term loan"/>
      <sheetName val="Lease sch"/>
      <sheetName val="wppf"/>
      <sheetName val="stock"/>
      <sheetName val="F-Inst"/>
      <sheetName val="CF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working audit with codes"/>
      <sheetName val="May 07"/>
      <sheetName val="APRIL-07"/>
      <sheetName val="March 07"/>
      <sheetName val="FEB 07"/>
      <sheetName val="JAN07"/>
      <sheetName val="DEC 06"/>
      <sheetName val="NOV-06"/>
      <sheetName val="OCT-06"/>
      <sheetName val="SEP-06"/>
      <sheetName val="AUG-06"/>
      <sheetName val="JULY-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is"/>
      <sheetName val="No revaluation June 30, 2009"/>
      <sheetName val="No revaluation December 2008"/>
      <sheetName val="No revaluation Dec 31, 2009"/>
      <sheetName val="Incremental Dep"/>
    </sheetNames>
    <sheetDataSet>
      <sheetData sheetId="0" refreshError="1"/>
      <sheetData sheetId="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HL"/>
      <sheetName val="FA"/>
      <sheetName val="Lead"/>
      <sheetName val="BALANCE SHEET"/>
      <sheetName val="working of cash flow"/>
      <sheetName val="Notes"/>
      <sheetName val="Disp disc"/>
      <sheetName val="FA 2006"/>
      <sheetName val="Note-32"/>
      <sheetName val="Changes in Equity "/>
      <sheetName val="Note-12"/>
      <sheetName val="Audit report"/>
      <sheetName val="Links"/>
      <sheetName val="Tickmarks"/>
    </sheetNames>
    <sheetDataSet>
      <sheetData sheetId="0"/>
      <sheetData sheetId="1"/>
      <sheetData sheetId="2">
        <row r="2">
          <cell r="C2" t="str">
            <v>Target Grouping</v>
          </cell>
        </row>
        <row r="3">
          <cell r="C3" t="str">
            <v>5110.1</v>
          </cell>
        </row>
        <row r="4">
          <cell r="C4" t="str">
            <v>5110.1</v>
          </cell>
        </row>
        <row r="5">
          <cell r="C5" t="str">
            <v>5110.1</v>
          </cell>
        </row>
        <row r="6">
          <cell r="C6" t="str">
            <v>5110.2</v>
          </cell>
        </row>
        <row r="7">
          <cell r="C7" t="str">
            <v>5110.2</v>
          </cell>
        </row>
        <row r="8">
          <cell r="C8" t="str">
            <v>5110.2</v>
          </cell>
        </row>
        <row r="9">
          <cell r="C9" t="str">
            <v>5140</v>
          </cell>
        </row>
        <row r="10">
          <cell r="C10" t="str">
            <v>5140</v>
          </cell>
        </row>
        <row r="11">
          <cell r="C11" t="str">
            <v>5140</v>
          </cell>
        </row>
        <row r="12">
          <cell r="C12" t="str">
            <v>5145</v>
          </cell>
        </row>
        <row r="13">
          <cell r="C13" t="str">
            <v>5145</v>
          </cell>
        </row>
        <row r="14">
          <cell r="C14" t="str">
            <v>5145</v>
          </cell>
        </row>
        <row r="15">
          <cell r="C15" t="str">
            <v>5145.1</v>
          </cell>
        </row>
        <row r="16">
          <cell r="C16" t="str">
            <v>5145.1</v>
          </cell>
        </row>
        <row r="17">
          <cell r="C17" t="str">
            <v>5145.1</v>
          </cell>
        </row>
        <row r="18">
          <cell r="C18" t="str">
            <v>5145.2</v>
          </cell>
        </row>
        <row r="19">
          <cell r="C19" t="str">
            <v>5145.2</v>
          </cell>
        </row>
        <row r="20">
          <cell r="C20" t="str">
            <v>5145.2</v>
          </cell>
        </row>
        <row r="21">
          <cell r="C21" t="str">
            <v>5145.3</v>
          </cell>
        </row>
        <row r="22">
          <cell r="C22" t="str">
            <v>5145.3</v>
          </cell>
        </row>
        <row r="23">
          <cell r="C23" t="str">
            <v>5145.3</v>
          </cell>
        </row>
        <row r="24">
          <cell r="C24" t="str">
            <v>5150</v>
          </cell>
        </row>
        <row r="25">
          <cell r="C25" t="str">
            <v>5150</v>
          </cell>
        </row>
        <row r="26">
          <cell r="C26" t="str">
            <v>5150</v>
          </cell>
        </row>
        <row r="27">
          <cell r="C27" t="str">
            <v>5150.1</v>
          </cell>
        </row>
        <row r="28">
          <cell r="C28" t="str">
            <v>5150.1</v>
          </cell>
        </row>
        <row r="29">
          <cell r="C29" t="str">
            <v>5150.1</v>
          </cell>
        </row>
        <row r="30">
          <cell r="C30" t="str">
            <v>5155</v>
          </cell>
        </row>
        <row r="31">
          <cell r="C31" t="str">
            <v>5155</v>
          </cell>
        </row>
        <row r="32">
          <cell r="C32" t="str">
            <v>5155</v>
          </cell>
        </row>
        <row r="33">
          <cell r="C33" t="str">
            <v>5155.1</v>
          </cell>
        </row>
        <row r="34">
          <cell r="C34" t="str">
            <v>5155.1</v>
          </cell>
        </row>
        <row r="35">
          <cell r="C35" t="str">
            <v>5155.2</v>
          </cell>
        </row>
        <row r="36">
          <cell r="C36" t="str">
            <v>5155.2</v>
          </cell>
        </row>
        <row r="37">
          <cell r="C37" t="str">
            <v>5155.2</v>
          </cell>
        </row>
        <row r="38">
          <cell r="C38" t="str">
            <v>5155.3</v>
          </cell>
        </row>
        <row r="39">
          <cell r="C39" t="str">
            <v>5155.3</v>
          </cell>
        </row>
        <row r="40">
          <cell r="C40" t="str">
            <v>5160</v>
          </cell>
        </row>
        <row r="41">
          <cell r="C41" t="str">
            <v>5160</v>
          </cell>
        </row>
        <row r="42">
          <cell r="C42" t="str">
            <v>5160</v>
          </cell>
        </row>
        <row r="43">
          <cell r="C43" t="str">
            <v>5160.1</v>
          </cell>
        </row>
        <row r="44">
          <cell r="C44" t="str">
            <v>5160.1</v>
          </cell>
        </row>
        <row r="45">
          <cell r="C45" t="str">
            <v>5160.1</v>
          </cell>
        </row>
        <row r="46">
          <cell r="C46" t="str">
            <v>5165</v>
          </cell>
        </row>
        <row r="47">
          <cell r="C47" t="str">
            <v>5165</v>
          </cell>
        </row>
        <row r="48">
          <cell r="C48" t="str">
            <v>5165</v>
          </cell>
        </row>
        <row r="49">
          <cell r="C49" t="str">
            <v>5165.1</v>
          </cell>
        </row>
        <row r="50">
          <cell r="C50" t="str">
            <v>5165.1</v>
          </cell>
        </row>
        <row r="51">
          <cell r="C51" t="str">
            <v>5165.1</v>
          </cell>
        </row>
        <row r="52">
          <cell r="C52" t="str">
            <v>5170</v>
          </cell>
        </row>
        <row r="53">
          <cell r="C53" t="str">
            <v>5170</v>
          </cell>
        </row>
        <row r="54">
          <cell r="C54" t="str">
            <v>5170</v>
          </cell>
        </row>
        <row r="55">
          <cell r="C55" t="str">
            <v>5170</v>
          </cell>
        </row>
        <row r="56">
          <cell r="C56" t="str">
            <v>5170</v>
          </cell>
        </row>
        <row r="57">
          <cell r="C57" t="str">
            <v>5170</v>
          </cell>
        </row>
        <row r="58">
          <cell r="C58" t="str">
            <v>5170.1</v>
          </cell>
        </row>
        <row r="59">
          <cell r="C59" t="str">
            <v>5170.1</v>
          </cell>
        </row>
        <row r="60">
          <cell r="C60" t="str">
            <v>5170.1</v>
          </cell>
        </row>
        <row r="61">
          <cell r="C61" t="str">
            <v>5170.1</v>
          </cell>
        </row>
        <row r="62">
          <cell r="C62" t="str">
            <v>5170.1</v>
          </cell>
        </row>
        <row r="63">
          <cell r="C63" t="str">
            <v>5170.1</v>
          </cell>
        </row>
        <row r="64">
          <cell r="C64" t="str">
            <v>5175</v>
          </cell>
        </row>
        <row r="65">
          <cell r="C65" t="str">
            <v>5175</v>
          </cell>
        </row>
        <row r="66">
          <cell r="C66" t="str">
            <v>5175</v>
          </cell>
        </row>
        <row r="67">
          <cell r="C67" t="str">
            <v>5175</v>
          </cell>
        </row>
        <row r="68">
          <cell r="C68" t="str">
            <v>5175.1</v>
          </cell>
        </row>
        <row r="69">
          <cell r="C69" t="str">
            <v>5175.1</v>
          </cell>
        </row>
        <row r="70">
          <cell r="C70" t="str">
            <v>5175.1</v>
          </cell>
        </row>
        <row r="71">
          <cell r="C71" t="str">
            <v>5175.1</v>
          </cell>
        </row>
        <row r="72">
          <cell r="C72" t="str">
            <v>5180</v>
          </cell>
        </row>
        <row r="73">
          <cell r="C73" t="str">
            <v>5180</v>
          </cell>
        </row>
        <row r="74">
          <cell r="C74" t="str">
            <v>5180</v>
          </cell>
        </row>
        <row r="75">
          <cell r="C75" t="str">
            <v>5180</v>
          </cell>
        </row>
        <row r="76">
          <cell r="C76" t="str">
            <v>5180.1</v>
          </cell>
        </row>
        <row r="77">
          <cell r="C77" t="str">
            <v>5180.1</v>
          </cell>
        </row>
        <row r="78">
          <cell r="C78" t="str">
            <v>5180.2</v>
          </cell>
        </row>
        <row r="79">
          <cell r="C79" t="str">
            <v>5180.2</v>
          </cell>
        </row>
        <row r="80">
          <cell r="C80" t="str">
            <v>5180.2</v>
          </cell>
        </row>
        <row r="81">
          <cell r="C81" t="str">
            <v>5180.2</v>
          </cell>
        </row>
        <row r="82">
          <cell r="C82" t="str">
            <v>5180.3</v>
          </cell>
        </row>
        <row r="83">
          <cell r="C83" t="str">
            <v>5180.3</v>
          </cell>
        </row>
        <row r="84">
          <cell r="C84" t="str">
            <v>5190</v>
          </cell>
        </row>
        <row r="85">
          <cell r="C85" t="str">
            <v>5190</v>
          </cell>
        </row>
        <row r="86">
          <cell r="C86" t="str">
            <v>5190</v>
          </cell>
        </row>
        <row r="87">
          <cell r="C87" t="str">
            <v>5190</v>
          </cell>
        </row>
        <row r="88">
          <cell r="C88" t="str">
            <v>5190</v>
          </cell>
        </row>
        <row r="89">
          <cell r="C89" t="str">
            <v>5190</v>
          </cell>
        </row>
        <row r="90">
          <cell r="C90" t="str">
            <v>5210</v>
          </cell>
        </row>
        <row r="91">
          <cell r="C91" t="str">
            <v>5210</v>
          </cell>
        </row>
        <row r="92">
          <cell r="C92" t="str">
            <v>5210</v>
          </cell>
        </row>
        <row r="93">
          <cell r="C93" t="str">
            <v>5210</v>
          </cell>
        </row>
        <row r="94">
          <cell r="C94" t="str">
            <v>5344</v>
          </cell>
        </row>
        <row r="95">
          <cell r="C95" t="str">
            <v>5344</v>
          </cell>
        </row>
        <row r="96">
          <cell r="C96" t="str">
            <v>5344</v>
          </cell>
        </row>
        <row r="97">
          <cell r="C97" t="str">
            <v>5344</v>
          </cell>
        </row>
        <row r="98">
          <cell r="C98" t="str">
            <v>5344</v>
          </cell>
        </row>
        <row r="99">
          <cell r="C99" t="str">
            <v>5360</v>
          </cell>
        </row>
        <row r="100">
          <cell r="C100" t="str">
            <v>5360</v>
          </cell>
        </row>
        <row r="101">
          <cell r="C101" t="str">
            <v>5360</v>
          </cell>
        </row>
        <row r="102">
          <cell r="C102" t="str">
            <v>5370</v>
          </cell>
        </row>
        <row r="103">
          <cell r="C103" t="str">
            <v>5370</v>
          </cell>
        </row>
        <row r="104">
          <cell r="C104" t="str">
            <v>5370</v>
          </cell>
        </row>
        <row r="105">
          <cell r="C105" t="str">
            <v>5370</v>
          </cell>
        </row>
        <row r="106">
          <cell r="C106" t="str">
            <v>5370</v>
          </cell>
        </row>
        <row r="107">
          <cell r="C107" t="str">
            <v>5440</v>
          </cell>
        </row>
        <row r="108">
          <cell r="C108" t="str">
            <v>5440</v>
          </cell>
        </row>
        <row r="109">
          <cell r="C109" t="str">
            <v>5440</v>
          </cell>
        </row>
        <row r="110">
          <cell r="C110" t="str">
            <v>5440.1</v>
          </cell>
        </row>
        <row r="111">
          <cell r="C111" t="str">
            <v>5440.1</v>
          </cell>
        </row>
        <row r="112">
          <cell r="C112" t="str">
            <v>5455</v>
          </cell>
        </row>
        <row r="113">
          <cell r="C113" t="str">
            <v>5455</v>
          </cell>
        </row>
        <row r="114">
          <cell r="C114" t="str">
            <v>5455</v>
          </cell>
        </row>
        <row r="115">
          <cell r="C115" t="str">
            <v>5455.1</v>
          </cell>
        </row>
        <row r="116">
          <cell r="C116" t="str">
            <v>5455.1</v>
          </cell>
        </row>
        <row r="117">
          <cell r="C117" t="str">
            <v>5470</v>
          </cell>
        </row>
        <row r="118">
          <cell r="C118" t="str">
            <v>5470</v>
          </cell>
        </row>
        <row r="119">
          <cell r="C119" t="str">
            <v>5470</v>
          </cell>
        </row>
        <row r="120">
          <cell r="C120" t="str">
            <v>5470.1</v>
          </cell>
        </row>
        <row r="121">
          <cell r="C121" t="str">
            <v>5470.1</v>
          </cell>
        </row>
        <row r="122">
          <cell r="C122" t="str">
            <v>5485</v>
          </cell>
        </row>
        <row r="123">
          <cell r="C123" t="str">
            <v>5485</v>
          </cell>
        </row>
        <row r="124">
          <cell r="C124" t="str">
            <v>5544</v>
          </cell>
        </row>
        <row r="125">
          <cell r="C125" t="str">
            <v>5544</v>
          </cell>
        </row>
        <row r="126">
          <cell r="C126" t="str">
            <v>5544</v>
          </cell>
        </row>
        <row r="127">
          <cell r="C127" t="str">
            <v>5544</v>
          </cell>
        </row>
        <row r="128">
          <cell r="C128" t="str">
            <v>5544</v>
          </cell>
        </row>
        <row r="129">
          <cell r="C129" t="str">
            <v>5544</v>
          </cell>
        </row>
        <row r="130">
          <cell r="C130" t="str">
            <v>5544</v>
          </cell>
        </row>
        <row r="131">
          <cell r="C131" t="str">
            <v>5544</v>
          </cell>
        </row>
        <row r="132">
          <cell r="C132" t="str">
            <v>5544</v>
          </cell>
        </row>
        <row r="133">
          <cell r="C133" t="str">
            <v>5544</v>
          </cell>
        </row>
        <row r="134">
          <cell r="C134" t="str">
            <v>5544</v>
          </cell>
        </row>
        <row r="135">
          <cell r="C135" t="str">
            <v>5544</v>
          </cell>
        </row>
        <row r="136">
          <cell r="C136" t="str">
            <v>5544</v>
          </cell>
        </row>
        <row r="137">
          <cell r="C137" t="str">
            <v>5544</v>
          </cell>
        </row>
        <row r="138">
          <cell r="C138" t="str">
            <v>5544</v>
          </cell>
        </row>
        <row r="139">
          <cell r="C139" t="str">
            <v>5544</v>
          </cell>
        </row>
        <row r="140">
          <cell r="C140" t="str">
            <v>5544</v>
          </cell>
        </row>
        <row r="141">
          <cell r="C141" t="str">
            <v>5544</v>
          </cell>
        </row>
        <row r="142">
          <cell r="C142" t="str">
            <v>5544</v>
          </cell>
        </row>
        <row r="143">
          <cell r="C143" t="str">
            <v>5544</v>
          </cell>
        </row>
        <row r="144">
          <cell r="C144" t="str">
            <v>5544</v>
          </cell>
        </row>
        <row r="145">
          <cell r="C145" t="str">
            <v>5544</v>
          </cell>
        </row>
        <row r="146">
          <cell r="C146" t="str">
            <v>5544</v>
          </cell>
        </row>
        <row r="147">
          <cell r="C147" t="str">
            <v>5544</v>
          </cell>
        </row>
        <row r="148">
          <cell r="C148" t="str">
            <v>5544</v>
          </cell>
        </row>
        <row r="149">
          <cell r="C149" t="str">
            <v>5544</v>
          </cell>
        </row>
        <row r="150">
          <cell r="C150" t="str">
            <v>5544</v>
          </cell>
        </row>
        <row r="151">
          <cell r="C151" t="str">
            <v>5544</v>
          </cell>
        </row>
        <row r="152">
          <cell r="C152" t="str">
            <v>5544</v>
          </cell>
        </row>
        <row r="153">
          <cell r="C153" t="str">
            <v>5544</v>
          </cell>
        </row>
        <row r="154">
          <cell r="C154" t="str">
            <v>5544</v>
          </cell>
        </row>
        <row r="155">
          <cell r="C155" t="str">
            <v>5544</v>
          </cell>
        </row>
        <row r="156">
          <cell r="C156" t="str">
            <v>5544</v>
          </cell>
        </row>
        <row r="157">
          <cell r="C157" t="str">
            <v>5544</v>
          </cell>
        </row>
        <row r="158">
          <cell r="C158" t="str">
            <v>5544</v>
          </cell>
        </row>
        <row r="159">
          <cell r="C159" t="str">
            <v>5544</v>
          </cell>
        </row>
        <row r="160">
          <cell r="C160" t="str">
            <v>5544</v>
          </cell>
        </row>
        <row r="161">
          <cell r="C161" t="str">
            <v>5544</v>
          </cell>
        </row>
        <row r="162">
          <cell r="C162" t="str">
            <v>5544</v>
          </cell>
        </row>
        <row r="163">
          <cell r="C163" t="str">
            <v>5544</v>
          </cell>
        </row>
        <row r="164">
          <cell r="C164" t="str">
            <v>5544</v>
          </cell>
        </row>
        <row r="165">
          <cell r="C165" t="str">
            <v>5544</v>
          </cell>
        </row>
        <row r="166">
          <cell r="C166" t="str">
            <v>5544</v>
          </cell>
        </row>
        <row r="167">
          <cell r="C167" t="str">
            <v>5544</v>
          </cell>
        </row>
        <row r="168">
          <cell r="C168" t="str">
            <v>5544</v>
          </cell>
        </row>
        <row r="169">
          <cell r="C169" t="str">
            <v>5544</v>
          </cell>
        </row>
        <row r="170">
          <cell r="C170" t="str">
            <v>5544</v>
          </cell>
        </row>
        <row r="171">
          <cell r="C171" t="str">
            <v>5544</v>
          </cell>
        </row>
        <row r="172">
          <cell r="C172" t="str">
            <v>5544</v>
          </cell>
        </row>
        <row r="173">
          <cell r="C173" t="str">
            <v>5544</v>
          </cell>
        </row>
        <row r="174">
          <cell r="C174" t="str">
            <v>5544</v>
          </cell>
        </row>
        <row r="175">
          <cell r="C175" t="str">
            <v>5544</v>
          </cell>
        </row>
        <row r="176">
          <cell r="C176" t="str">
            <v>5544</v>
          </cell>
        </row>
        <row r="177">
          <cell r="C177" t="str">
            <v>5544</v>
          </cell>
        </row>
        <row r="178">
          <cell r="C178" t="str">
            <v>5544</v>
          </cell>
        </row>
        <row r="179">
          <cell r="C179" t="str">
            <v>5544</v>
          </cell>
        </row>
        <row r="180">
          <cell r="C180" t="str">
            <v>5544</v>
          </cell>
        </row>
        <row r="181">
          <cell r="C181" t="str">
            <v>5544</v>
          </cell>
        </row>
        <row r="182">
          <cell r="C182" t="str">
            <v>5544</v>
          </cell>
        </row>
        <row r="183">
          <cell r="C183" t="str">
            <v>5544</v>
          </cell>
        </row>
        <row r="184">
          <cell r="C184" t="str">
            <v>5544</v>
          </cell>
        </row>
        <row r="185">
          <cell r="C185" t="str">
            <v>5544</v>
          </cell>
        </row>
        <row r="186">
          <cell r="C186" t="str">
            <v>5544</v>
          </cell>
        </row>
        <row r="187">
          <cell r="C187" t="str">
            <v>5544</v>
          </cell>
        </row>
        <row r="188">
          <cell r="C188" t="str">
            <v>5544</v>
          </cell>
        </row>
        <row r="189">
          <cell r="C189" t="str">
            <v>5544</v>
          </cell>
        </row>
        <row r="190">
          <cell r="C190" t="str">
            <v>5544</v>
          </cell>
        </row>
        <row r="191">
          <cell r="C191" t="str">
            <v>5544</v>
          </cell>
        </row>
        <row r="192">
          <cell r="C192" t="str">
            <v>5544</v>
          </cell>
        </row>
        <row r="193">
          <cell r="C193" t="str">
            <v>5544</v>
          </cell>
        </row>
        <row r="194">
          <cell r="C194" t="str">
            <v>5544</v>
          </cell>
        </row>
        <row r="195">
          <cell r="C195" t="str">
            <v>5544</v>
          </cell>
        </row>
        <row r="196">
          <cell r="C196" t="str">
            <v>5544</v>
          </cell>
        </row>
        <row r="197">
          <cell r="C197" t="str">
            <v>5544</v>
          </cell>
        </row>
        <row r="198">
          <cell r="C198" t="str">
            <v>5544</v>
          </cell>
        </row>
        <row r="199">
          <cell r="C199" t="str">
            <v>5544</v>
          </cell>
        </row>
        <row r="200">
          <cell r="C200" t="str">
            <v>5544</v>
          </cell>
        </row>
        <row r="201">
          <cell r="C201" t="str">
            <v>5544</v>
          </cell>
        </row>
        <row r="202">
          <cell r="C202" t="str">
            <v>5544</v>
          </cell>
        </row>
        <row r="203">
          <cell r="C203" t="str">
            <v>5544</v>
          </cell>
        </row>
        <row r="204">
          <cell r="C204" t="str">
            <v>5544</v>
          </cell>
        </row>
        <row r="205">
          <cell r="C205" t="str">
            <v>5544</v>
          </cell>
        </row>
        <row r="206">
          <cell r="C206" t="str">
            <v>5544</v>
          </cell>
        </row>
        <row r="207">
          <cell r="C207" t="str">
            <v>5544</v>
          </cell>
        </row>
        <row r="208">
          <cell r="C208" t="str">
            <v>5544</v>
          </cell>
        </row>
        <row r="209">
          <cell r="C209" t="str">
            <v>5544</v>
          </cell>
        </row>
        <row r="210">
          <cell r="C210" t="str">
            <v>5544</v>
          </cell>
        </row>
        <row r="211">
          <cell r="C211" t="str">
            <v>5544</v>
          </cell>
        </row>
        <row r="212">
          <cell r="C212" t="str">
            <v>5544</v>
          </cell>
        </row>
        <row r="213">
          <cell r="C213" t="str">
            <v>5544</v>
          </cell>
        </row>
        <row r="214">
          <cell r="C214" t="str">
            <v>5544</v>
          </cell>
        </row>
        <row r="215">
          <cell r="C215" t="str">
            <v>5544</v>
          </cell>
        </row>
        <row r="216">
          <cell r="C216" t="str">
            <v>5544</v>
          </cell>
        </row>
        <row r="217">
          <cell r="C217" t="str">
            <v>5544</v>
          </cell>
        </row>
        <row r="218">
          <cell r="C218" t="str">
            <v>5544</v>
          </cell>
        </row>
        <row r="219">
          <cell r="C219" t="str">
            <v>5544</v>
          </cell>
        </row>
        <row r="220">
          <cell r="C220" t="str">
            <v>5544</v>
          </cell>
        </row>
        <row r="221">
          <cell r="C221" t="str">
            <v>5544</v>
          </cell>
        </row>
        <row r="222">
          <cell r="C222" t="str">
            <v>5544</v>
          </cell>
        </row>
        <row r="223">
          <cell r="C223" t="str">
            <v>5544</v>
          </cell>
        </row>
        <row r="224">
          <cell r="C224" t="str">
            <v>5544</v>
          </cell>
        </row>
        <row r="225">
          <cell r="C225" t="str">
            <v>5544</v>
          </cell>
        </row>
        <row r="226">
          <cell r="C226" t="str">
            <v>5544</v>
          </cell>
        </row>
        <row r="227">
          <cell r="C227" t="str">
            <v>5544</v>
          </cell>
        </row>
        <row r="228">
          <cell r="C228" t="str">
            <v>5544</v>
          </cell>
        </row>
        <row r="229">
          <cell r="C229" t="str">
            <v>5544</v>
          </cell>
        </row>
        <row r="230">
          <cell r="C230" t="str">
            <v>5544</v>
          </cell>
        </row>
        <row r="231">
          <cell r="C231" t="str">
            <v>5544</v>
          </cell>
        </row>
        <row r="232">
          <cell r="C232" t="str">
            <v>5544</v>
          </cell>
        </row>
        <row r="233">
          <cell r="C233" t="str">
            <v>5544</v>
          </cell>
        </row>
        <row r="234">
          <cell r="C234" t="str">
            <v>5544</v>
          </cell>
        </row>
        <row r="235">
          <cell r="C235" t="str">
            <v>5544</v>
          </cell>
        </row>
        <row r="236">
          <cell r="C236" t="str">
            <v>5544</v>
          </cell>
        </row>
        <row r="237">
          <cell r="C237" t="str">
            <v>5544</v>
          </cell>
        </row>
        <row r="238">
          <cell r="C238" t="str">
            <v>5544</v>
          </cell>
        </row>
        <row r="239">
          <cell r="C239" t="str">
            <v>5544</v>
          </cell>
        </row>
        <row r="240">
          <cell r="C240" t="str">
            <v>5544</v>
          </cell>
        </row>
        <row r="241">
          <cell r="C241" t="str">
            <v>5544</v>
          </cell>
        </row>
        <row r="242">
          <cell r="C242" t="str">
            <v>5544</v>
          </cell>
        </row>
        <row r="243">
          <cell r="C243" t="str">
            <v>5544</v>
          </cell>
        </row>
        <row r="244">
          <cell r="C244" t="str">
            <v>5544</v>
          </cell>
        </row>
        <row r="245">
          <cell r="C245" t="str">
            <v>5544</v>
          </cell>
        </row>
        <row r="246">
          <cell r="C246" t="str">
            <v>5544</v>
          </cell>
        </row>
        <row r="247">
          <cell r="C247" t="str">
            <v>5544</v>
          </cell>
        </row>
        <row r="248">
          <cell r="C248" t="str">
            <v>5544</v>
          </cell>
        </row>
        <row r="249">
          <cell r="C249" t="str">
            <v>5544</v>
          </cell>
        </row>
        <row r="250">
          <cell r="C250" t="str">
            <v>5544</v>
          </cell>
        </row>
        <row r="251">
          <cell r="C251" t="str">
            <v>5544</v>
          </cell>
        </row>
        <row r="252">
          <cell r="C252" t="str">
            <v>5544</v>
          </cell>
        </row>
        <row r="253">
          <cell r="C253" t="str">
            <v>5544</v>
          </cell>
        </row>
        <row r="254">
          <cell r="C254" t="str">
            <v>5544</v>
          </cell>
        </row>
        <row r="255">
          <cell r="C255" t="str">
            <v>5544</v>
          </cell>
        </row>
        <row r="256">
          <cell r="C256" t="str">
            <v>5544</v>
          </cell>
        </row>
        <row r="257">
          <cell r="C257" t="str">
            <v>5544</v>
          </cell>
        </row>
        <row r="258">
          <cell r="C258" t="str">
            <v>5544</v>
          </cell>
        </row>
        <row r="259">
          <cell r="C259" t="str">
            <v>5544</v>
          </cell>
        </row>
        <row r="260">
          <cell r="C260" t="str">
            <v>5544</v>
          </cell>
        </row>
        <row r="261">
          <cell r="C261" t="str">
            <v>5544</v>
          </cell>
        </row>
        <row r="262">
          <cell r="C262" t="str">
            <v>5544</v>
          </cell>
        </row>
        <row r="263">
          <cell r="C263" t="str">
            <v>5544</v>
          </cell>
        </row>
        <row r="264">
          <cell r="C264" t="str">
            <v>5544</v>
          </cell>
        </row>
        <row r="265">
          <cell r="C265" t="str">
            <v>5544</v>
          </cell>
        </row>
        <row r="266">
          <cell r="C266" t="str">
            <v>5544</v>
          </cell>
        </row>
        <row r="267">
          <cell r="C267" t="str">
            <v>5544</v>
          </cell>
        </row>
        <row r="268">
          <cell r="C268" t="str">
            <v>5544</v>
          </cell>
        </row>
        <row r="269">
          <cell r="C269" t="str">
            <v>5544</v>
          </cell>
        </row>
        <row r="270">
          <cell r="C270" t="str">
            <v>5544</v>
          </cell>
        </row>
        <row r="271">
          <cell r="C271" t="str">
            <v>5544</v>
          </cell>
        </row>
        <row r="272">
          <cell r="C272" t="str">
            <v>5544</v>
          </cell>
        </row>
        <row r="273">
          <cell r="C273" t="str">
            <v>5544</v>
          </cell>
        </row>
        <row r="274">
          <cell r="C274" t="str">
            <v>5544</v>
          </cell>
        </row>
        <row r="275">
          <cell r="C275" t="str">
            <v>5550</v>
          </cell>
        </row>
        <row r="276">
          <cell r="C276" t="str">
            <v>5550</v>
          </cell>
        </row>
        <row r="277">
          <cell r="C277" t="str">
            <v>5550</v>
          </cell>
        </row>
        <row r="278">
          <cell r="C278" t="str">
            <v>5550</v>
          </cell>
        </row>
        <row r="279">
          <cell r="C279" t="str">
            <v>5550</v>
          </cell>
        </row>
        <row r="280">
          <cell r="C280" t="str">
            <v>5550</v>
          </cell>
        </row>
        <row r="281">
          <cell r="C281" t="str">
            <v>5550</v>
          </cell>
        </row>
        <row r="282">
          <cell r="C282" t="str">
            <v>5550</v>
          </cell>
        </row>
        <row r="283">
          <cell r="C283" t="str">
            <v>5550</v>
          </cell>
        </row>
        <row r="284">
          <cell r="C284" t="str">
            <v>5550</v>
          </cell>
        </row>
        <row r="285">
          <cell r="C285" t="str">
            <v>5550</v>
          </cell>
        </row>
        <row r="286">
          <cell r="C286" t="str">
            <v>5550</v>
          </cell>
        </row>
        <row r="287">
          <cell r="C287" t="str">
            <v>5550</v>
          </cell>
        </row>
        <row r="288">
          <cell r="C288" t="str">
            <v>5550</v>
          </cell>
        </row>
        <row r="289">
          <cell r="C289" t="str">
            <v>5550</v>
          </cell>
        </row>
        <row r="290">
          <cell r="C290" t="str">
            <v>5550</v>
          </cell>
        </row>
        <row r="291">
          <cell r="C291" t="str">
            <v>5550</v>
          </cell>
        </row>
        <row r="292">
          <cell r="C292" t="str">
            <v>5550</v>
          </cell>
        </row>
        <row r="293">
          <cell r="C293" t="str">
            <v>5550</v>
          </cell>
        </row>
        <row r="294">
          <cell r="C294" t="str">
            <v>5550</v>
          </cell>
        </row>
        <row r="295">
          <cell r="C295" t="str">
            <v>5550</v>
          </cell>
        </row>
        <row r="296">
          <cell r="C296" t="str">
            <v>5550</v>
          </cell>
        </row>
        <row r="297">
          <cell r="C297" t="str">
            <v>5550</v>
          </cell>
        </row>
        <row r="298">
          <cell r="C298" t="str">
            <v>5550</v>
          </cell>
        </row>
        <row r="299">
          <cell r="C299" t="str">
            <v>5550</v>
          </cell>
        </row>
        <row r="300">
          <cell r="C300" t="str">
            <v>5550</v>
          </cell>
        </row>
        <row r="301">
          <cell r="C301" t="str">
            <v>5550</v>
          </cell>
        </row>
        <row r="302">
          <cell r="C302" t="str">
            <v>5550</v>
          </cell>
        </row>
        <row r="303">
          <cell r="C303" t="str">
            <v>5550</v>
          </cell>
        </row>
        <row r="304">
          <cell r="C304" t="str">
            <v>5550</v>
          </cell>
        </row>
        <row r="305">
          <cell r="C305" t="str">
            <v>5550</v>
          </cell>
        </row>
        <row r="306">
          <cell r="C306" t="str">
            <v>5550</v>
          </cell>
        </row>
        <row r="307">
          <cell r="C307" t="str">
            <v>5550</v>
          </cell>
        </row>
        <row r="308">
          <cell r="C308" t="str">
            <v>5550</v>
          </cell>
        </row>
        <row r="309">
          <cell r="C309" t="str">
            <v>5550</v>
          </cell>
        </row>
        <row r="310">
          <cell r="C310" t="str">
            <v>5550</v>
          </cell>
        </row>
        <row r="311">
          <cell r="C311" t="str">
            <v>5550</v>
          </cell>
        </row>
        <row r="312">
          <cell r="C312" t="str">
            <v>5550</v>
          </cell>
        </row>
        <row r="313">
          <cell r="C313" t="str">
            <v>5550</v>
          </cell>
        </row>
        <row r="314">
          <cell r="C314" t="str">
            <v>5550</v>
          </cell>
        </row>
        <row r="315">
          <cell r="C315" t="str">
            <v>5550</v>
          </cell>
        </row>
        <row r="316">
          <cell r="C316" t="str">
            <v>5550</v>
          </cell>
        </row>
        <row r="317">
          <cell r="C317" t="str">
            <v>5550</v>
          </cell>
        </row>
        <row r="318">
          <cell r="C318" t="str">
            <v>5550</v>
          </cell>
        </row>
        <row r="319">
          <cell r="C319" t="str">
            <v>5550</v>
          </cell>
        </row>
        <row r="320">
          <cell r="C320" t="str">
            <v>5550</v>
          </cell>
        </row>
        <row r="321">
          <cell r="C321" t="str">
            <v>5550</v>
          </cell>
        </row>
        <row r="322">
          <cell r="C322" t="str">
            <v>5550</v>
          </cell>
        </row>
        <row r="323">
          <cell r="C323" t="str">
            <v>5550</v>
          </cell>
        </row>
        <row r="324">
          <cell r="C324" t="str">
            <v>5550</v>
          </cell>
        </row>
        <row r="325">
          <cell r="C325" t="str">
            <v>5550</v>
          </cell>
        </row>
        <row r="326">
          <cell r="C326" t="str">
            <v>5550</v>
          </cell>
        </row>
        <row r="327">
          <cell r="C327" t="str">
            <v>5550</v>
          </cell>
        </row>
        <row r="328">
          <cell r="C328" t="str">
            <v>5550</v>
          </cell>
        </row>
        <row r="329">
          <cell r="C329" t="str">
            <v>5550</v>
          </cell>
        </row>
        <row r="330">
          <cell r="C330" t="str">
            <v>5550</v>
          </cell>
        </row>
        <row r="331">
          <cell r="C331" t="str">
            <v>5550</v>
          </cell>
        </row>
        <row r="332">
          <cell r="C332" t="str">
            <v>5550</v>
          </cell>
        </row>
        <row r="333">
          <cell r="C333" t="str">
            <v>5550</v>
          </cell>
        </row>
        <row r="334">
          <cell r="C334" t="str">
            <v>5550</v>
          </cell>
        </row>
        <row r="335">
          <cell r="C335" t="str">
            <v>5550</v>
          </cell>
        </row>
        <row r="336">
          <cell r="C336" t="str">
            <v>5550</v>
          </cell>
        </row>
        <row r="337">
          <cell r="C337" t="str">
            <v>5550</v>
          </cell>
        </row>
        <row r="338">
          <cell r="C338" t="str">
            <v>5550</v>
          </cell>
        </row>
        <row r="339">
          <cell r="C339" t="str">
            <v>5550</v>
          </cell>
        </row>
        <row r="340">
          <cell r="C340" t="str">
            <v>5550</v>
          </cell>
        </row>
        <row r="341">
          <cell r="C341" t="str">
            <v>5550</v>
          </cell>
        </row>
        <row r="342">
          <cell r="C342" t="str">
            <v>5550</v>
          </cell>
        </row>
        <row r="343">
          <cell r="C343" t="str">
            <v>5550</v>
          </cell>
        </row>
        <row r="344">
          <cell r="C344" t="str">
            <v>5550</v>
          </cell>
        </row>
        <row r="345">
          <cell r="C345" t="str">
            <v>5550</v>
          </cell>
        </row>
        <row r="346">
          <cell r="C346" t="str">
            <v>5550</v>
          </cell>
        </row>
        <row r="347">
          <cell r="C347" t="str">
            <v>5550</v>
          </cell>
        </row>
        <row r="348">
          <cell r="C348" t="str">
            <v>5550</v>
          </cell>
        </row>
        <row r="349">
          <cell r="C349" t="str">
            <v>5550</v>
          </cell>
        </row>
        <row r="350">
          <cell r="C350" t="str">
            <v>5550</v>
          </cell>
        </row>
        <row r="351">
          <cell r="C351" t="str">
            <v>5550</v>
          </cell>
        </row>
        <row r="352">
          <cell r="C352" t="str">
            <v>5550</v>
          </cell>
        </row>
        <row r="353">
          <cell r="C353" t="str">
            <v>5550</v>
          </cell>
        </row>
        <row r="354">
          <cell r="C354" t="str">
            <v>5550</v>
          </cell>
        </row>
        <row r="355">
          <cell r="C355" t="str">
            <v>5550</v>
          </cell>
        </row>
        <row r="356">
          <cell r="C356" t="str">
            <v>5550</v>
          </cell>
        </row>
        <row r="357">
          <cell r="C357" t="str">
            <v>5550</v>
          </cell>
        </row>
        <row r="358">
          <cell r="C358" t="str">
            <v>5550</v>
          </cell>
        </row>
        <row r="359">
          <cell r="C359" t="str">
            <v>5550</v>
          </cell>
        </row>
        <row r="360">
          <cell r="C360" t="str">
            <v>5550</v>
          </cell>
        </row>
        <row r="361">
          <cell r="C361" t="str">
            <v>5550</v>
          </cell>
        </row>
        <row r="362">
          <cell r="C362" t="str">
            <v>5550</v>
          </cell>
        </row>
        <row r="363">
          <cell r="C363" t="str">
            <v>5560</v>
          </cell>
        </row>
        <row r="364">
          <cell r="C364" t="str">
            <v>5560</v>
          </cell>
        </row>
        <row r="365">
          <cell r="C365" t="str">
            <v>5560</v>
          </cell>
        </row>
        <row r="366">
          <cell r="C366" t="str">
            <v>5560</v>
          </cell>
        </row>
        <row r="367">
          <cell r="C367" t="str">
            <v>5560</v>
          </cell>
        </row>
        <row r="368">
          <cell r="C368" t="str">
            <v>5560</v>
          </cell>
        </row>
        <row r="369">
          <cell r="C369" t="str">
            <v>5560</v>
          </cell>
        </row>
        <row r="370">
          <cell r="C370" t="str">
            <v>5560</v>
          </cell>
        </row>
        <row r="371">
          <cell r="C371" t="str">
            <v>5560</v>
          </cell>
        </row>
        <row r="372">
          <cell r="C372" t="str">
            <v>5560</v>
          </cell>
        </row>
        <row r="373">
          <cell r="C373" t="str">
            <v>5560</v>
          </cell>
        </row>
        <row r="374">
          <cell r="C374" t="str">
            <v>5560</v>
          </cell>
        </row>
        <row r="375">
          <cell r="C375" t="str">
            <v>5560</v>
          </cell>
        </row>
        <row r="376">
          <cell r="C376" t="str">
            <v>5560</v>
          </cell>
        </row>
        <row r="377">
          <cell r="C377" t="str">
            <v>5560</v>
          </cell>
        </row>
        <row r="378">
          <cell r="C378" t="str">
            <v>5560</v>
          </cell>
        </row>
        <row r="379">
          <cell r="C379" t="str">
            <v>5560</v>
          </cell>
        </row>
        <row r="380">
          <cell r="C380" t="str">
            <v>5560</v>
          </cell>
        </row>
        <row r="381">
          <cell r="C381" t="str">
            <v>5560</v>
          </cell>
        </row>
        <row r="382">
          <cell r="C382" t="str">
            <v>5560</v>
          </cell>
        </row>
        <row r="383">
          <cell r="C383" t="str">
            <v>5560</v>
          </cell>
        </row>
        <row r="384">
          <cell r="C384" t="str">
            <v>5560</v>
          </cell>
        </row>
        <row r="385">
          <cell r="C385" t="str">
            <v>5560</v>
          </cell>
        </row>
        <row r="386">
          <cell r="C386" t="str">
            <v>5570</v>
          </cell>
        </row>
        <row r="387">
          <cell r="C387" t="str">
            <v>5570</v>
          </cell>
        </row>
        <row r="388">
          <cell r="C388" t="str">
            <v>5570</v>
          </cell>
        </row>
        <row r="389">
          <cell r="C389" t="str">
            <v>5570</v>
          </cell>
        </row>
        <row r="390">
          <cell r="C390" t="str">
            <v>5570</v>
          </cell>
        </row>
        <row r="391">
          <cell r="C391" t="str">
            <v>5570</v>
          </cell>
        </row>
        <row r="392">
          <cell r="C392" t="str">
            <v>5570</v>
          </cell>
        </row>
        <row r="393">
          <cell r="C393" t="str">
            <v>5644</v>
          </cell>
        </row>
        <row r="394">
          <cell r="C394" t="str">
            <v>5644</v>
          </cell>
        </row>
        <row r="395">
          <cell r="C395" t="str">
            <v>5644</v>
          </cell>
        </row>
        <row r="396">
          <cell r="C396" t="str">
            <v>5644</v>
          </cell>
        </row>
        <row r="397">
          <cell r="C397" t="str">
            <v>5644</v>
          </cell>
        </row>
        <row r="398">
          <cell r="C398" t="str">
            <v>5644</v>
          </cell>
        </row>
        <row r="399">
          <cell r="C399" t="str">
            <v>5644</v>
          </cell>
        </row>
        <row r="400">
          <cell r="C400" t="str">
            <v>5644</v>
          </cell>
        </row>
        <row r="401">
          <cell r="C401" t="str">
            <v>5644</v>
          </cell>
        </row>
        <row r="402">
          <cell r="C402" t="str">
            <v>5644</v>
          </cell>
        </row>
        <row r="403">
          <cell r="C403" t="str">
            <v>5644</v>
          </cell>
        </row>
        <row r="404">
          <cell r="C404" t="str">
            <v>5644</v>
          </cell>
        </row>
        <row r="405">
          <cell r="C405" t="str">
            <v>5644</v>
          </cell>
        </row>
        <row r="406">
          <cell r="C406" t="str">
            <v>5644</v>
          </cell>
        </row>
        <row r="407">
          <cell r="C407" t="str">
            <v>5644</v>
          </cell>
        </row>
        <row r="408">
          <cell r="C408" t="str">
            <v>5644</v>
          </cell>
        </row>
        <row r="409">
          <cell r="C409" t="str">
            <v>5644</v>
          </cell>
        </row>
        <row r="410">
          <cell r="C410" t="str">
            <v>5644</v>
          </cell>
        </row>
        <row r="411">
          <cell r="C411" t="str">
            <v>5644</v>
          </cell>
        </row>
        <row r="412">
          <cell r="C412" t="str">
            <v>5650</v>
          </cell>
        </row>
        <row r="413">
          <cell r="C413" t="str">
            <v>5650</v>
          </cell>
        </row>
        <row r="414">
          <cell r="C414" t="str">
            <v>5650</v>
          </cell>
        </row>
        <row r="415">
          <cell r="C415" t="str">
            <v>5650</v>
          </cell>
        </row>
        <row r="416">
          <cell r="C416" t="str">
            <v>5650</v>
          </cell>
        </row>
        <row r="417">
          <cell r="C417" t="str">
            <v>5650</v>
          </cell>
        </row>
        <row r="418">
          <cell r="C418" t="str">
            <v>5650</v>
          </cell>
        </row>
        <row r="419">
          <cell r="C419" t="str">
            <v>5650</v>
          </cell>
        </row>
        <row r="420">
          <cell r="C420" t="str">
            <v>5650</v>
          </cell>
        </row>
        <row r="421">
          <cell r="C421" t="str">
            <v>5650</v>
          </cell>
        </row>
        <row r="422">
          <cell r="C422" t="str">
            <v>5650</v>
          </cell>
        </row>
        <row r="423">
          <cell r="C423" t="str">
            <v>5650</v>
          </cell>
        </row>
        <row r="424">
          <cell r="C424" t="str">
            <v>5660</v>
          </cell>
        </row>
        <row r="425">
          <cell r="C425" t="str">
            <v>5660</v>
          </cell>
        </row>
        <row r="426">
          <cell r="C426" t="str">
            <v>5670</v>
          </cell>
        </row>
        <row r="427">
          <cell r="C427" t="str">
            <v>5670</v>
          </cell>
        </row>
        <row r="428">
          <cell r="C428" t="str">
            <v>5670</v>
          </cell>
        </row>
        <row r="429">
          <cell r="C429" t="str">
            <v>5670</v>
          </cell>
        </row>
        <row r="430">
          <cell r="C430" t="str">
            <v>5670</v>
          </cell>
        </row>
        <row r="431">
          <cell r="C431" t="str">
            <v>5670</v>
          </cell>
        </row>
        <row r="432">
          <cell r="C432" t="str">
            <v>5670</v>
          </cell>
        </row>
        <row r="433">
          <cell r="C433" t="str">
            <v>5670</v>
          </cell>
        </row>
        <row r="434">
          <cell r="C434" t="str">
            <v>5680</v>
          </cell>
        </row>
        <row r="435">
          <cell r="C435" t="str">
            <v>5680</v>
          </cell>
        </row>
        <row r="436">
          <cell r="C436" t="str">
            <v>5680</v>
          </cell>
        </row>
        <row r="437">
          <cell r="C437" t="str">
            <v>5680</v>
          </cell>
        </row>
        <row r="438">
          <cell r="C438" t="str">
            <v>5680</v>
          </cell>
        </row>
        <row r="439">
          <cell r="C439" t="str">
            <v>5680</v>
          </cell>
        </row>
        <row r="440">
          <cell r="C440" t="str">
            <v>5680</v>
          </cell>
        </row>
        <row r="441">
          <cell r="C441" t="str">
            <v>5680</v>
          </cell>
        </row>
        <row r="442">
          <cell r="C442" t="str">
            <v>5680</v>
          </cell>
        </row>
        <row r="443">
          <cell r="C443" t="str">
            <v>5680</v>
          </cell>
        </row>
        <row r="444">
          <cell r="C444" t="str">
            <v>5680</v>
          </cell>
        </row>
        <row r="445">
          <cell r="C445" t="str">
            <v>5680</v>
          </cell>
        </row>
        <row r="446">
          <cell r="C446" t="str">
            <v>5680</v>
          </cell>
        </row>
        <row r="447">
          <cell r="C447" t="str">
            <v>5680</v>
          </cell>
        </row>
        <row r="448">
          <cell r="C448" t="str">
            <v>5680</v>
          </cell>
        </row>
        <row r="449">
          <cell r="C449" t="str">
            <v>5680</v>
          </cell>
        </row>
        <row r="450">
          <cell r="C450" t="str">
            <v>5680</v>
          </cell>
        </row>
        <row r="451">
          <cell r="C451" t="str">
            <v>5680</v>
          </cell>
        </row>
        <row r="452">
          <cell r="C452" t="str">
            <v>5680</v>
          </cell>
        </row>
        <row r="453">
          <cell r="C453" t="str">
            <v>5680</v>
          </cell>
        </row>
        <row r="454">
          <cell r="C454" t="str">
            <v>5680</v>
          </cell>
        </row>
        <row r="455">
          <cell r="C455" t="str">
            <v>5680</v>
          </cell>
        </row>
        <row r="456">
          <cell r="C456" t="str">
            <v>5680</v>
          </cell>
        </row>
        <row r="457">
          <cell r="C457" t="str">
            <v>5680</v>
          </cell>
        </row>
        <row r="458">
          <cell r="C458" t="str">
            <v>5680</v>
          </cell>
        </row>
        <row r="459">
          <cell r="C459" t="str">
            <v>5680</v>
          </cell>
        </row>
        <row r="460">
          <cell r="C460" t="str">
            <v>5740</v>
          </cell>
        </row>
        <row r="461">
          <cell r="C461" t="str">
            <v>5740</v>
          </cell>
        </row>
        <row r="462">
          <cell r="C462" t="str">
            <v>5740</v>
          </cell>
        </row>
        <row r="463">
          <cell r="C463" t="str">
            <v>5750</v>
          </cell>
        </row>
        <row r="464">
          <cell r="C464" t="str">
            <v>5750</v>
          </cell>
        </row>
        <row r="465">
          <cell r="C465" t="str">
            <v>5750</v>
          </cell>
        </row>
        <row r="466">
          <cell r="C466" t="str">
            <v>5750</v>
          </cell>
        </row>
        <row r="467">
          <cell r="C467" t="str">
            <v>5750</v>
          </cell>
        </row>
        <row r="468">
          <cell r="C468" t="str">
            <v>5840</v>
          </cell>
        </row>
        <row r="469">
          <cell r="C469" t="str">
            <v>5840</v>
          </cell>
        </row>
        <row r="470">
          <cell r="C470" t="str">
            <v>5840</v>
          </cell>
        </row>
        <row r="471">
          <cell r="C471" t="str">
            <v>5840</v>
          </cell>
        </row>
        <row r="472">
          <cell r="C472" t="str">
            <v>5850</v>
          </cell>
        </row>
        <row r="473">
          <cell r="C473" t="str">
            <v>5850</v>
          </cell>
        </row>
        <row r="474">
          <cell r="C474" t="str">
            <v>5850</v>
          </cell>
        </row>
        <row r="475">
          <cell r="C475" t="str">
            <v>5860</v>
          </cell>
        </row>
        <row r="476">
          <cell r="C476" t="str">
            <v>5860</v>
          </cell>
        </row>
        <row r="477">
          <cell r="C477" t="str">
            <v>5860</v>
          </cell>
        </row>
        <row r="478">
          <cell r="C478" t="str">
            <v>5860</v>
          </cell>
        </row>
        <row r="479">
          <cell r="C479" t="str">
            <v>5860</v>
          </cell>
        </row>
        <row r="480">
          <cell r="C480" t="str">
            <v>5860</v>
          </cell>
        </row>
        <row r="481">
          <cell r="C481" t="str">
            <v>5860</v>
          </cell>
        </row>
        <row r="482">
          <cell r="C482" t="str">
            <v>5860</v>
          </cell>
        </row>
        <row r="483">
          <cell r="C483" t="str">
            <v>5860</v>
          </cell>
        </row>
        <row r="484">
          <cell r="C484" t="str">
            <v>5860</v>
          </cell>
        </row>
        <row r="485">
          <cell r="C485" t="str">
            <v>5860</v>
          </cell>
        </row>
        <row r="486">
          <cell r="C486" t="str">
            <v>5860</v>
          </cell>
        </row>
        <row r="487">
          <cell r="C487" t="str">
            <v>5940</v>
          </cell>
        </row>
        <row r="488">
          <cell r="C488" t="str">
            <v>5940</v>
          </cell>
        </row>
        <row r="489">
          <cell r="C489" t="str">
            <v>5940</v>
          </cell>
        </row>
        <row r="490">
          <cell r="C490" t="str">
            <v>5940</v>
          </cell>
        </row>
        <row r="491">
          <cell r="C491" t="str">
            <v>5950</v>
          </cell>
        </row>
        <row r="492">
          <cell r="C492" t="str">
            <v>5950</v>
          </cell>
        </row>
        <row r="493">
          <cell r="C493" t="str">
            <v>5950</v>
          </cell>
        </row>
        <row r="494">
          <cell r="C494" t="str">
            <v>5950</v>
          </cell>
        </row>
        <row r="495">
          <cell r="C495" t="str">
            <v>5950</v>
          </cell>
        </row>
        <row r="496">
          <cell r="C496" t="str">
            <v>5950</v>
          </cell>
        </row>
        <row r="497">
          <cell r="C497" t="str">
            <v>5950</v>
          </cell>
        </row>
        <row r="498">
          <cell r="C498" t="str">
            <v>5950</v>
          </cell>
        </row>
        <row r="499">
          <cell r="C499" t="str">
            <v>5980</v>
          </cell>
        </row>
        <row r="500">
          <cell r="C500" t="str">
            <v>5980</v>
          </cell>
        </row>
        <row r="501">
          <cell r="C501" t="str">
            <v>5980</v>
          </cell>
        </row>
        <row r="502">
          <cell r="C502" t="str">
            <v>5980</v>
          </cell>
        </row>
        <row r="503">
          <cell r="C503" t="str">
            <v>5980</v>
          </cell>
        </row>
        <row r="504">
          <cell r="C504" t="str">
            <v>6111</v>
          </cell>
        </row>
        <row r="505">
          <cell r="C505" t="str">
            <v>6111</v>
          </cell>
        </row>
        <row r="506">
          <cell r="C506" t="str">
            <v>6111</v>
          </cell>
        </row>
        <row r="507">
          <cell r="C507" t="str">
            <v>6111</v>
          </cell>
        </row>
        <row r="508">
          <cell r="C508" t="str">
            <v>6111</v>
          </cell>
        </row>
        <row r="509">
          <cell r="C509" t="str">
            <v>6240</v>
          </cell>
        </row>
        <row r="510">
          <cell r="C510" t="str">
            <v>6240</v>
          </cell>
        </row>
        <row r="511">
          <cell r="C511" t="str">
            <v>6240</v>
          </cell>
        </row>
        <row r="512">
          <cell r="C512" t="str">
            <v>6240.1</v>
          </cell>
        </row>
        <row r="513">
          <cell r="C513" t="str">
            <v>6240.1</v>
          </cell>
        </row>
        <row r="514">
          <cell r="C514" t="str">
            <v>6250</v>
          </cell>
        </row>
        <row r="515">
          <cell r="C515" t="str">
            <v>6250</v>
          </cell>
        </row>
        <row r="516">
          <cell r="C516" t="str">
            <v>6260</v>
          </cell>
        </row>
        <row r="517">
          <cell r="C517" t="str">
            <v>6260</v>
          </cell>
        </row>
        <row r="518">
          <cell r="C518" t="str">
            <v>6260</v>
          </cell>
        </row>
        <row r="519">
          <cell r="C519" t="str">
            <v>6260</v>
          </cell>
        </row>
        <row r="520">
          <cell r="C520" t="str">
            <v>6260.1</v>
          </cell>
        </row>
        <row r="521">
          <cell r="C521" t="str">
            <v>6260.1</v>
          </cell>
        </row>
        <row r="522">
          <cell r="C522" t="str">
            <v>6260.1</v>
          </cell>
        </row>
        <row r="523">
          <cell r="C523" t="str">
            <v>6260.1</v>
          </cell>
        </row>
        <row r="524">
          <cell r="C524" t="str">
            <v>6260.1</v>
          </cell>
        </row>
        <row r="525">
          <cell r="C525" t="str">
            <v>6340</v>
          </cell>
        </row>
        <row r="526">
          <cell r="C526" t="str">
            <v>6340</v>
          </cell>
        </row>
        <row r="527">
          <cell r="C527" t="str">
            <v>6340</v>
          </cell>
        </row>
        <row r="528">
          <cell r="C528" t="str">
            <v>6360</v>
          </cell>
        </row>
        <row r="529">
          <cell r="C529" t="str">
            <v>6360</v>
          </cell>
        </row>
        <row r="530">
          <cell r="C530" t="str">
            <v>6360</v>
          </cell>
        </row>
        <row r="531">
          <cell r="C531" t="str">
            <v>6360.1</v>
          </cell>
        </row>
        <row r="532">
          <cell r="C532" t="str">
            <v>6360.1</v>
          </cell>
        </row>
        <row r="533">
          <cell r="C533" t="str">
            <v>6440</v>
          </cell>
        </row>
        <row r="534">
          <cell r="C534" t="str">
            <v>6440</v>
          </cell>
        </row>
        <row r="535">
          <cell r="C535" t="str">
            <v>6440</v>
          </cell>
        </row>
        <row r="536">
          <cell r="C536" t="str">
            <v>6440</v>
          </cell>
        </row>
        <row r="537">
          <cell r="C537" t="str">
            <v>6440</v>
          </cell>
        </row>
        <row r="538">
          <cell r="C538" t="str">
            <v>6440</v>
          </cell>
        </row>
        <row r="539">
          <cell r="C539" t="str">
            <v>6440</v>
          </cell>
        </row>
        <row r="540">
          <cell r="C540" t="str">
            <v>6440</v>
          </cell>
        </row>
        <row r="541">
          <cell r="C541" t="str">
            <v>6440</v>
          </cell>
        </row>
        <row r="542">
          <cell r="C542" t="str">
            <v>6450</v>
          </cell>
        </row>
        <row r="543">
          <cell r="C543" t="str">
            <v>6450</v>
          </cell>
        </row>
        <row r="544">
          <cell r="C544" t="str">
            <v>6450</v>
          </cell>
        </row>
        <row r="545">
          <cell r="C545" t="str">
            <v>6450</v>
          </cell>
        </row>
        <row r="546">
          <cell r="C546" t="str">
            <v>6460</v>
          </cell>
        </row>
        <row r="547">
          <cell r="C547" t="str">
            <v>6460</v>
          </cell>
        </row>
        <row r="548">
          <cell r="C548" t="str">
            <v>6510.1</v>
          </cell>
        </row>
        <row r="549">
          <cell r="C549" t="str">
            <v>6510.1</v>
          </cell>
        </row>
        <row r="550">
          <cell r="C550" t="str">
            <v>6510.1</v>
          </cell>
        </row>
        <row r="551">
          <cell r="C551" t="str">
            <v>6540</v>
          </cell>
        </row>
        <row r="552">
          <cell r="C552" t="str">
            <v>6540</v>
          </cell>
        </row>
        <row r="553">
          <cell r="C553" t="str">
            <v>6540</v>
          </cell>
        </row>
        <row r="554">
          <cell r="C554" t="str">
            <v>6540</v>
          </cell>
        </row>
        <row r="555">
          <cell r="C555" t="str">
            <v>6540</v>
          </cell>
        </row>
        <row r="556">
          <cell r="C556" t="str">
            <v>6540</v>
          </cell>
        </row>
        <row r="557">
          <cell r="C557" t="str">
            <v>6540</v>
          </cell>
        </row>
        <row r="558">
          <cell r="C558" t="str">
            <v>6540</v>
          </cell>
        </row>
        <row r="559">
          <cell r="C559" t="str">
            <v>6540</v>
          </cell>
        </row>
        <row r="560">
          <cell r="C560" t="str">
            <v>6540</v>
          </cell>
        </row>
        <row r="561">
          <cell r="C561" t="str">
            <v>6540</v>
          </cell>
        </row>
        <row r="562">
          <cell r="C562" t="str">
            <v>6540</v>
          </cell>
        </row>
        <row r="563">
          <cell r="C563" t="str">
            <v>6540</v>
          </cell>
        </row>
        <row r="564">
          <cell r="C564" t="str">
            <v>6540</v>
          </cell>
        </row>
        <row r="565">
          <cell r="C565" t="str">
            <v>6540</v>
          </cell>
        </row>
        <row r="566">
          <cell r="C566" t="str">
            <v>6540</v>
          </cell>
        </row>
        <row r="567">
          <cell r="C567" t="str">
            <v>6540</v>
          </cell>
        </row>
        <row r="568">
          <cell r="C568" t="str">
            <v>6540</v>
          </cell>
        </row>
        <row r="569">
          <cell r="C569" t="str">
            <v>6540</v>
          </cell>
        </row>
        <row r="570">
          <cell r="C570" t="str">
            <v>6540</v>
          </cell>
        </row>
        <row r="571">
          <cell r="C571" t="str">
            <v>6540</v>
          </cell>
        </row>
        <row r="572">
          <cell r="C572" t="str">
            <v>6540</v>
          </cell>
        </row>
        <row r="573">
          <cell r="C573" t="str">
            <v>6540</v>
          </cell>
        </row>
        <row r="574">
          <cell r="C574" t="str">
            <v>6540</v>
          </cell>
        </row>
        <row r="575">
          <cell r="C575" t="str">
            <v>6540</v>
          </cell>
        </row>
        <row r="576">
          <cell r="C576" t="str">
            <v>6540</v>
          </cell>
        </row>
        <row r="577">
          <cell r="C577" t="str">
            <v>6540</v>
          </cell>
        </row>
        <row r="578">
          <cell r="C578" t="str">
            <v>6540</v>
          </cell>
        </row>
        <row r="579">
          <cell r="C579" t="str">
            <v>6540</v>
          </cell>
        </row>
        <row r="580">
          <cell r="C580" t="str">
            <v>6540</v>
          </cell>
        </row>
        <row r="581">
          <cell r="C581" t="str">
            <v>6540</v>
          </cell>
        </row>
        <row r="582">
          <cell r="C582" t="str">
            <v>6540</v>
          </cell>
        </row>
        <row r="583">
          <cell r="C583" t="str">
            <v>6540</v>
          </cell>
        </row>
        <row r="584">
          <cell r="C584" t="str">
            <v>6540</v>
          </cell>
        </row>
        <row r="585">
          <cell r="C585" t="str">
            <v>6540</v>
          </cell>
        </row>
        <row r="586">
          <cell r="C586" t="str">
            <v>6540</v>
          </cell>
        </row>
        <row r="587">
          <cell r="C587" t="str">
            <v>6540</v>
          </cell>
        </row>
        <row r="588">
          <cell r="C588" t="str">
            <v>6540</v>
          </cell>
        </row>
        <row r="589">
          <cell r="C589" t="str">
            <v>6540</v>
          </cell>
        </row>
        <row r="590">
          <cell r="C590" t="str">
            <v>6540</v>
          </cell>
        </row>
        <row r="591">
          <cell r="C591" t="str">
            <v>6540</v>
          </cell>
        </row>
        <row r="592">
          <cell r="C592" t="str">
            <v>6540</v>
          </cell>
        </row>
        <row r="593">
          <cell r="C593" t="str">
            <v>6540</v>
          </cell>
        </row>
        <row r="594">
          <cell r="C594" t="str">
            <v>6540</v>
          </cell>
        </row>
        <row r="595">
          <cell r="C595" t="str">
            <v>6540</v>
          </cell>
        </row>
        <row r="596">
          <cell r="C596" t="str">
            <v>6540</v>
          </cell>
        </row>
        <row r="597">
          <cell r="C597" t="str">
            <v>6540</v>
          </cell>
        </row>
        <row r="598">
          <cell r="C598" t="str">
            <v>6540</v>
          </cell>
        </row>
        <row r="599">
          <cell r="C599" t="str">
            <v>6540</v>
          </cell>
        </row>
        <row r="600">
          <cell r="C600" t="str">
            <v>6540</v>
          </cell>
        </row>
        <row r="601">
          <cell r="C601" t="str">
            <v>6540</v>
          </cell>
        </row>
        <row r="602">
          <cell r="C602" t="str">
            <v>6540</v>
          </cell>
        </row>
        <row r="603">
          <cell r="C603" t="str">
            <v>6540</v>
          </cell>
        </row>
        <row r="604">
          <cell r="C604" t="str">
            <v>6540</v>
          </cell>
        </row>
        <row r="605">
          <cell r="C605" t="str">
            <v>6540</v>
          </cell>
        </row>
        <row r="606">
          <cell r="C606" t="str">
            <v>6540</v>
          </cell>
        </row>
        <row r="607">
          <cell r="C607" t="str">
            <v>6540</v>
          </cell>
        </row>
        <row r="608">
          <cell r="C608" t="str">
            <v>6540</v>
          </cell>
        </row>
        <row r="609">
          <cell r="C609" t="str">
            <v>6540</v>
          </cell>
        </row>
        <row r="610">
          <cell r="C610" t="str">
            <v>6540</v>
          </cell>
        </row>
        <row r="611">
          <cell r="C611" t="str">
            <v>6540</v>
          </cell>
        </row>
        <row r="612">
          <cell r="C612" t="str">
            <v>6540</v>
          </cell>
        </row>
        <row r="613">
          <cell r="C613" t="str">
            <v>6540</v>
          </cell>
        </row>
        <row r="614">
          <cell r="C614" t="str">
            <v>6540</v>
          </cell>
        </row>
        <row r="615">
          <cell r="C615" t="str">
            <v>6540</v>
          </cell>
        </row>
        <row r="616">
          <cell r="C616" t="str">
            <v>6540</v>
          </cell>
        </row>
        <row r="617">
          <cell r="C617" t="str">
            <v>6540</v>
          </cell>
        </row>
        <row r="618">
          <cell r="C618" t="str">
            <v>6540</v>
          </cell>
        </row>
        <row r="619">
          <cell r="C619" t="str">
            <v>6540</v>
          </cell>
        </row>
        <row r="620">
          <cell r="C620" t="str">
            <v>6540</v>
          </cell>
        </row>
        <row r="621">
          <cell r="C621" t="str">
            <v>6540</v>
          </cell>
        </row>
        <row r="622">
          <cell r="C622" t="str">
            <v>6540</v>
          </cell>
        </row>
        <row r="623">
          <cell r="C623" t="str">
            <v>6540</v>
          </cell>
        </row>
        <row r="624">
          <cell r="C624" t="str">
            <v>6540</v>
          </cell>
        </row>
        <row r="625">
          <cell r="C625" t="str">
            <v>6540</v>
          </cell>
        </row>
        <row r="626">
          <cell r="C626" t="str">
            <v>6540</v>
          </cell>
        </row>
        <row r="627">
          <cell r="C627" t="str">
            <v>6540</v>
          </cell>
        </row>
        <row r="628">
          <cell r="C628" t="str">
            <v>6540</v>
          </cell>
        </row>
        <row r="629">
          <cell r="C629" t="str">
            <v>6540</v>
          </cell>
        </row>
        <row r="630">
          <cell r="C630" t="str">
            <v>6540</v>
          </cell>
        </row>
        <row r="631">
          <cell r="C631" t="str">
            <v>6540</v>
          </cell>
        </row>
        <row r="632">
          <cell r="C632" t="str">
            <v>6540</v>
          </cell>
        </row>
        <row r="633">
          <cell r="C633" t="str">
            <v>6540</v>
          </cell>
        </row>
        <row r="634">
          <cell r="C634" t="str">
            <v>6540</v>
          </cell>
        </row>
        <row r="635">
          <cell r="C635" t="str">
            <v>6540</v>
          </cell>
        </row>
        <row r="636">
          <cell r="C636" t="str">
            <v>6540</v>
          </cell>
        </row>
        <row r="637">
          <cell r="C637" t="str">
            <v>6540</v>
          </cell>
        </row>
        <row r="638">
          <cell r="C638" t="str">
            <v>6540</v>
          </cell>
        </row>
        <row r="639">
          <cell r="C639" t="str">
            <v>6540</v>
          </cell>
        </row>
        <row r="640">
          <cell r="C640" t="str">
            <v>6540</v>
          </cell>
        </row>
        <row r="641">
          <cell r="C641" t="str">
            <v>6540</v>
          </cell>
        </row>
        <row r="642">
          <cell r="C642" t="str">
            <v>6540</v>
          </cell>
        </row>
        <row r="643">
          <cell r="C643" t="str">
            <v>6540</v>
          </cell>
        </row>
        <row r="644">
          <cell r="C644" t="str">
            <v>6540</v>
          </cell>
        </row>
        <row r="645">
          <cell r="C645" t="str">
            <v>6540</v>
          </cell>
        </row>
        <row r="646">
          <cell r="C646" t="str">
            <v>6540</v>
          </cell>
        </row>
        <row r="647">
          <cell r="C647" t="str">
            <v>6540</v>
          </cell>
        </row>
        <row r="648">
          <cell r="C648" t="str">
            <v>6550</v>
          </cell>
        </row>
        <row r="649">
          <cell r="C649" t="str">
            <v>6550</v>
          </cell>
        </row>
        <row r="650">
          <cell r="C650" t="str">
            <v>6550</v>
          </cell>
        </row>
        <row r="651">
          <cell r="C651" t="str">
            <v>6550</v>
          </cell>
        </row>
        <row r="652">
          <cell r="C652" t="str">
            <v>6550</v>
          </cell>
        </row>
        <row r="653">
          <cell r="C653" t="str">
            <v>6550</v>
          </cell>
        </row>
        <row r="654">
          <cell r="C654" t="str">
            <v>6550</v>
          </cell>
        </row>
        <row r="655">
          <cell r="C655" t="str">
            <v>6550</v>
          </cell>
        </row>
        <row r="656">
          <cell r="C656" t="str">
            <v>6550</v>
          </cell>
        </row>
        <row r="657">
          <cell r="C657" t="str">
            <v>6550</v>
          </cell>
        </row>
        <row r="658">
          <cell r="C658" t="str">
            <v>6550</v>
          </cell>
        </row>
        <row r="659">
          <cell r="C659" t="str">
            <v>6550</v>
          </cell>
        </row>
        <row r="660">
          <cell r="C660" t="str">
            <v>6550</v>
          </cell>
        </row>
        <row r="661">
          <cell r="C661" t="str">
            <v>6550</v>
          </cell>
        </row>
        <row r="662">
          <cell r="C662" t="str">
            <v>6550</v>
          </cell>
        </row>
        <row r="663">
          <cell r="C663" t="str">
            <v>6550</v>
          </cell>
        </row>
        <row r="664">
          <cell r="C664" t="str">
            <v>6550</v>
          </cell>
        </row>
        <row r="665">
          <cell r="C665" t="str">
            <v>6550</v>
          </cell>
        </row>
        <row r="666">
          <cell r="C666" t="str">
            <v>6550</v>
          </cell>
        </row>
        <row r="667">
          <cell r="C667" t="str">
            <v>6550</v>
          </cell>
        </row>
        <row r="668">
          <cell r="C668" t="str">
            <v>6550</v>
          </cell>
        </row>
        <row r="669">
          <cell r="C669" t="str">
            <v>6550</v>
          </cell>
        </row>
        <row r="670">
          <cell r="C670" t="str">
            <v>6550</v>
          </cell>
        </row>
        <row r="671">
          <cell r="C671" t="str">
            <v>6550</v>
          </cell>
        </row>
        <row r="672">
          <cell r="C672" t="str">
            <v>6550</v>
          </cell>
        </row>
        <row r="673">
          <cell r="C673" t="str">
            <v>6560.1</v>
          </cell>
        </row>
        <row r="674">
          <cell r="C674" t="str">
            <v>6560.1</v>
          </cell>
        </row>
        <row r="675">
          <cell r="C675" t="str">
            <v>6560.1</v>
          </cell>
        </row>
        <row r="676">
          <cell r="C676" t="str">
            <v>6560.1</v>
          </cell>
        </row>
        <row r="677">
          <cell r="C677" t="str">
            <v>6560.1</v>
          </cell>
        </row>
        <row r="678">
          <cell r="C678" t="str">
            <v>6560.2</v>
          </cell>
        </row>
        <row r="679">
          <cell r="C679" t="str">
            <v>6560.2</v>
          </cell>
        </row>
        <row r="680">
          <cell r="C680" t="str">
            <v>6560.2</v>
          </cell>
        </row>
        <row r="681">
          <cell r="C681" t="str">
            <v>6560.2</v>
          </cell>
        </row>
        <row r="682">
          <cell r="C682" t="str">
            <v>6560.2</v>
          </cell>
        </row>
        <row r="683">
          <cell r="C683" t="str">
            <v>6560.2</v>
          </cell>
        </row>
        <row r="684">
          <cell r="C684" t="str">
            <v>6560.2</v>
          </cell>
        </row>
        <row r="685">
          <cell r="C685" t="str">
            <v>6560.2</v>
          </cell>
        </row>
        <row r="686">
          <cell r="C686" t="str">
            <v>6560.2</v>
          </cell>
        </row>
        <row r="687">
          <cell r="C687" t="str">
            <v>6560.2</v>
          </cell>
        </row>
        <row r="688">
          <cell r="C688" t="str">
            <v>6560.2</v>
          </cell>
        </row>
        <row r="689">
          <cell r="C689" t="str">
            <v>6570</v>
          </cell>
        </row>
        <row r="690">
          <cell r="C690" t="str">
            <v>6570</v>
          </cell>
        </row>
        <row r="691">
          <cell r="C691" t="str">
            <v>6570</v>
          </cell>
        </row>
        <row r="692">
          <cell r="C692" t="str">
            <v>6580</v>
          </cell>
        </row>
        <row r="693">
          <cell r="C693" t="str">
            <v>6580</v>
          </cell>
        </row>
        <row r="694">
          <cell r="C694" t="str">
            <v>6580</v>
          </cell>
        </row>
        <row r="695">
          <cell r="C695" t="str">
            <v>6590</v>
          </cell>
        </row>
        <row r="696">
          <cell r="C696" t="str">
            <v>6590</v>
          </cell>
        </row>
        <row r="697">
          <cell r="C697" t="str">
            <v>6590</v>
          </cell>
        </row>
        <row r="698">
          <cell r="C698" t="str">
            <v>6590</v>
          </cell>
        </row>
        <row r="699">
          <cell r="C699" t="str">
            <v>6590</v>
          </cell>
        </row>
        <row r="700">
          <cell r="C700" t="str">
            <v>6640</v>
          </cell>
        </row>
        <row r="701">
          <cell r="C701" t="str">
            <v>6640</v>
          </cell>
        </row>
        <row r="702">
          <cell r="C702" t="str">
            <v>6640</v>
          </cell>
        </row>
        <row r="703">
          <cell r="C703" t="str">
            <v>6640</v>
          </cell>
        </row>
        <row r="704">
          <cell r="C704" t="str">
            <v>6640</v>
          </cell>
        </row>
        <row r="705">
          <cell r="C705" t="str">
            <v>6710.1</v>
          </cell>
        </row>
        <row r="706">
          <cell r="C706" t="str">
            <v>6710.1</v>
          </cell>
        </row>
        <row r="707">
          <cell r="C707" t="str">
            <v>7110</v>
          </cell>
        </row>
        <row r="708">
          <cell r="C708" t="str">
            <v>7110</v>
          </cell>
        </row>
        <row r="709">
          <cell r="C709" t="str">
            <v>7110</v>
          </cell>
        </row>
        <row r="710">
          <cell r="C710" t="str">
            <v>7210</v>
          </cell>
        </row>
        <row r="711">
          <cell r="C711" t="str">
            <v>7210</v>
          </cell>
        </row>
        <row r="712">
          <cell r="C712" t="str">
            <v>7210</v>
          </cell>
        </row>
        <row r="713">
          <cell r="C713" t="str">
            <v>8143</v>
          </cell>
        </row>
        <row r="714">
          <cell r="C714" t="str">
            <v>8143</v>
          </cell>
        </row>
        <row r="715">
          <cell r="C715" t="str">
            <v>8143</v>
          </cell>
        </row>
        <row r="716">
          <cell r="C716" t="str">
            <v>8143</v>
          </cell>
        </row>
        <row r="717">
          <cell r="C717" t="str">
            <v>8143</v>
          </cell>
        </row>
        <row r="718">
          <cell r="C718" t="str">
            <v>8143</v>
          </cell>
        </row>
        <row r="719">
          <cell r="C719" t="str">
            <v>8143</v>
          </cell>
        </row>
        <row r="720">
          <cell r="C720" t="str">
            <v>8143</v>
          </cell>
        </row>
        <row r="721">
          <cell r="C721" t="str">
            <v>8143</v>
          </cell>
        </row>
        <row r="722">
          <cell r="C722" t="str">
            <v>8143</v>
          </cell>
        </row>
        <row r="723">
          <cell r="C723" t="str">
            <v>8143</v>
          </cell>
        </row>
        <row r="724">
          <cell r="C724" t="str">
            <v>8143</v>
          </cell>
        </row>
        <row r="725">
          <cell r="C725" t="str">
            <v>8143</v>
          </cell>
        </row>
        <row r="726">
          <cell r="C726" t="str">
            <v>8143</v>
          </cell>
        </row>
        <row r="727">
          <cell r="C727" t="str">
            <v>8143</v>
          </cell>
        </row>
        <row r="728">
          <cell r="C728" t="str">
            <v>8143</v>
          </cell>
        </row>
        <row r="729">
          <cell r="C729" t="str">
            <v>8143</v>
          </cell>
        </row>
        <row r="730">
          <cell r="C730" t="str">
            <v>8143</v>
          </cell>
        </row>
        <row r="731">
          <cell r="C731" t="str">
            <v>8143</v>
          </cell>
        </row>
        <row r="732">
          <cell r="C732" t="str">
            <v>8143</v>
          </cell>
        </row>
        <row r="733">
          <cell r="C733" t="str">
            <v>8143</v>
          </cell>
        </row>
        <row r="734">
          <cell r="C734" t="str">
            <v>8143</v>
          </cell>
        </row>
        <row r="735">
          <cell r="C735" t="str">
            <v>8143</v>
          </cell>
        </row>
        <row r="736">
          <cell r="C736" t="str">
            <v>8143</v>
          </cell>
        </row>
        <row r="737">
          <cell r="C737" t="str">
            <v>8143</v>
          </cell>
        </row>
        <row r="738">
          <cell r="C738" t="str">
            <v>8143</v>
          </cell>
        </row>
        <row r="739">
          <cell r="C739" t="str">
            <v>8143</v>
          </cell>
        </row>
        <row r="740">
          <cell r="C740" t="str">
            <v>8143</v>
          </cell>
        </row>
        <row r="741">
          <cell r="C741" t="str">
            <v>8143</v>
          </cell>
        </row>
        <row r="742">
          <cell r="C742" t="str">
            <v>8143</v>
          </cell>
        </row>
        <row r="743">
          <cell r="C743" t="str">
            <v>8143</v>
          </cell>
        </row>
        <row r="744">
          <cell r="C744" t="str">
            <v>8143</v>
          </cell>
        </row>
        <row r="745">
          <cell r="C745" t="str">
            <v>8143</v>
          </cell>
        </row>
        <row r="746">
          <cell r="C746" t="str">
            <v>8160</v>
          </cell>
        </row>
        <row r="747">
          <cell r="C747" t="str">
            <v>8160</v>
          </cell>
        </row>
        <row r="748">
          <cell r="C748" t="str">
            <v>8160</v>
          </cell>
        </row>
        <row r="749">
          <cell r="C749" t="str">
            <v>8160</v>
          </cell>
        </row>
        <row r="750">
          <cell r="C750" t="str">
            <v>8160</v>
          </cell>
        </row>
        <row r="751">
          <cell r="C751" t="str">
            <v>8160</v>
          </cell>
        </row>
        <row r="752">
          <cell r="C752" t="str">
            <v>8160</v>
          </cell>
        </row>
        <row r="753">
          <cell r="C753" t="str">
            <v>8160</v>
          </cell>
        </row>
        <row r="754">
          <cell r="C754" t="str">
            <v>8160</v>
          </cell>
        </row>
        <row r="755">
          <cell r="C755" t="str">
            <v>8160</v>
          </cell>
        </row>
        <row r="756">
          <cell r="C756" t="str">
            <v>8160</v>
          </cell>
        </row>
        <row r="757">
          <cell r="C757" t="str">
            <v>8160</v>
          </cell>
        </row>
        <row r="758">
          <cell r="C758" t="str">
            <v>8170</v>
          </cell>
        </row>
        <row r="759">
          <cell r="C759" t="str">
            <v>8170</v>
          </cell>
        </row>
        <row r="760">
          <cell r="C760" t="str">
            <v>8170</v>
          </cell>
        </row>
        <row r="761">
          <cell r="C761" t="str">
            <v>8170</v>
          </cell>
        </row>
        <row r="762">
          <cell r="C762" t="str">
            <v>8180</v>
          </cell>
        </row>
        <row r="763">
          <cell r="C763" t="str">
            <v>8180</v>
          </cell>
        </row>
        <row r="764">
          <cell r="C764" t="str">
            <v>8180</v>
          </cell>
        </row>
        <row r="765">
          <cell r="C765" t="str">
            <v>8180</v>
          </cell>
        </row>
        <row r="766">
          <cell r="C766" t="str">
            <v>8180</v>
          </cell>
        </row>
        <row r="767">
          <cell r="C767" t="str">
            <v>8240</v>
          </cell>
        </row>
        <row r="768">
          <cell r="C768" t="str">
            <v>8240</v>
          </cell>
        </row>
        <row r="769">
          <cell r="C769" t="str">
            <v>8240</v>
          </cell>
        </row>
        <row r="770">
          <cell r="C770" t="str">
            <v>8240</v>
          </cell>
        </row>
        <row r="771">
          <cell r="C771" t="str">
            <v>8240</v>
          </cell>
        </row>
        <row r="772">
          <cell r="C772" t="str">
            <v>8240</v>
          </cell>
        </row>
        <row r="773">
          <cell r="C773" t="str">
            <v>8240</v>
          </cell>
        </row>
        <row r="774">
          <cell r="C774" t="str">
            <v>8243</v>
          </cell>
        </row>
        <row r="775">
          <cell r="C775" t="str">
            <v>8243</v>
          </cell>
        </row>
        <row r="776">
          <cell r="C776" t="str">
            <v>8243</v>
          </cell>
        </row>
        <row r="777">
          <cell r="C777" t="str">
            <v>8243</v>
          </cell>
        </row>
        <row r="778">
          <cell r="C778" t="str">
            <v>8243</v>
          </cell>
        </row>
        <row r="779">
          <cell r="C779" t="str">
            <v>8243</v>
          </cell>
        </row>
        <row r="780">
          <cell r="C780" t="str">
            <v>8243</v>
          </cell>
        </row>
        <row r="781">
          <cell r="C781" t="str">
            <v>8243</v>
          </cell>
        </row>
        <row r="782">
          <cell r="C782" t="str">
            <v>8243</v>
          </cell>
        </row>
        <row r="783">
          <cell r="C783" t="str">
            <v>8243</v>
          </cell>
        </row>
        <row r="784">
          <cell r="C784" t="str">
            <v>8243</v>
          </cell>
        </row>
        <row r="785">
          <cell r="C785" t="str">
            <v>8245</v>
          </cell>
        </row>
        <row r="786">
          <cell r="C786" t="str">
            <v>8245</v>
          </cell>
        </row>
        <row r="787">
          <cell r="C787" t="str">
            <v>8245</v>
          </cell>
        </row>
        <row r="788">
          <cell r="C788" t="str">
            <v>8245</v>
          </cell>
        </row>
        <row r="789">
          <cell r="C789" t="str">
            <v>8250</v>
          </cell>
        </row>
        <row r="790">
          <cell r="C790" t="str">
            <v>8250</v>
          </cell>
        </row>
        <row r="791">
          <cell r="C791" t="str">
            <v>8250</v>
          </cell>
        </row>
        <row r="792">
          <cell r="C792" t="str">
            <v>8250</v>
          </cell>
        </row>
        <row r="793">
          <cell r="C793" t="str">
            <v>8255</v>
          </cell>
        </row>
        <row r="794">
          <cell r="C794" t="str">
            <v>8255</v>
          </cell>
        </row>
        <row r="795">
          <cell r="C795" t="str">
            <v>8255</v>
          </cell>
        </row>
        <row r="796">
          <cell r="C796" t="str">
            <v>8255</v>
          </cell>
        </row>
        <row r="797">
          <cell r="C797" t="str">
            <v>8255</v>
          </cell>
        </row>
        <row r="798">
          <cell r="C798" t="str">
            <v>8255</v>
          </cell>
        </row>
        <row r="799">
          <cell r="C799" t="str">
            <v>8255</v>
          </cell>
        </row>
        <row r="800">
          <cell r="C800" t="str">
            <v>8255</v>
          </cell>
        </row>
        <row r="801">
          <cell r="C801" t="str">
            <v>8255</v>
          </cell>
        </row>
        <row r="802">
          <cell r="C802" t="str">
            <v>8255</v>
          </cell>
        </row>
        <row r="803">
          <cell r="C803" t="str">
            <v>8255</v>
          </cell>
        </row>
        <row r="804">
          <cell r="C804" t="str">
            <v>8255</v>
          </cell>
        </row>
        <row r="805">
          <cell r="C805" t="str">
            <v>8255</v>
          </cell>
        </row>
        <row r="806">
          <cell r="C806" t="str">
            <v>8255</v>
          </cell>
        </row>
        <row r="807">
          <cell r="C807" t="str">
            <v>8260</v>
          </cell>
        </row>
        <row r="808">
          <cell r="C808" t="str">
            <v>8260</v>
          </cell>
        </row>
        <row r="809">
          <cell r="C809" t="str">
            <v>8260</v>
          </cell>
        </row>
        <row r="810">
          <cell r="C810" t="str">
            <v>8260</v>
          </cell>
        </row>
        <row r="811">
          <cell r="C811" t="str">
            <v>8260</v>
          </cell>
        </row>
        <row r="812">
          <cell r="C812" t="str">
            <v>8265</v>
          </cell>
        </row>
        <row r="813">
          <cell r="C813" t="str">
            <v>8265</v>
          </cell>
        </row>
        <row r="814">
          <cell r="C814" t="str">
            <v>8265</v>
          </cell>
        </row>
        <row r="815">
          <cell r="C815" t="str">
            <v>8270</v>
          </cell>
        </row>
        <row r="816">
          <cell r="C816" t="str">
            <v>8270</v>
          </cell>
        </row>
        <row r="817">
          <cell r="C817" t="str">
            <v>8270</v>
          </cell>
        </row>
        <row r="818">
          <cell r="C818" t="str">
            <v>8270</v>
          </cell>
        </row>
        <row r="819">
          <cell r="C819" t="str">
            <v>8270</v>
          </cell>
        </row>
        <row r="820">
          <cell r="C820" t="str">
            <v>8270</v>
          </cell>
        </row>
        <row r="821">
          <cell r="C821" t="str">
            <v>8270</v>
          </cell>
        </row>
        <row r="822">
          <cell r="C822" t="str">
            <v>8275</v>
          </cell>
        </row>
        <row r="823">
          <cell r="C823" t="str">
            <v>8275</v>
          </cell>
        </row>
        <row r="824">
          <cell r="C824" t="str">
            <v>8275</v>
          </cell>
        </row>
        <row r="825">
          <cell r="C825" t="str">
            <v>8275</v>
          </cell>
        </row>
        <row r="826">
          <cell r="C826" t="str">
            <v>8275</v>
          </cell>
        </row>
        <row r="827">
          <cell r="C827" t="str">
            <v>8275</v>
          </cell>
        </row>
        <row r="828">
          <cell r="C828" t="str">
            <v>8275</v>
          </cell>
        </row>
        <row r="829">
          <cell r="C829" t="str">
            <v>8275</v>
          </cell>
        </row>
        <row r="830">
          <cell r="C830" t="str">
            <v>8275</v>
          </cell>
        </row>
        <row r="831">
          <cell r="C831" t="str">
            <v>8275</v>
          </cell>
        </row>
        <row r="832">
          <cell r="C832" t="str">
            <v>8275</v>
          </cell>
        </row>
        <row r="833">
          <cell r="C833" t="str">
            <v>8275</v>
          </cell>
        </row>
        <row r="834">
          <cell r="C834" t="str">
            <v>8275</v>
          </cell>
        </row>
        <row r="835">
          <cell r="C835" t="str">
            <v>8275</v>
          </cell>
        </row>
        <row r="836">
          <cell r="C836" t="str">
            <v>8343</v>
          </cell>
        </row>
        <row r="837">
          <cell r="C837" t="str">
            <v>8343</v>
          </cell>
        </row>
        <row r="838">
          <cell r="C838" t="str">
            <v>8343</v>
          </cell>
        </row>
        <row r="839">
          <cell r="C839" t="str">
            <v>8343</v>
          </cell>
        </row>
        <row r="840">
          <cell r="C840" t="str">
            <v>8343</v>
          </cell>
        </row>
        <row r="841">
          <cell r="C841" t="str">
            <v>8343</v>
          </cell>
        </row>
        <row r="842">
          <cell r="C842" t="str">
            <v>8343</v>
          </cell>
        </row>
        <row r="843">
          <cell r="C843" t="str">
            <v>8343</v>
          </cell>
        </row>
        <row r="844">
          <cell r="C844" t="str">
            <v>8343</v>
          </cell>
        </row>
        <row r="845">
          <cell r="C845" t="str">
            <v>8347</v>
          </cell>
        </row>
        <row r="846">
          <cell r="C846" t="str">
            <v>8347</v>
          </cell>
        </row>
        <row r="847">
          <cell r="C847" t="str">
            <v>8347</v>
          </cell>
        </row>
        <row r="848">
          <cell r="C848" t="str">
            <v>8347</v>
          </cell>
        </row>
        <row r="849">
          <cell r="C849" t="str">
            <v>8347</v>
          </cell>
        </row>
        <row r="850">
          <cell r="C850" t="str">
            <v>8350</v>
          </cell>
        </row>
        <row r="851">
          <cell r="C851" t="str">
            <v>8350</v>
          </cell>
        </row>
        <row r="852">
          <cell r="C852" t="str">
            <v>8350</v>
          </cell>
        </row>
        <row r="853">
          <cell r="C853" t="str">
            <v>8350</v>
          </cell>
        </row>
        <row r="854">
          <cell r="C854" t="str">
            <v>8350</v>
          </cell>
        </row>
        <row r="855">
          <cell r="C855" t="str">
            <v>8354</v>
          </cell>
        </row>
        <row r="856">
          <cell r="C856" t="str">
            <v>8354</v>
          </cell>
        </row>
        <row r="857">
          <cell r="C857" t="str">
            <v>8354</v>
          </cell>
        </row>
        <row r="858">
          <cell r="C858" t="str">
            <v>8358</v>
          </cell>
        </row>
        <row r="859">
          <cell r="C859" t="str">
            <v>8358</v>
          </cell>
        </row>
        <row r="860">
          <cell r="C860" t="str">
            <v>8358</v>
          </cell>
        </row>
        <row r="861">
          <cell r="C861" t="str">
            <v>8358</v>
          </cell>
        </row>
        <row r="862">
          <cell r="C862" t="str">
            <v>8364</v>
          </cell>
        </row>
        <row r="863">
          <cell r="C863" t="str">
            <v>8364</v>
          </cell>
        </row>
        <row r="864">
          <cell r="C864" t="str">
            <v>8364</v>
          </cell>
        </row>
        <row r="865">
          <cell r="C865" t="str">
            <v>8368</v>
          </cell>
        </row>
        <row r="866">
          <cell r="C866" t="str">
            <v>8368</v>
          </cell>
        </row>
        <row r="867">
          <cell r="C867" t="str">
            <v>8368</v>
          </cell>
        </row>
        <row r="868">
          <cell r="C868" t="str">
            <v>8372</v>
          </cell>
        </row>
        <row r="869">
          <cell r="C869" t="str">
            <v>8372</v>
          </cell>
        </row>
        <row r="870">
          <cell r="C870" t="str">
            <v>8372</v>
          </cell>
        </row>
        <row r="871">
          <cell r="C871" t="str">
            <v>8376</v>
          </cell>
        </row>
        <row r="872">
          <cell r="C872" t="str">
            <v>8376</v>
          </cell>
        </row>
        <row r="873">
          <cell r="C873" t="str">
            <v>8376</v>
          </cell>
        </row>
        <row r="874">
          <cell r="C874" t="str">
            <v>8380</v>
          </cell>
        </row>
        <row r="875">
          <cell r="C875" t="str">
            <v>8380</v>
          </cell>
        </row>
        <row r="876">
          <cell r="C876" t="str">
            <v>8380</v>
          </cell>
        </row>
        <row r="877">
          <cell r="C877" t="str">
            <v>8380.1</v>
          </cell>
        </row>
        <row r="878">
          <cell r="C878" t="str">
            <v>8380.1</v>
          </cell>
        </row>
        <row r="879">
          <cell r="C879" t="str">
            <v>8383</v>
          </cell>
        </row>
        <row r="880">
          <cell r="C880" t="str">
            <v>8383</v>
          </cell>
        </row>
        <row r="881">
          <cell r="C881" t="str">
            <v>8386</v>
          </cell>
        </row>
        <row r="882">
          <cell r="C882" t="str">
            <v>8386</v>
          </cell>
        </row>
        <row r="883">
          <cell r="C883" t="str">
            <v>8388</v>
          </cell>
        </row>
        <row r="884">
          <cell r="C884" t="str">
            <v>8388</v>
          </cell>
        </row>
        <row r="885">
          <cell r="C885" t="str">
            <v>8388</v>
          </cell>
        </row>
        <row r="886">
          <cell r="C886" t="str">
            <v>8388</v>
          </cell>
        </row>
        <row r="887">
          <cell r="C887" t="str">
            <v>8388</v>
          </cell>
        </row>
        <row r="888">
          <cell r="C888" t="str">
            <v>8388</v>
          </cell>
        </row>
        <row r="889">
          <cell r="C889" t="str">
            <v>8440</v>
          </cell>
        </row>
        <row r="890">
          <cell r="C890" t="str">
            <v>8440</v>
          </cell>
        </row>
        <row r="891">
          <cell r="C891" t="str">
            <v>8440</v>
          </cell>
        </row>
        <row r="892">
          <cell r="C892" t="str">
            <v>8450</v>
          </cell>
        </row>
        <row r="893">
          <cell r="C893" t="str">
            <v>8450</v>
          </cell>
        </row>
        <row r="894">
          <cell r="C894" t="str">
            <v>8450</v>
          </cell>
        </row>
        <row r="895">
          <cell r="C895" t="str">
            <v>8460</v>
          </cell>
        </row>
        <row r="896">
          <cell r="C896" t="str">
            <v>8460</v>
          </cell>
        </row>
        <row r="897">
          <cell r="C897" t="str">
            <v>8460</v>
          </cell>
        </row>
        <row r="898">
          <cell r="C898" t="str">
            <v>8470</v>
          </cell>
        </row>
        <row r="899">
          <cell r="C899" t="str">
            <v>8470</v>
          </cell>
        </row>
        <row r="900">
          <cell r="C900" t="str">
            <v>8470</v>
          </cell>
        </row>
        <row r="901">
          <cell r="C901" t="str">
            <v>8480</v>
          </cell>
        </row>
        <row r="902">
          <cell r="C902" t="str">
            <v>8480</v>
          </cell>
        </row>
        <row r="903">
          <cell r="C903" t="str">
            <v>8480</v>
          </cell>
        </row>
        <row r="904">
          <cell r="C904" t="str">
            <v>8480</v>
          </cell>
        </row>
        <row r="905">
          <cell r="C905" t="str">
            <v>8540</v>
          </cell>
        </row>
        <row r="906">
          <cell r="C906" t="str">
            <v>8540</v>
          </cell>
        </row>
        <row r="907">
          <cell r="C907" t="str">
            <v>8550</v>
          </cell>
        </row>
        <row r="908">
          <cell r="C908" t="str">
            <v>8550</v>
          </cell>
        </row>
        <row r="909">
          <cell r="C909" t="str">
            <v>8550</v>
          </cell>
        </row>
        <row r="910">
          <cell r="C910" t="str">
            <v>8560</v>
          </cell>
        </row>
        <row r="911">
          <cell r="C911" t="str">
            <v>8560</v>
          </cell>
        </row>
        <row r="912">
          <cell r="C912" t="str">
            <v>8560</v>
          </cell>
        </row>
        <row r="913">
          <cell r="C913" t="str">
            <v>8570</v>
          </cell>
        </row>
        <row r="914">
          <cell r="C914" t="str">
            <v>8570</v>
          </cell>
        </row>
        <row r="915">
          <cell r="C915" t="str">
            <v>8580</v>
          </cell>
        </row>
        <row r="916">
          <cell r="C916" t="str">
            <v>8580</v>
          </cell>
        </row>
        <row r="917">
          <cell r="C917" t="str">
            <v>8640</v>
          </cell>
        </row>
        <row r="918">
          <cell r="C918" t="str">
            <v>8640</v>
          </cell>
        </row>
        <row r="919">
          <cell r="C919" t="str">
            <v>8640</v>
          </cell>
        </row>
        <row r="920">
          <cell r="C920" t="str">
            <v>8640</v>
          </cell>
        </row>
        <row r="921">
          <cell r="C921" t="str">
            <v>8640</v>
          </cell>
        </row>
        <row r="922">
          <cell r="C922" t="str">
            <v>8640</v>
          </cell>
        </row>
        <row r="923">
          <cell r="C923" t="str">
            <v>8640</v>
          </cell>
        </row>
        <row r="924">
          <cell r="C924" t="str">
            <v>8650</v>
          </cell>
        </row>
        <row r="925">
          <cell r="C925" t="str">
            <v>8650</v>
          </cell>
        </row>
        <row r="926">
          <cell r="C926" t="str">
            <v>8650</v>
          </cell>
        </row>
        <row r="927">
          <cell r="C927" t="str">
            <v>8650</v>
          </cell>
        </row>
        <row r="928">
          <cell r="C928" t="str">
            <v>8650</v>
          </cell>
        </row>
        <row r="929">
          <cell r="C929" t="str">
            <v>8650</v>
          </cell>
        </row>
        <row r="930">
          <cell r="C930" t="str">
            <v>8650</v>
          </cell>
        </row>
        <row r="931">
          <cell r="C931" t="str">
            <v>8650</v>
          </cell>
        </row>
        <row r="932">
          <cell r="C932" t="str">
            <v>8650</v>
          </cell>
        </row>
        <row r="933">
          <cell r="C933" t="str">
            <v>8650</v>
          </cell>
        </row>
        <row r="934">
          <cell r="C934" t="str">
            <v>8650</v>
          </cell>
        </row>
        <row r="935">
          <cell r="C935" t="str">
            <v>8650</v>
          </cell>
        </row>
        <row r="936">
          <cell r="C936" t="str">
            <v>8650</v>
          </cell>
        </row>
        <row r="937">
          <cell r="C937" t="str">
            <v>8650</v>
          </cell>
        </row>
        <row r="938">
          <cell r="C938" t="str">
            <v>8650</v>
          </cell>
        </row>
        <row r="939">
          <cell r="C939" t="str">
            <v>8650</v>
          </cell>
        </row>
        <row r="940">
          <cell r="C940" t="str">
            <v>8650</v>
          </cell>
        </row>
        <row r="941">
          <cell r="C941" t="str">
            <v>8650</v>
          </cell>
        </row>
        <row r="942">
          <cell r="C942" t="str">
            <v>8650</v>
          </cell>
        </row>
        <row r="943">
          <cell r="C943" t="str">
            <v>8650</v>
          </cell>
        </row>
        <row r="944">
          <cell r="C944" t="str">
            <v>8650</v>
          </cell>
        </row>
        <row r="945">
          <cell r="C945" t="str">
            <v>8650</v>
          </cell>
        </row>
        <row r="946">
          <cell r="C946" t="str">
            <v>8650</v>
          </cell>
        </row>
        <row r="947">
          <cell r="C947" t="str">
            <v>8650</v>
          </cell>
        </row>
        <row r="948">
          <cell r="C948" t="str">
            <v>8650</v>
          </cell>
        </row>
        <row r="949">
          <cell r="C949" t="str">
            <v>8650</v>
          </cell>
        </row>
        <row r="950">
          <cell r="C950" t="str">
            <v>8650</v>
          </cell>
        </row>
        <row r="951">
          <cell r="C951" t="str">
            <v>8660</v>
          </cell>
        </row>
        <row r="952">
          <cell r="C952" t="str">
            <v>8660</v>
          </cell>
        </row>
        <row r="953">
          <cell r="C953" t="str">
            <v>8665</v>
          </cell>
        </row>
        <row r="954">
          <cell r="C954" t="str">
            <v>8665</v>
          </cell>
        </row>
        <row r="955">
          <cell r="C955" t="str">
            <v>8670</v>
          </cell>
        </row>
        <row r="956">
          <cell r="C956" t="str">
            <v>8670</v>
          </cell>
        </row>
        <row r="957">
          <cell r="C957" t="str">
            <v>8670</v>
          </cell>
        </row>
        <row r="958">
          <cell r="C958" t="str">
            <v>8675</v>
          </cell>
        </row>
        <row r="959">
          <cell r="C959" t="str">
            <v>8675</v>
          </cell>
        </row>
        <row r="960">
          <cell r="C960" t="str">
            <v>8680</v>
          </cell>
        </row>
        <row r="961">
          <cell r="C961" t="str">
            <v>8680</v>
          </cell>
        </row>
        <row r="962">
          <cell r="C962" t="str">
            <v>8710</v>
          </cell>
        </row>
        <row r="963">
          <cell r="C963" t="str">
            <v>8710</v>
          </cell>
        </row>
        <row r="964">
          <cell r="C964" t="str">
            <v>8710</v>
          </cell>
        </row>
        <row r="965">
          <cell r="C965" t="str">
            <v>8810.1</v>
          </cell>
        </row>
        <row r="966">
          <cell r="C966" t="str">
            <v>8810.1</v>
          </cell>
        </row>
        <row r="967">
          <cell r="C967" t="str">
            <v>8810.1</v>
          </cell>
        </row>
        <row r="968">
          <cell r="C968" t="str">
            <v>8810.1</v>
          </cell>
        </row>
        <row r="969">
          <cell r="C969" t="str">
            <v>8810.1</v>
          </cell>
        </row>
        <row r="970">
          <cell r="C970" t="str">
            <v>8810.2</v>
          </cell>
        </row>
        <row r="971">
          <cell r="C971" t="str">
            <v>8810.2</v>
          </cell>
        </row>
        <row r="972">
          <cell r="C972" t="str">
            <v>8810.2</v>
          </cell>
        </row>
        <row r="973">
          <cell r="C973" t="str">
            <v>8910.1</v>
          </cell>
        </row>
        <row r="974">
          <cell r="C974" t="str">
            <v>8910.1</v>
          </cell>
        </row>
        <row r="975">
          <cell r="C975" t="str">
            <v>8910.1</v>
          </cell>
        </row>
        <row r="976">
          <cell r="C976" t="str">
            <v>8910.2</v>
          </cell>
        </row>
        <row r="977">
          <cell r="C977" t="str">
            <v>8910.2</v>
          </cell>
        </row>
        <row r="978">
          <cell r="C978" t="str">
            <v>Grand Total</v>
          </cell>
          <cell r="F978">
            <v>-64757346</v>
          </cell>
        </row>
      </sheetData>
      <sheetData sheetId="3" refreshError="1"/>
      <sheetData sheetId="4"/>
      <sheetData sheetId="5" refreshError="1"/>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equity"/>
      <sheetName val="CashFlow"/>
      <sheetName val="Notes"/>
      <sheetName val="Assets"/>
      <sheetName val="Sheet1"/>
      <sheetName val="Sheet2"/>
      <sheetName val="F-Inst"/>
    </sheetNames>
    <sheetDataSet>
      <sheetData sheetId="0"/>
      <sheetData sheetId="1"/>
      <sheetData sheetId="2"/>
      <sheetData sheetId="3"/>
      <sheetData sheetId="4"/>
      <sheetData sheetId="5"/>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D"/>
      <sheetName val="E"/>
      <sheetName val="F"/>
      <sheetName val="G"/>
      <sheetName val="CASH FLOW"/>
      <sheetName val="B-S"/>
      <sheetName val="P&amp;l"/>
      <sheetName val="EQUITY"/>
      <sheetName val="TD-sch (2)"/>
      <sheetName val="Def-tax (2)"/>
      <sheetName val="Curr-tax"/>
    </sheetNames>
    <sheetDataSet>
      <sheetData sheetId="0">
        <row r="8">
          <cell r="A8" t="str">
            <v>01</v>
          </cell>
          <cell r="B8">
            <v>0</v>
          </cell>
          <cell r="C8" t="str">
            <v>*ISSUED, SUBSCRIBED &amp; PAID UP CAPITAL.</v>
          </cell>
          <cell r="D8">
            <v>0</v>
          </cell>
          <cell r="E8">
            <v>234375000</v>
          </cell>
          <cell r="F8">
            <v>0</v>
          </cell>
          <cell r="G8">
            <v>234375000</v>
          </cell>
        </row>
        <row r="9">
          <cell r="A9" t="str">
            <v>01-01</v>
          </cell>
          <cell r="B9">
            <v>234374912</v>
          </cell>
          <cell r="C9" t="str">
            <v>**SHARE CAPITAL</v>
          </cell>
          <cell r="D9">
            <v>0</v>
          </cell>
          <cell r="E9">
            <v>234375000</v>
          </cell>
          <cell r="F9">
            <v>0</v>
          </cell>
          <cell r="G9">
            <v>234375000</v>
          </cell>
        </row>
        <row r="10">
          <cell r="A10" t="str">
            <v>01-01-01</v>
          </cell>
          <cell r="B10">
            <v>234374912</v>
          </cell>
          <cell r="C10" t="str">
            <v>***SHARE CAPITAL</v>
          </cell>
          <cell r="D10">
            <v>0</v>
          </cell>
          <cell r="E10">
            <v>234375000</v>
          </cell>
          <cell r="F10">
            <v>0</v>
          </cell>
          <cell r="G10">
            <v>234375000</v>
          </cell>
        </row>
        <row r="11">
          <cell r="A11" t="str">
            <v>01-01-01-0001</v>
          </cell>
          <cell r="B11">
            <v>234374912</v>
          </cell>
          <cell r="C11" t="str">
            <v xml:space="preserve">  SHARE CAPITAL FULLY PAID IN CASH</v>
          </cell>
          <cell r="D11">
            <v>0</v>
          </cell>
          <cell r="E11">
            <v>60000000</v>
          </cell>
          <cell r="F11">
            <v>0</v>
          </cell>
          <cell r="G11">
            <v>0</v>
          </cell>
        </row>
        <row r="12">
          <cell r="A12" t="str">
            <v>01-01-01-0002</v>
          </cell>
          <cell r="B12">
            <v>0</v>
          </cell>
          <cell r="C12" t="str">
            <v xml:space="preserve">  SHARE CAPITAL FULLY PAID BONUS</v>
          </cell>
          <cell r="D12">
            <v>0</v>
          </cell>
          <cell r="E12">
            <v>174375000</v>
          </cell>
          <cell r="F12">
            <v>0</v>
          </cell>
          <cell r="G12">
            <v>0</v>
          </cell>
        </row>
        <row r="13">
          <cell r="A13" t="str">
            <v>02</v>
          </cell>
          <cell r="B13">
            <v>0</v>
          </cell>
          <cell r="C13" t="str">
            <v>*CAPITAL RESERVES</v>
          </cell>
          <cell r="D13">
            <v>0</v>
          </cell>
          <cell r="E13">
            <v>103125000</v>
          </cell>
          <cell r="F13">
            <v>0</v>
          </cell>
          <cell r="G13">
            <v>103125000</v>
          </cell>
        </row>
        <row r="14">
          <cell r="A14" t="str">
            <v>02-01</v>
          </cell>
          <cell r="B14">
            <v>103124992</v>
          </cell>
          <cell r="C14" t="str">
            <v>**CAPITAL RESERVES</v>
          </cell>
          <cell r="D14">
            <v>0</v>
          </cell>
          <cell r="E14">
            <v>103125000</v>
          </cell>
          <cell r="F14">
            <v>0</v>
          </cell>
          <cell r="G14">
            <v>103125000</v>
          </cell>
        </row>
        <row r="15">
          <cell r="A15" t="str">
            <v>02-01-01</v>
          </cell>
          <cell r="B15">
            <v>103124992</v>
          </cell>
          <cell r="C15" t="str">
            <v>***CAPITAL RESERVES</v>
          </cell>
          <cell r="D15">
            <v>0</v>
          </cell>
          <cell r="E15">
            <v>103125000</v>
          </cell>
          <cell r="F15">
            <v>0</v>
          </cell>
          <cell r="G15">
            <v>103125000</v>
          </cell>
        </row>
        <row r="16">
          <cell r="A16" t="str">
            <v>02-01-01-0001</v>
          </cell>
          <cell r="B16">
            <v>103124992</v>
          </cell>
          <cell r="C16" t="str">
            <v xml:space="preserve">  SHARE PREMIUM</v>
          </cell>
          <cell r="D16">
            <v>0</v>
          </cell>
          <cell r="E16">
            <v>103125000</v>
          </cell>
          <cell r="F16">
            <v>0</v>
          </cell>
          <cell r="G16">
            <v>0</v>
          </cell>
        </row>
        <row r="17">
          <cell r="A17" t="str">
            <v>04</v>
          </cell>
          <cell r="B17">
            <v>0</v>
          </cell>
          <cell r="C17" t="str">
            <v>*REVENUE RESERVES</v>
          </cell>
          <cell r="D17">
            <v>0</v>
          </cell>
          <cell r="E17">
            <v>1396551004.29</v>
          </cell>
          <cell r="F17">
            <v>0</v>
          </cell>
          <cell r="G17">
            <v>1396551004.29</v>
          </cell>
        </row>
        <row r="18">
          <cell r="A18" t="str">
            <v>04-01</v>
          </cell>
          <cell r="B18">
            <v>1396550656</v>
          </cell>
          <cell r="C18" t="str">
            <v>**REVENUE RESERVES</v>
          </cell>
          <cell r="D18">
            <v>0</v>
          </cell>
          <cell r="E18">
            <v>1396551004.29</v>
          </cell>
          <cell r="F18">
            <v>0</v>
          </cell>
          <cell r="G18">
            <v>1396551004.29</v>
          </cell>
        </row>
        <row r="19">
          <cell r="A19" t="str">
            <v>04-01-01</v>
          </cell>
          <cell r="B19">
            <v>1396550656</v>
          </cell>
          <cell r="C19" t="str">
            <v>***REVENUE RESERVES</v>
          </cell>
          <cell r="D19">
            <v>0</v>
          </cell>
          <cell r="E19">
            <v>1396551004.29</v>
          </cell>
          <cell r="F19">
            <v>0</v>
          </cell>
          <cell r="G19">
            <v>1396551004.29</v>
          </cell>
        </row>
        <row r="20">
          <cell r="A20" t="str">
            <v>04-01-01-0001</v>
          </cell>
          <cell r="B20">
            <v>1396550656</v>
          </cell>
          <cell r="C20" t="str">
            <v xml:space="preserve">  RESERVE FOR ISSUE OF BONUS SHARE</v>
          </cell>
          <cell r="D20">
            <v>0</v>
          </cell>
          <cell r="E20">
            <v>0</v>
          </cell>
          <cell r="F20">
            <v>0</v>
          </cell>
          <cell r="G20">
            <v>0</v>
          </cell>
        </row>
        <row r="21">
          <cell r="A21" t="str">
            <v>04-01-01-0002</v>
          </cell>
          <cell r="B21">
            <v>0</v>
          </cell>
          <cell r="C21" t="str">
            <v xml:space="preserve">  PROFIT  AND LOSS A/C</v>
          </cell>
          <cell r="D21">
            <v>0</v>
          </cell>
          <cell r="E21">
            <v>1396551004.29</v>
          </cell>
          <cell r="F21">
            <v>0</v>
          </cell>
          <cell r="G21">
            <v>0</v>
          </cell>
        </row>
        <row r="22">
          <cell r="A22" t="str">
            <v>11</v>
          </cell>
          <cell r="B22">
            <v>0</v>
          </cell>
          <cell r="C22" t="str">
            <v>*LONG TERM LOANS</v>
          </cell>
          <cell r="D22">
            <v>0</v>
          </cell>
          <cell r="E22">
            <v>1110000000</v>
          </cell>
          <cell r="F22">
            <v>0</v>
          </cell>
          <cell r="G22">
            <v>1110000000</v>
          </cell>
        </row>
        <row r="23">
          <cell r="A23" t="str">
            <v>11-01</v>
          </cell>
          <cell r="B23">
            <v>1109999616</v>
          </cell>
          <cell r="C23" t="str">
            <v>**LONG TERM LOANS FROM BANK</v>
          </cell>
          <cell r="D23">
            <v>0</v>
          </cell>
          <cell r="E23">
            <v>1110000000</v>
          </cell>
          <cell r="F23">
            <v>0</v>
          </cell>
          <cell r="G23">
            <v>1110000000</v>
          </cell>
        </row>
        <row r="24">
          <cell r="A24" t="str">
            <v>11-01-01</v>
          </cell>
          <cell r="B24">
            <v>1109999616</v>
          </cell>
          <cell r="C24" t="str">
            <v>***LONG TERM LOANS FROM BANK HBL</v>
          </cell>
          <cell r="D24">
            <v>0</v>
          </cell>
          <cell r="E24">
            <v>0</v>
          </cell>
          <cell r="F24">
            <v>0</v>
          </cell>
          <cell r="G24">
            <v>0</v>
          </cell>
        </row>
        <row r="25">
          <cell r="A25" t="str">
            <v>11-01-01-0001</v>
          </cell>
          <cell r="B25">
            <v>0</v>
          </cell>
          <cell r="C25" t="str">
            <v xml:space="preserve">  HBL FAF LOAN PESHAWAR CANTT</v>
          </cell>
          <cell r="D25">
            <v>0</v>
          </cell>
          <cell r="E25">
            <v>0</v>
          </cell>
          <cell r="F25">
            <v>0</v>
          </cell>
          <cell r="G25">
            <v>0</v>
          </cell>
        </row>
        <row r="26">
          <cell r="A26" t="str">
            <v>11-01-02</v>
          </cell>
          <cell r="B26">
            <v>0</v>
          </cell>
          <cell r="C26" t="str">
            <v>***LONG TERM LOANS FROM BANK MCB</v>
          </cell>
          <cell r="D26">
            <v>0</v>
          </cell>
          <cell r="E26">
            <v>250000000</v>
          </cell>
          <cell r="F26">
            <v>0</v>
          </cell>
          <cell r="G26">
            <v>250000000</v>
          </cell>
        </row>
        <row r="27">
          <cell r="A27" t="str">
            <v>11-01-02-0001</v>
          </cell>
          <cell r="B27">
            <v>250000000</v>
          </cell>
          <cell r="C27" t="str">
            <v xml:space="preserve">  MCB FAF LOAN PESHAWAR CANTT 80.00</v>
          </cell>
          <cell r="D27">
            <v>0</v>
          </cell>
          <cell r="E27">
            <v>0</v>
          </cell>
          <cell r="F27">
            <v>0</v>
          </cell>
          <cell r="G27">
            <v>0</v>
          </cell>
        </row>
        <row r="28">
          <cell r="A28" t="str">
            <v>11-01-02-0002</v>
          </cell>
          <cell r="B28">
            <v>0</v>
          </cell>
          <cell r="C28" t="str">
            <v xml:space="preserve">  MCB FAF LOAN PESHAWAR CANTT 166.078</v>
          </cell>
          <cell r="D28">
            <v>0</v>
          </cell>
          <cell r="E28">
            <v>0</v>
          </cell>
          <cell r="F28">
            <v>0</v>
          </cell>
          <cell r="G28">
            <v>0</v>
          </cell>
        </row>
        <row r="29">
          <cell r="A29" t="str">
            <v>11-01-02-0003</v>
          </cell>
          <cell r="B29">
            <v>0</v>
          </cell>
          <cell r="C29" t="str">
            <v xml:space="preserve">  LONG TERM LOAN FROM MUSLIM COM.BANK</v>
          </cell>
          <cell r="D29">
            <v>0</v>
          </cell>
          <cell r="E29">
            <v>250000000</v>
          </cell>
          <cell r="F29">
            <v>0</v>
          </cell>
          <cell r="G29">
            <v>0</v>
          </cell>
        </row>
        <row r="30">
          <cell r="A30" t="str">
            <v>11-01-03</v>
          </cell>
          <cell r="B30">
            <v>0</v>
          </cell>
          <cell r="C30" t="str">
            <v>***LONG TERM LOANS FROM BANK SBL</v>
          </cell>
          <cell r="D30">
            <v>0</v>
          </cell>
          <cell r="E30">
            <v>0</v>
          </cell>
          <cell r="F30">
            <v>0</v>
          </cell>
          <cell r="G30">
            <v>0</v>
          </cell>
        </row>
        <row r="31">
          <cell r="A31" t="str">
            <v>11-01-03-0001</v>
          </cell>
          <cell r="B31">
            <v>0</v>
          </cell>
          <cell r="C31" t="str">
            <v xml:space="preserve">  LONG TERM LOANS FROM BANK SBL LOAN # 0</v>
          </cell>
          <cell r="D31">
            <v>0</v>
          </cell>
          <cell r="E31">
            <v>0</v>
          </cell>
          <cell r="F31">
            <v>0</v>
          </cell>
          <cell r="G31">
            <v>0</v>
          </cell>
        </row>
        <row r="32">
          <cell r="A32" t="str">
            <v>11-01-04</v>
          </cell>
          <cell r="B32">
            <v>0</v>
          </cell>
          <cell r="C32" t="str">
            <v>***LONG TERM LOANS FROM CITI BANK</v>
          </cell>
          <cell r="D32">
            <v>0</v>
          </cell>
          <cell r="E32">
            <v>75000000</v>
          </cell>
          <cell r="F32">
            <v>0</v>
          </cell>
          <cell r="G32">
            <v>75000000</v>
          </cell>
        </row>
        <row r="33">
          <cell r="A33" t="str">
            <v>11-01-04-0001</v>
          </cell>
          <cell r="B33">
            <v>75000000</v>
          </cell>
          <cell r="C33" t="str">
            <v xml:space="preserve">  LONG TERM LOAN FROM CITI BANK.</v>
          </cell>
          <cell r="D33">
            <v>0</v>
          </cell>
          <cell r="E33">
            <v>0</v>
          </cell>
          <cell r="F33">
            <v>0</v>
          </cell>
          <cell r="G33">
            <v>0</v>
          </cell>
        </row>
        <row r="34">
          <cell r="A34" t="str">
            <v>11-01-04-0002</v>
          </cell>
          <cell r="B34">
            <v>0</v>
          </cell>
          <cell r="C34" t="str">
            <v xml:space="preserve">  SYNDICATE TERM FINANCE CITI BANK</v>
          </cell>
          <cell r="D34">
            <v>0</v>
          </cell>
          <cell r="E34">
            <v>75000000</v>
          </cell>
          <cell r="F34">
            <v>0</v>
          </cell>
          <cell r="G34">
            <v>0</v>
          </cell>
        </row>
        <row r="35">
          <cell r="A35" t="str">
            <v>11-01-05</v>
          </cell>
          <cell r="B35">
            <v>0</v>
          </cell>
          <cell r="C35" t="str">
            <v>***LONG TERM LOANS FROM BANK MPBL</v>
          </cell>
          <cell r="D35">
            <v>0</v>
          </cell>
          <cell r="E35">
            <v>0</v>
          </cell>
          <cell r="F35">
            <v>0</v>
          </cell>
          <cell r="G35">
            <v>0</v>
          </cell>
        </row>
        <row r="36">
          <cell r="A36" t="str">
            <v>11-01-05-0001</v>
          </cell>
          <cell r="B36">
            <v>0</v>
          </cell>
          <cell r="C36" t="str">
            <v xml:space="preserve">  LONG TERM LOANS FROM BANK MPBL LOAN #</v>
          </cell>
          <cell r="D36">
            <v>0</v>
          </cell>
          <cell r="E36">
            <v>0</v>
          </cell>
          <cell r="F36">
            <v>0</v>
          </cell>
          <cell r="G36">
            <v>0</v>
          </cell>
        </row>
        <row r="37">
          <cell r="A37" t="str">
            <v>11-01-06</v>
          </cell>
          <cell r="B37">
            <v>0</v>
          </cell>
          <cell r="C37" t="str">
            <v>***LONG TERM LOANS FROM BANK AG ZURICH</v>
          </cell>
          <cell r="D37">
            <v>0</v>
          </cell>
          <cell r="E37">
            <v>0</v>
          </cell>
          <cell r="F37">
            <v>0</v>
          </cell>
          <cell r="G37">
            <v>0</v>
          </cell>
        </row>
        <row r="38">
          <cell r="A38" t="str">
            <v>11-01-06-0001</v>
          </cell>
          <cell r="B38">
            <v>0</v>
          </cell>
          <cell r="C38" t="str">
            <v xml:space="preserve">  LONG TERM LOANS FROM BANK AG ZURICH LO</v>
          </cell>
          <cell r="D38">
            <v>0</v>
          </cell>
          <cell r="E38">
            <v>0</v>
          </cell>
          <cell r="F38">
            <v>0</v>
          </cell>
          <cell r="G38">
            <v>0</v>
          </cell>
        </row>
        <row r="39">
          <cell r="A39" t="str">
            <v>11-01-08</v>
          </cell>
          <cell r="B39">
            <v>0</v>
          </cell>
          <cell r="C39" t="str">
            <v>***LONG TERM LOANS FROM UNITED BANK LIMI</v>
          </cell>
          <cell r="D39">
            <v>0</v>
          </cell>
          <cell r="E39">
            <v>785000000</v>
          </cell>
          <cell r="F39">
            <v>0</v>
          </cell>
          <cell r="G39">
            <v>785000000</v>
          </cell>
        </row>
        <row r="40">
          <cell r="A40" t="str">
            <v>11-01-08-0001</v>
          </cell>
          <cell r="B40">
            <v>784999936</v>
          </cell>
          <cell r="C40" t="str">
            <v xml:space="preserve">  LONG TERM LOAN UBL A/C #741-0376-4 NID</v>
          </cell>
          <cell r="D40">
            <v>0</v>
          </cell>
          <cell r="E40">
            <v>610000000</v>
          </cell>
          <cell r="F40">
            <v>0</v>
          </cell>
          <cell r="G40">
            <v>0</v>
          </cell>
        </row>
        <row r="41">
          <cell r="A41" t="str">
            <v>11-01-08-0002</v>
          </cell>
          <cell r="B41">
            <v>0</v>
          </cell>
          <cell r="C41" t="str">
            <v xml:space="preserve">  SYNDICATE TERM FINANCE U.B.L</v>
          </cell>
          <cell r="D41">
            <v>0</v>
          </cell>
          <cell r="E41">
            <v>175000000</v>
          </cell>
          <cell r="F41">
            <v>0</v>
          </cell>
          <cell r="G41">
            <v>0</v>
          </cell>
        </row>
        <row r="42">
          <cell r="A42" t="str">
            <v>11-01-08-0003</v>
          </cell>
          <cell r="B42">
            <v>0</v>
          </cell>
          <cell r="C42" t="str">
            <v xml:space="preserve">  LONG TERM LOAN U.B.L A/C # 670-3093-0</v>
          </cell>
          <cell r="D42">
            <v>0</v>
          </cell>
          <cell r="E42">
            <v>0</v>
          </cell>
          <cell r="F42">
            <v>0</v>
          </cell>
          <cell r="G42">
            <v>0</v>
          </cell>
        </row>
        <row r="43">
          <cell r="A43" t="str">
            <v>11-01-09</v>
          </cell>
          <cell r="B43">
            <v>0</v>
          </cell>
          <cell r="C43" t="str">
            <v>***LONG TERM LOANS FROM ABN-AMRO</v>
          </cell>
          <cell r="D43">
            <v>0</v>
          </cell>
          <cell r="E43">
            <v>0</v>
          </cell>
          <cell r="F43">
            <v>0</v>
          </cell>
          <cell r="G43">
            <v>0</v>
          </cell>
        </row>
        <row r="44">
          <cell r="A44" t="str">
            <v>11-01-09-0001</v>
          </cell>
          <cell r="B44">
            <v>0</v>
          </cell>
          <cell r="C44" t="str">
            <v xml:space="preserve">  LONG TERM LOAN FROM ABN AMRO.</v>
          </cell>
          <cell r="D44">
            <v>0</v>
          </cell>
          <cell r="E44">
            <v>0</v>
          </cell>
          <cell r="F44">
            <v>0</v>
          </cell>
          <cell r="G44">
            <v>0</v>
          </cell>
        </row>
        <row r="45">
          <cell r="A45" t="str">
            <v>11-02</v>
          </cell>
          <cell r="B45">
            <v>0</v>
          </cell>
          <cell r="C45" t="str">
            <v>**LONG TERM LOANS FROM LEASING CO.</v>
          </cell>
          <cell r="D45">
            <v>0</v>
          </cell>
          <cell r="E45">
            <v>0</v>
          </cell>
          <cell r="F45">
            <v>0</v>
          </cell>
          <cell r="G45">
            <v>0</v>
          </cell>
        </row>
        <row r="46">
          <cell r="A46" t="str">
            <v>11-02-01</v>
          </cell>
          <cell r="B46">
            <v>0</v>
          </cell>
          <cell r="C46" t="str">
            <v>***LONG TERM LOANS FROM LEASING CO.NDLC</v>
          </cell>
          <cell r="D46">
            <v>0</v>
          </cell>
          <cell r="E46">
            <v>0</v>
          </cell>
          <cell r="F46">
            <v>0</v>
          </cell>
          <cell r="G46">
            <v>0</v>
          </cell>
        </row>
        <row r="47">
          <cell r="A47" t="str">
            <v>11-02-01-0001</v>
          </cell>
          <cell r="B47">
            <v>0</v>
          </cell>
          <cell r="C47" t="str">
            <v xml:space="preserve">  OBLIGATION UNDER FINANCE LEASE (NDLC)</v>
          </cell>
          <cell r="D47">
            <v>0</v>
          </cell>
          <cell r="E47">
            <v>0</v>
          </cell>
          <cell r="F47">
            <v>0</v>
          </cell>
          <cell r="G47">
            <v>0</v>
          </cell>
        </row>
        <row r="48">
          <cell r="A48" t="str">
            <v>14</v>
          </cell>
          <cell r="B48">
            <v>0</v>
          </cell>
          <cell r="C48" t="str">
            <v>*DEFERRED LIABILITIES</v>
          </cell>
          <cell r="D48">
            <v>0</v>
          </cell>
          <cell r="E48">
            <v>336285887</v>
          </cell>
          <cell r="F48">
            <v>0</v>
          </cell>
          <cell r="G48">
            <v>336285887</v>
          </cell>
        </row>
        <row r="49">
          <cell r="A49" t="str">
            <v>14-01</v>
          </cell>
          <cell r="B49">
            <v>336285696</v>
          </cell>
          <cell r="C49" t="str">
            <v>**PROVISION FOR DEFERRED TAXATION</v>
          </cell>
          <cell r="D49">
            <v>0</v>
          </cell>
          <cell r="E49">
            <v>0</v>
          </cell>
          <cell r="F49">
            <v>0</v>
          </cell>
          <cell r="G49">
            <v>0</v>
          </cell>
        </row>
        <row r="50">
          <cell r="A50" t="str">
            <v>14-01-01</v>
          </cell>
          <cell r="B50">
            <v>0</v>
          </cell>
          <cell r="C50" t="str">
            <v>***PROVISION FOR DEFERRED TAXATION</v>
          </cell>
          <cell r="D50">
            <v>0</v>
          </cell>
          <cell r="E50">
            <v>0</v>
          </cell>
          <cell r="F50">
            <v>0</v>
          </cell>
          <cell r="G50">
            <v>0</v>
          </cell>
        </row>
        <row r="51">
          <cell r="A51" t="str">
            <v>14-01-01-0001</v>
          </cell>
          <cell r="B51">
            <v>0</v>
          </cell>
          <cell r="C51" t="str">
            <v xml:space="preserve">  PROVISION FOR DEFERRED TAXATION</v>
          </cell>
          <cell r="D51">
            <v>0</v>
          </cell>
          <cell r="E51">
            <v>0</v>
          </cell>
          <cell r="F51">
            <v>0</v>
          </cell>
          <cell r="G51">
            <v>0</v>
          </cell>
        </row>
        <row r="52">
          <cell r="A52" t="str">
            <v>14-02</v>
          </cell>
          <cell r="B52">
            <v>0</v>
          </cell>
          <cell r="C52" t="str">
            <v>**PROVISION FOR GRATUITY</v>
          </cell>
          <cell r="D52">
            <v>0</v>
          </cell>
          <cell r="E52">
            <v>44964815</v>
          </cell>
          <cell r="F52">
            <v>0</v>
          </cell>
          <cell r="G52">
            <v>44964815</v>
          </cell>
        </row>
        <row r="53">
          <cell r="A53" t="str">
            <v>14-02-01</v>
          </cell>
          <cell r="B53">
            <v>44964800</v>
          </cell>
          <cell r="C53" t="str">
            <v>***PROVISION FOR GRATUITY</v>
          </cell>
          <cell r="D53">
            <v>0</v>
          </cell>
          <cell r="E53">
            <v>44964815</v>
          </cell>
          <cell r="F53">
            <v>0</v>
          </cell>
          <cell r="G53">
            <v>44964815</v>
          </cell>
        </row>
        <row r="54">
          <cell r="A54" t="str">
            <v>14-02-01-0001</v>
          </cell>
          <cell r="B54">
            <v>44964800</v>
          </cell>
          <cell r="C54" t="str">
            <v xml:space="preserve">  PROVISION FOR GRATUITY    FACTORY</v>
          </cell>
          <cell r="D54">
            <v>0</v>
          </cell>
          <cell r="E54">
            <v>41371826</v>
          </cell>
          <cell r="F54">
            <v>0</v>
          </cell>
          <cell r="G54">
            <v>0</v>
          </cell>
        </row>
        <row r="55">
          <cell r="A55" t="str">
            <v>14-02-01-0002</v>
          </cell>
          <cell r="B55">
            <v>0</v>
          </cell>
          <cell r="C55" t="str">
            <v xml:space="preserve">  PROVISION FOR GRATUITY    KARACHI</v>
          </cell>
          <cell r="D55">
            <v>0</v>
          </cell>
          <cell r="E55">
            <v>3509708</v>
          </cell>
          <cell r="F55">
            <v>0</v>
          </cell>
          <cell r="G55">
            <v>0</v>
          </cell>
        </row>
        <row r="56">
          <cell r="A56" t="str">
            <v>14-02-01-0003</v>
          </cell>
          <cell r="B56">
            <v>0</v>
          </cell>
          <cell r="C56" t="str">
            <v xml:space="preserve">  PROVISION FOR GRATUITY    PESHAWAR</v>
          </cell>
          <cell r="D56">
            <v>0</v>
          </cell>
          <cell r="E56">
            <v>83281</v>
          </cell>
          <cell r="F56">
            <v>0</v>
          </cell>
          <cell r="G56">
            <v>0</v>
          </cell>
        </row>
        <row r="57">
          <cell r="A57" t="str">
            <v>14-03</v>
          </cell>
          <cell r="B57">
            <v>0</v>
          </cell>
          <cell r="C57" t="str">
            <v>**OTHER DEFERRED LIABILITY</v>
          </cell>
          <cell r="D57">
            <v>0</v>
          </cell>
          <cell r="E57">
            <v>291321072</v>
          </cell>
          <cell r="F57">
            <v>0</v>
          </cell>
          <cell r="G57">
            <v>291321072</v>
          </cell>
        </row>
        <row r="58">
          <cell r="A58" t="str">
            <v>14-03-01</v>
          </cell>
          <cell r="B58">
            <v>291320832</v>
          </cell>
          <cell r="C58" t="str">
            <v>***OTHER DEFERRED LIABILITY</v>
          </cell>
          <cell r="D58">
            <v>0</v>
          </cell>
          <cell r="E58">
            <v>291321072</v>
          </cell>
          <cell r="F58">
            <v>0</v>
          </cell>
          <cell r="G58">
            <v>291321072</v>
          </cell>
        </row>
        <row r="59">
          <cell r="A59" t="str">
            <v>14-03-01-0001</v>
          </cell>
          <cell r="B59">
            <v>291320832</v>
          </cell>
          <cell r="C59" t="str">
            <v xml:space="preserve">  DEFERRED RENTAL INCOME (SAIF TEX. )</v>
          </cell>
          <cell r="D59">
            <v>0</v>
          </cell>
          <cell r="E59">
            <v>0</v>
          </cell>
          <cell r="F59">
            <v>0</v>
          </cell>
          <cell r="G59">
            <v>0</v>
          </cell>
        </row>
        <row r="60">
          <cell r="A60" t="str">
            <v>14-03-01-0002</v>
          </cell>
          <cell r="B60">
            <v>0</v>
          </cell>
          <cell r="C60" t="str">
            <v xml:space="preserve">  DEFERRED TAXATION</v>
          </cell>
          <cell r="D60">
            <v>0</v>
          </cell>
          <cell r="E60">
            <v>143000000</v>
          </cell>
          <cell r="F60">
            <v>0</v>
          </cell>
          <cell r="G60">
            <v>0</v>
          </cell>
        </row>
        <row r="61">
          <cell r="A61" t="str">
            <v>14-03-01-0003</v>
          </cell>
          <cell r="B61">
            <v>0</v>
          </cell>
          <cell r="C61" t="str">
            <v xml:space="preserve">  PROVISION FOR ELECTRICITY CHARGES</v>
          </cell>
          <cell r="D61">
            <v>0</v>
          </cell>
          <cell r="E61">
            <v>148321072</v>
          </cell>
          <cell r="F61">
            <v>0</v>
          </cell>
          <cell r="G61">
            <v>0</v>
          </cell>
        </row>
        <row r="62">
          <cell r="A62" t="str">
            <v>20</v>
          </cell>
          <cell r="B62">
            <v>0</v>
          </cell>
          <cell r="C62" t="str">
            <v>*CURRENT PORTION OF LONG TERM LOAN</v>
          </cell>
          <cell r="D62">
            <v>0</v>
          </cell>
          <cell r="E62">
            <v>0</v>
          </cell>
          <cell r="F62">
            <v>0</v>
          </cell>
          <cell r="G62">
            <v>0</v>
          </cell>
        </row>
        <row r="63">
          <cell r="A63" t="str">
            <v>20-01</v>
          </cell>
          <cell r="B63">
            <v>0</v>
          </cell>
          <cell r="C63" t="str">
            <v>**CURRENT PORTION OF LONG TERM LOAN BANK</v>
          </cell>
          <cell r="D63">
            <v>0</v>
          </cell>
          <cell r="E63">
            <v>0</v>
          </cell>
          <cell r="F63">
            <v>0</v>
          </cell>
          <cell r="G63">
            <v>0</v>
          </cell>
        </row>
        <row r="64">
          <cell r="A64" t="str">
            <v>20-01-01</v>
          </cell>
          <cell r="B64">
            <v>0</v>
          </cell>
          <cell r="C64" t="str">
            <v>***CURRENT PORTION OF LONG TERM LOAN BAN</v>
          </cell>
          <cell r="D64">
            <v>0</v>
          </cell>
          <cell r="E64">
            <v>0</v>
          </cell>
          <cell r="F64">
            <v>0</v>
          </cell>
          <cell r="G64">
            <v>0</v>
          </cell>
        </row>
        <row r="65">
          <cell r="A65" t="str">
            <v>20-01-01-0001</v>
          </cell>
          <cell r="B65">
            <v>0</v>
          </cell>
          <cell r="C65" t="str">
            <v xml:space="preserve">  CURRENT PORTION OF HBL FAF LOAN</v>
          </cell>
          <cell r="D65">
            <v>0</v>
          </cell>
          <cell r="E65">
            <v>0</v>
          </cell>
          <cell r="F65">
            <v>0</v>
          </cell>
          <cell r="G65">
            <v>0</v>
          </cell>
        </row>
        <row r="66">
          <cell r="A66" t="str">
            <v>20-01-02</v>
          </cell>
          <cell r="B66">
            <v>0</v>
          </cell>
          <cell r="C66" t="str">
            <v>***CURRENT PORTION LONG TERM LOAAN FROM</v>
          </cell>
          <cell r="D66">
            <v>0</v>
          </cell>
          <cell r="E66">
            <v>0</v>
          </cell>
          <cell r="F66">
            <v>0</v>
          </cell>
          <cell r="G66">
            <v>0</v>
          </cell>
        </row>
        <row r="67">
          <cell r="A67" t="str">
            <v>20-01-02-0001</v>
          </cell>
          <cell r="B67">
            <v>0</v>
          </cell>
          <cell r="C67" t="str">
            <v xml:space="preserve">  CURRENT PORTION OF MCB FAF-I LOAN  80</v>
          </cell>
          <cell r="D67">
            <v>0</v>
          </cell>
          <cell r="E67">
            <v>0</v>
          </cell>
          <cell r="F67">
            <v>0</v>
          </cell>
          <cell r="G67">
            <v>0</v>
          </cell>
        </row>
        <row r="68">
          <cell r="A68" t="str">
            <v>20-01-02-0002</v>
          </cell>
          <cell r="B68">
            <v>0</v>
          </cell>
          <cell r="C68" t="str">
            <v xml:space="preserve">  CURRENT PORTION OF MCB FAF-II LOAN 166</v>
          </cell>
          <cell r="D68">
            <v>0</v>
          </cell>
          <cell r="E68">
            <v>0</v>
          </cell>
          <cell r="F68">
            <v>0</v>
          </cell>
          <cell r="G68">
            <v>0</v>
          </cell>
        </row>
        <row r="69">
          <cell r="A69" t="str">
            <v>20-02</v>
          </cell>
          <cell r="B69">
            <v>0</v>
          </cell>
          <cell r="C69" t="str">
            <v>**CURRENT PORTION OF LONG TERM LOAN LEAS</v>
          </cell>
          <cell r="D69">
            <v>0</v>
          </cell>
          <cell r="E69">
            <v>0</v>
          </cell>
          <cell r="F69">
            <v>0</v>
          </cell>
          <cell r="G69">
            <v>0</v>
          </cell>
        </row>
        <row r="70">
          <cell r="A70" t="str">
            <v>20-02-01</v>
          </cell>
          <cell r="B70">
            <v>0</v>
          </cell>
          <cell r="C70" t="str">
            <v>***CURRENT PORTION OF LONG TERM LOAN NDL</v>
          </cell>
          <cell r="D70">
            <v>0</v>
          </cell>
          <cell r="E70">
            <v>0</v>
          </cell>
          <cell r="F70">
            <v>0</v>
          </cell>
          <cell r="G70">
            <v>0</v>
          </cell>
        </row>
        <row r="71">
          <cell r="A71" t="str">
            <v>20-02-01-0001</v>
          </cell>
          <cell r="B71">
            <v>0</v>
          </cell>
          <cell r="C71" t="str">
            <v xml:space="preserve">  CURRENT PORTION OF LONG TERM LOAN NDLC</v>
          </cell>
          <cell r="D71">
            <v>0</v>
          </cell>
          <cell r="E71">
            <v>0</v>
          </cell>
          <cell r="F71">
            <v>0</v>
          </cell>
          <cell r="G71">
            <v>0</v>
          </cell>
        </row>
        <row r="72">
          <cell r="A72" t="str">
            <v>21</v>
          </cell>
          <cell r="B72">
            <v>0</v>
          </cell>
          <cell r="C72" t="str">
            <v>*SHORT TERM BORROWINGS &amp; RUNNING FINANCE</v>
          </cell>
          <cell r="D72">
            <v>0</v>
          </cell>
          <cell r="E72">
            <v>735188525.32000005</v>
          </cell>
          <cell r="F72">
            <v>0</v>
          </cell>
          <cell r="G72">
            <v>735188525.32000005</v>
          </cell>
        </row>
        <row r="73">
          <cell r="A73" t="str">
            <v>21-01</v>
          </cell>
          <cell r="B73">
            <v>735188480</v>
          </cell>
          <cell r="C73" t="str">
            <v>**TRUST RECIEPTS</v>
          </cell>
          <cell r="D73">
            <v>0</v>
          </cell>
          <cell r="E73">
            <v>0</v>
          </cell>
          <cell r="F73">
            <v>0</v>
          </cell>
          <cell r="G73">
            <v>0</v>
          </cell>
        </row>
        <row r="74">
          <cell r="A74" t="str">
            <v>21-01-01</v>
          </cell>
          <cell r="B74">
            <v>0</v>
          </cell>
          <cell r="C74" t="str">
            <v>***TRUST RECIEPTS HBL</v>
          </cell>
          <cell r="D74">
            <v>0</v>
          </cell>
          <cell r="E74">
            <v>0</v>
          </cell>
          <cell r="F74">
            <v>0</v>
          </cell>
          <cell r="G74">
            <v>0</v>
          </cell>
        </row>
        <row r="75">
          <cell r="A75" t="str">
            <v>21-01-01-0001</v>
          </cell>
          <cell r="B75">
            <v>0</v>
          </cell>
          <cell r="C75" t="str">
            <v xml:space="preserve">  HBL TR ACCOUNT PESHAWAR CANTT</v>
          </cell>
          <cell r="D75">
            <v>0</v>
          </cell>
          <cell r="E75">
            <v>0</v>
          </cell>
          <cell r="F75">
            <v>0</v>
          </cell>
          <cell r="G75">
            <v>0</v>
          </cell>
        </row>
        <row r="76">
          <cell r="A76" t="str">
            <v>21-01-02</v>
          </cell>
          <cell r="B76">
            <v>0</v>
          </cell>
          <cell r="C76" t="str">
            <v>***TRUST RECIEPTS MCB</v>
          </cell>
          <cell r="D76">
            <v>0</v>
          </cell>
          <cell r="E76">
            <v>0</v>
          </cell>
          <cell r="F76">
            <v>0</v>
          </cell>
          <cell r="G76">
            <v>0</v>
          </cell>
        </row>
        <row r="77">
          <cell r="A77" t="str">
            <v>21-01-02-0001</v>
          </cell>
          <cell r="B77">
            <v>0</v>
          </cell>
          <cell r="C77" t="str">
            <v xml:space="preserve">  MCB TR ACCOUNT</v>
          </cell>
          <cell r="D77">
            <v>0</v>
          </cell>
          <cell r="E77">
            <v>0</v>
          </cell>
          <cell r="F77">
            <v>0</v>
          </cell>
          <cell r="G77">
            <v>0</v>
          </cell>
        </row>
        <row r="78">
          <cell r="A78" t="str">
            <v>21-01-03</v>
          </cell>
          <cell r="B78">
            <v>0</v>
          </cell>
          <cell r="C78" t="str">
            <v>***TRUST RECIEPTS SBL</v>
          </cell>
          <cell r="D78">
            <v>0</v>
          </cell>
          <cell r="E78">
            <v>0</v>
          </cell>
          <cell r="F78">
            <v>0</v>
          </cell>
          <cell r="G78">
            <v>0</v>
          </cell>
        </row>
        <row r="79">
          <cell r="A79" t="str">
            <v>21-01-03-0001</v>
          </cell>
          <cell r="B79">
            <v>0</v>
          </cell>
          <cell r="C79" t="str">
            <v xml:space="preserve">  SBL TR ACCOUNT PESHAWAR A/C # 412-02</v>
          </cell>
          <cell r="D79">
            <v>0</v>
          </cell>
          <cell r="E79">
            <v>0</v>
          </cell>
          <cell r="F79">
            <v>0</v>
          </cell>
          <cell r="G79">
            <v>0</v>
          </cell>
        </row>
        <row r="80">
          <cell r="A80" t="str">
            <v>21-01-05</v>
          </cell>
          <cell r="B80">
            <v>0</v>
          </cell>
          <cell r="C80" t="str">
            <v>***TRUST RECEIPTS METROPOLITAN BANK.</v>
          </cell>
          <cell r="D80">
            <v>0</v>
          </cell>
          <cell r="E80">
            <v>0</v>
          </cell>
          <cell r="F80">
            <v>0</v>
          </cell>
          <cell r="G80">
            <v>0</v>
          </cell>
        </row>
        <row r="81">
          <cell r="A81" t="str">
            <v>21-01-05-0001</v>
          </cell>
          <cell r="B81">
            <v>0</v>
          </cell>
          <cell r="C81" t="str">
            <v xml:space="preserve">  MPB TR PESHAWAR # 10815-714-100392.</v>
          </cell>
          <cell r="D81">
            <v>0</v>
          </cell>
          <cell r="E81">
            <v>0</v>
          </cell>
          <cell r="F81">
            <v>0</v>
          </cell>
          <cell r="G81">
            <v>0</v>
          </cell>
        </row>
        <row r="82">
          <cell r="A82" t="str">
            <v>21-01-05-0002</v>
          </cell>
          <cell r="B82">
            <v>0</v>
          </cell>
          <cell r="C82" t="str">
            <v xml:space="preserve">  MPB PESHAWAR PAD AC# 10620-714-100392</v>
          </cell>
          <cell r="D82">
            <v>0</v>
          </cell>
          <cell r="E82">
            <v>0</v>
          </cell>
          <cell r="F82">
            <v>0</v>
          </cell>
          <cell r="G82">
            <v>0</v>
          </cell>
        </row>
        <row r="83">
          <cell r="A83" t="str">
            <v>21-02</v>
          </cell>
          <cell r="B83">
            <v>0</v>
          </cell>
          <cell r="C83" t="str">
            <v>**PLEDGE</v>
          </cell>
          <cell r="D83">
            <v>0</v>
          </cell>
          <cell r="E83">
            <v>0</v>
          </cell>
          <cell r="F83">
            <v>0</v>
          </cell>
          <cell r="G83">
            <v>0</v>
          </cell>
        </row>
        <row r="84">
          <cell r="A84" t="str">
            <v>21-02-01</v>
          </cell>
          <cell r="B84">
            <v>0</v>
          </cell>
          <cell r="C84" t="str">
            <v>***HBL PLEDGE PESHAWAR CANTT</v>
          </cell>
          <cell r="D84">
            <v>0</v>
          </cell>
          <cell r="E84">
            <v>0</v>
          </cell>
          <cell r="F84">
            <v>0</v>
          </cell>
          <cell r="G84">
            <v>0</v>
          </cell>
        </row>
        <row r="85">
          <cell r="A85" t="str">
            <v>21-02-01-0001</v>
          </cell>
          <cell r="B85">
            <v>0</v>
          </cell>
          <cell r="C85" t="str">
            <v xml:space="preserve">  HBL PLEDGE PESHAWAR CANTT</v>
          </cell>
          <cell r="D85">
            <v>0</v>
          </cell>
          <cell r="E85">
            <v>0</v>
          </cell>
          <cell r="F85">
            <v>0</v>
          </cell>
          <cell r="G85">
            <v>0</v>
          </cell>
        </row>
        <row r="86">
          <cell r="A86" t="str">
            <v>21-02-04</v>
          </cell>
          <cell r="B86">
            <v>0</v>
          </cell>
          <cell r="C86" t="str">
            <v>***CITIBANK</v>
          </cell>
          <cell r="D86">
            <v>0</v>
          </cell>
          <cell r="E86">
            <v>0</v>
          </cell>
          <cell r="F86">
            <v>0</v>
          </cell>
          <cell r="G86">
            <v>0</v>
          </cell>
        </row>
        <row r="87">
          <cell r="A87" t="str">
            <v>21-02-04-0001</v>
          </cell>
          <cell r="B87">
            <v>0</v>
          </cell>
          <cell r="C87" t="str">
            <v xml:space="preserve">  CITIBANK DEMAND FINANCE (PLEDGE)</v>
          </cell>
          <cell r="D87">
            <v>0</v>
          </cell>
          <cell r="E87">
            <v>0</v>
          </cell>
          <cell r="F87">
            <v>0</v>
          </cell>
          <cell r="G87">
            <v>0</v>
          </cell>
        </row>
        <row r="88">
          <cell r="A88" t="str">
            <v>21-02-05</v>
          </cell>
          <cell r="B88">
            <v>0</v>
          </cell>
          <cell r="C88" t="str">
            <v>***LOAN FROM METROPOLITAN BANK LIMITED</v>
          </cell>
          <cell r="D88">
            <v>0</v>
          </cell>
          <cell r="E88">
            <v>0</v>
          </cell>
          <cell r="F88">
            <v>0</v>
          </cell>
          <cell r="G88">
            <v>0</v>
          </cell>
        </row>
        <row r="89">
          <cell r="A89" t="str">
            <v>21-02-05-0001</v>
          </cell>
          <cell r="B89">
            <v>0</v>
          </cell>
          <cell r="C89" t="str">
            <v xml:space="preserve">  TERM LOAN METROPOLITAN BANK LTD</v>
          </cell>
          <cell r="D89">
            <v>0</v>
          </cell>
          <cell r="E89">
            <v>0</v>
          </cell>
          <cell r="F89">
            <v>0</v>
          </cell>
          <cell r="G89">
            <v>0</v>
          </cell>
        </row>
        <row r="90">
          <cell r="A90" t="str">
            <v>21-03</v>
          </cell>
          <cell r="B90">
            <v>0</v>
          </cell>
          <cell r="C90" t="str">
            <v>**EXPORT RE-FINANACE</v>
          </cell>
          <cell r="D90">
            <v>0</v>
          </cell>
          <cell r="E90">
            <v>90991841.319999993</v>
          </cell>
          <cell r="F90">
            <v>0</v>
          </cell>
          <cell r="G90">
            <v>90991841.319999993</v>
          </cell>
        </row>
        <row r="91">
          <cell r="A91" t="str">
            <v>21-03-01</v>
          </cell>
          <cell r="B91">
            <v>90991808</v>
          </cell>
          <cell r="C91" t="str">
            <v>***EXPORT RE-FINANACE HBL</v>
          </cell>
          <cell r="D91">
            <v>0</v>
          </cell>
          <cell r="E91">
            <v>0</v>
          </cell>
          <cell r="F91">
            <v>0</v>
          </cell>
          <cell r="G91">
            <v>0</v>
          </cell>
        </row>
        <row r="92">
          <cell r="A92" t="str">
            <v>21-03-01-0001</v>
          </cell>
          <cell r="B92">
            <v>0</v>
          </cell>
          <cell r="C92" t="str">
            <v xml:space="preserve">  F.C.LOAN HBL CORPARATE $ 3000,000 @60.</v>
          </cell>
          <cell r="D92">
            <v>0</v>
          </cell>
          <cell r="E92">
            <v>0</v>
          </cell>
          <cell r="F92">
            <v>0</v>
          </cell>
          <cell r="G92">
            <v>0</v>
          </cell>
        </row>
        <row r="93">
          <cell r="A93" t="str">
            <v>21-03-01-0002</v>
          </cell>
          <cell r="B93">
            <v>0</v>
          </cell>
          <cell r="C93" t="str">
            <v xml:space="preserve">  F.C.LOAN HBL CORPORATE $ 1300,000 @59.</v>
          </cell>
          <cell r="D93">
            <v>0</v>
          </cell>
          <cell r="E93">
            <v>0</v>
          </cell>
          <cell r="F93">
            <v>0</v>
          </cell>
          <cell r="G93">
            <v>0</v>
          </cell>
        </row>
        <row r="94">
          <cell r="A94" t="str">
            <v>21-03-01-0003</v>
          </cell>
          <cell r="B94">
            <v>0</v>
          </cell>
          <cell r="C94" t="str">
            <v xml:space="preserve">  F.C.LOAN HBL CORPORATE $ 1700,000 @58.</v>
          </cell>
          <cell r="D94">
            <v>0</v>
          </cell>
          <cell r="E94">
            <v>0</v>
          </cell>
          <cell r="F94">
            <v>0</v>
          </cell>
          <cell r="G94">
            <v>0</v>
          </cell>
        </row>
        <row r="95">
          <cell r="A95" t="str">
            <v>21-03-01-0004</v>
          </cell>
          <cell r="B95">
            <v>0</v>
          </cell>
          <cell r="C95" t="str">
            <v xml:space="preserve">  F.C.LOAN HBL CORPORATE $  400,000 @58.</v>
          </cell>
          <cell r="D95">
            <v>0</v>
          </cell>
          <cell r="E95">
            <v>0</v>
          </cell>
          <cell r="F95">
            <v>0</v>
          </cell>
          <cell r="G95">
            <v>0</v>
          </cell>
        </row>
        <row r="96">
          <cell r="A96" t="str">
            <v>21-03-01-0005</v>
          </cell>
          <cell r="B96">
            <v>0</v>
          </cell>
          <cell r="C96" t="str">
            <v xml:space="preserve">  F.C.LOAN HBL CORPORATE $ 1000,000 @58.</v>
          </cell>
          <cell r="D96">
            <v>0</v>
          </cell>
          <cell r="E96">
            <v>0</v>
          </cell>
          <cell r="F96">
            <v>0</v>
          </cell>
          <cell r="G96">
            <v>0</v>
          </cell>
        </row>
        <row r="97">
          <cell r="A97" t="str">
            <v>21-03-01-0006</v>
          </cell>
          <cell r="B97">
            <v>0</v>
          </cell>
          <cell r="C97" t="str">
            <v xml:space="preserve">  F.C.LOAN HBL CORPORTAE $ 1000,000 @58.</v>
          </cell>
          <cell r="D97">
            <v>0</v>
          </cell>
          <cell r="E97">
            <v>0</v>
          </cell>
          <cell r="F97">
            <v>0</v>
          </cell>
          <cell r="G97">
            <v>0</v>
          </cell>
        </row>
        <row r="98">
          <cell r="A98" t="str">
            <v>21-03-01-0007</v>
          </cell>
          <cell r="B98">
            <v>0</v>
          </cell>
          <cell r="C98" t="str">
            <v xml:space="preserve">  F.C.LOAN HBL CORPORATE $  500,000 @58.</v>
          </cell>
          <cell r="D98">
            <v>0</v>
          </cell>
          <cell r="E98">
            <v>0</v>
          </cell>
          <cell r="F98">
            <v>0</v>
          </cell>
          <cell r="G98">
            <v>0</v>
          </cell>
        </row>
        <row r="99">
          <cell r="A99" t="str">
            <v>21-03-01-0008</v>
          </cell>
          <cell r="B99">
            <v>0</v>
          </cell>
          <cell r="C99" t="str">
            <v xml:space="preserve">  F.C.LOAN HABIB BANK $ 1,000,000 @ 57.3</v>
          </cell>
          <cell r="D99">
            <v>0</v>
          </cell>
          <cell r="E99">
            <v>0</v>
          </cell>
          <cell r="F99">
            <v>0</v>
          </cell>
          <cell r="G99">
            <v>0</v>
          </cell>
        </row>
        <row r="100">
          <cell r="A100" t="str">
            <v>21-03-01-0009</v>
          </cell>
          <cell r="B100">
            <v>0</v>
          </cell>
          <cell r="C100" t="str">
            <v xml:space="preserve">  F.C LOAN HBL $ 1,000,000 @ 57.44</v>
          </cell>
          <cell r="D100">
            <v>0</v>
          </cell>
          <cell r="E100">
            <v>0</v>
          </cell>
          <cell r="F100">
            <v>0</v>
          </cell>
          <cell r="G100">
            <v>0</v>
          </cell>
        </row>
        <row r="101">
          <cell r="A101" t="str">
            <v>21-03-02</v>
          </cell>
          <cell r="B101">
            <v>0</v>
          </cell>
          <cell r="C101" t="str">
            <v>***FOREIGN CURRENCY LOAN UNION BANK.</v>
          </cell>
          <cell r="D101">
            <v>0</v>
          </cell>
          <cell r="E101">
            <v>35038349.119999997</v>
          </cell>
          <cell r="F101">
            <v>0</v>
          </cell>
          <cell r="G101">
            <v>35038349.119999997</v>
          </cell>
        </row>
        <row r="102">
          <cell r="A102" t="str">
            <v>21-03-02-0001</v>
          </cell>
          <cell r="B102">
            <v>35038336</v>
          </cell>
          <cell r="C102" t="str">
            <v xml:space="preserve">  F.C LOAN UNION $ 900,000 @ 57.68 180 D</v>
          </cell>
          <cell r="D102">
            <v>0</v>
          </cell>
          <cell r="E102">
            <v>35038349.119999997</v>
          </cell>
          <cell r="F102">
            <v>0</v>
          </cell>
          <cell r="G102">
            <v>0</v>
          </cell>
        </row>
        <row r="103">
          <cell r="A103" t="str">
            <v>21-03-03</v>
          </cell>
          <cell r="B103">
            <v>0</v>
          </cell>
          <cell r="C103" t="str">
            <v>***EXPORT RE-FINANCE LOAN SONERI BANK</v>
          </cell>
          <cell r="D103">
            <v>0</v>
          </cell>
          <cell r="E103">
            <v>0</v>
          </cell>
          <cell r="F103">
            <v>0</v>
          </cell>
          <cell r="G103">
            <v>0</v>
          </cell>
        </row>
        <row r="104">
          <cell r="A104" t="str">
            <v>21-03-03-0001</v>
          </cell>
          <cell r="B104">
            <v>0</v>
          </cell>
          <cell r="C104" t="str">
            <v xml:space="preserve">  EXPORT REFINANCE LOAN-SONERI BANK</v>
          </cell>
          <cell r="D104">
            <v>0</v>
          </cell>
          <cell r="E104">
            <v>0</v>
          </cell>
          <cell r="F104">
            <v>0</v>
          </cell>
          <cell r="G104">
            <v>0</v>
          </cell>
        </row>
        <row r="105">
          <cell r="A105" t="str">
            <v>21-03-05</v>
          </cell>
          <cell r="B105">
            <v>0</v>
          </cell>
          <cell r="C105" t="str">
            <v>***EXPORT RE-FINANCE METROPOLITAN BANK</v>
          </cell>
          <cell r="D105">
            <v>0</v>
          </cell>
          <cell r="E105">
            <v>0</v>
          </cell>
          <cell r="F105">
            <v>0</v>
          </cell>
          <cell r="G105">
            <v>0</v>
          </cell>
        </row>
        <row r="106">
          <cell r="A106" t="str">
            <v>21-03-05-0001</v>
          </cell>
          <cell r="B106">
            <v>0</v>
          </cell>
          <cell r="C106" t="str">
            <v xml:space="preserve">  EXPORT REFINANCE LOAN-METROPOLITAN BAN</v>
          </cell>
          <cell r="D106">
            <v>0</v>
          </cell>
          <cell r="E106">
            <v>0</v>
          </cell>
          <cell r="F106">
            <v>0</v>
          </cell>
          <cell r="G106">
            <v>0</v>
          </cell>
        </row>
        <row r="107">
          <cell r="A107" t="str">
            <v>21-03-05-0002</v>
          </cell>
          <cell r="B107">
            <v>0</v>
          </cell>
          <cell r="C107" t="str">
            <v xml:space="preserve">  EXPORT REFINANCE METROPOLITAN POST SHI</v>
          </cell>
          <cell r="D107">
            <v>0</v>
          </cell>
          <cell r="E107">
            <v>0</v>
          </cell>
          <cell r="F107">
            <v>0</v>
          </cell>
          <cell r="G107">
            <v>0</v>
          </cell>
        </row>
        <row r="108">
          <cell r="A108" t="str">
            <v>21-03-06</v>
          </cell>
          <cell r="B108">
            <v>0</v>
          </cell>
          <cell r="C108" t="str">
            <v>***EXPORT RE-FINANCE HB A.G.ZURICH</v>
          </cell>
          <cell r="D108">
            <v>0</v>
          </cell>
          <cell r="E108">
            <v>0</v>
          </cell>
          <cell r="F108">
            <v>0</v>
          </cell>
          <cell r="G108">
            <v>0</v>
          </cell>
        </row>
        <row r="109">
          <cell r="A109" t="str">
            <v>21-03-06-0001</v>
          </cell>
          <cell r="B109">
            <v>0</v>
          </cell>
          <cell r="C109" t="str">
            <v xml:space="preserve">  F.C LOAN HB AG ZURICH $ 1,000,000 @57.</v>
          </cell>
          <cell r="D109">
            <v>0</v>
          </cell>
          <cell r="E109">
            <v>0</v>
          </cell>
          <cell r="F109">
            <v>0</v>
          </cell>
          <cell r="G109">
            <v>0</v>
          </cell>
        </row>
        <row r="110">
          <cell r="A110" t="str">
            <v>21-03-06-0002</v>
          </cell>
          <cell r="B110">
            <v>0</v>
          </cell>
          <cell r="C110" t="str">
            <v xml:space="preserve">  EXPORT REFINANCE HB AG ZURICH POST SHI</v>
          </cell>
          <cell r="D110">
            <v>0</v>
          </cell>
          <cell r="E110">
            <v>0</v>
          </cell>
          <cell r="F110">
            <v>0</v>
          </cell>
          <cell r="G110">
            <v>0</v>
          </cell>
        </row>
        <row r="111">
          <cell r="A111" t="str">
            <v>21-03-06-0003</v>
          </cell>
          <cell r="B111">
            <v>0</v>
          </cell>
          <cell r="C111" t="str">
            <v xml:space="preserve">  F.C.LOAN -ZURICH $ 1,000,000 @ 57.4750</v>
          </cell>
          <cell r="D111">
            <v>0</v>
          </cell>
          <cell r="E111">
            <v>0</v>
          </cell>
          <cell r="F111">
            <v>0</v>
          </cell>
          <cell r="G111">
            <v>0</v>
          </cell>
        </row>
        <row r="112">
          <cell r="A112" t="str">
            <v>21-03-07</v>
          </cell>
          <cell r="B112">
            <v>0</v>
          </cell>
          <cell r="C112" t="str">
            <v>***EXPORT REFINANCE BANK AL-HABIB LTD.</v>
          </cell>
          <cell r="D112">
            <v>0</v>
          </cell>
          <cell r="E112">
            <v>0</v>
          </cell>
          <cell r="F112">
            <v>0</v>
          </cell>
          <cell r="G112">
            <v>0</v>
          </cell>
        </row>
        <row r="113">
          <cell r="A113" t="str">
            <v>21-03-07-0001</v>
          </cell>
          <cell r="B113">
            <v>0</v>
          </cell>
          <cell r="C113" t="str">
            <v xml:space="preserve">  F.C.LOAN BANK AL-HABIB</v>
          </cell>
          <cell r="D113">
            <v>0</v>
          </cell>
          <cell r="E113">
            <v>0</v>
          </cell>
          <cell r="F113">
            <v>0</v>
          </cell>
          <cell r="G113">
            <v>0</v>
          </cell>
        </row>
        <row r="114">
          <cell r="A114" t="str">
            <v>21-03-07-0002</v>
          </cell>
          <cell r="B114">
            <v>0</v>
          </cell>
          <cell r="C114" t="str">
            <v xml:space="preserve">  F.C.LOAN AL-HABIB $ 1000,000 @ 58.72</v>
          </cell>
          <cell r="D114">
            <v>0</v>
          </cell>
          <cell r="E114">
            <v>0</v>
          </cell>
          <cell r="F114">
            <v>0</v>
          </cell>
          <cell r="G114">
            <v>0</v>
          </cell>
        </row>
        <row r="115">
          <cell r="A115" t="str">
            <v>21-03-07-0003</v>
          </cell>
          <cell r="B115">
            <v>0</v>
          </cell>
          <cell r="C115" t="str">
            <v xml:space="preserve">  F.C.LOAN AL-HABIB $ 800,000 @ 58.25</v>
          </cell>
          <cell r="D115">
            <v>0</v>
          </cell>
          <cell r="E115">
            <v>0</v>
          </cell>
          <cell r="F115">
            <v>0</v>
          </cell>
          <cell r="G115">
            <v>0</v>
          </cell>
        </row>
        <row r="116">
          <cell r="A116" t="str">
            <v>21-03-07-0004</v>
          </cell>
          <cell r="B116">
            <v>0</v>
          </cell>
          <cell r="C116" t="str">
            <v xml:space="preserve">  F.C.LOAN AL-HABIB $ 1200,000  @ 58.12</v>
          </cell>
          <cell r="D116">
            <v>0</v>
          </cell>
          <cell r="E116">
            <v>0</v>
          </cell>
          <cell r="F116">
            <v>0</v>
          </cell>
          <cell r="G116">
            <v>0</v>
          </cell>
        </row>
        <row r="117">
          <cell r="A117" t="str">
            <v>21-03-07-0005</v>
          </cell>
          <cell r="B117">
            <v>0</v>
          </cell>
          <cell r="C117" t="str">
            <v xml:space="preserve">  F.C.LOAN AL-HABIB $ 400,000 @ 58.09</v>
          </cell>
          <cell r="D117">
            <v>0</v>
          </cell>
          <cell r="E117">
            <v>0</v>
          </cell>
          <cell r="F117">
            <v>0</v>
          </cell>
          <cell r="G117">
            <v>0</v>
          </cell>
        </row>
        <row r="118">
          <cell r="A118" t="str">
            <v>21-03-07-0006</v>
          </cell>
          <cell r="B118">
            <v>0</v>
          </cell>
          <cell r="C118" t="str">
            <v xml:space="preserve">  F.C LOAN BANK AL-HABIB  $ 1,427,000 @</v>
          </cell>
          <cell r="D118">
            <v>0</v>
          </cell>
          <cell r="E118">
            <v>0</v>
          </cell>
          <cell r="F118">
            <v>0</v>
          </cell>
          <cell r="G118">
            <v>0</v>
          </cell>
        </row>
        <row r="119">
          <cell r="A119" t="str">
            <v>21-03-07-0007</v>
          </cell>
          <cell r="B119">
            <v>0</v>
          </cell>
          <cell r="C119" t="str">
            <v xml:space="preserve">  F.C LOAN BANK AL-HABIB $1,000,000 57.7</v>
          </cell>
          <cell r="D119">
            <v>0</v>
          </cell>
          <cell r="E119">
            <v>0</v>
          </cell>
          <cell r="F119">
            <v>0</v>
          </cell>
          <cell r="G119">
            <v>0</v>
          </cell>
        </row>
        <row r="120">
          <cell r="A120" t="str">
            <v>21-03-07-0008</v>
          </cell>
          <cell r="B120">
            <v>0</v>
          </cell>
          <cell r="C120" t="str">
            <v xml:space="preserve">  F.C LOAN BANK AL-HABIB $ 1000,000 @57.</v>
          </cell>
          <cell r="D120">
            <v>0</v>
          </cell>
          <cell r="E120">
            <v>0</v>
          </cell>
          <cell r="F120">
            <v>0</v>
          </cell>
          <cell r="G120">
            <v>0</v>
          </cell>
        </row>
        <row r="121">
          <cell r="A121" t="str">
            <v>21-03-07-0009</v>
          </cell>
          <cell r="B121">
            <v>0</v>
          </cell>
          <cell r="C121" t="str">
            <v xml:space="preserve">  F.C LOAN BANK AL-HABIB $1000,000 @ 57.</v>
          </cell>
          <cell r="D121">
            <v>0</v>
          </cell>
          <cell r="E121">
            <v>0</v>
          </cell>
          <cell r="F121">
            <v>0</v>
          </cell>
          <cell r="G121">
            <v>0</v>
          </cell>
        </row>
        <row r="122">
          <cell r="A122" t="str">
            <v>21-03-07-0010</v>
          </cell>
          <cell r="B122">
            <v>0</v>
          </cell>
          <cell r="C122" t="str">
            <v xml:space="preserve">  F.C LOAN BANK AL-HABIB $ 875000 @ 57.2</v>
          </cell>
          <cell r="D122">
            <v>0</v>
          </cell>
          <cell r="E122">
            <v>0</v>
          </cell>
          <cell r="F122">
            <v>0</v>
          </cell>
          <cell r="G122">
            <v>0</v>
          </cell>
        </row>
        <row r="123">
          <cell r="A123" t="str">
            <v>21-03-07-0011</v>
          </cell>
          <cell r="B123">
            <v>0</v>
          </cell>
          <cell r="C123" t="str">
            <v xml:space="preserve">  F.C LOAN BANK AL-HABIB $1,750,000 @57.</v>
          </cell>
          <cell r="D123">
            <v>0</v>
          </cell>
          <cell r="E123">
            <v>0</v>
          </cell>
          <cell r="F123">
            <v>0</v>
          </cell>
          <cell r="G123">
            <v>0</v>
          </cell>
        </row>
        <row r="124">
          <cell r="A124" t="str">
            <v>21-03-07-0012</v>
          </cell>
          <cell r="B124">
            <v>0</v>
          </cell>
          <cell r="C124" t="str">
            <v xml:space="preserve">  F.C LOAN - AL-HABIB $ 1,000,000 @ 57.7</v>
          </cell>
          <cell r="D124">
            <v>0</v>
          </cell>
          <cell r="E124">
            <v>0</v>
          </cell>
          <cell r="F124">
            <v>0</v>
          </cell>
          <cell r="G124">
            <v>0</v>
          </cell>
        </row>
        <row r="125">
          <cell r="A125" t="str">
            <v>21-03-09</v>
          </cell>
          <cell r="B125">
            <v>0</v>
          </cell>
          <cell r="C125" t="str">
            <v>***EXPORT RE-FINANCE ABN-AMRO</v>
          </cell>
          <cell r="D125">
            <v>0</v>
          </cell>
          <cell r="E125">
            <v>0</v>
          </cell>
          <cell r="F125">
            <v>0</v>
          </cell>
          <cell r="G125">
            <v>0</v>
          </cell>
        </row>
        <row r="126">
          <cell r="A126" t="str">
            <v>21-03-09-0001</v>
          </cell>
          <cell r="B126">
            <v>0</v>
          </cell>
          <cell r="C126" t="str">
            <v xml:space="preserve">  EXPORT REFINANCE LOAN-ABN AMRO.</v>
          </cell>
          <cell r="D126">
            <v>0</v>
          </cell>
          <cell r="E126">
            <v>0</v>
          </cell>
          <cell r="F126">
            <v>0</v>
          </cell>
          <cell r="G126">
            <v>0</v>
          </cell>
        </row>
        <row r="127">
          <cell r="A127" t="str">
            <v>21-03-09-0002</v>
          </cell>
          <cell r="B127">
            <v>0</v>
          </cell>
          <cell r="C127" t="str">
            <v xml:space="preserve">  EXPORT REFINANCE LOAN-(14 %) ABN AMRO.</v>
          </cell>
          <cell r="D127">
            <v>0</v>
          </cell>
          <cell r="E127">
            <v>0</v>
          </cell>
          <cell r="F127">
            <v>0</v>
          </cell>
          <cell r="G127">
            <v>0</v>
          </cell>
        </row>
        <row r="128">
          <cell r="A128" t="str">
            <v>21-03-09-0003</v>
          </cell>
          <cell r="B128">
            <v>0</v>
          </cell>
          <cell r="C128" t="str">
            <v xml:space="preserve">  EXPORT REFIANCE-ABN AMRO 11% POST SHIP</v>
          </cell>
          <cell r="D128">
            <v>0</v>
          </cell>
          <cell r="E128">
            <v>0</v>
          </cell>
          <cell r="F128">
            <v>0</v>
          </cell>
          <cell r="G128">
            <v>0</v>
          </cell>
        </row>
        <row r="129">
          <cell r="A129" t="str">
            <v>21-03-09-0004</v>
          </cell>
          <cell r="B129">
            <v>0</v>
          </cell>
          <cell r="C129" t="str">
            <v xml:space="preserve">  EXPORT REFINANCE-ABN AMRO 10% POST SHI</v>
          </cell>
          <cell r="D129">
            <v>0</v>
          </cell>
          <cell r="E129">
            <v>0</v>
          </cell>
          <cell r="F129">
            <v>0</v>
          </cell>
          <cell r="G129">
            <v>0</v>
          </cell>
        </row>
        <row r="130">
          <cell r="A130" t="str">
            <v>21-03-09-0005</v>
          </cell>
          <cell r="B130">
            <v>0</v>
          </cell>
          <cell r="C130" t="str">
            <v xml:space="preserve">  F.C.LOAN AMRO $ 800,000 @ 58.29</v>
          </cell>
          <cell r="D130">
            <v>0</v>
          </cell>
          <cell r="E130">
            <v>0</v>
          </cell>
          <cell r="F130">
            <v>0</v>
          </cell>
          <cell r="G130">
            <v>0</v>
          </cell>
        </row>
        <row r="131">
          <cell r="A131" t="str">
            <v>21-03-09-0006</v>
          </cell>
          <cell r="B131">
            <v>0</v>
          </cell>
          <cell r="C131" t="str">
            <v xml:space="preserve">  F.C LOAN AMRO $ 1500000 @ 57.585 @ 2.2</v>
          </cell>
          <cell r="D131">
            <v>0</v>
          </cell>
          <cell r="E131">
            <v>0</v>
          </cell>
          <cell r="F131">
            <v>0</v>
          </cell>
          <cell r="G131">
            <v>0</v>
          </cell>
        </row>
        <row r="132">
          <cell r="A132" t="str">
            <v>21-03-09-0007</v>
          </cell>
          <cell r="B132">
            <v>0</v>
          </cell>
          <cell r="C132" t="str">
            <v xml:space="preserve">  F.C LOAN AMRO $ 1500000 @ 57.585 @ 2.2</v>
          </cell>
          <cell r="D132">
            <v>0</v>
          </cell>
          <cell r="E132">
            <v>0</v>
          </cell>
          <cell r="F132">
            <v>0</v>
          </cell>
          <cell r="G132">
            <v>0</v>
          </cell>
        </row>
        <row r="133">
          <cell r="A133" t="str">
            <v>21-03-09-0008</v>
          </cell>
          <cell r="B133">
            <v>0</v>
          </cell>
          <cell r="C133" t="str">
            <v xml:space="preserve">  F.C LOAN AMRO $ 2000,000 @ 57.585@ 2.2</v>
          </cell>
          <cell r="D133">
            <v>0</v>
          </cell>
          <cell r="E133">
            <v>0</v>
          </cell>
          <cell r="F133">
            <v>0</v>
          </cell>
          <cell r="G133">
            <v>0</v>
          </cell>
        </row>
        <row r="134">
          <cell r="A134" t="str">
            <v>21-03-09-0009</v>
          </cell>
          <cell r="B134">
            <v>0</v>
          </cell>
          <cell r="C134" t="str">
            <v xml:space="preserve">  F.C LOAN ABN $ 640,000 @ 57.47 @ 1.83</v>
          </cell>
          <cell r="D134">
            <v>0</v>
          </cell>
          <cell r="E134">
            <v>0</v>
          </cell>
          <cell r="F134">
            <v>0</v>
          </cell>
          <cell r="G134">
            <v>0</v>
          </cell>
        </row>
        <row r="135">
          <cell r="A135" t="str">
            <v>21-03-09-0010</v>
          </cell>
          <cell r="B135">
            <v>0</v>
          </cell>
          <cell r="C135" t="str">
            <v xml:space="preserve">  F.C LOAN ABN-AMRO $ 700,000 @ 57.35</v>
          </cell>
          <cell r="D135">
            <v>0</v>
          </cell>
          <cell r="E135">
            <v>0</v>
          </cell>
          <cell r="F135">
            <v>0</v>
          </cell>
          <cell r="G135">
            <v>0</v>
          </cell>
        </row>
        <row r="136">
          <cell r="A136" t="str">
            <v>21-03-09-0011</v>
          </cell>
          <cell r="B136">
            <v>0</v>
          </cell>
          <cell r="C136" t="str">
            <v xml:space="preserve">  F.C LOAN ABN-AMRO $ 1000.000 @ 57.16</v>
          </cell>
          <cell r="D136">
            <v>0</v>
          </cell>
          <cell r="E136">
            <v>0</v>
          </cell>
          <cell r="F136">
            <v>0</v>
          </cell>
          <cell r="G136">
            <v>0</v>
          </cell>
        </row>
        <row r="137">
          <cell r="A137" t="str">
            <v>21-03-09-0012</v>
          </cell>
          <cell r="B137">
            <v>0</v>
          </cell>
          <cell r="C137" t="str">
            <v xml:space="preserve">  F.C LOAN ABN AMRO $ 235000 @ 57.45</v>
          </cell>
          <cell r="D137">
            <v>0</v>
          </cell>
          <cell r="E137">
            <v>0</v>
          </cell>
          <cell r="F137">
            <v>0</v>
          </cell>
          <cell r="G137">
            <v>0</v>
          </cell>
        </row>
        <row r="138">
          <cell r="A138" t="str">
            <v>21-03-11</v>
          </cell>
          <cell r="B138">
            <v>0</v>
          </cell>
          <cell r="C138" t="str">
            <v>***EXPORT RE-FINANCE UNION</v>
          </cell>
          <cell r="D138">
            <v>0</v>
          </cell>
          <cell r="E138">
            <v>0</v>
          </cell>
          <cell r="F138">
            <v>0</v>
          </cell>
          <cell r="G138">
            <v>0</v>
          </cell>
        </row>
        <row r="139">
          <cell r="A139" t="str">
            <v>21-03-11-0001</v>
          </cell>
          <cell r="B139">
            <v>0</v>
          </cell>
          <cell r="C139" t="str">
            <v xml:space="preserve">  EXPORT REFINANCE LOAN-UNION BANK</v>
          </cell>
          <cell r="D139">
            <v>0</v>
          </cell>
          <cell r="E139">
            <v>0</v>
          </cell>
          <cell r="F139">
            <v>0</v>
          </cell>
          <cell r="G139">
            <v>0</v>
          </cell>
        </row>
        <row r="140">
          <cell r="A140" t="str">
            <v>21-03-12</v>
          </cell>
          <cell r="B140">
            <v>0</v>
          </cell>
          <cell r="C140" t="str">
            <v>***EXPORT RE-FINANCE BANK AL-HABIB</v>
          </cell>
          <cell r="D140">
            <v>0</v>
          </cell>
          <cell r="E140">
            <v>0</v>
          </cell>
          <cell r="F140">
            <v>0</v>
          </cell>
          <cell r="G140">
            <v>0</v>
          </cell>
        </row>
        <row r="141">
          <cell r="A141" t="str">
            <v>21-03-12-0002</v>
          </cell>
          <cell r="B141">
            <v>0</v>
          </cell>
          <cell r="C141" t="str">
            <v xml:space="preserve">  EXPORT RE-FINANCE POST SHIPMNET-AHB.</v>
          </cell>
          <cell r="D141">
            <v>0</v>
          </cell>
          <cell r="E141">
            <v>0</v>
          </cell>
          <cell r="F141">
            <v>0</v>
          </cell>
          <cell r="G141">
            <v>0</v>
          </cell>
        </row>
        <row r="142">
          <cell r="A142" t="str">
            <v>21-03-13</v>
          </cell>
          <cell r="B142">
            <v>0</v>
          </cell>
          <cell r="C142" t="str">
            <v>***EXPORT RE-FINANCE CITI BANK</v>
          </cell>
          <cell r="D142">
            <v>0</v>
          </cell>
          <cell r="E142">
            <v>55953492.200000003</v>
          </cell>
          <cell r="F142">
            <v>0</v>
          </cell>
          <cell r="G142">
            <v>55953492.200000003</v>
          </cell>
        </row>
        <row r="143">
          <cell r="A143" t="str">
            <v>21-03-13-0001</v>
          </cell>
          <cell r="B143">
            <v>55953472</v>
          </cell>
          <cell r="C143" t="str">
            <v xml:space="preserve">  POST SHIPMENT LOAN-CITI</v>
          </cell>
          <cell r="D143">
            <v>0</v>
          </cell>
          <cell r="E143">
            <v>0</v>
          </cell>
          <cell r="F143">
            <v>0</v>
          </cell>
          <cell r="G143">
            <v>0</v>
          </cell>
        </row>
        <row r="144">
          <cell r="A144" t="str">
            <v>21-03-13-0002</v>
          </cell>
          <cell r="B144">
            <v>0</v>
          </cell>
          <cell r="C144" t="str">
            <v xml:space="preserve">  F.C.LOAN CITI BANK $ 1,000,000 @ 58.10</v>
          </cell>
          <cell r="D144">
            <v>0</v>
          </cell>
          <cell r="E144">
            <v>0</v>
          </cell>
          <cell r="F144">
            <v>0</v>
          </cell>
          <cell r="G144">
            <v>0</v>
          </cell>
        </row>
        <row r="145">
          <cell r="A145" t="str">
            <v>21-03-13-0003</v>
          </cell>
          <cell r="B145">
            <v>0</v>
          </cell>
          <cell r="C145" t="str">
            <v xml:space="preserve">  F.C LOAN CITI BANK $ 400,000 @ 57.86</v>
          </cell>
          <cell r="D145">
            <v>0</v>
          </cell>
          <cell r="E145">
            <v>0</v>
          </cell>
          <cell r="F145">
            <v>0</v>
          </cell>
          <cell r="G145">
            <v>0</v>
          </cell>
        </row>
        <row r="146">
          <cell r="A146" t="str">
            <v>21-03-13-0004</v>
          </cell>
          <cell r="B146">
            <v>0</v>
          </cell>
          <cell r="C146" t="str">
            <v xml:space="preserve">  F.C LOAN CITI $ 1325,000@ 57.42.</v>
          </cell>
          <cell r="D146">
            <v>0</v>
          </cell>
          <cell r="E146">
            <v>0</v>
          </cell>
          <cell r="F146">
            <v>0</v>
          </cell>
          <cell r="G146">
            <v>0</v>
          </cell>
        </row>
        <row r="147">
          <cell r="A147" t="str">
            <v>21-03-13-0005</v>
          </cell>
          <cell r="B147">
            <v>0</v>
          </cell>
          <cell r="C147" t="str">
            <v xml:space="preserve">  F.C LOAN CITI $ 2,000,000 @ 57.45</v>
          </cell>
          <cell r="D147">
            <v>0</v>
          </cell>
          <cell r="E147">
            <v>0</v>
          </cell>
          <cell r="F147">
            <v>0</v>
          </cell>
          <cell r="G147">
            <v>0</v>
          </cell>
        </row>
        <row r="148">
          <cell r="A148" t="str">
            <v>21-03-13-0006</v>
          </cell>
          <cell r="B148">
            <v>0</v>
          </cell>
          <cell r="C148" t="str">
            <v xml:space="preserve">  F.C. LOAN CITI $ 1840,000 @ 57.50</v>
          </cell>
          <cell r="D148">
            <v>0</v>
          </cell>
          <cell r="E148">
            <v>0</v>
          </cell>
          <cell r="F148">
            <v>0</v>
          </cell>
          <cell r="G148">
            <v>0</v>
          </cell>
        </row>
        <row r="149">
          <cell r="A149" t="str">
            <v>21-03-13-0007</v>
          </cell>
          <cell r="B149">
            <v>0</v>
          </cell>
          <cell r="C149" t="str">
            <v xml:space="preserve">  F.C LOAN CITI $ 470,000 @ 57.36 (180 D</v>
          </cell>
          <cell r="D149">
            <v>0</v>
          </cell>
          <cell r="E149">
            <v>0</v>
          </cell>
          <cell r="F149">
            <v>0</v>
          </cell>
          <cell r="G149">
            <v>0</v>
          </cell>
        </row>
        <row r="150">
          <cell r="A150" t="str">
            <v>21-03-13-0008</v>
          </cell>
          <cell r="B150">
            <v>0</v>
          </cell>
          <cell r="C150" t="str">
            <v xml:space="preserve">  F.C LOAN CITI $ 657,000 @ 57.50.</v>
          </cell>
          <cell r="D150">
            <v>0</v>
          </cell>
          <cell r="E150">
            <v>0</v>
          </cell>
          <cell r="F150">
            <v>0</v>
          </cell>
          <cell r="G150">
            <v>0</v>
          </cell>
        </row>
        <row r="151">
          <cell r="A151" t="str">
            <v>21-03-13-0009</v>
          </cell>
          <cell r="B151">
            <v>0</v>
          </cell>
          <cell r="C151" t="str">
            <v xml:space="preserve">  F.C LOAN CITI $ 175000 @ 57.50 180 DAY</v>
          </cell>
          <cell r="D151">
            <v>0</v>
          </cell>
          <cell r="E151">
            <v>0</v>
          </cell>
          <cell r="F151">
            <v>0</v>
          </cell>
          <cell r="G151">
            <v>0</v>
          </cell>
        </row>
        <row r="152">
          <cell r="A152" t="str">
            <v>21-03-13-0010</v>
          </cell>
          <cell r="B152">
            <v>0</v>
          </cell>
          <cell r="C152" t="str">
            <v xml:space="preserve">  F.C LOAN CIIT- $ 460,000 @ 57.53 180 D</v>
          </cell>
          <cell r="D152">
            <v>0</v>
          </cell>
          <cell r="E152">
            <v>0</v>
          </cell>
          <cell r="F152">
            <v>0</v>
          </cell>
          <cell r="G152">
            <v>0</v>
          </cell>
        </row>
        <row r="153">
          <cell r="A153" t="str">
            <v>21-03-13-0011</v>
          </cell>
          <cell r="B153">
            <v>0</v>
          </cell>
          <cell r="C153" t="str">
            <v xml:space="preserve">  F.C.LOAN CITI $ 500,000 @ 57.73 180 DA</v>
          </cell>
          <cell r="D153">
            <v>0</v>
          </cell>
          <cell r="E153">
            <v>16769292.199999999</v>
          </cell>
          <cell r="F153">
            <v>0</v>
          </cell>
          <cell r="G153">
            <v>0</v>
          </cell>
        </row>
        <row r="154">
          <cell r="A154" t="str">
            <v>21-03-13-0012</v>
          </cell>
          <cell r="B154">
            <v>0</v>
          </cell>
          <cell r="C154" t="str">
            <v xml:space="preserve">  F.C.LOAN CITI $ 660,000 @ 57.82 180 DA</v>
          </cell>
          <cell r="D154">
            <v>0</v>
          </cell>
          <cell r="E154">
            <v>39184200</v>
          </cell>
          <cell r="F154">
            <v>0</v>
          </cell>
          <cell r="G154">
            <v>0</v>
          </cell>
        </row>
        <row r="155">
          <cell r="A155" t="str">
            <v>21-04</v>
          </cell>
          <cell r="B155">
            <v>0</v>
          </cell>
          <cell r="C155" t="str">
            <v>**SHORT TERM LOAN</v>
          </cell>
          <cell r="D155">
            <v>0</v>
          </cell>
          <cell r="E155">
            <v>275000000</v>
          </cell>
          <cell r="F155">
            <v>0</v>
          </cell>
          <cell r="G155">
            <v>275000000</v>
          </cell>
        </row>
        <row r="156">
          <cell r="A156" t="str">
            <v>21-04-01</v>
          </cell>
          <cell r="B156">
            <v>274999808</v>
          </cell>
          <cell r="C156" t="str">
            <v>***TERM LOAN STANDARD CHARTERED BANK</v>
          </cell>
          <cell r="D156">
            <v>0</v>
          </cell>
          <cell r="E156">
            <v>100000000</v>
          </cell>
          <cell r="F156">
            <v>0</v>
          </cell>
          <cell r="G156">
            <v>100000000</v>
          </cell>
        </row>
        <row r="157">
          <cell r="A157" t="str">
            <v>21-04-01-0001</v>
          </cell>
          <cell r="B157">
            <v>100000000</v>
          </cell>
          <cell r="C157" t="str">
            <v xml:space="preserve">   SHORT TERM LOAN STANDARD CHARTERED</v>
          </cell>
          <cell r="D157">
            <v>0</v>
          </cell>
          <cell r="E157">
            <v>100000000</v>
          </cell>
          <cell r="F157">
            <v>0</v>
          </cell>
          <cell r="G157">
            <v>0</v>
          </cell>
        </row>
        <row r="158">
          <cell r="A158" t="str">
            <v>21-04-02</v>
          </cell>
          <cell r="B158">
            <v>0</v>
          </cell>
          <cell r="C158" t="str">
            <v>***TERM LOAN HABIB BANK</v>
          </cell>
          <cell r="D158">
            <v>0</v>
          </cell>
          <cell r="E158">
            <v>0</v>
          </cell>
          <cell r="F158">
            <v>0</v>
          </cell>
          <cell r="G158">
            <v>0</v>
          </cell>
        </row>
        <row r="159">
          <cell r="A159" t="str">
            <v>21-04-02-0001</v>
          </cell>
          <cell r="B159">
            <v>0</v>
          </cell>
          <cell r="C159" t="str">
            <v xml:space="preserve">  TERM LOAN HABIB BANK</v>
          </cell>
          <cell r="D159">
            <v>0</v>
          </cell>
          <cell r="E159">
            <v>0</v>
          </cell>
          <cell r="F159">
            <v>0</v>
          </cell>
          <cell r="G159">
            <v>0</v>
          </cell>
        </row>
        <row r="160">
          <cell r="A160" t="str">
            <v>21-04-04</v>
          </cell>
          <cell r="B160">
            <v>0</v>
          </cell>
          <cell r="C160" t="str">
            <v>***TERM LOAN CITI BANK</v>
          </cell>
          <cell r="D160">
            <v>0</v>
          </cell>
          <cell r="E160">
            <v>100000000</v>
          </cell>
          <cell r="F160">
            <v>0</v>
          </cell>
          <cell r="G160">
            <v>100000000</v>
          </cell>
        </row>
        <row r="161">
          <cell r="A161" t="str">
            <v>21-04-04-0001</v>
          </cell>
          <cell r="B161">
            <v>100000000</v>
          </cell>
          <cell r="C161" t="str">
            <v xml:space="preserve">  TERM LOAN FROM CITIBANK.</v>
          </cell>
          <cell r="D161">
            <v>0</v>
          </cell>
          <cell r="E161">
            <v>100000000</v>
          </cell>
          <cell r="F161">
            <v>0</v>
          </cell>
          <cell r="G161">
            <v>0</v>
          </cell>
        </row>
        <row r="162">
          <cell r="A162" t="str">
            <v>21-04-04-0002</v>
          </cell>
          <cell r="B162">
            <v>0</v>
          </cell>
          <cell r="C162" t="str">
            <v xml:space="preserve">  TERM LOAN FROM CITIBANK.</v>
          </cell>
          <cell r="D162">
            <v>0</v>
          </cell>
          <cell r="E162">
            <v>0</v>
          </cell>
          <cell r="F162">
            <v>0</v>
          </cell>
          <cell r="G162">
            <v>0</v>
          </cell>
        </row>
        <row r="163">
          <cell r="A163" t="str">
            <v>21-04-05</v>
          </cell>
          <cell r="B163">
            <v>0</v>
          </cell>
          <cell r="C163" t="str">
            <v>***TERM LOAN METROPOLITAN BANK</v>
          </cell>
          <cell r="D163">
            <v>0</v>
          </cell>
          <cell r="E163">
            <v>0</v>
          </cell>
          <cell r="F163">
            <v>0</v>
          </cell>
          <cell r="G163">
            <v>0</v>
          </cell>
        </row>
        <row r="164">
          <cell r="A164" t="str">
            <v>21-04-05-0001</v>
          </cell>
          <cell r="B164">
            <v>0</v>
          </cell>
          <cell r="C164" t="str">
            <v xml:space="preserve">  TERM LOAN METROPOLITAN BANK</v>
          </cell>
          <cell r="D164">
            <v>0</v>
          </cell>
          <cell r="E164">
            <v>0</v>
          </cell>
          <cell r="F164">
            <v>0</v>
          </cell>
          <cell r="G164">
            <v>0</v>
          </cell>
        </row>
        <row r="165">
          <cell r="A165" t="str">
            <v>21-04-06</v>
          </cell>
          <cell r="B165">
            <v>0</v>
          </cell>
          <cell r="C165" t="str">
            <v>***TERM LOAN FROM A.G.ZURICH.</v>
          </cell>
          <cell r="D165">
            <v>0</v>
          </cell>
          <cell r="E165">
            <v>0</v>
          </cell>
          <cell r="F165">
            <v>0</v>
          </cell>
          <cell r="G165">
            <v>0</v>
          </cell>
        </row>
        <row r="166">
          <cell r="A166" t="str">
            <v>21-04-06-0001</v>
          </cell>
          <cell r="B166">
            <v>0</v>
          </cell>
          <cell r="C166" t="str">
            <v xml:space="preserve">  TERM LOAN FROM A.G.ZURICH.</v>
          </cell>
          <cell r="D166">
            <v>0</v>
          </cell>
          <cell r="E166">
            <v>0</v>
          </cell>
          <cell r="F166">
            <v>0</v>
          </cell>
          <cell r="G166">
            <v>0</v>
          </cell>
        </row>
        <row r="167">
          <cell r="A167" t="str">
            <v>21-04-09</v>
          </cell>
          <cell r="B167">
            <v>0</v>
          </cell>
          <cell r="C167" t="str">
            <v>***TERM LOAN ABN-AMRO</v>
          </cell>
          <cell r="D167">
            <v>0</v>
          </cell>
          <cell r="E167">
            <v>0</v>
          </cell>
          <cell r="F167">
            <v>0</v>
          </cell>
          <cell r="G167">
            <v>0</v>
          </cell>
        </row>
        <row r="168">
          <cell r="A168" t="str">
            <v>21-04-09-0001</v>
          </cell>
          <cell r="B168">
            <v>0</v>
          </cell>
          <cell r="C168" t="str">
            <v xml:space="preserve">  TERM LOAN FROM ABN AMRO.</v>
          </cell>
          <cell r="D168">
            <v>0</v>
          </cell>
          <cell r="E168">
            <v>0</v>
          </cell>
          <cell r="F168">
            <v>0</v>
          </cell>
          <cell r="G168">
            <v>0</v>
          </cell>
        </row>
        <row r="169">
          <cell r="A169" t="str">
            <v>21-04-10</v>
          </cell>
          <cell r="B169">
            <v>0</v>
          </cell>
          <cell r="C169" t="str">
            <v>***TERM LOAN UNITED BANK LIMITED</v>
          </cell>
          <cell r="D169">
            <v>0</v>
          </cell>
          <cell r="E169">
            <v>0</v>
          </cell>
          <cell r="F169">
            <v>0</v>
          </cell>
          <cell r="G169">
            <v>0</v>
          </cell>
        </row>
        <row r="170">
          <cell r="A170" t="str">
            <v>21-04-10-0001</v>
          </cell>
          <cell r="B170">
            <v>0</v>
          </cell>
          <cell r="C170" t="str">
            <v xml:space="preserve">  TERM LOAN UNITED BANK LIMITED</v>
          </cell>
          <cell r="D170">
            <v>0</v>
          </cell>
          <cell r="E170">
            <v>0</v>
          </cell>
          <cell r="F170">
            <v>0</v>
          </cell>
          <cell r="G170">
            <v>0</v>
          </cell>
        </row>
        <row r="171">
          <cell r="A171" t="str">
            <v>21-04-11</v>
          </cell>
          <cell r="B171">
            <v>0</v>
          </cell>
          <cell r="C171" t="str">
            <v>***TERM LOAN UNION BANK LIMITED</v>
          </cell>
          <cell r="D171">
            <v>0</v>
          </cell>
          <cell r="E171">
            <v>0</v>
          </cell>
          <cell r="F171">
            <v>0</v>
          </cell>
          <cell r="G171">
            <v>0</v>
          </cell>
        </row>
        <row r="172">
          <cell r="A172" t="str">
            <v>21-04-11-0001</v>
          </cell>
          <cell r="B172">
            <v>0</v>
          </cell>
          <cell r="C172" t="str">
            <v xml:space="preserve">  TERM LOAN UNION BANK</v>
          </cell>
          <cell r="D172">
            <v>0</v>
          </cell>
          <cell r="E172">
            <v>0</v>
          </cell>
          <cell r="F172">
            <v>0</v>
          </cell>
          <cell r="G172">
            <v>0</v>
          </cell>
        </row>
        <row r="173">
          <cell r="A173" t="str">
            <v>21-04-12</v>
          </cell>
          <cell r="B173">
            <v>0</v>
          </cell>
          <cell r="C173" t="str">
            <v>***BANK AL-HABIB LIMITED</v>
          </cell>
          <cell r="D173">
            <v>0</v>
          </cell>
          <cell r="E173">
            <v>75000000</v>
          </cell>
          <cell r="F173">
            <v>0</v>
          </cell>
          <cell r="G173">
            <v>75000000</v>
          </cell>
        </row>
        <row r="174">
          <cell r="A174" t="str">
            <v>21-04-12-0001</v>
          </cell>
          <cell r="B174">
            <v>75000000</v>
          </cell>
          <cell r="C174" t="str">
            <v xml:space="preserve">  TERM LOAN FROM BANK AL- HABIB</v>
          </cell>
          <cell r="D174">
            <v>0</v>
          </cell>
          <cell r="E174">
            <v>75000000</v>
          </cell>
          <cell r="F174">
            <v>0</v>
          </cell>
          <cell r="G174">
            <v>0</v>
          </cell>
        </row>
        <row r="175">
          <cell r="A175" t="str">
            <v>21-05</v>
          </cell>
          <cell r="B175">
            <v>0</v>
          </cell>
          <cell r="C175" t="str">
            <v>**EXPORT BILLS DISCOUNTED</v>
          </cell>
          <cell r="D175">
            <v>0</v>
          </cell>
          <cell r="E175">
            <v>0</v>
          </cell>
          <cell r="F175">
            <v>0</v>
          </cell>
          <cell r="G175">
            <v>0</v>
          </cell>
        </row>
        <row r="176">
          <cell r="A176" t="str">
            <v>21-05-05</v>
          </cell>
          <cell r="B176">
            <v>0</v>
          </cell>
          <cell r="C176" t="str">
            <v>***EXPORT BILLS DISCOUNTED</v>
          </cell>
          <cell r="D176">
            <v>0</v>
          </cell>
          <cell r="E176">
            <v>0</v>
          </cell>
          <cell r="F176">
            <v>0</v>
          </cell>
          <cell r="G176">
            <v>0</v>
          </cell>
        </row>
        <row r="177">
          <cell r="A177" t="str">
            <v>21-05-05-0001</v>
          </cell>
          <cell r="B177">
            <v>0</v>
          </cell>
          <cell r="C177" t="str">
            <v xml:space="preserve">  EXPORT BILLS DISCOUNTED ABN AMRO</v>
          </cell>
          <cell r="D177">
            <v>0</v>
          </cell>
          <cell r="E177">
            <v>0</v>
          </cell>
          <cell r="F177">
            <v>0</v>
          </cell>
          <cell r="G177">
            <v>0</v>
          </cell>
        </row>
        <row r="178">
          <cell r="A178" t="str">
            <v>21-05-05-0002</v>
          </cell>
          <cell r="B178">
            <v>0</v>
          </cell>
          <cell r="C178" t="str">
            <v xml:space="preserve">  EXPORT BILLS DISCOUNTED BANK AL-HABIB</v>
          </cell>
          <cell r="D178">
            <v>0</v>
          </cell>
          <cell r="E178">
            <v>0</v>
          </cell>
          <cell r="F178">
            <v>0</v>
          </cell>
          <cell r="G178">
            <v>0</v>
          </cell>
        </row>
        <row r="179">
          <cell r="A179" t="str">
            <v>21-05-05-0003</v>
          </cell>
          <cell r="B179">
            <v>0</v>
          </cell>
          <cell r="C179" t="str">
            <v xml:space="preserve">  EXPORT BILLS DISCOUNTED CITI BANK</v>
          </cell>
          <cell r="D179">
            <v>0</v>
          </cell>
          <cell r="E179">
            <v>0</v>
          </cell>
          <cell r="F179">
            <v>0</v>
          </cell>
          <cell r="G179">
            <v>0</v>
          </cell>
        </row>
        <row r="180">
          <cell r="A180" t="str">
            <v>21-05-05-0004</v>
          </cell>
          <cell r="B180">
            <v>0</v>
          </cell>
          <cell r="C180" t="str">
            <v xml:space="preserve">  EXPORT BILLS DISCOUNTED HB A.G ZURICH</v>
          </cell>
          <cell r="D180">
            <v>0</v>
          </cell>
          <cell r="E180">
            <v>0</v>
          </cell>
          <cell r="F180">
            <v>0</v>
          </cell>
          <cell r="G180">
            <v>0</v>
          </cell>
        </row>
        <row r="181">
          <cell r="A181" t="str">
            <v>21-05-05-0005</v>
          </cell>
          <cell r="B181">
            <v>0</v>
          </cell>
          <cell r="C181" t="str">
            <v xml:space="preserve">  EXPORT BILLS DISCOUNTED HABIB BANK LTD</v>
          </cell>
          <cell r="D181">
            <v>0</v>
          </cell>
          <cell r="E181">
            <v>0</v>
          </cell>
          <cell r="F181">
            <v>0</v>
          </cell>
          <cell r="G181">
            <v>0</v>
          </cell>
        </row>
        <row r="182">
          <cell r="A182" t="str">
            <v>21-05-05-0006</v>
          </cell>
          <cell r="B182">
            <v>0</v>
          </cell>
          <cell r="C182" t="str">
            <v xml:space="preserve">  EXPORT BILLS DISCOUNTED - MPB</v>
          </cell>
          <cell r="D182">
            <v>0</v>
          </cell>
          <cell r="E182">
            <v>0</v>
          </cell>
          <cell r="F182">
            <v>0</v>
          </cell>
          <cell r="G182">
            <v>0</v>
          </cell>
        </row>
        <row r="183">
          <cell r="A183" t="str">
            <v>21-05-05-0007</v>
          </cell>
          <cell r="B183">
            <v>0</v>
          </cell>
          <cell r="C183" t="str">
            <v xml:space="preserve">  EXPORT BILLS DISCOUNTED - UBL</v>
          </cell>
          <cell r="D183">
            <v>0</v>
          </cell>
          <cell r="E183">
            <v>0</v>
          </cell>
          <cell r="F183">
            <v>0</v>
          </cell>
          <cell r="G183">
            <v>0</v>
          </cell>
        </row>
        <row r="184">
          <cell r="A184" t="str">
            <v>21-06</v>
          </cell>
          <cell r="B184">
            <v>0</v>
          </cell>
          <cell r="C184" t="str">
            <v>**IMPORT/OFF SHORE TRADE FINANCES</v>
          </cell>
          <cell r="D184">
            <v>0</v>
          </cell>
          <cell r="E184">
            <v>369196684</v>
          </cell>
          <cell r="F184">
            <v>0</v>
          </cell>
          <cell r="G184">
            <v>369196684</v>
          </cell>
        </row>
        <row r="185">
          <cell r="A185" t="str">
            <v>21-06-01</v>
          </cell>
          <cell r="B185">
            <v>369196544</v>
          </cell>
          <cell r="C185" t="str">
            <v>***IMPORT/OFF SHORE TRADE FINANCES  MPB</v>
          </cell>
          <cell r="D185">
            <v>0</v>
          </cell>
          <cell r="E185">
            <v>0</v>
          </cell>
          <cell r="F185">
            <v>0</v>
          </cell>
          <cell r="G185">
            <v>0</v>
          </cell>
        </row>
        <row r="186">
          <cell r="A186" t="str">
            <v>21-06-01-0001</v>
          </cell>
          <cell r="B186">
            <v>0</v>
          </cell>
          <cell r="C186" t="str">
            <v xml:space="preserve">  OFF SHORE FINANCE MPB L/C # 2002/234</v>
          </cell>
          <cell r="D186">
            <v>0</v>
          </cell>
          <cell r="E186">
            <v>0</v>
          </cell>
          <cell r="F186">
            <v>0</v>
          </cell>
          <cell r="G186">
            <v>0</v>
          </cell>
        </row>
        <row r="187">
          <cell r="A187" t="str">
            <v>21-06-01-0002</v>
          </cell>
          <cell r="B187">
            <v>0</v>
          </cell>
          <cell r="C187" t="str">
            <v xml:space="preserve">  OFF SHORE FINANCE MPB L/C # 200/263</v>
          </cell>
          <cell r="D187">
            <v>0</v>
          </cell>
          <cell r="E187">
            <v>0</v>
          </cell>
          <cell r="F187">
            <v>0</v>
          </cell>
          <cell r="G187">
            <v>0</v>
          </cell>
        </row>
        <row r="188">
          <cell r="A188" t="str">
            <v>21-06-01-0003</v>
          </cell>
          <cell r="B188">
            <v>0</v>
          </cell>
          <cell r="C188" t="str">
            <v xml:space="preserve">  OFF SHORE FINANCE MPB L/C # 2002/241</v>
          </cell>
          <cell r="D188">
            <v>0</v>
          </cell>
          <cell r="E188">
            <v>0</v>
          </cell>
          <cell r="F188">
            <v>0</v>
          </cell>
          <cell r="G188">
            <v>0</v>
          </cell>
        </row>
        <row r="189">
          <cell r="A189" t="str">
            <v>21-06-01-0004</v>
          </cell>
          <cell r="B189">
            <v>0</v>
          </cell>
          <cell r="C189" t="str">
            <v xml:space="preserve">  OFF SHORE FINANCE MPB L/C # 2002/290</v>
          </cell>
          <cell r="D189">
            <v>0</v>
          </cell>
          <cell r="E189">
            <v>0</v>
          </cell>
          <cell r="F189">
            <v>0</v>
          </cell>
          <cell r="G189">
            <v>0</v>
          </cell>
        </row>
        <row r="190">
          <cell r="A190" t="str">
            <v>21-06-01-0005</v>
          </cell>
          <cell r="B190">
            <v>0</v>
          </cell>
          <cell r="C190" t="str">
            <v xml:space="preserve">  OFF SHORE FINANCE MPB L/C # 330/03/030</v>
          </cell>
          <cell r="D190">
            <v>0</v>
          </cell>
          <cell r="E190">
            <v>0</v>
          </cell>
          <cell r="F190">
            <v>0</v>
          </cell>
          <cell r="G190">
            <v>0</v>
          </cell>
        </row>
        <row r="191">
          <cell r="A191" t="str">
            <v>21-06-01-0006</v>
          </cell>
          <cell r="B191">
            <v>0</v>
          </cell>
          <cell r="C191" t="str">
            <v xml:space="preserve">  OFF SHORE FINANCE MPB L/C # 344</v>
          </cell>
          <cell r="D191">
            <v>0</v>
          </cell>
          <cell r="E191">
            <v>0</v>
          </cell>
          <cell r="F191">
            <v>0</v>
          </cell>
          <cell r="G191">
            <v>0</v>
          </cell>
        </row>
        <row r="192">
          <cell r="A192" t="str">
            <v>21-06-01-0007</v>
          </cell>
          <cell r="B192">
            <v>0</v>
          </cell>
          <cell r="C192" t="str">
            <v xml:space="preserve">  OFF SHORE TRADE FINANCE L/C # 2003/303</v>
          </cell>
          <cell r="D192">
            <v>0</v>
          </cell>
          <cell r="E192">
            <v>0</v>
          </cell>
          <cell r="F192">
            <v>0</v>
          </cell>
          <cell r="G192">
            <v>0</v>
          </cell>
        </row>
        <row r="193">
          <cell r="A193" t="str">
            <v>21-06-02</v>
          </cell>
          <cell r="B193">
            <v>0</v>
          </cell>
          <cell r="C193" t="str">
            <v>***IMPORT/OFF SHORE TRADE FINANCES ABN-A</v>
          </cell>
          <cell r="D193">
            <v>0</v>
          </cell>
          <cell r="E193">
            <v>98818776</v>
          </cell>
          <cell r="F193">
            <v>0</v>
          </cell>
          <cell r="G193">
            <v>98818776</v>
          </cell>
        </row>
        <row r="194">
          <cell r="A194" t="str">
            <v>21-06-02-0001</v>
          </cell>
          <cell r="B194">
            <v>98818752</v>
          </cell>
          <cell r="C194" t="str">
            <v xml:space="preserve">  OFF SHORE FINANCE ABN L/C # 330/02/313</v>
          </cell>
          <cell r="D194">
            <v>0</v>
          </cell>
          <cell r="E194">
            <v>0</v>
          </cell>
          <cell r="F194">
            <v>0</v>
          </cell>
          <cell r="G194">
            <v>0</v>
          </cell>
        </row>
        <row r="195">
          <cell r="A195" t="str">
            <v>21-06-02-0002</v>
          </cell>
          <cell r="B195">
            <v>0</v>
          </cell>
          <cell r="C195" t="str">
            <v xml:space="preserve">  OFF SHORE FINANCE ABN L/C # 330/02/201</v>
          </cell>
          <cell r="D195">
            <v>0</v>
          </cell>
          <cell r="E195">
            <v>0</v>
          </cell>
          <cell r="F195">
            <v>0</v>
          </cell>
          <cell r="G195">
            <v>0</v>
          </cell>
        </row>
        <row r="196">
          <cell r="A196" t="str">
            <v>21-06-02-0003</v>
          </cell>
          <cell r="B196">
            <v>0</v>
          </cell>
          <cell r="C196" t="str">
            <v xml:space="preserve">  OFF SHORE FINANCE ABN L/C # 330/03/032</v>
          </cell>
          <cell r="D196">
            <v>0</v>
          </cell>
          <cell r="E196">
            <v>0</v>
          </cell>
          <cell r="F196">
            <v>0</v>
          </cell>
          <cell r="G196">
            <v>0</v>
          </cell>
        </row>
        <row r="197">
          <cell r="A197" t="str">
            <v>21-06-02-0004</v>
          </cell>
          <cell r="B197">
            <v>0</v>
          </cell>
          <cell r="C197" t="str">
            <v xml:space="preserve">  OFF SHORE FINANCE ABN L/C # 330/03/067</v>
          </cell>
          <cell r="D197">
            <v>0</v>
          </cell>
          <cell r="E197">
            <v>0</v>
          </cell>
          <cell r="F197">
            <v>0</v>
          </cell>
          <cell r="G197">
            <v>0</v>
          </cell>
        </row>
        <row r="198">
          <cell r="A198" t="str">
            <v>21-06-02-0005</v>
          </cell>
          <cell r="B198">
            <v>0</v>
          </cell>
          <cell r="C198" t="str">
            <v xml:space="preserve">  OFF SHORE FINANCE ABN L/C # 330/03/030</v>
          </cell>
          <cell r="D198">
            <v>0</v>
          </cell>
          <cell r="E198">
            <v>0</v>
          </cell>
          <cell r="F198">
            <v>0</v>
          </cell>
          <cell r="G198">
            <v>0</v>
          </cell>
        </row>
        <row r="199">
          <cell r="A199" t="str">
            <v>21-06-02-0006</v>
          </cell>
          <cell r="B199">
            <v>0</v>
          </cell>
          <cell r="C199" t="str">
            <v xml:space="preserve">  OFF SHORE FINANCE ABN L/C # 330/03/141</v>
          </cell>
          <cell r="D199">
            <v>0</v>
          </cell>
          <cell r="E199">
            <v>0</v>
          </cell>
          <cell r="F199">
            <v>0</v>
          </cell>
          <cell r="G199">
            <v>0</v>
          </cell>
        </row>
        <row r="200">
          <cell r="A200" t="str">
            <v>21-06-02-0007</v>
          </cell>
          <cell r="B200">
            <v>0</v>
          </cell>
          <cell r="C200" t="str">
            <v xml:space="preserve">  OFF SHORE FINANCE ABN</v>
          </cell>
          <cell r="D200">
            <v>0</v>
          </cell>
          <cell r="E200">
            <v>98818776</v>
          </cell>
          <cell r="F200">
            <v>0</v>
          </cell>
          <cell r="G200">
            <v>0</v>
          </cell>
        </row>
        <row r="201">
          <cell r="A201" t="str">
            <v>21-06-03</v>
          </cell>
          <cell r="B201">
            <v>0</v>
          </cell>
          <cell r="C201" t="str">
            <v>***OFF SHORE FINANCE HABIB BANK CORPORAT</v>
          </cell>
          <cell r="D201">
            <v>0</v>
          </cell>
          <cell r="E201">
            <v>73781474</v>
          </cell>
          <cell r="F201">
            <v>0</v>
          </cell>
          <cell r="G201">
            <v>73781474</v>
          </cell>
        </row>
        <row r="202">
          <cell r="A202" t="str">
            <v>21-06-03-0001</v>
          </cell>
          <cell r="B202">
            <v>73781440</v>
          </cell>
          <cell r="C202" t="str">
            <v xml:space="preserve">  OFF SHORE FINANCE HBL CORPORATE</v>
          </cell>
          <cell r="D202">
            <v>0</v>
          </cell>
          <cell r="E202">
            <v>73781474</v>
          </cell>
          <cell r="F202">
            <v>0</v>
          </cell>
          <cell r="G202">
            <v>0</v>
          </cell>
        </row>
        <row r="203">
          <cell r="A203" t="str">
            <v>21-06-04</v>
          </cell>
          <cell r="B203">
            <v>0</v>
          </cell>
          <cell r="C203" t="str">
            <v>***OFF SHORE TRADE FINANCES BANK AL-HABI</v>
          </cell>
          <cell r="D203">
            <v>0</v>
          </cell>
          <cell r="E203">
            <v>0</v>
          </cell>
          <cell r="F203">
            <v>0</v>
          </cell>
          <cell r="G203">
            <v>0</v>
          </cell>
        </row>
        <row r="204">
          <cell r="A204" t="str">
            <v>21-06-04-0001</v>
          </cell>
          <cell r="B204">
            <v>0</v>
          </cell>
          <cell r="C204" t="str">
            <v xml:space="preserve">  OFF SHORE BANK AL-HABIB L/C # 1001/946</v>
          </cell>
          <cell r="D204">
            <v>0</v>
          </cell>
          <cell r="E204">
            <v>0</v>
          </cell>
          <cell r="F204">
            <v>0</v>
          </cell>
          <cell r="G204">
            <v>0</v>
          </cell>
        </row>
        <row r="205">
          <cell r="A205" t="str">
            <v>21-06-04-0002</v>
          </cell>
          <cell r="B205">
            <v>0</v>
          </cell>
          <cell r="C205" t="str">
            <v xml:space="preserve">  OFF SHORE BANK AL-HABIB L/C # 1001/041</v>
          </cell>
          <cell r="D205">
            <v>0</v>
          </cell>
          <cell r="E205">
            <v>0</v>
          </cell>
          <cell r="F205">
            <v>0</v>
          </cell>
          <cell r="G205">
            <v>0</v>
          </cell>
        </row>
        <row r="206">
          <cell r="A206" t="str">
            <v>21-06-04-0003</v>
          </cell>
          <cell r="B206">
            <v>0</v>
          </cell>
          <cell r="C206" t="str">
            <v xml:space="preserve">  OFF SHORE BANK AL-HABIB L/C # 1001/325</v>
          </cell>
          <cell r="D206">
            <v>0</v>
          </cell>
          <cell r="E206">
            <v>0</v>
          </cell>
          <cell r="F206">
            <v>0</v>
          </cell>
          <cell r="G206">
            <v>0</v>
          </cell>
        </row>
        <row r="207">
          <cell r="A207" t="str">
            <v>21-06-04-0004</v>
          </cell>
          <cell r="B207">
            <v>0</v>
          </cell>
          <cell r="C207" t="str">
            <v xml:space="preserve">  OFF SHORE BANK AL-HABIB L/C # 1001/320</v>
          </cell>
          <cell r="D207">
            <v>0</v>
          </cell>
          <cell r="E207">
            <v>0</v>
          </cell>
          <cell r="F207">
            <v>0</v>
          </cell>
          <cell r="G207">
            <v>0</v>
          </cell>
        </row>
        <row r="208">
          <cell r="A208" t="str">
            <v>21-06-04-0005</v>
          </cell>
          <cell r="B208">
            <v>0</v>
          </cell>
          <cell r="C208" t="str">
            <v xml:space="preserve">  OFF SHORE BANK AL-HABIB L/C # 1001/186</v>
          </cell>
          <cell r="D208">
            <v>0</v>
          </cell>
          <cell r="E208">
            <v>0</v>
          </cell>
          <cell r="F208">
            <v>0</v>
          </cell>
          <cell r="G208">
            <v>0</v>
          </cell>
        </row>
        <row r="209">
          <cell r="A209" t="str">
            <v>21-06-04-0006</v>
          </cell>
          <cell r="B209">
            <v>0</v>
          </cell>
          <cell r="C209" t="str">
            <v xml:space="preserve">  OFF SHORE BANL AL-HABIB L/C # 1001/259</v>
          </cell>
          <cell r="D209">
            <v>0</v>
          </cell>
          <cell r="E209">
            <v>0</v>
          </cell>
          <cell r="F209">
            <v>0</v>
          </cell>
          <cell r="G209">
            <v>0</v>
          </cell>
        </row>
        <row r="210">
          <cell r="A210" t="str">
            <v>21-06-04-0007</v>
          </cell>
          <cell r="B210">
            <v>0</v>
          </cell>
          <cell r="C210" t="str">
            <v xml:space="preserve">  OFF SHORE BANK AL-HABIB L/C # 1001/391</v>
          </cell>
          <cell r="D210">
            <v>0</v>
          </cell>
          <cell r="E210">
            <v>0</v>
          </cell>
          <cell r="F210">
            <v>0</v>
          </cell>
          <cell r="G210">
            <v>0</v>
          </cell>
        </row>
        <row r="211">
          <cell r="A211" t="str">
            <v>21-06-04-0008</v>
          </cell>
          <cell r="B211">
            <v>0</v>
          </cell>
          <cell r="C211" t="str">
            <v xml:space="preserve">  OFF SHORE BANK AL-HABIB L/C # 1001/260</v>
          </cell>
          <cell r="D211">
            <v>0</v>
          </cell>
          <cell r="E211">
            <v>0</v>
          </cell>
          <cell r="F211">
            <v>0</v>
          </cell>
          <cell r="G211">
            <v>0</v>
          </cell>
        </row>
        <row r="212">
          <cell r="A212" t="str">
            <v>21-06-04-0009</v>
          </cell>
          <cell r="B212">
            <v>0</v>
          </cell>
          <cell r="C212" t="str">
            <v xml:space="preserve">  OFF SHORE BANK AL-HABIB L/C # 1001/268</v>
          </cell>
          <cell r="D212">
            <v>0</v>
          </cell>
          <cell r="E212">
            <v>0</v>
          </cell>
          <cell r="F212">
            <v>0</v>
          </cell>
          <cell r="G212">
            <v>0</v>
          </cell>
        </row>
        <row r="213">
          <cell r="A213" t="str">
            <v>21-06-04-0010</v>
          </cell>
          <cell r="B213">
            <v>0</v>
          </cell>
          <cell r="C213" t="str">
            <v xml:space="preserve">  OFF SHORE FINANCE B.A.H.1001/1512/03</v>
          </cell>
          <cell r="D213">
            <v>0</v>
          </cell>
          <cell r="E213">
            <v>0</v>
          </cell>
          <cell r="F213">
            <v>0</v>
          </cell>
          <cell r="G213">
            <v>0</v>
          </cell>
        </row>
        <row r="214">
          <cell r="A214" t="str">
            <v>21-06-04-0011</v>
          </cell>
          <cell r="B214">
            <v>0</v>
          </cell>
          <cell r="C214" t="str">
            <v xml:space="preserve">  OFF SHORE FINANCE B.A.H 1001/1679/03</v>
          </cell>
          <cell r="D214">
            <v>0</v>
          </cell>
          <cell r="E214">
            <v>0</v>
          </cell>
          <cell r="F214">
            <v>0</v>
          </cell>
          <cell r="G214">
            <v>0</v>
          </cell>
        </row>
        <row r="215">
          <cell r="A215" t="str">
            <v>21-06-04-0012</v>
          </cell>
          <cell r="B215">
            <v>0</v>
          </cell>
          <cell r="C215" t="str">
            <v xml:space="preserve">  OFF SHORE FINANCE L/C # 1001/1762/03</v>
          </cell>
          <cell r="D215">
            <v>0</v>
          </cell>
          <cell r="E215">
            <v>0</v>
          </cell>
          <cell r="F215">
            <v>0</v>
          </cell>
          <cell r="G215">
            <v>0</v>
          </cell>
        </row>
        <row r="216">
          <cell r="A216" t="str">
            <v>21-06-04-0013</v>
          </cell>
          <cell r="B216">
            <v>0</v>
          </cell>
          <cell r="C216" t="str">
            <v xml:space="preserve">  OFF SHORE FINANCE L/C # 1001/1778/03</v>
          </cell>
          <cell r="D216">
            <v>0</v>
          </cell>
          <cell r="E216">
            <v>0</v>
          </cell>
          <cell r="F216">
            <v>0</v>
          </cell>
          <cell r="G216">
            <v>0</v>
          </cell>
        </row>
        <row r="217">
          <cell r="A217" t="str">
            <v>21-06-04-0014</v>
          </cell>
          <cell r="B217">
            <v>0</v>
          </cell>
          <cell r="C217" t="str">
            <v xml:space="preserve">  OFF SHORE FINANCE L/C # 1001/1680/03</v>
          </cell>
          <cell r="D217">
            <v>0</v>
          </cell>
          <cell r="E217">
            <v>0</v>
          </cell>
          <cell r="F217">
            <v>0</v>
          </cell>
          <cell r="G217">
            <v>0</v>
          </cell>
        </row>
        <row r="218">
          <cell r="A218" t="str">
            <v>21-06-04-0015</v>
          </cell>
          <cell r="B218">
            <v>0</v>
          </cell>
          <cell r="C218" t="str">
            <v xml:space="preserve">  OFF SHORE FINANCE L/C # 1001/1681/03</v>
          </cell>
          <cell r="D218">
            <v>0</v>
          </cell>
          <cell r="E218">
            <v>0</v>
          </cell>
          <cell r="F218">
            <v>0</v>
          </cell>
          <cell r="G218">
            <v>0</v>
          </cell>
        </row>
        <row r="219">
          <cell r="A219" t="str">
            <v>21-06-04-0016</v>
          </cell>
          <cell r="B219">
            <v>0</v>
          </cell>
          <cell r="C219" t="str">
            <v xml:space="preserve">  OFF SHORE FINANCE L/C # 1001/1861/03</v>
          </cell>
          <cell r="D219">
            <v>0</v>
          </cell>
          <cell r="E219">
            <v>0</v>
          </cell>
          <cell r="F219">
            <v>0</v>
          </cell>
          <cell r="G219">
            <v>0</v>
          </cell>
        </row>
        <row r="220">
          <cell r="A220" t="str">
            <v>21-06-04-0017</v>
          </cell>
          <cell r="B220">
            <v>0</v>
          </cell>
          <cell r="C220" t="str">
            <v xml:space="preserve">  OFF SHORE FINANCE B.A.H L/C # 1001/212</v>
          </cell>
          <cell r="D220">
            <v>0</v>
          </cell>
          <cell r="E220">
            <v>0</v>
          </cell>
          <cell r="F220">
            <v>0</v>
          </cell>
          <cell r="G220">
            <v>0</v>
          </cell>
        </row>
        <row r="221">
          <cell r="A221" t="str">
            <v>21-06-04-0018</v>
          </cell>
          <cell r="B221">
            <v>0</v>
          </cell>
          <cell r="C221" t="str">
            <v xml:space="preserve">  OFF SHORE FINANCE B.A.H L/C # 1001/184</v>
          </cell>
          <cell r="D221">
            <v>0</v>
          </cell>
          <cell r="E221">
            <v>0</v>
          </cell>
          <cell r="F221">
            <v>0</v>
          </cell>
          <cell r="G221">
            <v>0</v>
          </cell>
        </row>
        <row r="222">
          <cell r="A222" t="str">
            <v>21-06-05</v>
          </cell>
          <cell r="B222">
            <v>0</v>
          </cell>
          <cell r="C222" t="str">
            <v>***OFF SHORE TRADE FINANCES CITI BANK</v>
          </cell>
          <cell r="D222">
            <v>0</v>
          </cell>
          <cell r="E222">
            <v>0</v>
          </cell>
          <cell r="F222">
            <v>0</v>
          </cell>
          <cell r="G222">
            <v>0</v>
          </cell>
        </row>
        <row r="223">
          <cell r="A223" t="str">
            <v>21-06-05-0001</v>
          </cell>
          <cell r="B223">
            <v>0</v>
          </cell>
          <cell r="C223" t="str">
            <v xml:space="preserve">  OFF SHORE CITI L/C # 5343081003</v>
          </cell>
          <cell r="D223">
            <v>0</v>
          </cell>
          <cell r="E223">
            <v>0</v>
          </cell>
          <cell r="F223">
            <v>0</v>
          </cell>
          <cell r="G223">
            <v>0</v>
          </cell>
        </row>
        <row r="224">
          <cell r="A224" t="str">
            <v>21-06-05-0002</v>
          </cell>
          <cell r="B224">
            <v>0</v>
          </cell>
          <cell r="C224" t="str">
            <v xml:space="preserve">  OFF SHORE FINANCE CITI</v>
          </cell>
          <cell r="D224">
            <v>0</v>
          </cell>
          <cell r="E224">
            <v>0</v>
          </cell>
          <cell r="F224">
            <v>0</v>
          </cell>
          <cell r="G224">
            <v>0</v>
          </cell>
        </row>
        <row r="225">
          <cell r="A225" t="str">
            <v>21-06-05-0003</v>
          </cell>
          <cell r="B225">
            <v>0</v>
          </cell>
          <cell r="C225" t="str">
            <v xml:space="preserve">  OFF SHORE FINANCE CITI- L/C # 2003/375</v>
          </cell>
          <cell r="D225">
            <v>0</v>
          </cell>
          <cell r="E225">
            <v>0</v>
          </cell>
          <cell r="F225">
            <v>0</v>
          </cell>
          <cell r="G225">
            <v>0</v>
          </cell>
        </row>
        <row r="226">
          <cell r="A226" t="str">
            <v>21-06-05-0004</v>
          </cell>
          <cell r="B226">
            <v>0</v>
          </cell>
          <cell r="C226" t="str">
            <v xml:space="preserve">  OFF SHORE FINANCE CITI L/C # 1780/1001</v>
          </cell>
          <cell r="D226">
            <v>0</v>
          </cell>
          <cell r="E226">
            <v>0</v>
          </cell>
          <cell r="F226">
            <v>0</v>
          </cell>
          <cell r="G226">
            <v>0</v>
          </cell>
        </row>
        <row r="227">
          <cell r="A227" t="str">
            <v>21-06-05-0005</v>
          </cell>
          <cell r="B227">
            <v>0</v>
          </cell>
          <cell r="C227" t="str">
            <v xml:space="preserve">  OFF SHORE FINANCE CITI L/C # 1898/1001</v>
          </cell>
          <cell r="D227">
            <v>0</v>
          </cell>
          <cell r="E227">
            <v>0</v>
          </cell>
          <cell r="F227">
            <v>0</v>
          </cell>
          <cell r="G227">
            <v>0</v>
          </cell>
        </row>
        <row r="228">
          <cell r="A228" t="str">
            <v>21-06-05-0006</v>
          </cell>
          <cell r="B228">
            <v>0</v>
          </cell>
          <cell r="C228" t="str">
            <v xml:space="preserve">  OFF SHORE FINANCE CITI-L/C # 1905/1001</v>
          </cell>
          <cell r="D228">
            <v>0</v>
          </cell>
          <cell r="E228">
            <v>0</v>
          </cell>
          <cell r="F228">
            <v>0</v>
          </cell>
          <cell r="G228">
            <v>0</v>
          </cell>
        </row>
        <row r="229">
          <cell r="A229" t="str">
            <v>21-06-05-0007</v>
          </cell>
          <cell r="B229">
            <v>0</v>
          </cell>
          <cell r="C229" t="str">
            <v xml:space="preserve">  OFF SHORE FINANCE CITI- L/C # 403/2003</v>
          </cell>
          <cell r="D229">
            <v>0</v>
          </cell>
          <cell r="E229">
            <v>0</v>
          </cell>
          <cell r="F229">
            <v>0</v>
          </cell>
          <cell r="G229">
            <v>0</v>
          </cell>
        </row>
        <row r="230">
          <cell r="A230" t="str">
            <v>21-06-05-0008</v>
          </cell>
          <cell r="B230">
            <v>0</v>
          </cell>
          <cell r="C230" t="str">
            <v xml:space="preserve">  OFF SHORE FINANCE CITI-L/C # 1899/2003</v>
          </cell>
          <cell r="D230">
            <v>0</v>
          </cell>
          <cell r="E230">
            <v>0</v>
          </cell>
          <cell r="F230">
            <v>0</v>
          </cell>
          <cell r="G230">
            <v>0</v>
          </cell>
        </row>
        <row r="231">
          <cell r="A231" t="str">
            <v>21-06-05-0009</v>
          </cell>
          <cell r="B231">
            <v>0</v>
          </cell>
          <cell r="C231" t="str">
            <v xml:space="preserve">  OFF SHORE FINANCE CITI-L/C # 1941/2003</v>
          </cell>
          <cell r="D231">
            <v>0</v>
          </cell>
          <cell r="E231">
            <v>0</v>
          </cell>
          <cell r="F231">
            <v>0</v>
          </cell>
          <cell r="G231">
            <v>0</v>
          </cell>
        </row>
        <row r="232">
          <cell r="A232" t="str">
            <v>21-06-05-0010</v>
          </cell>
          <cell r="B232">
            <v>0</v>
          </cell>
          <cell r="C232" t="str">
            <v xml:space="preserve">  OFF SHORE FINANCE CITI- L/C # 1511/100</v>
          </cell>
          <cell r="D232">
            <v>0</v>
          </cell>
          <cell r="E232">
            <v>0</v>
          </cell>
          <cell r="F232">
            <v>0</v>
          </cell>
          <cell r="G232">
            <v>0</v>
          </cell>
        </row>
        <row r="233">
          <cell r="A233" t="str">
            <v>21-06-05-0011</v>
          </cell>
          <cell r="B233">
            <v>0</v>
          </cell>
          <cell r="C233" t="str">
            <v xml:space="preserve">  OFF SHORE FINANCE L/C # 2003/414</v>
          </cell>
          <cell r="D233">
            <v>0</v>
          </cell>
          <cell r="E233">
            <v>0</v>
          </cell>
          <cell r="F233">
            <v>0</v>
          </cell>
          <cell r="G233">
            <v>0</v>
          </cell>
        </row>
        <row r="234">
          <cell r="A234" t="str">
            <v>21-06-05-0012</v>
          </cell>
          <cell r="B234">
            <v>0</v>
          </cell>
          <cell r="C234" t="str">
            <v xml:space="preserve">  OFF SHORE FINANCE L/C # 330/03/0676</v>
          </cell>
          <cell r="D234">
            <v>0</v>
          </cell>
          <cell r="E234">
            <v>0</v>
          </cell>
          <cell r="F234">
            <v>0</v>
          </cell>
          <cell r="G234">
            <v>0</v>
          </cell>
        </row>
        <row r="235">
          <cell r="A235" t="str">
            <v>21-06-05-0013</v>
          </cell>
          <cell r="B235">
            <v>0</v>
          </cell>
          <cell r="C235" t="str">
            <v xml:space="preserve">  OFF SHORE FINANCE L/C # MWT/04/5477</v>
          </cell>
          <cell r="D235">
            <v>0</v>
          </cell>
          <cell r="E235">
            <v>0</v>
          </cell>
          <cell r="F235">
            <v>0</v>
          </cell>
          <cell r="G235">
            <v>0</v>
          </cell>
        </row>
        <row r="236">
          <cell r="A236" t="str">
            <v>21-06-06</v>
          </cell>
          <cell r="B236">
            <v>0</v>
          </cell>
          <cell r="C236" t="str">
            <v>***OFF SHORE FINANCE U.B.L.</v>
          </cell>
          <cell r="D236">
            <v>0</v>
          </cell>
          <cell r="E236">
            <v>196596434</v>
          </cell>
          <cell r="F236">
            <v>0</v>
          </cell>
          <cell r="G236">
            <v>196596434</v>
          </cell>
        </row>
        <row r="237">
          <cell r="A237" t="str">
            <v>21-06-06-0001</v>
          </cell>
          <cell r="B237">
            <v>196596352</v>
          </cell>
          <cell r="C237" t="str">
            <v xml:space="preserve">  OFF SHORE FINANCE UBL L/C # 1/0525/281</v>
          </cell>
          <cell r="D237">
            <v>0</v>
          </cell>
          <cell r="E237">
            <v>0</v>
          </cell>
          <cell r="F237">
            <v>0</v>
          </cell>
          <cell r="G237">
            <v>0</v>
          </cell>
        </row>
        <row r="238">
          <cell r="A238" t="str">
            <v>21-06-06-0002</v>
          </cell>
          <cell r="B238">
            <v>0</v>
          </cell>
          <cell r="C238" t="str">
            <v xml:space="preserve">  OFF SHORE FINANCE UBL L/C # 1/0525 302</v>
          </cell>
          <cell r="D238">
            <v>0</v>
          </cell>
          <cell r="E238">
            <v>0</v>
          </cell>
          <cell r="F238">
            <v>0</v>
          </cell>
          <cell r="G238">
            <v>0</v>
          </cell>
        </row>
        <row r="239">
          <cell r="A239" t="str">
            <v>21-06-06-0003</v>
          </cell>
          <cell r="B239">
            <v>0</v>
          </cell>
          <cell r="C239" t="str">
            <v xml:space="preserve">  OFF SHORE FINANCE UBL L/C # 1/0525/298</v>
          </cell>
          <cell r="D239">
            <v>0</v>
          </cell>
          <cell r="E239">
            <v>0</v>
          </cell>
          <cell r="F239">
            <v>0</v>
          </cell>
          <cell r="G239">
            <v>0</v>
          </cell>
        </row>
        <row r="240">
          <cell r="A240" t="str">
            <v>21-06-06-0004</v>
          </cell>
          <cell r="B240">
            <v>0</v>
          </cell>
          <cell r="C240" t="str">
            <v xml:space="preserve">  OFF SHORE FINANCE UBL L/C # 1/525/3029</v>
          </cell>
          <cell r="D240">
            <v>0</v>
          </cell>
          <cell r="E240">
            <v>0</v>
          </cell>
          <cell r="F240">
            <v>0</v>
          </cell>
          <cell r="G240">
            <v>0</v>
          </cell>
        </row>
        <row r="241">
          <cell r="A241" t="str">
            <v>21-06-06-0005</v>
          </cell>
          <cell r="B241">
            <v>0</v>
          </cell>
          <cell r="C241" t="str">
            <v xml:space="preserve">  OFF SHORE FINANCE UBL L/C # 1/525/3038</v>
          </cell>
          <cell r="D241">
            <v>0</v>
          </cell>
          <cell r="E241">
            <v>0</v>
          </cell>
          <cell r="F241">
            <v>0</v>
          </cell>
          <cell r="G241">
            <v>0</v>
          </cell>
        </row>
        <row r="242">
          <cell r="A242" t="str">
            <v>21-06-06-0006</v>
          </cell>
          <cell r="B242">
            <v>0</v>
          </cell>
          <cell r="C242" t="str">
            <v xml:space="preserve">  OFF SHORE FINANCE UBL L/C # 01/525/303</v>
          </cell>
          <cell r="D242">
            <v>0</v>
          </cell>
          <cell r="E242">
            <v>0</v>
          </cell>
          <cell r="F242">
            <v>0</v>
          </cell>
          <cell r="G242">
            <v>0</v>
          </cell>
        </row>
        <row r="243">
          <cell r="A243" t="str">
            <v>21-06-06-0007</v>
          </cell>
          <cell r="B243">
            <v>0</v>
          </cell>
          <cell r="C243" t="str">
            <v xml:space="preserve">  OFF SHORE FINANCE UBL L/C # IFBC 0534</v>
          </cell>
          <cell r="D243">
            <v>0</v>
          </cell>
          <cell r="E243">
            <v>0</v>
          </cell>
          <cell r="F243">
            <v>0</v>
          </cell>
          <cell r="G243">
            <v>0</v>
          </cell>
        </row>
        <row r="244">
          <cell r="A244" t="str">
            <v>21-06-06-0008</v>
          </cell>
          <cell r="B244">
            <v>0</v>
          </cell>
          <cell r="C244" t="str">
            <v xml:space="preserve">  OFF SHORE FINANCE U.B.L.</v>
          </cell>
          <cell r="D244">
            <v>0</v>
          </cell>
          <cell r="E244">
            <v>196596434</v>
          </cell>
          <cell r="F244">
            <v>0</v>
          </cell>
          <cell r="G244">
            <v>0</v>
          </cell>
        </row>
        <row r="245">
          <cell r="A245" t="str">
            <v>21-06-06-0010</v>
          </cell>
          <cell r="B245">
            <v>0</v>
          </cell>
          <cell r="C245" t="str">
            <v xml:space="preserve">  OFF SHORE FINANCE U.B.L. L/C # 525/303</v>
          </cell>
          <cell r="D245">
            <v>0</v>
          </cell>
          <cell r="E245">
            <v>0</v>
          </cell>
          <cell r="F245">
            <v>0</v>
          </cell>
          <cell r="G245">
            <v>0</v>
          </cell>
        </row>
        <row r="246">
          <cell r="A246" t="str">
            <v>21-06-07</v>
          </cell>
          <cell r="B246">
            <v>0</v>
          </cell>
          <cell r="C246" t="str">
            <v>***OFF SHORE FINANCE HABIB BANK A.G.ZURI</v>
          </cell>
          <cell r="D246">
            <v>0</v>
          </cell>
          <cell r="E246">
            <v>0</v>
          </cell>
          <cell r="F246">
            <v>0</v>
          </cell>
          <cell r="G246">
            <v>0</v>
          </cell>
        </row>
        <row r="247">
          <cell r="A247" t="str">
            <v>21-06-07-0001</v>
          </cell>
          <cell r="B247">
            <v>0</v>
          </cell>
          <cell r="C247" t="str">
            <v xml:space="preserve">  OFF SHORE FINANCE ZURICH L/C # 5431</v>
          </cell>
          <cell r="D247">
            <v>0</v>
          </cell>
          <cell r="E247">
            <v>0</v>
          </cell>
          <cell r="F247">
            <v>0</v>
          </cell>
          <cell r="G247">
            <v>0</v>
          </cell>
        </row>
        <row r="248">
          <cell r="A248" t="str">
            <v>21-06-07-0002</v>
          </cell>
          <cell r="B248">
            <v>0</v>
          </cell>
          <cell r="C248" t="str">
            <v xml:space="preserve">  OFF SHORE FINANCE ZURICH L/C # 5367</v>
          </cell>
          <cell r="D248">
            <v>0</v>
          </cell>
          <cell r="E248">
            <v>0</v>
          </cell>
          <cell r="F248">
            <v>0</v>
          </cell>
          <cell r="G248">
            <v>0</v>
          </cell>
        </row>
        <row r="249">
          <cell r="A249" t="str">
            <v>23</v>
          </cell>
          <cell r="B249">
            <v>0</v>
          </cell>
          <cell r="C249" t="str">
            <v>*CREDITORS</v>
          </cell>
          <cell r="D249">
            <v>0</v>
          </cell>
          <cell r="E249">
            <v>40671392.149999999</v>
          </cell>
          <cell r="F249">
            <v>48452338.009999998</v>
          </cell>
          <cell r="G249">
            <v>89123730.159999996</v>
          </cell>
        </row>
        <row r="250">
          <cell r="A250" t="str">
            <v>23-01</v>
          </cell>
          <cell r="B250">
            <v>89123712</v>
          </cell>
          <cell r="C250" t="str">
            <v>**AGAINST STORE SUPPLIES</v>
          </cell>
          <cell r="D250">
            <v>0</v>
          </cell>
          <cell r="E250">
            <v>24936083.600000001</v>
          </cell>
          <cell r="F250">
            <v>9103789.8699999992</v>
          </cell>
          <cell r="G250">
            <v>34039873.469999999</v>
          </cell>
        </row>
        <row r="251">
          <cell r="A251" t="str">
            <v>23-01-01</v>
          </cell>
          <cell r="B251">
            <v>34039872</v>
          </cell>
          <cell r="C251" t="str">
            <v>***AGAINST STORE SUPPLIES</v>
          </cell>
          <cell r="D251">
            <v>0</v>
          </cell>
          <cell r="E251">
            <v>24936083.600000001</v>
          </cell>
          <cell r="F251">
            <v>9103789.8699999992</v>
          </cell>
          <cell r="G251">
            <v>34039873.469999999</v>
          </cell>
        </row>
        <row r="252">
          <cell r="A252" t="str">
            <v>23-01-01-0001</v>
          </cell>
          <cell r="B252">
            <v>34039872</v>
          </cell>
          <cell r="C252" t="str">
            <v xml:space="preserve">  ALLIED PAINT &amp; HARD WARE STORE</v>
          </cell>
          <cell r="D252">
            <v>0</v>
          </cell>
          <cell r="E252">
            <v>0</v>
          </cell>
          <cell r="F252">
            <v>0</v>
          </cell>
          <cell r="G252">
            <v>0</v>
          </cell>
        </row>
        <row r="253">
          <cell r="A253" t="str">
            <v>23-01-01-0002</v>
          </cell>
          <cell r="B253">
            <v>0</v>
          </cell>
          <cell r="C253" t="str">
            <v xml:space="preserve">  ABASIN FILLING STATION</v>
          </cell>
          <cell r="D253">
            <v>0</v>
          </cell>
          <cell r="E253">
            <v>29680</v>
          </cell>
          <cell r="F253">
            <v>0</v>
          </cell>
          <cell r="G253">
            <v>0</v>
          </cell>
        </row>
        <row r="254">
          <cell r="A254" t="str">
            <v>23-01-01-0003</v>
          </cell>
          <cell r="B254">
            <v>0</v>
          </cell>
          <cell r="C254" t="str">
            <v xml:space="preserve">  ABDUL RASHID AWAMI BROTHERS, FSD</v>
          </cell>
          <cell r="D254">
            <v>0</v>
          </cell>
          <cell r="E254">
            <v>0</v>
          </cell>
          <cell r="F254">
            <v>0</v>
          </cell>
          <cell r="G254">
            <v>0</v>
          </cell>
        </row>
        <row r="255">
          <cell r="A255" t="str">
            <v>23-01-01-0004</v>
          </cell>
          <cell r="B255">
            <v>0</v>
          </cell>
          <cell r="C255" t="str">
            <v xml:space="preserve">  ADVANCE ELECTRONICS INTERNATIONAL</v>
          </cell>
          <cell r="D255">
            <v>0</v>
          </cell>
          <cell r="E255">
            <v>0</v>
          </cell>
          <cell r="F255">
            <v>0</v>
          </cell>
          <cell r="G255">
            <v>0</v>
          </cell>
        </row>
        <row r="256">
          <cell r="A256" t="str">
            <v>23-01-01-0005</v>
          </cell>
          <cell r="B256">
            <v>0</v>
          </cell>
          <cell r="C256" t="str">
            <v xml:space="preserve">  AFTAB MILLS STORE  KARACHI</v>
          </cell>
          <cell r="D256">
            <v>0</v>
          </cell>
          <cell r="E256">
            <v>0</v>
          </cell>
          <cell r="F256">
            <v>0</v>
          </cell>
          <cell r="G256">
            <v>0</v>
          </cell>
        </row>
        <row r="257">
          <cell r="A257" t="str">
            <v>23-01-01-0006</v>
          </cell>
          <cell r="B257">
            <v>0</v>
          </cell>
          <cell r="C257" t="str">
            <v xml:space="preserve">  AMAR BOX MAKER LHR</v>
          </cell>
          <cell r="D257">
            <v>0</v>
          </cell>
          <cell r="E257">
            <v>0</v>
          </cell>
          <cell r="F257">
            <v>0</v>
          </cell>
          <cell r="G257">
            <v>0</v>
          </cell>
        </row>
        <row r="258">
          <cell r="A258" t="str">
            <v>23-01-01-0007</v>
          </cell>
          <cell r="B258">
            <v>0</v>
          </cell>
          <cell r="C258" t="str">
            <v xml:space="preserve">  ABDULLAH PACKING MATERIAL STORE</v>
          </cell>
          <cell r="D258">
            <v>0</v>
          </cell>
          <cell r="E258">
            <v>0</v>
          </cell>
          <cell r="F258">
            <v>0</v>
          </cell>
          <cell r="G258">
            <v>0</v>
          </cell>
        </row>
        <row r="259">
          <cell r="A259" t="str">
            <v>23-01-01-0008</v>
          </cell>
          <cell r="B259">
            <v>0</v>
          </cell>
          <cell r="C259" t="str">
            <v xml:space="preserve">  UMRAN TRADERS</v>
          </cell>
          <cell r="D259">
            <v>0</v>
          </cell>
          <cell r="E259">
            <v>0</v>
          </cell>
          <cell r="F259">
            <v>0</v>
          </cell>
          <cell r="G259">
            <v>0</v>
          </cell>
        </row>
        <row r="260">
          <cell r="A260" t="str">
            <v>23-01-01-0009</v>
          </cell>
          <cell r="B260">
            <v>0</v>
          </cell>
          <cell r="C260" t="str">
            <v xml:space="preserve">  AHMAND INDUSTRIAL SERVICES</v>
          </cell>
          <cell r="D260">
            <v>0</v>
          </cell>
          <cell r="E260">
            <v>0</v>
          </cell>
          <cell r="F260">
            <v>0</v>
          </cell>
          <cell r="G260">
            <v>0</v>
          </cell>
        </row>
        <row r="261">
          <cell r="A261" t="str">
            <v>23-01-01-0010</v>
          </cell>
          <cell r="B261">
            <v>0</v>
          </cell>
          <cell r="C261" t="str">
            <v xml:space="preserve">  AL SHAHID ENGG WORKS GADOON</v>
          </cell>
          <cell r="D261">
            <v>0</v>
          </cell>
          <cell r="E261">
            <v>0</v>
          </cell>
          <cell r="F261">
            <v>0</v>
          </cell>
          <cell r="G261">
            <v>0</v>
          </cell>
        </row>
        <row r="262">
          <cell r="A262" t="str">
            <v>23-01-01-0011</v>
          </cell>
          <cell r="B262">
            <v>0</v>
          </cell>
          <cell r="C262" t="str">
            <v xml:space="preserve">  ALI IMRAN TRADERS LHR</v>
          </cell>
          <cell r="D262">
            <v>0</v>
          </cell>
          <cell r="E262">
            <v>0</v>
          </cell>
          <cell r="F262">
            <v>0</v>
          </cell>
          <cell r="G262">
            <v>0</v>
          </cell>
        </row>
        <row r="263">
          <cell r="A263" t="str">
            <v>23-01-01-0012</v>
          </cell>
          <cell r="B263">
            <v>0</v>
          </cell>
          <cell r="C263" t="str">
            <v xml:space="preserve">  ALLIED ENGG: &amp; SERVICES LTD.</v>
          </cell>
          <cell r="D263">
            <v>0</v>
          </cell>
          <cell r="E263">
            <v>1007908.45</v>
          </cell>
          <cell r="F263">
            <v>0</v>
          </cell>
          <cell r="G263">
            <v>0</v>
          </cell>
        </row>
        <row r="264">
          <cell r="A264" t="str">
            <v>23-01-01-0013</v>
          </cell>
          <cell r="B264">
            <v>0</v>
          </cell>
          <cell r="C264" t="str">
            <v xml:space="preserve">  AL-SADIQ INDUSTRIES (PVT) LIMITED</v>
          </cell>
          <cell r="D264">
            <v>0</v>
          </cell>
          <cell r="E264">
            <v>0</v>
          </cell>
          <cell r="F264">
            <v>0</v>
          </cell>
          <cell r="G264">
            <v>0</v>
          </cell>
        </row>
        <row r="265">
          <cell r="A265" t="str">
            <v>23-01-01-0014</v>
          </cell>
          <cell r="B265">
            <v>0</v>
          </cell>
          <cell r="C265" t="str">
            <v xml:space="preserve">  AMER MILLS STORES</v>
          </cell>
          <cell r="D265">
            <v>0</v>
          </cell>
          <cell r="E265">
            <v>0</v>
          </cell>
          <cell r="F265">
            <v>0</v>
          </cell>
          <cell r="G265">
            <v>0</v>
          </cell>
        </row>
        <row r="266">
          <cell r="A266" t="str">
            <v>23-01-01-0015</v>
          </cell>
          <cell r="B266">
            <v>0</v>
          </cell>
          <cell r="C266" t="str">
            <v xml:space="preserve">  ARIF PRINTING PRESS</v>
          </cell>
          <cell r="D266">
            <v>0</v>
          </cell>
          <cell r="E266">
            <v>0</v>
          </cell>
          <cell r="F266">
            <v>0</v>
          </cell>
          <cell r="G266">
            <v>0</v>
          </cell>
        </row>
        <row r="267">
          <cell r="A267" t="str">
            <v>23-01-01-0016</v>
          </cell>
          <cell r="B267">
            <v>0</v>
          </cell>
          <cell r="C267" t="str">
            <v xml:space="preserve">  ASAD ELECTRIC CONCERN, LHR</v>
          </cell>
          <cell r="D267">
            <v>0</v>
          </cell>
          <cell r="E267">
            <v>0</v>
          </cell>
          <cell r="F267">
            <v>0</v>
          </cell>
          <cell r="G267">
            <v>0</v>
          </cell>
        </row>
        <row r="268">
          <cell r="A268" t="str">
            <v>23-01-01-0017</v>
          </cell>
          <cell r="B268">
            <v>0</v>
          </cell>
          <cell r="C268" t="str">
            <v xml:space="preserve">  ASIA TRADERS LHR</v>
          </cell>
          <cell r="D268">
            <v>0</v>
          </cell>
          <cell r="E268">
            <v>0</v>
          </cell>
          <cell r="F268">
            <v>0</v>
          </cell>
          <cell r="G268">
            <v>0</v>
          </cell>
        </row>
        <row r="269">
          <cell r="A269" t="str">
            <v>23-01-01-0018</v>
          </cell>
          <cell r="B269">
            <v>0</v>
          </cell>
          <cell r="C269" t="str">
            <v xml:space="preserve">  ASIF TRADERS</v>
          </cell>
          <cell r="D269">
            <v>0</v>
          </cell>
          <cell r="E269">
            <v>0</v>
          </cell>
          <cell r="F269">
            <v>0</v>
          </cell>
          <cell r="G269">
            <v>0</v>
          </cell>
        </row>
        <row r="270">
          <cell r="A270" t="str">
            <v>23-01-01-0019</v>
          </cell>
          <cell r="B270">
            <v>0</v>
          </cell>
          <cell r="C270" t="str">
            <v xml:space="preserve">  ASSOCIATED TEXTILE CONSULTANT</v>
          </cell>
          <cell r="D270">
            <v>0</v>
          </cell>
          <cell r="E270">
            <v>118260</v>
          </cell>
          <cell r="F270">
            <v>0</v>
          </cell>
          <cell r="G270">
            <v>0</v>
          </cell>
        </row>
        <row r="271">
          <cell r="A271" t="str">
            <v>23-01-01-0020</v>
          </cell>
          <cell r="B271">
            <v>0</v>
          </cell>
          <cell r="C271" t="str">
            <v xml:space="preserve">  ABDUL RAUF IRON STORE TOPI</v>
          </cell>
          <cell r="D271">
            <v>0</v>
          </cell>
          <cell r="E271">
            <v>0</v>
          </cell>
          <cell r="F271">
            <v>0</v>
          </cell>
          <cell r="G271">
            <v>0</v>
          </cell>
        </row>
        <row r="272">
          <cell r="A272" t="str">
            <v>23-01-01-0021</v>
          </cell>
          <cell r="B272">
            <v>0</v>
          </cell>
          <cell r="C272" t="str">
            <v xml:space="preserve">  AZAM INDUSTRIES</v>
          </cell>
          <cell r="D272">
            <v>0</v>
          </cell>
          <cell r="E272">
            <v>0</v>
          </cell>
          <cell r="F272">
            <v>0</v>
          </cell>
          <cell r="G272">
            <v>0</v>
          </cell>
        </row>
        <row r="273">
          <cell r="A273" t="str">
            <v>23-01-01-0022</v>
          </cell>
          <cell r="B273">
            <v>0</v>
          </cell>
          <cell r="C273" t="str">
            <v xml:space="preserve">  AZAM &amp; CO. LAHORE</v>
          </cell>
          <cell r="D273">
            <v>0</v>
          </cell>
          <cell r="E273">
            <v>0</v>
          </cell>
          <cell r="F273">
            <v>0</v>
          </cell>
          <cell r="G273">
            <v>0</v>
          </cell>
        </row>
        <row r="274">
          <cell r="A274" t="str">
            <v>23-01-01-0023</v>
          </cell>
          <cell r="B274">
            <v>0</v>
          </cell>
          <cell r="C274" t="str">
            <v xml:space="preserve">  ASIF TEXTILE TRADING CO.</v>
          </cell>
          <cell r="D274">
            <v>0</v>
          </cell>
          <cell r="E274">
            <v>57900</v>
          </cell>
          <cell r="F274">
            <v>0</v>
          </cell>
          <cell r="G274">
            <v>0</v>
          </cell>
        </row>
        <row r="275">
          <cell r="A275" t="str">
            <v>23-01-01-0024</v>
          </cell>
          <cell r="B275">
            <v>0</v>
          </cell>
          <cell r="C275" t="str">
            <v xml:space="preserve">  SHELL (PVT) LTD</v>
          </cell>
          <cell r="D275">
            <v>0</v>
          </cell>
          <cell r="E275">
            <v>0</v>
          </cell>
          <cell r="F275">
            <v>0</v>
          </cell>
          <cell r="G275">
            <v>0</v>
          </cell>
        </row>
        <row r="276">
          <cell r="A276" t="str">
            <v>23-01-01-0025</v>
          </cell>
          <cell r="B276">
            <v>0</v>
          </cell>
          <cell r="C276" t="str">
            <v xml:space="preserve">  BASHIR SON'S LHR</v>
          </cell>
          <cell r="D276">
            <v>0</v>
          </cell>
          <cell r="E276">
            <v>0</v>
          </cell>
          <cell r="F276">
            <v>0</v>
          </cell>
          <cell r="G276">
            <v>0</v>
          </cell>
        </row>
        <row r="277">
          <cell r="A277" t="str">
            <v>23-01-01-0026</v>
          </cell>
          <cell r="B277">
            <v>0</v>
          </cell>
          <cell r="C277" t="str">
            <v xml:space="preserve">  CALTEX OIL (PAK) LIMITED, PESHAWAR</v>
          </cell>
          <cell r="D277">
            <v>0</v>
          </cell>
          <cell r="E277">
            <v>0</v>
          </cell>
          <cell r="F277">
            <v>0</v>
          </cell>
          <cell r="G277">
            <v>0</v>
          </cell>
        </row>
        <row r="278">
          <cell r="A278" t="str">
            <v>23-01-01-0027</v>
          </cell>
          <cell r="B278">
            <v>0</v>
          </cell>
          <cell r="C278" t="str">
            <v xml:space="preserve">  COLLEGE BOOK DEPOT STATIONERY MART</v>
          </cell>
          <cell r="D278">
            <v>0</v>
          </cell>
          <cell r="E278">
            <v>0</v>
          </cell>
          <cell r="F278">
            <v>0</v>
          </cell>
          <cell r="G278">
            <v>0</v>
          </cell>
        </row>
        <row r="279">
          <cell r="A279" t="str">
            <v>23-01-01-0028</v>
          </cell>
          <cell r="B279">
            <v>0</v>
          </cell>
          <cell r="C279" t="str">
            <v xml:space="preserve">  CORPORATE PRINTERS, KARACHI</v>
          </cell>
          <cell r="D279">
            <v>0</v>
          </cell>
          <cell r="E279">
            <v>0</v>
          </cell>
          <cell r="F279">
            <v>0</v>
          </cell>
          <cell r="G279">
            <v>0</v>
          </cell>
        </row>
        <row r="280">
          <cell r="A280" t="str">
            <v>23-01-01-0029</v>
          </cell>
          <cell r="B280">
            <v>0</v>
          </cell>
          <cell r="C280" t="str">
            <v xml:space="preserve">  DAD INTERNATIONAL LAHORE</v>
          </cell>
          <cell r="D280">
            <v>0</v>
          </cell>
          <cell r="E280">
            <v>0</v>
          </cell>
          <cell r="F280">
            <v>0</v>
          </cell>
          <cell r="G280">
            <v>0</v>
          </cell>
        </row>
        <row r="281">
          <cell r="A281" t="str">
            <v>23-01-01-0030</v>
          </cell>
          <cell r="B281">
            <v>0</v>
          </cell>
          <cell r="C281" t="str">
            <v xml:space="preserve">  DAWOOD MILLS STORES  LHR</v>
          </cell>
          <cell r="D281">
            <v>0</v>
          </cell>
          <cell r="E281">
            <v>116335</v>
          </cell>
          <cell r="F281">
            <v>0</v>
          </cell>
          <cell r="G281">
            <v>0</v>
          </cell>
        </row>
        <row r="282">
          <cell r="A282" t="str">
            <v>23-01-01-0031</v>
          </cell>
          <cell r="B282">
            <v>0</v>
          </cell>
          <cell r="C282" t="str">
            <v xml:space="preserve">  FAKHAR PACKING FACTORY LAHORE</v>
          </cell>
          <cell r="D282">
            <v>0</v>
          </cell>
          <cell r="E282">
            <v>0</v>
          </cell>
          <cell r="F282">
            <v>0</v>
          </cell>
          <cell r="G282">
            <v>0</v>
          </cell>
        </row>
        <row r="283">
          <cell r="A283" t="str">
            <v>23-01-01-0032</v>
          </cell>
          <cell r="B283">
            <v>0</v>
          </cell>
          <cell r="C283" t="str">
            <v xml:space="preserve">  FAHEEM BOOK DEPOT TOPI</v>
          </cell>
          <cell r="D283">
            <v>0</v>
          </cell>
          <cell r="E283">
            <v>0</v>
          </cell>
          <cell r="F283">
            <v>0</v>
          </cell>
          <cell r="G283">
            <v>0</v>
          </cell>
        </row>
        <row r="284">
          <cell r="A284" t="str">
            <v>23-01-01-0033</v>
          </cell>
          <cell r="B284">
            <v>0</v>
          </cell>
          <cell r="C284" t="str">
            <v xml:space="preserve">  FAZAL ENTERPRISES LHR</v>
          </cell>
          <cell r="D284">
            <v>0</v>
          </cell>
          <cell r="E284">
            <v>0</v>
          </cell>
          <cell r="F284">
            <v>0</v>
          </cell>
          <cell r="G284">
            <v>0</v>
          </cell>
        </row>
        <row r="285">
          <cell r="A285" t="str">
            <v>23-01-01-0034</v>
          </cell>
          <cell r="B285">
            <v>0</v>
          </cell>
          <cell r="C285" t="str">
            <v xml:space="preserve">  FRONTIER PUNJAB TRADERS</v>
          </cell>
          <cell r="D285">
            <v>0</v>
          </cell>
          <cell r="E285">
            <v>0</v>
          </cell>
          <cell r="F285">
            <v>0</v>
          </cell>
          <cell r="G285">
            <v>0</v>
          </cell>
        </row>
        <row r="286">
          <cell r="A286" t="str">
            <v>23-01-01-0035</v>
          </cell>
          <cell r="B286">
            <v>0</v>
          </cell>
          <cell r="C286" t="str">
            <v xml:space="preserve">  GADOON INDUSTRIES (PVT) LTD.</v>
          </cell>
          <cell r="D286">
            <v>0</v>
          </cell>
          <cell r="E286">
            <v>0</v>
          </cell>
          <cell r="F286">
            <v>0</v>
          </cell>
          <cell r="G286">
            <v>0</v>
          </cell>
        </row>
        <row r="287">
          <cell r="A287" t="str">
            <v>23-01-01-0036</v>
          </cell>
          <cell r="B287">
            <v>0</v>
          </cell>
          <cell r="C287" t="str">
            <v xml:space="preserve">  GHANI ENTERPRISES KHI</v>
          </cell>
          <cell r="D287">
            <v>0</v>
          </cell>
          <cell r="E287">
            <v>0</v>
          </cell>
          <cell r="F287">
            <v>0</v>
          </cell>
          <cell r="G287">
            <v>0</v>
          </cell>
        </row>
        <row r="288">
          <cell r="A288" t="str">
            <v>23-01-01-0037</v>
          </cell>
          <cell r="B288">
            <v>0</v>
          </cell>
          <cell r="C288" t="str">
            <v xml:space="preserve">  GREEN AND COMPANY</v>
          </cell>
          <cell r="D288">
            <v>0</v>
          </cell>
          <cell r="E288">
            <v>0</v>
          </cell>
          <cell r="F288">
            <v>0</v>
          </cell>
          <cell r="G288">
            <v>0</v>
          </cell>
        </row>
        <row r="289">
          <cell r="A289" t="str">
            <v>23-01-01-0038</v>
          </cell>
          <cell r="B289">
            <v>0</v>
          </cell>
          <cell r="C289" t="str">
            <v xml:space="preserve">  G.F.C. FANS</v>
          </cell>
          <cell r="D289">
            <v>0</v>
          </cell>
          <cell r="E289">
            <v>0</v>
          </cell>
          <cell r="F289">
            <v>0</v>
          </cell>
          <cell r="G289">
            <v>0</v>
          </cell>
        </row>
        <row r="290">
          <cell r="A290" t="str">
            <v>23-01-01-0039</v>
          </cell>
          <cell r="B290">
            <v>0</v>
          </cell>
          <cell r="C290" t="str">
            <v xml:space="preserve">  G.M.SONS</v>
          </cell>
          <cell r="D290">
            <v>0</v>
          </cell>
          <cell r="E290">
            <v>0</v>
          </cell>
          <cell r="F290">
            <v>0</v>
          </cell>
          <cell r="G290">
            <v>0</v>
          </cell>
        </row>
        <row r="291">
          <cell r="A291" t="str">
            <v>23-01-01-0040</v>
          </cell>
          <cell r="B291">
            <v>0</v>
          </cell>
          <cell r="C291" t="str">
            <v xml:space="preserve">  H &amp; S INDUSTRIES (PVT) LTD GADOON</v>
          </cell>
          <cell r="D291">
            <v>0</v>
          </cell>
          <cell r="E291">
            <v>0</v>
          </cell>
          <cell r="F291">
            <v>0</v>
          </cell>
          <cell r="G291">
            <v>0</v>
          </cell>
        </row>
        <row r="292">
          <cell r="A292" t="str">
            <v>23-01-01-0041</v>
          </cell>
          <cell r="B292">
            <v>0</v>
          </cell>
          <cell r="C292" t="str">
            <v xml:space="preserve">  HAKIM ELECTRONICS</v>
          </cell>
          <cell r="D292">
            <v>0</v>
          </cell>
          <cell r="E292">
            <v>0</v>
          </cell>
          <cell r="F292">
            <v>0</v>
          </cell>
          <cell r="G292">
            <v>0</v>
          </cell>
        </row>
        <row r="293">
          <cell r="A293" t="str">
            <v>23-01-01-0042</v>
          </cell>
          <cell r="B293">
            <v>0</v>
          </cell>
          <cell r="C293" t="str">
            <v xml:space="preserve">  HASEEN HABIB CORP</v>
          </cell>
          <cell r="D293">
            <v>0</v>
          </cell>
          <cell r="E293">
            <v>0</v>
          </cell>
          <cell r="F293">
            <v>0</v>
          </cell>
          <cell r="G293">
            <v>0</v>
          </cell>
        </row>
        <row r="294">
          <cell r="A294" t="str">
            <v>23-01-01-0043</v>
          </cell>
          <cell r="B294">
            <v>0</v>
          </cell>
          <cell r="C294" t="str">
            <v xml:space="preserve">  INDUS TRADERS LAHORE</v>
          </cell>
          <cell r="D294">
            <v>0</v>
          </cell>
          <cell r="E294">
            <v>0</v>
          </cell>
          <cell r="F294">
            <v>0</v>
          </cell>
          <cell r="G294">
            <v>0</v>
          </cell>
        </row>
        <row r="295">
          <cell r="A295" t="str">
            <v>23-01-01-0044</v>
          </cell>
          <cell r="B295">
            <v>0</v>
          </cell>
          <cell r="C295" t="str">
            <v xml:space="preserve">  INDUSTRIAL GOODS &amp; SERVICE</v>
          </cell>
          <cell r="D295">
            <v>0</v>
          </cell>
          <cell r="E295">
            <v>0</v>
          </cell>
          <cell r="F295">
            <v>0</v>
          </cell>
          <cell r="G295">
            <v>0</v>
          </cell>
        </row>
        <row r="296">
          <cell r="A296" t="str">
            <v>23-01-01-0045</v>
          </cell>
          <cell r="B296">
            <v>0</v>
          </cell>
          <cell r="C296" t="str">
            <v xml:space="preserve">  IMRAN TRADERS</v>
          </cell>
          <cell r="D296">
            <v>0</v>
          </cell>
          <cell r="E296">
            <v>0</v>
          </cell>
          <cell r="F296">
            <v>0</v>
          </cell>
          <cell r="G296">
            <v>0</v>
          </cell>
        </row>
        <row r="297">
          <cell r="A297" t="str">
            <v>23-01-01-0046</v>
          </cell>
          <cell r="B297">
            <v>0</v>
          </cell>
          <cell r="C297" t="str">
            <v xml:space="preserve">  ISRAR BROTHERS GENERAL STORE</v>
          </cell>
          <cell r="D297">
            <v>0</v>
          </cell>
          <cell r="E297">
            <v>0</v>
          </cell>
          <cell r="F297">
            <v>0</v>
          </cell>
          <cell r="G297">
            <v>0</v>
          </cell>
        </row>
        <row r="298">
          <cell r="A298" t="str">
            <v>23-01-01-0047</v>
          </cell>
          <cell r="B298">
            <v>0</v>
          </cell>
          <cell r="C298" t="str">
            <v xml:space="preserve">  ISLAMUDDIN C/O CALTEX</v>
          </cell>
          <cell r="D298">
            <v>0</v>
          </cell>
          <cell r="E298">
            <v>0</v>
          </cell>
          <cell r="F298">
            <v>0</v>
          </cell>
          <cell r="G298">
            <v>0</v>
          </cell>
        </row>
        <row r="299">
          <cell r="A299" t="str">
            <v>23-01-01-0048</v>
          </cell>
          <cell r="B299">
            <v>0</v>
          </cell>
          <cell r="C299" t="str">
            <v xml:space="preserve">  ITTEHAD BROS.</v>
          </cell>
          <cell r="D299">
            <v>0</v>
          </cell>
          <cell r="E299">
            <v>0</v>
          </cell>
          <cell r="F299">
            <v>0</v>
          </cell>
          <cell r="G299">
            <v>0</v>
          </cell>
        </row>
        <row r="300">
          <cell r="A300" t="str">
            <v>23-01-01-0049</v>
          </cell>
          <cell r="B300">
            <v>0</v>
          </cell>
          <cell r="C300" t="str">
            <v xml:space="preserve">  JAWED ENGINEERING COMPANY</v>
          </cell>
          <cell r="D300">
            <v>0</v>
          </cell>
          <cell r="E300">
            <v>0</v>
          </cell>
          <cell r="F300">
            <v>0</v>
          </cell>
          <cell r="G300">
            <v>0</v>
          </cell>
        </row>
        <row r="301">
          <cell r="A301" t="str">
            <v>23-01-01-0050</v>
          </cell>
          <cell r="B301">
            <v>0</v>
          </cell>
          <cell r="C301" t="str">
            <v xml:space="preserve">  JRS INDUSTRIES (PVT) LTD. KAHI</v>
          </cell>
          <cell r="D301">
            <v>0</v>
          </cell>
          <cell r="E301">
            <v>0</v>
          </cell>
          <cell r="F301">
            <v>0</v>
          </cell>
          <cell r="G301">
            <v>0</v>
          </cell>
        </row>
        <row r="302">
          <cell r="A302" t="str">
            <v>23-01-01-0051</v>
          </cell>
          <cell r="B302">
            <v>0</v>
          </cell>
          <cell r="C302" t="str">
            <v xml:space="preserve">  LUCKY MILLS STORES</v>
          </cell>
          <cell r="D302">
            <v>0</v>
          </cell>
          <cell r="E302">
            <v>0</v>
          </cell>
          <cell r="F302">
            <v>0</v>
          </cell>
          <cell r="G302">
            <v>0</v>
          </cell>
        </row>
        <row r="303">
          <cell r="A303" t="str">
            <v>23-01-01-0052</v>
          </cell>
          <cell r="B303">
            <v>0</v>
          </cell>
          <cell r="C303" t="str">
            <v xml:space="preserve">  MUNIR &amp; SONS</v>
          </cell>
          <cell r="D303">
            <v>0</v>
          </cell>
          <cell r="E303">
            <v>0</v>
          </cell>
          <cell r="F303">
            <v>0</v>
          </cell>
          <cell r="G303">
            <v>0</v>
          </cell>
        </row>
        <row r="304">
          <cell r="A304" t="str">
            <v>23-01-01-0053</v>
          </cell>
          <cell r="B304">
            <v>0</v>
          </cell>
          <cell r="C304" t="str">
            <v xml:space="preserve">  MILLAT HARDWARE</v>
          </cell>
          <cell r="D304">
            <v>0</v>
          </cell>
          <cell r="E304">
            <v>0</v>
          </cell>
          <cell r="F304">
            <v>0</v>
          </cell>
          <cell r="G304">
            <v>0</v>
          </cell>
        </row>
        <row r="305">
          <cell r="A305" t="str">
            <v>23-01-01-0054</v>
          </cell>
          <cell r="B305">
            <v>0</v>
          </cell>
          <cell r="C305" t="str">
            <v xml:space="preserve">  M. SHERYAR &amp; COMPANY</v>
          </cell>
          <cell r="D305">
            <v>0</v>
          </cell>
          <cell r="E305">
            <v>0</v>
          </cell>
          <cell r="F305">
            <v>0</v>
          </cell>
          <cell r="G305">
            <v>0</v>
          </cell>
        </row>
        <row r="306">
          <cell r="A306" t="str">
            <v>23-01-01-0055</v>
          </cell>
          <cell r="B306">
            <v>0</v>
          </cell>
          <cell r="C306" t="str">
            <v xml:space="preserve">  MIRZA NAZIR</v>
          </cell>
          <cell r="D306">
            <v>0</v>
          </cell>
          <cell r="E306">
            <v>0</v>
          </cell>
          <cell r="F306">
            <v>0</v>
          </cell>
          <cell r="G306">
            <v>0</v>
          </cell>
        </row>
        <row r="307">
          <cell r="A307" t="str">
            <v>23-01-01-0056</v>
          </cell>
          <cell r="B307">
            <v>0</v>
          </cell>
          <cell r="C307" t="str">
            <v xml:space="preserve">  MISC. CREDITORS</v>
          </cell>
          <cell r="D307">
            <v>0</v>
          </cell>
          <cell r="E307">
            <v>190467.57</v>
          </cell>
          <cell r="F307">
            <v>0</v>
          </cell>
          <cell r="G307">
            <v>0</v>
          </cell>
        </row>
        <row r="308">
          <cell r="A308" t="str">
            <v>23-01-01-0057</v>
          </cell>
          <cell r="B308">
            <v>0</v>
          </cell>
          <cell r="C308" t="str">
            <v xml:space="preserve">  MAJID FURNITURE CENTRE TOPI</v>
          </cell>
          <cell r="D308">
            <v>0</v>
          </cell>
          <cell r="E308">
            <v>0</v>
          </cell>
          <cell r="F308">
            <v>0</v>
          </cell>
          <cell r="G308">
            <v>0</v>
          </cell>
        </row>
        <row r="309">
          <cell r="A309" t="str">
            <v>23-01-01-0058</v>
          </cell>
          <cell r="B309">
            <v>0</v>
          </cell>
          <cell r="C309" t="str">
            <v xml:space="preserve">  MILLAT TRADING CORPORATION</v>
          </cell>
          <cell r="D309">
            <v>0</v>
          </cell>
          <cell r="E309">
            <v>0</v>
          </cell>
          <cell r="F309">
            <v>0</v>
          </cell>
          <cell r="G309">
            <v>0</v>
          </cell>
        </row>
        <row r="310">
          <cell r="A310" t="str">
            <v>23-01-01-0059</v>
          </cell>
          <cell r="B310">
            <v>0</v>
          </cell>
          <cell r="C310" t="str">
            <v xml:space="preserve">  MUGHAL BROTHER'S</v>
          </cell>
          <cell r="D310">
            <v>0</v>
          </cell>
          <cell r="E310">
            <v>0</v>
          </cell>
          <cell r="F310">
            <v>0</v>
          </cell>
          <cell r="G310">
            <v>0</v>
          </cell>
        </row>
        <row r="311">
          <cell r="A311" t="str">
            <v>23-01-01-0060</v>
          </cell>
          <cell r="B311">
            <v>0</v>
          </cell>
          <cell r="C311" t="str">
            <v xml:space="preserve">  MUNIR BROS LHR</v>
          </cell>
          <cell r="D311">
            <v>0</v>
          </cell>
          <cell r="E311">
            <v>0</v>
          </cell>
          <cell r="F311">
            <v>0</v>
          </cell>
          <cell r="G311">
            <v>0</v>
          </cell>
        </row>
        <row r="312">
          <cell r="A312" t="str">
            <v>23-01-01-0061</v>
          </cell>
          <cell r="B312">
            <v>0</v>
          </cell>
          <cell r="C312" t="str">
            <v xml:space="preserve">  M. SIDDIQUE CORPORATION.</v>
          </cell>
          <cell r="D312">
            <v>0</v>
          </cell>
          <cell r="E312">
            <v>0</v>
          </cell>
          <cell r="F312">
            <v>0</v>
          </cell>
          <cell r="G312">
            <v>0</v>
          </cell>
        </row>
        <row r="313">
          <cell r="A313" t="str">
            <v>23-01-01-0062</v>
          </cell>
          <cell r="B313">
            <v>0</v>
          </cell>
          <cell r="C313" t="str">
            <v xml:space="preserve">  M. SIDDIQUE TEXTILE TRADERS</v>
          </cell>
          <cell r="D313">
            <v>0</v>
          </cell>
          <cell r="E313">
            <v>0</v>
          </cell>
          <cell r="F313">
            <v>0</v>
          </cell>
          <cell r="G313">
            <v>0</v>
          </cell>
        </row>
        <row r="314">
          <cell r="A314" t="str">
            <v>23-01-01-0063</v>
          </cell>
          <cell r="B314">
            <v>0</v>
          </cell>
          <cell r="C314" t="str">
            <v xml:space="preserve">  M.AFZAL &amp; COMPANY FSD</v>
          </cell>
          <cell r="D314">
            <v>0</v>
          </cell>
          <cell r="E314">
            <v>0</v>
          </cell>
          <cell r="F314">
            <v>0</v>
          </cell>
          <cell r="G314">
            <v>0</v>
          </cell>
        </row>
        <row r="315">
          <cell r="A315" t="str">
            <v>23-01-01-0064</v>
          </cell>
          <cell r="B315">
            <v>0</v>
          </cell>
          <cell r="C315" t="str">
            <v xml:space="preserve">  M.I. TRADERS LHR.</v>
          </cell>
          <cell r="D315">
            <v>0</v>
          </cell>
          <cell r="E315">
            <v>342133</v>
          </cell>
          <cell r="F315">
            <v>0</v>
          </cell>
          <cell r="G315">
            <v>0</v>
          </cell>
        </row>
        <row r="316">
          <cell r="A316" t="str">
            <v>23-01-01-0065</v>
          </cell>
          <cell r="B316">
            <v>0</v>
          </cell>
          <cell r="C316" t="str">
            <v xml:space="preserve">  NABIL AHMED GUJRAT</v>
          </cell>
          <cell r="D316">
            <v>0</v>
          </cell>
          <cell r="E316">
            <v>0</v>
          </cell>
          <cell r="F316">
            <v>0</v>
          </cell>
          <cell r="G316">
            <v>0</v>
          </cell>
        </row>
        <row r="317">
          <cell r="A317" t="str">
            <v>23-01-01-0066</v>
          </cell>
          <cell r="B317">
            <v>0</v>
          </cell>
          <cell r="C317" t="str">
            <v xml:space="preserve">  NAGINA ENGINEERING WORKS</v>
          </cell>
          <cell r="D317">
            <v>0</v>
          </cell>
          <cell r="E317">
            <v>0</v>
          </cell>
          <cell r="F317">
            <v>0</v>
          </cell>
          <cell r="G317">
            <v>0</v>
          </cell>
        </row>
        <row r="318">
          <cell r="A318" t="str">
            <v>23-01-01-0067</v>
          </cell>
          <cell r="B318">
            <v>0</v>
          </cell>
          <cell r="C318" t="str">
            <v xml:space="preserve">  NAJIB CORPORATION</v>
          </cell>
          <cell r="D318">
            <v>0</v>
          </cell>
          <cell r="E318">
            <v>0</v>
          </cell>
          <cell r="F318">
            <v>0</v>
          </cell>
          <cell r="G318">
            <v>0</v>
          </cell>
        </row>
        <row r="319">
          <cell r="A319" t="str">
            <v>23-01-01-0068</v>
          </cell>
          <cell r="B319">
            <v>0</v>
          </cell>
          <cell r="C319" t="str">
            <v xml:space="preserve">  NASIR AND COMPANY, FAISALABAD</v>
          </cell>
          <cell r="D319">
            <v>0</v>
          </cell>
          <cell r="E319">
            <v>0</v>
          </cell>
          <cell r="F319">
            <v>0</v>
          </cell>
          <cell r="G319">
            <v>0</v>
          </cell>
        </row>
        <row r="320">
          <cell r="A320" t="str">
            <v>23-01-01-0069</v>
          </cell>
          <cell r="B320">
            <v>0</v>
          </cell>
          <cell r="C320" t="str">
            <v xml:space="preserve">  NASIR ENTERPRISES</v>
          </cell>
          <cell r="D320">
            <v>0</v>
          </cell>
          <cell r="E320">
            <v>0</v>
          </cell>
          <cell r="F320">
            <v>0</v>
          </cell>
          <cell r="G320">
            <v>0</v>
          </cell>
        </row>
        <row r="321">
          <cell r="A321" t="str">
            <v>23-01-01-0070</v>
          </cell>
          <cell r="B321">
            <v>0</v>
          </cell>
          <cell r="C321" t="str">
            <v xml:space="preserve">  NASIR PLASTIC TRADERS</v>
          </cell>
          <cell r="D321">
            <v>0</v>
          </cell>
          <cell r="E321">
            <v>0</v>
          </cell>
          <cell r="F321">
            <v>0</v>
          </cell>
          <cell r="G321">
            <v>0</v>
          </cell>
        </row>
        <row r="322">
          <cell r="A322" t="str">
            <v>23-01-01-0071</v>
          </cell>
          <cell r="B322">
            <v>0</v>
          </cell>
          <cell r="C322" t="str">
            <v xml:space="preserve">  NATIONAL H/WARE BEARING CENTRE</v>
          </cell>
          <cell r="D322">
            <v>0</v>
          </cell>
          <cell r="E322">
            <v>0</v>
          </cell>
          <cell r="F322">
            <v>0</v>
          </cell>
          <cell r="G322">
            <v>0</v>
          </cell>
        </row>
        <row r="323">
          <cell r="A323" t="str">
            <v>23-01-01-0072</v>
          </cell>
          <cell r="B323">
            <v>0</v>
          </cell>
          <cell r="C323" t="str">
            <v xml:space="preserve">  NATIONAL OIL STORE GADOON</v>
          </cell>
          <cell r="D323">
            <v>0</v>
          </cell>
          <cell r="E323">
            <v>0</v>
          </cell>
          <cell r="F323">
            <v>0</v>
          </cell>
          <cell r="G323">
            <v>0</v>
          </cell>
        </row>
        <row r="324">
          <cell r="A324" t="str">
            <v>23-01-01-0073</v>
          </cell>
          <cell r="B324">
            <v>0</v>
          </cell>
          <cell r="C324" t="str">
            <v xml:space="preserve">  NEW ASIF TRADERS</v>
          </cell>
          <cell r="D324">
            <v>0</v>
          </cell>
          <cell r="E324">
            <v>0</v>
          </cell>
          <cell r="F324">
            <v>0</v>
          </cell>
          <cell r="G324">
            <v>0</v>
          </cell>
        </row>
        <row r="325">
          <cell r="A325" t="str">
            <v>23-01-01-0074</v>
          </cell>
          <cell r="B325">
            <v>0</v>
          </cell>
          <cell r="C325" t="str">
            <v xml:space="preserve">  NEW ITTEFAQ HARDWARE STORE</v>
          </cell>
          <cell r="D325">
            <v>0</v>
          </cell>
          <cell r="E325">
            <v>0</v>
          </cell>
          <cell r="F325">
            <v>0</v>
          </cell>
          <cell r="G325">
            <v>0</v>
          </cell>
        </row>
        <row r="326">
          <cell r="A326" t="str">
            <v>23-01-01-0075</v>
          </cell>
          <cell r="B326">
            <v>0</v>
          </cell>
          <cell r="C326" t="str">
            <v xml:space="preserve">  NEW SHEHZAD PRINTERS PESHAWAR</v>
          </cell>
          <cell r="D326">
            <v>0</v>
          </cell>
          <cell r="E326">
            <v>0</v>
          </cell>
          <cell r="F326">
            <v>0</v>
          </cell>
          <cell r="G326">
            <v>0</v>
          </cell>
        </row>
        <row r="327">
          <cell r="A327" t="str">
            <v>23-01-01-0076</v>
          </cell>
          <cell r="B327">
            <v>0</v>
          </cell>
          <cell r="C327" t="str">
            <v xml:space="preserve">  NOOR MACHINE STORE</v>
          </cell>
          <cell r="D327">
            <v>0</v>
          </cell>
          <cell r="E327">
            <v>0</v>
          </cell>
          <cell r="F327">
            <v>0</v>
          </cell>
          <cell r="G327">
            <v>0</v>
          </cell>
        </row>
        <row r="328">
          <cell r="A328" t="str">
            <v>23-01-01-0077</v>
          </cell>
          <cell r="B328">
            <v>0</v>
          </cell>
          <cell r="C328" t="str">
            <v xml:space="preserve">  NOOR MOHAMMAD TRADERS</v>
          </cell>
          <cell r="D328">
            <v>0</v>
          </cell>
          <cell r="E328">
            <v>0</v>
          </cell>
          <cell r="F328">
            <v>0</v>
          </cell>
          <cell r="G328">
            <v>0</v>
          </cell>
        </row>
        <row r="329">
          <cell r="A329" t="str">
            <v>23-01-01-0078</v>
          </cell>
          <cell r="B329">
            <v>0</v>
          </cell>
          <cell r="C329" t="str">
            <v xml:space="preserve">  N.S.AUTOS TRADERS</v>
          </cell>
          <cell r="D329">
            <v>0</v>
          </cell>
          <cell r="E329">
            <v>0</v>
          </cell>
          <cell r="F329">
            <v>0</v>
          </cell>
          <cell r="G329">
            <v>0</v>
          </cell>
        </row>
        <row r="330">
          <cell r="A330" t="str">
            <v>23-01-01-0079</v>
          </cell>
          <cell r="B330">
            <v>0</v>
          </cell>
          <cell r="C330" t="str">
            <v xml:space="preserve">  OFFICE AUTOMATION GROUP PANASONIC</v>
          </cell>
          <cell r="D330">
            <v>0</v>
          </cell>
          <cell r="E330">
            <v>0</v>
          </cell>
          <cell r="F330">
            <v>0</v>
          </cell>
          <cell r="G330">
            <v>0</v>
          </cell>
        </row>
        <row r="331">
          <cell r="A331" t="str">
            <v>23-01-01-0080</v>
          </cell>
          <cell r="B331">
            <v>0</v>
          </cell>
          <cell r="C331" t="str">
            <v xml:space="preserve">  PARADISE STATIONERS</v>
          </cell>
          <cell r="D331">
            <v>0</v>
          </cell>
          <cell r="E331">
            <v>0</v>
          </cell>
          <cell r="F331">
            <v>0</v>
          </cell>
          <cell r="G331">
            <v>0</v>
          </cell>
        </row>
        <row r="332">
          <cell r="A332" t="str">
            <v>23-01-01-0081</v>
          </cell>
          <cell r="B332">
            <v>0</v>
          </cell>
          <cell r="C332" t="str">
            <v xml:space="preserve">  PAKISTAN BURMA SHELL</v>
          </cell>
          <cell r="D332">
            <v>0</v>
          </cell>
          <cell r="E332">
            <v>0</v>
          </cell>
          <cell r="F332">
            <v>0</v>
          </cell>
          <cell r="G332">
            <v>0</v>
          </cell>
        </row>
        <row r="333">
          <cell r="A333" t="str">
            <v>23-01-01-0082</v>
          </cell>
          <cell r="B333">
            <v>0</v>
          </cell>
          <cell r="C333" t="str">
            <v xml:space="preserve">  PAKISTAN STATE OIL LTD PSH</v>
          </cell>
          <cell r="D333">
            <v>0</v>
          </cell>
          <cell r="E333">
            <v>0</v>
          </cell>
          <cell r="F333">
            <v>0</v>
          </cell>
          <cell r="G333">
            <v>0</v>
          </cell>
        </row>
        <row r="334">
          <cell r="A334" t="str">
            <v>23-01-01-0083</v>
          </cell>
          <cell r="B334">
            <v>0</v>
          </cell>
          <cell r="C334" t="str">
            <v xml:space="preserve">  PAK ENG. WORKS</v>
          </cell>
          <cell r="D334">
            <v>0</v>
          </cell>
          <cell r="E334">
            <v>165115</v>
          </cell>
          <cell r="F334">
            <v>0</v>
          </cell>
          <cell r="G334">
            <v>0</v>
          </cell>
        </row>
        <row r="335">
          <cell r="A335" t="str">
            <v>23-01-01-0084</v>
          </cell>
          <cell r="B335">
            <v>0</v>
          </cell>
          <cell r="C335" t="str">
            <v xml:space="preserve">  PAK. ALLIEN SERVICES LHR</v>
          </cell>
          <cell r="D335">
            <v>0</v>
          </cell>
          <cell r="E335">
            <v>0</v>
          </cell>
          <cell r="F335">
            <v>0</v>
          </cell>
          <cell r="G335">
            <v>0</v>
          </cell>
        </row>
        <row r="336">
          <cell r="A336" t="str">
            <v>23-01-01-0085</v>
          </cell>
          <cell r="B336">
            <v>0</v>
          </cell>
          <cell r="C336" t="str">
            <v xml:space="preserve">  PRECISON RUBBER PRODUCTS (PVT) LTD</v>
          </cell>
          <cell r="D336">
            <v>0</v>
          </cell>
          <cell r="E336">
            <v>290515.07</v>
          </cell>
          <cell r="F336">
            <v>0</v>
          </cell>
          <cell r="G336">
            <v>0</v>
          </cell>
        </row>
        <row r="337">
          <cell r="A337" t="str">
            <v>23-01-01-0086</v>
          </cell>
          <cell r="B337">
            <v>0</v>
          </cell>
          <cell r="C337" t="str">
            <v xml:space="preserve">  PREMIER IND. LUBRICANTS</v>
          </cell>
          <cell r="D337">
            <v>0</v>
          </cell>
          <cell r="E337">
            <v>0</v>
          </cell>
          <cell r="F337">
            <v>0</v>
          </cell>
          <cell r="G337">
            <v>0</v>
          </cell>
        </row>
        <row r="338">
          <cell r="A338" t="str">
            <v>23-01-01-0087</v>
          </cell>
          <cell r="B338">
            <v>0</v>
          </cell>
          <cell r="C338" t="str">
            <v xml:space="preserve">  QUALITY ENGG. WORKS</v>
          </cell>
          <cell r="D338">
            <v>0</v>
          </cell>
          <cell r="E338">
            <v>0</v>
          </cell>
          <cell r="F338">
            <v>0</v>
          </cell>
          <cell r="G338">
            <v>0</v>
          </cell>
        </row>
        <row r="339">
          <cell r="A339" t="str">
            <v>23-01-01-0088</v>
          </cell>
          <cell r="B339">
            <v>0</v>
          </cell>
          <cell r="C339" t="str">
            <v xml:space="preserve">  RAFIQ TRADING CORP.</v>
          </cell>
          <cell r="D339">
            <v>0</v>
          </cell>
          <cell r="E339">
            <v>0</v>
          </cell>
          <cell r="F339">
            <v>0</v>
          </cell>
          <cell r="G339">
            <v>0</v>
          </cell>
        </row>
        <row r="340">
          <cell r="A340" t="str">
            <v>23-01-01-0089</v>
          </cell>
          <cell r="B340">
            <v>0</v>
          </cell>
          <cell r="C340" t="str">
            <v xml:space="preserve">  REHMAT PLASTIC CO.KARACHI</v>
          </cell>
          <cell r="D340">
            <v>0</v>
          </cell>
          <cell r="E340">
            <v>0</v>
          </cell>
          <cell r="F340">
            <v>0</v>
          </cell>
          <cell r="G340">
            <v>0</v>
          </cell>
        </row>
        <row r="341">
          <cell r="A341" t="str">
            <v>23-01-01-0090</v>
          </cell>
          <cell r="B341">
            <v>0</v>
          </cell>
          <cell r="C341" t="str">
            <v xml:space="preserve">  RELIANCE TRADERS</v>
          </cell>
          <cell r="D341">
            <v>0</v>
          </cell>
          <cell r="E341">
            <v>0</v>
          </cell>
          <cell r="F341">
            <v>0</v>
          </cell>
          <cell r="G341">
            <v>0</v>
          </cell>
        </row>
        <row r="342">
          <cell r="A342" t="str">
            <v>23-01-01-0091</v>
          </cell>
          <cell r="B342">
            <v>0</v>
          </cell>
          <cell r="C342" t="str">
            <v xml:space="preserve">  RIAZ IMPEX</v>
          </cell>
          <cell r="D342">
            <v>0</v>
          </cell>
          <cell r="E342">
            <v>0</v>
          </cell>
          <cell r="F342">
            <v>0</v>
          </cell>
          <cell r="G342">
            <v>0</v>
          </cell>
        </row>
        <row r="343">
          <cell r="A343" t="str">
            <v>23-01-01-0092</v>
          </cell>
          <cell r="B343">
            <v>0</v>
          </cell>
          <cell r="C343" t="str">
            <v xml:space="preserve">  RIZWAN BROTHERS TOPI</v>
          </cell>
          <cell r="D343">
            <v>0</v>
          </cell>
          <cell r="E343">
            <v>0</v>
          </cell>
          <cell r="F343">
            <v>0</v>
          </cell>
          <cell r="G343">
            <v>0</v>
          </cell>
        </row>
        <row r="344">
          <cell r="A344" t="str">
            <v>23-01-01-0093</v>
          </cell>
          <cell r="B344">
            <v>0</v>
          </cell>
          <cell r="C344" t="str">
            <v xml:space="preserve">  SAAGH TRADERS GADOON AMAZAI</v>
          </cell>
          <cell r="D344">
            <v>0</v>
          </cell>
          <cell r="E344">
            <v>0</v>
          </cell>
          <cell r="F344">
            <v>0</v>
          </cell>
          <cell r="G344">
            <v>0</v>
          </cell>
        </row>
        <row r="345">
          <cell r="A345" t="str">
            <v>23-01-01-0094</v>
          </cell>
          <cell r="B345">
            <v>0</v>
          </cell>
          <cell r="C345" t="str">
            <v xml:space="preserve">  SADDIQ ENTERPRISES LAHORE</v>
          </cell>
          <cell r="D345">
            <v>0</v>
          </cell>
          <cell r="E345">
            <v>0</v>
          </cell>
          <cell r="F345">
            <v>0</v>
          </cell>
          <cell r="G345">
            <v>0</v>
          </cell>
        </row>
        <row r="346">
          <cell r="A346" t="str">
            <v>23-01-01-0095</v>
          </cell>
          <cell r="B346">
            <v>0</v>
          </cell>
          <cell r="C346" t="str">
            <v xml:space="preserve">  SHAH PHOTO STATE MICRO SYSTEM</v>
          </cell>
          <cell r="D346">
            <v>0</v>
          </cell>
          <cell r="E346">
            <v>0</v>
          </cell>
          <cell r="F346">
            <v>0</v>
          </cell>
          <cell r="G346">
            <v>0</v>
          </cell>
        </row>
        <row r="347">
          <cell r="A347" t="str">
            <v>23-01-01-0096</v>
          </cell>
          <cell r="B347">
            <v>0</v>
          </cell>
          <cell r="C347" t="str">
            <v xml:space="preserve">  SALEEM AND COMPANY</v>
          </cell>
          <cell r="D347">
            <v>0</v>
          </cell>
          <cell r="E347">
            <v>0</v>
          </cell>
          <cell r="F347">
            <v>0</v>
          </cell>
          <cell r="G347">
            <v>0</v>
          </cell>
        </row>
        <row r="348">
          <cell r="A348" t="str">
            <v>23-01-01-0097</v>
          </cell>
          <cell r="B348">
            <v>0</v>
          </cell>
          <cell r="C348" t="str">
            <v xml:space="preserve">  SARDAR PAPERCONE PVT LIMITED</v>
          </cell>
          <cell r="D348">
            <v>0</v>
          </cell>
          <cell r="E348">
            <v>2047833.8</v>
          </cell>
          <cell r="F348">
            <v>0</v>
          </cell>
          <cell r="G348">
            <v>0</v>
          </cell>
        </row>
        <row r="349">
          <cell r="A349" t="str">
            <v>23-01-01-0098</v>
          </cell>
          <cell r="B349">
            <v>0</v>
          </cell>
          <cell r="C349" t="str">
            <v xml:space="preserve">  SARHAD BELTING CO.</v>
          </cell>
          <cell r="D349">
            <v>0</v>
          </cell>
          <cell r="E349">
            <v>820</v>
          </cell>
          <cell r="F349">
            <v>0</v>
          </cell>
          <cell r="G349">
            <v>0</v>
          </cell>
        </row>
        <row r="350">
          <cell r="A350" t="str">
            <v>23-01-01-0099</v>
          </cell>
          <cell r="B350">
            <v>0</v>
          </cell>
          <cell r="C350" t="str">
            <v xml:space="preserve">  SERVICE STORES STATIONERY KHI</v>
          </cell>
          <cell r="D350">
            <v>0</v>
          </cell>
          <cell r="E350">
            <v>0</v>
          </cell>
          <cell r="F350">
            <v>0</v>
          </cell>
          <cell r="G350">
            <v>0</v>
          </cell>
        </row>
        <row r="351">
          <cell r="A351" t="str">
            <v>23-01-01-0100</v>
          </cell>
          <cell r="B351">
            <v>0</v>
          </cell>
          <cell r="C351" t="str">
            <v xml:space="preserve">  SERVICE TRADERS</v>
          </cell>
          <cell r="D351">
            <v>0</v>
          </cell>
          <cell r="E351">
            <v>16752</v>
          </cell>
          <cell r="F351">
            <v>0</v>
          </cell>
          <cell r="G351">
            <v>0</v>
          </cell>
        </row>
        <row r="352">
          <cell r="A352" t="str">
            <v>23-01-01-0101</v>
          </cell>
          <cell r="B352">
            <v>0</v>
          </cell>
          <cell r="C352" t="str">
            <v xml:space="preserve">  SABAR PACKING INDUSTRIES LHR</v>
          </cell>
          <cell r="D352">
            <v>0</v>
          </cell>
          <cell r="E352">
            <v>0</v>
          </cell>
          <cell r="F352">
            <v>0</v>
          </cell>
          <cell r="G352">
            <v>0</v>
          </cell>
        </row>
        <row r="353">
          <cell r="A353" t="str">
            <v>23-01-01-0102</v>
          </cell>
          <cell r="B353">
            <v>0</v>
          </cell>
          <cell r="C353" t="str">
            <v xml:space="preserve">  SHELANI TRADING COMPANY</v>
          </cell>
          <cell r="D353">
            <v>0</v>
          </cell>
          <cell r="E353">
            <v>0</v>
          </cell>
          <cell r="F353">
            <v>0</v>
          </cell>
          <cell r="G353">
            <v>0</v>
          </cell>
        </row>
        <row r="354">
          <cell r="A354" t="str">
            <v>23-01-01-0103</v>
          </cell>
          <cell r="B354">
            <v>0</v>
          </cell>
          <cell r="C354" t="str">
            <v xml:space="preserve">  SHAFQAT PRINTING AGENCY PESHAWAR</v>
          </cell>
          <cell r="D354">
            <v>0</v>
          </cell>
          <cell r="E354">
            <v>0</v>
          </cell>
          <cell r="F354">
            <v>0</v>
          </cell>
          <cell r="G354">
            <v>0</v>
          </cell>
        </row>
        <row r="355">
          <cell r="A355" t="str">
            <v>23-01-01-0104</v>
          </cell>
          <cell r="B355">
            <v>0</v>
          </cell>
          <cell r="C355" t="str">
            <v xml:space="preserve">  SHALAMAR ENGG. LHR.</v>
          </cell>
          <cell r="D355">
            <v>0</v>
          </cell>
          <cell r="E355">
            <v>0</v>
          </cell>
          <cell r="F355">
            <v>0</v>
          </cell>
          <cell r="G355">
            <v>0</v>
          </cell>
        </row>
        <row r="356">
          <cell r="A356" t="str">
            <v>23-01-01-0105</v>
          </cell>
          <cell r="B356">
            <v>0</v>
          </cell>
          <cell r="C356" t="str">
            <v xml:space="preserve">  SHEHER YAR &amp; Co.</v>
          </cell>
          <cell r="D356">
            <v>0</v>
          </cell>
          <cell r="E356">
            <v>0</v>
          </cell>
          <cell r="F356">
            <v>0</v>
          </cell>
          <cell r="G356">
            <v>0</v>
          </cell>
        </row>
        <row r="357">
          <cell r="A357" t="str">
            <v>23-01-01-0106</v>
          </cell>
          <cell r="B357">
            <v>0</v>
          </cell>
          <cell r="C357" t="str">
            <v xml:space="preserve">  SIEMENS PAKISTAN ENGINEERING CO. LTD.</v>
          </cell>
          <cell r="D357">
            <v>471302</v>
          </cell>
          <cell r="E357">
            <v>0</v>
          </cell>
          <cell r="F357">
            <v>0</v>
          </cell>
          <cell r="G357">
            <v>0</v>
          </cell>
        </row>
        <row r="358">
          <cell r="A358" t="str">
            <v>23-01-01-0107</v>
          </cell>
          <cell r="B358">
            <v>0</v>
          </cell>
          <cell r="C358" t="str">
            <v xml:space="preserve">  SKYLINE RIBBON SERVICES</v>
          </cell>
          <cell r="D358">
            <v>0</v>
          </cell>
          <cell r="E358">
            <v>0</v>
          </cell>
          <cell r="F358">
            <v>0</v>
          </cell>
          <cell r="G358">
            <v>0</v>
          </cell>
        </row>
        <row r="359">
          <cell r="A359" t="str">
            <v>23-01-01-0108</v>
          </cell>
          <cell r="B359">
            <v>0</v>
          </cell>
          <cell r="C359" t="str">
            <v xml:space="preserve">  SPINDLE CRAFT PVT  LTD</v>
          </cell>
          <cell r="D359">
            <v>0</v>
          </cell>
          <cell r="E359">
            <v>0</v>
          </cell>
          <cell r="F359">
            <v>0</v>
          </cell>
          <cell r="G359">
            <v>0</v>
          </cell>
        </row>
        <row r="360">
          <cell r="A360" t="str">
            <v>23-01-01-0109</v>
          </cell>
          <cell r="B360">
            <v>0</v>
          </cell>
          <cell r="C360" t="str">
            <v xml:space="preserve">  STANDERED ENGININEERING WORKS</v>
          </cell>
          <cell r="D360">
            <v>0</v>
          </cell>
          <cell r="E360">
            <v>0</v>
          </cell>
          <cell r="F360">
            <v>0</v>
          </cell>
          <cell r="G360">
            <v>0</v>
          </cell>
        </row>
        <row r="361">
          <cell r="A361" t="str">
            <v>23-01-01-0110</v>
          </cell>
          <cell r="B361">
            <v>0</v>
          </cell>
          <cell r="C361" t="str">
            <v xml:space="preserve">  SUFI TRADERS LAHORE</v>
          </cell>
          <cell r="D361">
            <v>0</v>
          </cell>
          <cell r="E361">
            <v>0</v>
          </cell>
          <cell r="F361">
            <v>0</v>
          </cell>
          <cell r="G361">
            <v>0</v>
          </cell>
        </row>
        <row r="362">
          <cell r="A362" t="str">
            <v>23-01-01-0111</v>
          </cell>
          <cell r="B362">
            <v>0</v>
          </cell>
          <cell r="C362" t="str">
            <v xml:space="preserve">  SULTAN AHMED CORP; FSD</v>
          </cell>
          <cell r="D362">
            <v>0</v>
          </cell>
          <cell r="E362">
            <v>0</v>
          </cell>
          <cell r="F362">
            <v>0</v>
          </cell>
          <cell r="G362">
            <v>0</v>
          </cell>
        </row>
        <row r="363">
          <cell r="A363" t="str">
            <v>23-01-01-0112</v>
          </cell>
          <cell r="B363">
            <v>0</v>
          </cell>
          <cell r="C363" t="str">
            <v xml:space="preserve">  S.B.S. COMPUTER</v>
          </cell>
          <cell r="D363">
            <v>0</v>
          </cell>
          <cell r="E363">
            <v>0</v>
          </cell>
          <cell r="F363">
            <v>0</v>
          </cell>
          <cell r="G363">
            <v>0</v>
          </cell>
        </row>
        <row r="364">
          <cell r="A364" t="str">
            <v>23-01-01-0113</v>
          </cell>
          <cell r="B364">
            <v>0</v>
          </cell>
          <cell r="C364" t="str">
            <v xml:space="preserve">  S.S. ELECTRIC CO LHR</v>
          </cell>
          <cell r="D364">
            <v>0</v>
          </cell>
          <cell r="E364">
            <v>0</v>
          </cell>
          <cell r="F364">
            <v>0</v>
          </cell>
          <cell r="G364">
            <v>0</v>
          </cell>
        </row>
        <row r="365">
          <cell r="A365" t="str">
            <v>23-01-01-0114</v>
          </cell>
          <cell r="B365">
            <v>0</v>
          </cell>
          <cell r="C365" t="str">
            <v xml:space="preserve">  TANVEER BOOKS MAKER</v>
          </cell>
          <cell r="D365">
            <v>0</v>
          </cell>
          <cell r="E365">
            <v>0</v>
          </cell>
          <cell r="F365">
            <v>0</v>
          </cell>
          <cell r="G365">
            <v>0</v>
          </cell>
        </row>
        <row r="366">
          <cell r="A366" t="str">
            <v>23-01-01-0115</v>
          </cell>
          <cell r="B366">
            <v>0</v>
          </cell>
          <cell r="C366" t="str">
            <v xml:space="preserve">  TEXAC RUBBER INDUSTRIES (PVT) LTD</v>
          </cell>
          <cell r="D366">
            <v>0</v>
          </cell>
          <cell r="E366">
            <v>0</v>
          </cell>
          <cell r="F366">
            <v>0</v>
          </cell>
          <cell r="G366">
            <v>0</v>
          </cell>
        </row>
        <row r="367">
          <cell r="A367" t="str">
            <v>23-01-01-0116</v>
          </cell>
          <cell r="B367">
            <v>0</v>
          </cell>
          <cell r="C367" t="str">
            <v xml:space="preserve">  TARIQ RASHEED</v>
          </cell>
          <cell r="D367">
            <v>0</v>
          </cell>
          <cell r="E367">
            <v>0</v>
          </cell>
          <cell r="F367">
            <v>0</v>
          </cell>
          <cell r="G367">
            <v>0</v>
          </cell>
        </row>
        <row r="368">
          <cell r="A368" t="str">
            <v>23-01-01-0117</v>
          </cell>
          <cell r="B368">
            <v>0</v>
          </cell>
          <cell r="C368" t="str">
            <v xml:space="preserve">  TEXTILE THINKERS, KARACHI</v>
          </cell>
          <cell r="D368">
            <v>0</v>
          </cell>
          <cell r="E368">
            <v>0</v>
          </cell>
          <cell r="F368">
            <v>0</v>
          </cell>
          <cell r="G368">
            <v>0</v>
          </cell>
        </row>
        <row r="369">
          <cell r="A369" t="str">
            <v>23-01-01-0118</v>
          </cell>
          <cell r="B369">
            <v>0</v>
          </cell>
          <cell r="C369" t="str">
            <v xml:space="preserve">  THE SKIMEX</v>
          </cell>
          <cell r="D369">
            <v>0</v>
          </cell>
          <cell r="E369">
            <v>0</v>
          </cell>
          <cell r="F369">
            <v>0</v>
          </cell>
          <cell r="G369">
            <v>0</v>
          </cell>
        </row>
        <row r="370">
          <cell r="A370" t="str">
            <v>23-01-01-0119</v>
          </cell>
          <cell r="B370">
            <v>0</v>
          </cell>
          <cell r="C370" t="str">
            <v xml:space="preserve">  UNIQUE IMPORT EXPORT</v>
          </cell>
          <cell r="D370">
            <v>0</v>
          </cell>
          <cell r="E370">
            <v>144122</v>
          </cell>
          <cell r="F370">
            <v>0</v>
          </cell>
          <cell r="G370">
            <v>0</v>
          </cell>
        </row>
        <row r="371">
          <cell r="A371" t="str">
            <v>23-01-01-0120</v>
          </cell>
          <cell r="B371">
            <v>0</v>
          </cell>
          <cell r="C371" t="str">
            <v xml:space="preserve">  UNIVERSAL TRADERS</v>
          </cell>
          <cell r="D371">
            <v>0</v>
          </cell>
          <cell r="E371">
            <v>0</v>
          </cell>
          <cell r="F371">
            <v>0</v>
          </cell>
          <cell r="G371">
            <v>0</v>
          </cell>
        </row>
        <row r="372">
          <cell r="A372" t="str">
            <v>23-01-01-0121</v>
          </cell>
          <cell r="B372">
            <v>0</v>
          </cell>
          <cell r="C372" t="str">
            <v xml:space="preserve">  USMAN ENGG: WORKS LHR.</v>
          </cell>
          <cell r="D372">
            <v>0</v>
          </cell>
          <cell r="E372">
            <v>837761.5</v>
          </cell>
          <cell r="F372">
            <v>0</v>
          </cell>
          <cell r="G372">
            <v>0</v>
          </cell>
        </row>
        <row r="373">
          <cell r="A373" t="str">
            <v>23-01-01-0122</v>
          </cell>
          <cell r="B373">
            <v>0</v>
          </cell>
          <cell r="C373" t="str">
            <v xml:space="preserve">  VICTOR TRADING CO KARACHI</v>
          </cell>
          <cell r="D373">
            <v>0</v>
          </cell>
          <cell r="E373">
            <v>0</v>
          </cell>
          <cell r="F373">
            <v>0</v>
          </cell>
          <cell r="G373">
            <v>0</v>
          </cell>
        </row>
        <row r="374">
          <cell r="A374" t="str">
            <v>23-01-01-0123</v>
          </cell>
          <cell r="B374">
            <v>0</v>
          </cell>
          <cell r="C374" t="str">
            <v xml:space="preserve">  WASEEM TRADERS FSD</v>
          </cell>
          <cell r="D374">
            <v>0</v>
          </cell>
          <cell r="E374">
            <v>0</v>
          </cell>
          <cell r="F374">
            <v>0</v>
          </cell>
          <cell r="G374">
            <v>0</v>
          </cell>
        </row>
        <row r="375">
          <cell r="A375" t="str">
            <v>23-01-01-0124</v>
          </cell>
          <cell r="B375">
            <v>0</v>
          </cell>
          <cell r="C375" t="str">
            <v xml:space="preserve">  UMAR GUL JADOON</v>
          </cell>
          <cell r="D375">
            <v>0</v>
          </cell>
          <cell r="E375">
            <v>0</v>
          </cell>
          <cell r="F375">
            <v>0</v>
          </cell>
          <cell r="G375">
            <v>0</v>
          </cell>
        </row>
        <row r="376">
          <cell r="A376" t="str">
            <v>23-01-01-0125</v>
          </cell>
          <cell r="B376">
            <v>0</v>
          </cell>
          <cell r="C376" t="str">
            <v xml:space="preserve">  YOUSAF &amp; CO FSD</v>
          </cell>
          <cell r="D376">
            <v>0</v>
          </cell>
          <cell r="E376">
            <v>0</v>
          </cell>
          <cell r="F376">
            <v>0</v>
          </cell>
          <cell r="G376">
            <v>0</v>
          </cell>
        </row>
        <row r="377">
          <cell r="A377" t="str">
            <v>23-01-01-0126</v>
          </cell>
          <cell r="B377">
            <v>0</v>
          </cell>
          <cell r="C377" t="str">
            <v xml:space="preserve">  YOUSAFZAI CORP. GADOON</v>
          </cell>
          <cell r="D377">
            <v>0</v>
          </cell>
          <cell r="E377">
            <v>197565.5</v>
          </cell>
          <cell r="F377">
            <v>0</v>
          </cell>
          <cell r="G377">
            <v>0</v>
          </cell>
        </row>
        <row r="378">
          <cell r="A378" t="str">
            <v>23-01-01-0127</v>
          </cell>
          <cell r="B378">
            <v>0</v>
          </cell>
          <cell r="C378" t="str">
            <v xml:space="preserve">  YUSUFZAI TRADING COMPANY.</v>
          </cell>
          <cell r="D378">
            <v>0</v>
          </cell>
          <cell r="E378">
            <v>0</v>
          </cell>
          <cell r="F378">
            <v>0</v>
          </cell>
          <cell r="G378">
            <v>0</v>
          </cell>
        </row>
        <row r="379">
          <cell r="A379" t="str">
            <v>23-01-01-0128</v>
          </cell>
          <cell r="B379">
            <v>0</v>
          </cell>
          <cell r="C379" t="str">
            <v xml:space="preserve">  ZUBAIRI ELECTRONICS</v>
          </cell>
          <cell r="D379">
            <v>0</v>
          </cell>
          <cell r="E379">
            <v>0</v>
          </cell>
          <cell r="F379">
            <v>0</v>
          </cell>
          <cell r="G379">
            <v>0</v>
          </cell>
        </row>
        <row r="380">
          <cell r="A380" t="str">
            <v>23-01-01-0129</v>
          </cell>
          <cell r="B380">
            <v>0</v>
          </cell>
          <cell r="C380" t="str">
            <v xml:space="preserve">  J.N.PACKAGES FACTORY</v>
          </cell>
          <cell r="D380">
            <v>0</v>
          </cell>
          <cell r="E380">
            <v>0</v>
          </cell>
          <cell r="F380">
            <v>0</v>
          </cell>
          <cell r="G380">
            <v>0</v>
          </cell>
        </row>
        <row r="381">
          <cell r="A381" t="str">
            <v>23-01-01-0130</v>
          </cell>
          <cell r="B381">
            <v>0</v>
          </cell>
          <cell r="C381" t="str">
            <v xml:space="preserve">  CHAND PACKAGES LAHORE</v>
          </cell>
          <cell r="D381">
            <v>0</v>
          </cell>
          <cell r="E381">
            <v>0</v>
          </cell>
          <cell r="F381">
            <v>0</v>
          </cell>
          <cell r="G381">
            <v>0</v>
          </cell>
        </row>
        <row r="382">
          <cell r="A382" t="str">
            <v>23-01-01-0131</v>
          </cell>
          <cell r="B382">
            <v>0</v>
          </cell>
          <cell r="C382" t="str">
            <v xml:space="preserve">  PAKISTAN TRADING COMPANY</v>
          </cell>
          <cell r="D382">
            <v>0</v>
          </cell>
          <cell r="E382">
            <v>0</v>
          </cell>
          <cell r="F382">
            <v>0</v>
          </cell>
          <cell r="G382">
            <v>0</v>
          </cell>
        </row>
        <row r="383">
          <cell r="A383" t="str">
            <v>23-01-01-0132</v>
          </cell>
          <cell r="B383">
            <v>0</v>
          </cell>
          <cell r="C383" t="str">
            <v xml:space="preserve">  LEATHER CRAFTS SYNDICATE</v>
          </cell>
          <cell r="D383">
            <v>0</v>
          </cell>
          <cell r="E383">
            <v>0</v>
          </cell>
          <cell r="F383">
            <v>0</v>
          </cell>
          <cell r="G383">
            <v>0</v>
          </cell>
        </row>
        <row r="384">
          <cell r="A384" t="str">
            <v>23-01-01-0133</v>
          </cell>
          <cell r="B384">
            <v>0</v>
          </cell>
          <cell r="C384" t="str">
            <v xml:space="preserve">  IMAM BROTHERS GADOON</v>
          </cell>
          <cell r="D384">
            <v>0</v>
          </cell>
          <cell r="E384">
            <v>0</v>
          </cell>
          <cell r="F384">
            <v>0</v>
          </cell>
          <cell r="G384">
            <v>0</v>
          </cell>
        </row>
        <row r="385">
          <cell r="A385" t="str">
            <v>23-01-01-0134</v>
          </cell>
          <cell r="B385">
            <v>0</v>
          </cell>
          <cell r="C385" t="str">
            <v xml:space="preserve">  WINSOME INTERNATIONAL</v>
          </cell>
          <cell r="D385">
            <v>0</v>
          </cell>
          <cell r="E385">
            <v>0</v>
          </cell>
          <cell r="F385">
            <v>0</v>
          </cell>
          <cell r="G385">
            <v>0</v>
          </cell>
        </row>
        <row r="386">
          <cell r="A386" t="str">
            <v>23-01-01-0135</v>
          </cell>
          <cell r="B386">
            <v>0</v>
          </cell>
          <cell r="C386" t="str">
            <v xml:space="preserve">  IBRAR PACKAGES INDUSTRIES</v>
          </cell>
          <cell r="D386">
            <v>0</v>
          </cell>
          <cell r="E386">
            <v>0</v>
          </cell>
          <cell r="F386">
            <v>0</v>
          </cell>
          <cell r="G386">
            <v>0</v>
          </cell>
        </row>
        <row r="387">
          <cell r="A387" t="str">
            <v>23-01-01-0136</v>
          </cell>
          <cell r="B387">
            <v>0</v>
          </cell>
          <cell r="C387" t="str">
            <v xml:space="preserve">  IZHAR PACKING FACTORY LAHORE</v>
          </cell>
          <cell r="D387">
            <v>0</v>
          </cell>
          <cell r="E387">
            <v>0</v>
          </cell>
          <cell r="F387">
            <v>0</v>
          </cell>
          <cell r="G387">
            <v>0</v>
          </cell>
        </row>
        <row r="388">
          <cell r="A388" t="str">
            <v>23-01-01-0137</v>
          </cell>
          <cell r="B388">
            <v>0</v>
          </cell>
          <cell r="C388" t="str">
            <v xml:space="preserve">  FREINDS CORPORATION LHR</v>
          </cell>
          <cell r="D388">
            <v>0</v>
          </cell>
          <cell r="E388">
            <v>0</v>
          </cell>
          <cell r="F388">
            <v>0</v>
          </cell>
          <cell r="G388">
            <v>0</v>
          </cell>
        </row>
        <row r="389">
          <cell r="A389" t="str">
            <v>23-01-01-0138</v>
          </cell>
          <cell r="B389">
            <v>0</v>
          </cell>
          <cell r="C389" t="str">
            <v xml:space="preserve">  PERTAB PACKING INDUSTRIES</v>
          </cell>
          <cell r="D389">
            <v>0</v>
          </cell>
          <cell r="E389">
            <v>0</v>
          </cell>
          <cell r="F389">
            <v>0</v>
          </cell>
          <cell r="G389">
            <v>0</v>
          </cell>
        </row>
        <row r="390">
          <cell r="A390" t="str">
            <v>23-01-01-0139</v>
          </cell>
          <cell r="B390">
            <v>0</v>
          </cell>
          <cell r="C390" t="str">
            <v xml:space="preserve">  AFZAAL AND BROTHERS</v>
          </cell>
          <cell r="D390">
            <v>0</v>
          </cell>
          <cell r="E390">
            <v>0</v>
          </cell>
          <cell r="F390">
            <v>0</v>
          </cell>
          <cell r="G390">
            <v>0</v>
          </cell>
        </row>
        <row r="391">
          <cell r="A391" t="str">
            <v>23-01-01-0140</v>
          </cell>
          <cell r="B391">
            <v>0</v>
          </cell>
          <cell r="C391" t="str">
            <v xml:space="preserve">  LASANI ELECTRONIC INDUSTRIAL SERVICES</v>
          </cell>
          <cell r="D391">
            <v>0</v>
          </cell>
          <cell r="E391">
            <v>8500</v>
          </cell>
          <cell r="F391">
            <v>0</v>
          </cell>
          <cell r="G391">
            <v>0</v>
          </cell>
        </row>
        <row r="392">
          <cell r="A392" t="str">
            <v>23-01-01-0141</v>
          </cell>
          <cell r="B392">
            <v>0</v>
          </cell>
          <cell r="C392" t="str">
            <v xml:space="preserve">  KHALIL TRADERS.</v>
          </cell>
          <cell r="D392">
            <v>0</v>
          </cell>
          <cell r="E392">
            <v>0</v>
          </cell>
          <cell r="F392">
            <v>0</v>
          </cell>
          <cell r="G392">
            <v>0</v>
          </cell>
        </row>
        <row r="393">
          <cell r="A393" t="str">
            <v>23-01-01-0142</v>
          </cell>
          <cell r="B393">
            <v>0</v>
          </cell>
          <cell r="C393" t="str">
            <v xml:space="preserve">  ABASEEN TRADERS FAISALABAD</v>
          </cell>
          <cell r="D393">
            <v>0</v>
          </cell>
          <cell r="E393">
            <v>0</v>
          </cell>
          <cell r="F393">
            <v>0</v>
          </cell>
          <cell r="G393">
            <v>0</v>
          </cell>
        </row>
        <row r="394">
          <cell r="A394" t="str">
            <v>23-01-01-0143</v>
          </cell>
          <cell r="B394">
            <v>0</v>
          </cell>
          <cell r="C394" t="str">
            <v xml:space="preserve">  AZAM IJAZ &amp; COMPANY</v>
          </cell>
          <cell r="D394">
            <v>0</v>
          </cell>
          <cell r="E394">
            <v>0</v>
          </cell>
          <cell r="F394">
            <v>0</v>
          </cell>
          <cell r="G394">
            <v>0</v>
          </cell>
        </row>
        <row r="395">
          <cell r="A395" t="str">
            <v>23-01-01-0144</v>
          </cell>
          <cell r="B395">
            <v>0</v>
          </cell>
          <cell r="C395" t="str">
            <v xml:space="preserve">  PAKASIA MILL STORE</v>
          </cell>
          <cell r="D395">
            <v>0</v>
          </cell>
          <cell r="E395">
            <v>71896.850000000006</v>
          </cell>
          <cell r="F395">
            <v>0</v>
          </cell>
          <cell r="G395">
            <v>0</v>
          </cell>
        </row>
        <row r="396">
          <cell r="A396" t="str">
            <v>23-01-01-0145</v>
          </cell>
          <cell r="B396">
            <v>0</v>
          </cell>
          <cell r="C396" t="str">
            <v xml:space="preserve">  BOBI PACKAGES</v>
          </cell>
          <cell r="D396">
            <v>0</v>
          </cell>
          <cell r="E396">
            <v>0</v>
          </cell>
          <cell r="F396">
            <v>0</v>
          </cell>
          <cell r="G396">
            <v>0</v>
          </cell>
        </row>
        <row r="397">
          <cell r="A397" t="str">
            <v>23-01-01-0146</v>
          </cell>
          <cell r="B397">
            <v>0</v>
          </cell>
          <cell r="C397" t="str">
            <v xml:space="preserve">  DAWOOD SONS</v>
          </cell>
          <cell r="D397">
            <v>0</v>
          </cell>
          <cell r="E397">
            <v>0</v>
          </cell>
          <cell r="F397">
            <v>0</v>
          </cell>
          <cell r="G397">
            <v>0</v>
          </cell>
        </row>
        <row r="398">
          <cell r="A398" t="str">
            <v>23-01-01-0147</v>
          </cell>
          <cell r="B398">
            <v>0</v>
          </cell>
          <cell r="C398" t="str">
            <v xml:space="preserve">  SULEMAN CORRUGATOR</v>
          </cell>
          <cell r="D398">
            <v>0</v>
          </cell>
          <cell r="E398">
            <v>0</v>
          </cell>
          <cell r="F398">
            <v>0</v>
          </cell>
          <cell r="G398">
            <v>0</v>
          </cell>
        </row>
        <row r="399">
          <cell r="A399" t="str">
            <v>23-01-01-0148</v>
          </cell>
          <cell r="B399">
            <v>0</v>
          </cell>
          <cell r="C399" t="str">
            <v xml:space="preserve">  NAZIM CAROGATION</v>
          </cell>
          <cell r="D399">
            <v>0</v>
          </cell>
          <cell r="E399">
            <v>0</v>
          </cell>
          <cell r="F399">
            <v>0</v>
          </cell>
          <cell r="G399">
            <v>0</v>
          </cell>
        </row>
        <row r="400">
          <cell r="A400" t="str">
            <v>23-01-01-0149</v>
          </cell>
          <cell r="B400">
            <v>0</v>
          </cell>
          <cell r="C400" t="str">
            <v xml:space="preserve">  INSAF TRADERS</v>
          </cell>
          <cell r="D400">
            <v>0</v>
          </cell>
          <cell r="E400">
            <v>0</v>
          </cell>
          <cell r="F400">
            <v>0</v>
          </cell>
          <cell r="G400">
            <v>0</v>
          </cell>
        </row>
        <row r="401">
          <cell r="A401" t="str">
            <v>23-01-01-0150</v>
          </cell>
          <cell r="B401">
            <v>0</v>
          </cell>
          <cell r="C401" t="str">
            <v xml:space="preserve">  NATIONAL PACKAGES AGENCY</v>
          </cell>
          <cell r="D401">
            <v>0</v>
          </cell>
          <cell r="E401">
            <v>0</v>
          </cell>
          <cell r="F401">
            <v>0</v>
          </cell>
          <cell r="G401">
            <v>0</v>
          </cell>
        </row>
        <row r="402">
          <cell r="A402" t="str">
            <v>23-01-01-0151</v>
          </cell>
          <cell r="B402">
            <v>0</v>
          </cell>
          <cell r="C402" t="str">
            <v xml:space="preserve">  BAJWA &amp; COMPANY</v>
          </cell>
          <cell r="D402">
            <v>0</v>
          </cell>
          <cell r="E402">
            <v>0</v>
          </cell>
          <cell r="F402">
            <v>0</v>
          </cell>
          <cell r="G402">
            <v>0</v>
          </cell>
        </row>
        <row r="403">
          <cell r="A403" t="str">
            <v>23-01-01-0152</v>
          </cell>
          <cell r="B403">
            <v>0</v>
          </cell>
          <cell r="C403" t="str">
            <v xml:space="preserve">  MALIK GHULAM MUJTABA</v>
          </cell>
          <cell r="D403">
            <v>0</v>
          </cell>
          <cell r="E403">
            <v>0</v>
          </cell>
          <cell r="F403">
            <v>0</v>
          </cell>
          <cell r="G403">
            <v>0</v>
          </cell>
        </row>
        <row r="404">
          <cell r="A404" t="str">
            <v>23-01-01-0153</v>
          </cell>
          <cell r="B404">
            <v>0</v>
          </cell>
          <cell r="C404" t="str">
            <v xml:space="preserve">  GENERAL TRADING AGENCY</v>
          </cell>
          <cell r="D404">
            <v>0</v>
          </cell>
          <cell r="E404">
            <v>0</v>
          </cell>
          <cell r="F404">
            <v>0</v>
          </cell>
          <cell r="G404">
            <v>0</v>
          </cell>
        </row>
        <row r="405">
          <cell r="A405" t="str">
            <v>23-01-01-0154</v>
          </cell>
          <cell r="B405">
            <v>0</v>
          </cell>
          <cell r="C405" t="str">
            <v xml:space="preserve">  H.ABDUL ALIM CLOTH MERCHANT</v>
          </cell>
          <cell r="D405">
            <v>0</v>
          </cell>
          <cell r="E405">
            <v>0</v>
          </cell>
          <cell r="F405">
            <v>0</v>
          </cell>
          <cell r="G405">
            <v>0</v>
          </cell>
        </row>
        <row r="406">
          <cell r="A406" t="str">
            <v>23-01-01-0155</v>
          </cell>
          <cell r="B406">
            <v>0</v>
          </cell>
          <cell r="C406" t="str">
            <v xml:space="preserve">  ALLIED BOOKS &amp; GENERAL CENTRE</v>
          </cell>
          <cell r="D406">
            <v>0</v>
          </cell>
          <cell r="E406">
            <v>0</v>
          </cell>
          <cell r="F406">
            <v>0</v>
          </cell>
          <cell r="G406">
            <v>0</v>
          </cell>
        </row>
        <row r="407">
          <cell r="A407" t="str">
            <v>23-01-01-0156</v>
          </cell>
          <cell r="B407">
            <v>0</v>
          </cell>
          <cell r="C407" t="str">
            <v xml:space="preserve">  AMAN CEMENT LIMITED</v>
          </cell>
          <cell r="D407">
            <v>0</v>
          </cell>
          <cell r="E407">
            <v>0</v>
          </cell>
          <cell r="F407">
            <v>0</v>
          </cell>
          <cell r="G407">
            <v>0</v>
          </cell>
        </row>
        <row r="408">
          <cell r="A408" t="str">
            <v>23-01-01-0157</v>
          </cell>
          <cell r="B408">
            <v>0</v>
          </cell>
          <cell r="C408" t="str">
            <v xml:space="preserve">  KRISTOL PACKING STORE</v>
          </cell>
          <cell r="D408">
            <v>0</v>
          </cell>
          <cell r="E408">
            <v>0</v>
          </cell>
          <cell r="F408">
            <v>0</v>
          </cell>
          <cell r="G408">
            <v>0</v>
          </cell>
        </row>
        <row r="409">
          <cell r="A409" t="str">
            <v>23-01-01-0158</v>
          </cell>
          <cell r="B409">
            <v>0</v>
          </cell>
          <cell r="C409" t="str">
            <v xml:space="preserve">  LAHORE BOX FACTORY</v>
          </cell>
          <cell r="D409">
            <v>0</v>
          </cell>
          <cell r="E409">
            <v>0</v>
          </cell>
          <cell r="F409">
            <v>0</v>
          </cell>
          <cell r="G409">
            <v>0</v>
          </cell>
        </row>
        <row r="410">
          <cell r="A410" t="str">
            <v>23-01-01-0159</v>
          </cell>
          <cell r="B410">
            <v>0</v>
          </cell>
          <cell r="C410" t="str">
            <v xml:space="preserve">  MUHAMMAD ISHAQ &amp; COMPANY</v>
          </cell>
          <cell r="D410">
            <v>0</v>
          </cell>
          <cell r="E410">
            <v>0</v>
          </cell>
          <cell r="F410">
            <v>0</v>
          </cell>
          <cell r="G410">
            <v>0</v>
          </cell>
        </row>
        <row r="411">
          <cell r="A411" t="str">
            <v>23-01-01-0160</v>
          </cell>
          <cell r="B411">
            <v>0</v>
          </cell>
          <cell r="C411" t="str">
            <v xml:space="preserve">  LAHORE PACKAGES</v>
          </cell>
          <cell r="D411">
            <v>0</v>
          </cell>
          <cell r="E411">
            <v>0</v>
          </cell>
          <cell r="F411">
            <v>0</v>
          </cell>
          <cell r="G411">
            <v>0</v>
          </cell>
        </row>
        <row r="412">
          <cell r="A412" t="str">
            <v>23-01-01-0161</v>
          </cell>
          <cell r="B412">
            <v>0</v>
          </cell>
          <cell r="C412" t="str">
            <v xml:space="preserve">  MAQSOOD AND COMPANY</v>
          </cell>
          <cell r="D412">
            <v>0</v>
          </cell>
          <cell r="E412">
            <v>0</v>
          </cell>
          <cell r="F412">
            <v>0</v>
          </cell>
          <cell r="G412">
            <v>0</v>
          </cell>
        </row>
        <row r="413">
          <cell r="A413" t="str">
            <v>23-01-01-0162</v>
          </cell>
          <cell r="B413">
            <v>0</v>
          </cell>
          <cell r="C413" t="str">
            <v xml:space="preserve">  EHSAN &amp; COMPANY</v>
          </cell>
          <cell r="D413">
            <v>0</v>
          </cell>
          <cell r="E413">
            <v>0</v>
          </cell>
          <cell r="F413">
            <v>0</v>
          </cell>
          <cell r="G413">
            <v>0</v>
          </cell>
        </row>
        <row r="414">
          <cell r="A414" t="str">
            <v>23-01-01-0163</v>
          </cell>
          <cell r="B414">
            <v>0</v>
          </cell>
          <cell r="C414" t="str">
            <v xml:space="preserve">  GOGI PACKING MATERIAL</v>
          </cell>
          <cell r="D414">
            <v>0</v>
          </cell>
          <cell r="E414">
            <v>0</v>
          </cell>
          <cell r="F414">
            <v>0</v>
          </cell>
          <cell r="G414">
            <v>0</v>
          </cell>
        </row>
        <row r="415">
          <cell r="A415" t="str">
            <v>23-01-01-0164</v>
          </cell>
          <cell r="B415">
            <v>0</v>
          </cell>
          <cell r="C415" t="str">
            <v xml:space="preserve">  SHAH PACKAGES INDUSTRIES</v>
          </cell>
          <cell r="D415">
            <v>0</v>
          </cell>
          <cell r="E415">
            <v>0</v>
          </cell>
          <cell r="F415">
            <v>0</v>
          </cell>
          <cell r="G415">
            <v>0</v>
          </cell>
        </row>
        <row r="416">
          <cell r="A416" t="str">
            <v>23-01-01-0165</v>
          </cell>
          <cell r="B416">
            <v>0</v>
          </cell>
          <cell r="C416" t="str">
            <v xml:space="preserve">  ZAMAN PACKAGES</v>
          </cell>
          <cell r="D416">
            <v>0</v>
          </cell>
          <cell r="E416">
            <v>0</v>
          </cell>
          <cell r="F416">
            <v>0</v>
          </cell>
          <cell r="G416">
            <v>0</v>
          </cell>
        </row>
        <row r="417">
          <cell r="A417" t="str">
            <v>23-01-01-0166</v>
          </cell>
          <cell r="B417">
            <v>0</v>
          </cell>
          <cell r="C417" t="str">
            <v xml:space="preserve">  DIGI SOFT MICRO SYSTEMS</v>
          </cell>
          <cell r="D417">
            <v>0</v>
          </cell>
          <cell r="E417">
            <v>0</v>
          </cell>
          <cell r="F417">
            <v>0</v>
          </cell>
          <cell r="G417">
            <v>0</v>
          </cell>
        </row>
        <row r="418">
          <cell r="A418" t="str">
            <v>23-01-01-0167</v>
          </cell>
          <cell r="B418">
            <v>0</v>
          </cell>
          <cell r="C418" t="str">
            <v xml:space="preserve">  TECHNO TEXTILE</v>
          </cell>
          <cell r="D418">
            <v>0</v>
          </cell>
          <cell r="E418">
            <v>0</v>
          </cell>
          <cell r="F418">
            <v>0</v>
          </cell>
          <cell r="G418">
            <v>0</v>
          </cell>
        </row>
        <row r="419">
          <cell r="A419" t="str">
            <v>23-01-01-0168</v>
          </cell>
          <cell r="B419">
            <v>0</v>
          </cell>
          <cell r="C419" t="str">
            <v xml:space="preserve">  NISHAT DYES &amp; CHEMICALS</v>
          </cell>
          <cell r="D419">
            <v>0</v>
          </cell>
          <cell r="E419">
            <v>0</v>
          </cell>
          <cell r="F419">
            <v>0</v>
          </cell>
          <cell r="G419">
            <v>0</v>
          </cell>
        </row>
        <row r="420">
          <cell r="A420" t="str">
            <v>23-01-01-0169</v>
          </cell>
          <cell r="B420">
            <v>0</v>
          </cell>
          <cell r="C420" t="str">
            <v xml:space="preserve">  KHURSHID CORPORATION</v>
          </cell>
          <cell r="D420">
            <v>0</v>
          </cell>
          <cell r="E420">
            <v>0</v>
          </cell>
          <cell r="F420">
            <v>0</v>
          </cell>
          <cell r="G420">
            <v>0</v>
          </cell>
        </row>
        <row r="421">
          <cell r="A421" t="str">
            <v>23-01-01-0170</v>
          </cell>
          <cell r="B421">
            <v>0</v>
          </cell>
          <cell r="C421" t="str">
            <v xml:space="preserve">  ADILAH PROCESS</v>
          </cell>
          <cell r="D421">
            <v>0</v>
          </cell>
          <cell r="E421">
            <v>0</v>
          </cell>
          <cell r="F421">
            <v>0</v>
          </cell>
          <cell r="G421">
            <v>0</v>
          </cell>
        </row>
        <row r="422">
          <cell r="A422" t="str">
            <v>23-01-01-0171</v>
          </cell>
          <cell r="B422">
            <v>0</v>
          </cell>
          <cell r="C422" t="str">
            <v xml:space="preserve">  PAK COMPUSTAT PVT LTD</v>
          </cell>
          <cell r="D422">
            <v>0</v>
          </cell>
          <cell r="E422">
            <v>0</v>
          </cell>
          <cell r="F422">
            <v>0</v>
          </cell>
          <cell r="G422">
            <v>0</v>
          </cell>
        </row>
        <row r="423">
          <cell r="A423" t="str">
            <v>23-01-01-0172</v>
          </cell>
          <cell r="B423">
            <v>0</v>
          </cell>
          <cell r="C423" t="str">
            <v xml:space="preserve">  MARGALA GENERAL ORDER MATERIAL SUPPLIE</v>
          </cell>
          <cell r="D423">
            <v>0</v>
          </cell>
          <cell r="E423">
            <v>0</v>
          </cell>
          <cell r="F423">
            <v>0</v>
          </cell>
          <cell r="G423">
            <v>0</v>
          </cell>
        </row>
        <row r="424">
          <cell r="A424" t="str">
            <v>23-01-01-0173</v>
          </cell>
          <cell r="B424">
            <v>0</v>
          </cell>
          <cell r="C424" t="str">
            <v xml:space="preserve">  SAYA MILL STORE</v>
          </cell>
          <cell r="D424">
            <v>0</v>
          </cell>
          <cell r="E424">
            <v>0</v>
          </cell>
          <cell r="F424">
            <v>0</v>
          </cell>
          <cell r="G424">
            <v>0</v>
          </cell>
        </row>
        <row r="425">
          <cell r="A425" t="str">
            <v>23-01-01-0174</v>
          </cell>
          <cell r="B425">
            <v>0</v>
          </cell>
          <cell r="C425" t="str">
            <v xml:space="preserve">  A.AZIZ TRADING</v>
          </cell>
          <cell r="D425">
            <v>0</v>
          </cell>
          <cell r="E425">
            <v>0</v>
          </cell>
          <cell r="F425">
            <v>0</v>
          </cell>
          <cell r="G425">
            <v>0</v>
          </cell>
        </row>
        <row r="426">
          <cell r="A426" t="str">
            <v>23-01-01-0175</v>
          </cell>
          <cell r="B426">
            <v>0</v>
          </cell>
          <cell r="C426" t="str">
            <v xml:space="preserve">  SHOUKAT CORPORATION, LAHORE</v>
          </cell>
          <cell r="D426">
            <v>0</v>
          </cell>
          <cell r="E426">
            <v>0</v>
          </cell>
          <cell r="F426">
            <v>0</v>
          </cell>
          <cell r="G426">
            <v>0</v>
          </cell>
        </row>
        <row r="427">
          <cell r="A427" t="str">
            <v>23-01-01-0176</v>
          </cell>
          <cell r="B427">
            <v>0</v>
          </cell>
          <cell r="C427" t="str">
            <v xml:space="preserve">  ALI ENGINEERING WORKS</v>
          </cell>
          <cell r="D427">
            <v>0</v>
          </cell>
          <cell r="E427">
            <v>0</v>
          </cell>
          <cell r="F427">
            <v>0</v>
          </cell>
          <cell r="G427">
            <v>0</v>
          </cell>
        </row>
        <row r="428">
          <cell r="A428" t="str">
            <v>23-01-01-0177</v>
          </cell>
          <cell r="B428">
            <v>0</v>
          </cell>
          <cell r="C428" t="str">
            <v xml:space="preserve">  A. REHMAN &amp; BROTHERS</v>
          </cell>
          <cell r="D428">
            <v>0</v>
          </cell>
          <cell r="E428">
            <v>0</v>
          </cell>
          <cell r="F428">
            <v>0</v>
          </cell>
          <cell r="G428">
            <v>0</v>
          </cell>
        </row>
        <row r="429">
          <cell r="A429" t="str">
            <v>23-01-01-0178</v>
          </cell>
          <cell r="B429">
            <v>0</v>
          </cell>
          <cell r="C429" t="str">
            <v xml:space="preserve">  GANNY'S TRADING COMPANY</v>
          </cell>
          <cell r="D429">
            <v>0</v>
          </cell>
          <cell r="E429">
            <v>0</v>
          </cell>
          <cell r="F429">
            <v>0</v>
          </cell>
          <cell r="G429">
            <v>0</v>
          </cell>
        </row>
        <row r="430">
          <cell r="A430" t="str">
            <v>23-01-01-0179</v>
          </cell>
          <cell r="B430">
            <v>0</v>
          </cell>
          <cell r="C430" t="str">
            <v xml:space="preserve">  FAHAD ALI CORPORATION</v>
          </cell>
          <cell r="D430">
            <v>0</v>
          </cell>
          <cell r="E430">
            <v>0</v>
          </cell>
          <cell r="F430">
            <v>0</v>
          </cell>
          <cell r="G430">
            <v>0</v>
          </cell>
        </row>
        <row r="431">
          <cell r="A431" t="str">
            <v>23-01-01-0180</v>
          </cell>
          <cell r="B431">
            <v>0</v>
          </cell>
          <cell r="C431" t="str">
            <v xml:space="preserve">  DIAMOND TRADERS</v>
          </cell>
          <cell r="D431">
            <v>0</v>
          </cell>
          <cell r="E431">
            <v>0</v>
          </cell>
          <cell r="F431">
            <v>0</v>
          </cell>
          <cell r="G431">
            <v>0</v>
          </cell>
        </row>
        <row r="432">
          <cell r="A432" t="str">
            <v>23-01-01-0181</v>
          </cell>
          <cell r="B432">
            <v>0</v>
          </cell>
          <cell r="C432" t="str">
            <v xml:space="preserve">  KARACHI PIPE &amp; SANITARY STORE, GADOON</v>
          </cell>
          <cell r="D432">
            <v>0</v>
          </cell>
          <cell r="E432">
            <v>0</v>
          </cell>
          <cell r="F432">
            <v>0</v>
          </cell>
          <cell r="G432">
            <v>0</v>
          </cell>
        </row>
        <row r="433">
          <cell r="A433" t="str">
            <v>23-01-01-0182</v>
          </cell>
          <cell r="B433">
            <v>0</v>
          </cell>
          <cell r="C433" t="str">
            <v xml:space="preserve">  SHAHEEN MILL STORE</v>
          </cell>
          <cell r="D433">
            <v>0</v>
          </cell>
          <cell r="E433">
            <v>0</v>
          </cell>
          <cell r="F433">
            <v>0</v>
          </cell>
          <cell r="G433">
            <v>0</v>
          </cell>
        </row>
        <row r="434">
          <cell r="A434" t="str">
            <v>23-01-01-0183</v>
          </cell>
          <cell r="B434">
            <v>0</v>
          </cell>
          <cell r="C434" t="str">
            <v xml:space="preserve">  SOHAIL ANWAR</v>
          </cell>
          <cell r="D434">
            <v>0</v>
          </cell>
          <cell r="E434">
            <v>0</v>
          </cell>
          <cell r="F434">
            <v>0</v>
          </cell>
          <cell r="G434">
            <v>0</v>
          </cell>
        </row>
        <row r="435">
          <cell r="A435" t="str">
            <v>23-01-01-0184</v>
          </cell>
          <cell r="B435">
            <v>0</v>
          </cell>
          <cell r="C435" t="str">
            <v xml:space="preserve">  LUCKY CORPORATION</v>
          </cell>
          <cell r="D435">
            <v>0</v>
          </cell>
          <cell r="E435">
            <v>0</v>
          </cell>
          <cell r="F435">
            <v>0</v>
          </cell>
          <cell r="G435">
            <v>0</v>
          </cell>
        </row>
        <row r="436">
          <cell r="A436" t="str">
            <v>23-01-01-0185</v>
          </cell>
          <cell r="B436">
            <v>0</v>
          </cell>
          <cell r="C436" t="str">
            <v xml:space="preserve">  KHYBER G/ORDER CRUSH PESHAWARI, GADOON</v>
          </cell>
          <cell r="D436">
            <v>0</v>
          </cell>
          <cell r="E436">
            <v>0</v>
          </cell>
          <cell r="F436">
            <v>0</v>
          </cell>
          <cell r="G436">
            <v>0</v>
          </cell>
        </row>
        <row r="437">
          <cell r="A437" t="str">
            <v>23-01-01-0186</v>
          </cell>
          <cell r="B437">
            <v>0</v>
          </cell>
          <cell r="C437" t="str">
            <v xml:space="preserve">  BEGA CORPORATION KARACHI</v>
          </cell>
          <cell r="D437">
            <v>0</v>
          </cell>
          <cell r="E437">
            <v>0</v>
          </cell>
          <cell r="F437">
            <v>0</v>
          </cell>
          <cell r="G437">
            <v>0</v>
          </cell>
        </row>
        <row r="438">
          <cell r="A438" t="str">
            <v>23-01-01-0187</v>
          </cell>
          <cell r="B438">
            <v>0</v>
          </cell>
          <cell r="C438" t="str">
            <v xml:space="preserve">  NASIM BRUSH WARE</v>
          </cell>
          <cell r="D438">
            <v>0</v>
          </cell>
          <cell r="E438">
            <v>0</v>
          </cell>
          <cell r="F438">
            <v>0</v>
          </cell>
          <cell r="G438">
            <v>0</v>
          </cell>
        </row>
        <row r="439">
          <cell r="A439" t="str">
            <v>23-01-01-0188</v>
          </cell>
          <cell r="B439">
            <v>0</v>
          </cell>
          <cell r="C439" t="str">
            <v xml:space="preserve">  SAS ENTERPRISES</v>
          </cell>
          <cell r="D439">
            <v>0</v>
          </cell>
          <cell r="E439">
            <v>0</v>
          </cell>
          <cell r="F439">
            <v>0</v>
          </cell>
          <cell r="G439">
            <v>0</v>
          </cell>
        </row>
        <row r="440">
          <cell r="A440" t="str">
            <v>23-01-01-0189</v>
          </cell>
          <cell r="B440">
            <v>0</v>
          </cell>
          <cell r="C440" t="str">
            <v xml:space="preserve">  NEW LIGHT HOUSE (PVT) LTD</v>
          </cell>
          <cell r="D440">
            <v>0</v>
          </cell>
          <cell r="E440">
            <v>0</v>
          </cell>
          <cell r="F440">
            <v>0</v>
          </cell>
          <cell r="G440">
            <v>0</v>
          </cell>
        </row>
        <row r="441">
          <cell r="A441" t="str">
            <v>23-01-01-0190</v>
          </cell>
          <cell r="B441">
            <v>0</v>
          </cell>
          <cell r="C441" t="str">
            <v xml:space="preserve">  SAITEX SPINNING MILLS LIMITED, LAHORE</v>
          </cell>
          <cell r="D441">
            <v>0</v>
          </cell>
          <cell r="E441">
            <v>0</v>
          </cell>
          <cell r="F441">
            <v>0</v>
          </cell>
          <cell r="G441">
            <v>0</v>
          </cell>
        </row>
        <row r="442">
          <cell r="A442" t="str">
            <v>23-01-01-0191</v>
          </cell>
          <cell r="B442">
            <v>0</v>
          </cell>
          <cell r="C442" t="str">
            <v xml:space="preserve">  RIFAT SAMECA HOUSE, FAISALABAD</v>
          </cell>
          <cell r="D442">
            <v>0</v>
          </cell>
          <cell r="E442">
            <v>0</v>
          </cell>
          <cell r="F442">
            <v>0</v>
          </cell>
          <cell r="G442">
            <v>0</v>
          </cell>
        </row>
        <row r="443">
          <cell r="A443" t="str">
            <v>23-01-01-0192</v>
          </cell>
          <cell r="B443">
            <v>0</v>
          </cell>
          <cell r="C443" t="str">
            <v xml:space="preserve">  SAID REHMAN, TOPI</v>
          </cell>
          <cell r="D443">
            <v>0</v>
          </cell>
          <cell r="E443">
            <v>0</v>
          </cell>
          <cell r="F443">
            <v>0</v>
          </cell>
          <cell r="G443">
            <v>0</v>
          </cell>
        </row>
        <row r="444">
          <cell r="A444" t="str">
            <v>23-01-01-0193</v>
          </cell>
          <cell r="B444">
            <v>0</v>
          </cell>
          <cell r="C444" t="str">
            <v xml:space="preserve">  INNOVATIVE COMPUTERS PVT LTD</v>
          </cell>
          <cell r="D444">
            <v>0</v>
          </cell>
          <cell r="E444">
            <v>0</v>
          </cell>
          <cell r="F444">
            <v>0</v>
          </cell>
          <cell r="G444">
            <v>0</v>
          </cell>
        </row>
        <row r="445">
          <cell r="A445" t="str">
            <v>23-01-01-0194</v>
          </cell>
          <cell r="B445">
            <v>0</v>
          </cell>
          <cell r="C445" t="str">
            <v xml:space="preserve">  AL-KAUTHER</v>
          </cell>
          <cell r="D445">
            <v>0</v>
          </cell>
          <cell r="E445">
            <v>0</v>
          </cell>
          <cell r="F445">
            <v>0</v>
          </cell>
          <cell r="G445">
            <v>0</v>
          </cell>
        </row>
        <row r="446">
          <cell r="A446" t="str">
            <v>23-01-01-0195</v>
          </cell>
          <cell r="B446">
            <v>0</v>
          </cell>
          <cell r="C446" t="str">
            <v xml:space="preserve">  N-DIMENSIONS MANUFACTURING CO.</v>
          </cell>
          <cell r="D446">
            <v>0</v>
          </cell>
          <cell r="E446">
            <v>0</v>
          </cell>
          <cell r="F446">
            <v>0</v>
          </cell>
          <cell r="G446">
            <v>0</v>
          </cell>
        </row>
        <row r="447">
          <cell r="A447" t="str">
            <v>23-01-01-0196</v>
          </cell>
          <cell r="B447">
            <v>0</v>
          </cell>
          <cell r="C447" t="str">
            <v xml:space="preserve">  PAKISTAN STATE OIL RAWALPINDI</v>
          </cell>
          <cell r="D447">
            <v>0</v>
          </cell>
          <cell r="E447">
            <v>0</v>
          </cell>
          <cell r="F447">
            <v>0</v>
          </cell>
          <cell r="G447">
            <v>0</v>
          </cell>
        </row>
        <row r="448">
          <cell r="A448" t="str">
            <v>23-01-01-0197</v>
          </cell>
          <cell r="B448">
            <v>0</v>
          </cell>
          <cell r="C448" t="str">
            <v xml:space="preserve">  HUSAIN WEAVING INDUSTRIES (PVT) LTD</v>
          </cell>
          <cell r="D448">
            <v>0</v>
          </cell>
          <cell r="E448">
            <v>0</v>
          </cell>
          <cell r="F448">
            <v>0</v>
          </cell>
          <cell r="G448">
            <v>0</v>
          </cell>
        </row>
        <row r="449">
          <cell r="A449" t="str">
            <v>23-01-01-0198</v>
          </cell>
          <cell r="B449">
            <v>0</v>
          </cell>
          <cell r="C449" t="str">
            <v xml:space="preserve">  ATLAS OIL &amp; ALLIED INDUSTRIES</v>
          </cell>
          <cell r="D449">
            <v>0</v>
          </cell>
          <cell r="E449">
            <v>0</v>
          </cell>
          <cell r="F449">
            <v>0</v>
          </cell>
          <cell r="G449">
            <v>0</v>
          </cell>
        </row>
        <row r="450">
          <cell r="A450" t="str">
            <v>23-01-01-0199</v>
          </cell>
          <cell r="B450">
            <v>0</v>
          </cell>
          <cell r="C450" t="str">
            <v xml:space="preserve">  TARBELA TRADING COMPANY</v>
          </cell>
          <cell r="D450">
            <v>0</v>
          </cell>
          <cell r="E450">
            <v>0</v>
          </cell>
          <cell r="F450">
            <v>0</v>
          </cell>
          <cell r="G450">
            <v>0</v>
          </cell>
        </row>
        <row r="451">
          <cell r="A451" t="str">
            <v>23-01-01-0200</v>
          </cell>
          <cell r="B451">
            <v>0</v>
          </cell>
          <cell r="C451" t="str">
            <v xml:space="preserve">  ABDUL HAFEEZ TRADERS, FSD</v>
          </cell>
          <cell r="D451">
            <v>0</v>
          </cell>
          <cell r="E451">
            <v>0</v>
          </cell>
          <cell r="F451">
            <v>0</v>
          </cell>
          <cell r="G451">
            <v>0</v>
          </cell>
        </row>
        <row r="452">
          <cell r="A452" t="str">
            <v>23-01-01-0201</v>
          </cell>
          <cell r="B452">
            <v>0</v>
          </cell>
          <cell r="C452" t="str">
            <v xml:space="preserve">  ALI MADAD PACKER</v>
          </cell>
          <cell r="D452">
            <v>0</v>
          </cell>
          <cell r="E452">
            <v>0</v>
          </cell>
          <cell r="F452">
            <v>0</v>
          </cell>
          <cell r="G452">
            <v>0</v>
          </cell>
        </row>
        <row r="453">
          <cell r="A453" t="str">
            <v>23-01-01-0202</v>
          </cell>
          <cell r="B453">
            <v>0</v>
          </cell>
          <cell r="C453" t="str">
            <v xml:space="preserve">  HUSNAIN BROTHERSSET</v>
          </cell>
          <cell r="D453">
            <v>0</v>
          </cell>
          <cell r="E453">
            <v>0</v>
          </cell>
          <cell r="F453">
            <v>0</v>
          </cell>
          <cell r="G453">
            <v>0</v>
          </cell>
        </row>
        <row r="454">
          <cell r="A454" t="str">
            <v>23-01-01-0203</v>
          </cell>
          <cell r="B454">
            <v>0</v>
          </cell>
          <cell r="C454" t="str">
            <v xml:space="preserve">  HAJI &amp; SONS</v>
          </cell>
          <cell r="D454">
            <v>0</v>
          </cell>
          <cell r="E454">
            <v>0</v>
          </cell>
          <cell r="F454">
            <v>0</v>
          </cell>
          <cell r="G454">
            <v>0</v>
          </cell>
        </row>
        <row r="455">
          <cell r="A455" t="str">
            <v>23-01-01-0204</v>
          </cell>
          <cell r="B455">
            <v>0</v>
          </cell>
          <cell r="C455" t="str">
            <v xml:space="preserve">  PRIME PACKAGES</v>
          </cell>
          <cell r="D455">
            <v>0</v>
          </cell>
          <cell r="E455">
            <v>0</v>
          </cell>
          <cell r="F455">
            <v>0</v>
          </cell>
          <cell r="G455">
            <v>0</v>
          </cell>
        </row>
        <row r="456">
          <cell r="A456" t="str">
            <v>23-01-01-0205</v>
          </cell>
          <cell r="B456">
            <v>0</v>
          </cell>
          <cell r="C456" t="str">
            <v xml:space="preserve">  MUHAMMAD AKRAM PAPER CONE WALE, FSD</v>
          </cell>
          <cell r="D456">
            <v>0</v>
          </cell>
          <cell r="E456">
            <v>0</v>
          </cell>
          <cell r="F456">
            <v>0</v>
          </cell>
          <cell r="G456">
            <v>0</v>
          </cell>
        </row>
        <row r="457">
          <cell r="A457" t="str">
            <v>23-01-01-0206</v>
          </cell>
          <cell r="B457">
            <v>0</v>
          </cell>
          <cell r="C457" t="str">
            <v xml:space="preserve">  UTMAN PRECAST (PVT) LIMITED</v>
          </cell>
          <cell r="D457">
            <v>0</v>
          </cell>
          <cell r="E457">
            <v>0</v>
          </cell>
          <cell r="F457">
            <v>0</v>
          </cell>
          <cell r="G457">
            <v>0</v>
          </cell>
        </row>
        <row r="458">
          <cell r="A458" t="str">
            <v>23-01-01-0207</v>
          </cell>
          <cell r="B458">
            <v>0</v>
          </cell>
          <cell r="C458" t="str">
            <v xml:space="preserve">  AKBARI CHEMICAL COMPANY</v>
          </cell>
          <cell r="D458">
            <v>0</v>
          </cell>
          <cell r="E458">
            <v>0</v>
          </cell>
          <cell r="F458">
            <v>0</v>
          </cell>
          <cell r="G458">
            <v>0</v>
          </cell>
        </row>
        <row r="459">
          <cell r="A459" t="str">
            <v>23-01-01-0208</v>
          </cell>
          <cell r="B459">
            <v>0</v>
          </cell>
          <cell r="C459" t="str">
            <v xml:space="preserve">  SHAMA GLASS STORE, TOPI</v>
          </cell>
          <cell r="D459">
            <v>0</v>
          </cell>
          <cell r="E459">
            <v>237323.27</v>
          </cell>
          <cell r="F459">
            <v>0</v>
          </cell>
          <cell r="G459">
            <v>0</v>
          </cell>
        </row>
        <row r="460">
          <cell r="A460" t="str">
            <v>23-01-01-0209</v>
          </cell>
          <cell r="B460">
            <v>0</v>
          </cell>
          <cell r="C460" t="str">
            <v xml:space="preserve">  M.G. CORPORATION</v>
          </cell>
          <cell r="D460">
            <v>0</v>
          </cell>
          <cell r="E460">
            <v>0</v>
          </cell>
          <cell r="F460">
            <v>0</v>
          </cell>
          <cell r="G460">
            <v>0</v>
          </cell>
        </row>
        <row r="461">
          <cell r="A461" t="str">
            <v>23-01-01-0210</v>
          </cell>
          <cell r="B461">
            <v>0</v>
          </cell>
          <cell r="C461" t="str">
            <v xml:space="preserve">  SAJID BROTHERS</v>
          </cell>
          <cell r="D461">
            <v>0</v>
          </cell>
          <cell r="E461">
            <v>0</v>
          </cell>
          <cell r="F461">
            <v>0</v>
          </cell>
          <cell r="G461">
            <v>0</v>
          </cell>
        </row>
        <row r="462">
          <cell r="A462" t="str">
            <v>23-01-01-0211</v>
          </cell>
          <cell r="B462">
            <v>0</v>
          </cell>
          <cell r="C462" t="str">
            <v xml:space="preserve">  ABIDA RASHEED WASTE MAKER</v>
          </cell>
          <cell r="D462">
            <v>0</v>
          </cell>
          <cell r="E462">
            <v>0</v>
          </cell>
          <cell r="F462">
            <v>0</v>
          </cell>
          <cell r="G462">
            <v>0</v>
          </cell>
        </row>
        <row r="463">
          <cell r="A463" t="str">
            <v>23-01-01-0212</v>
          </cell>
          <cell r="B463">
            <v>0</v>
          </cell>
          <cell r="C463" t="str">
            <v xml:space="preserve">  RIFAQAT PACKAGES FSD</v>
          </cell>
          <cell r="D463">
            <v>0</v>
          </cell>
          <cell r="E463">
            <v>0</v>
          </cell>
          <cell r="F463">
            <v>0</v>
          </cell>
          <cell r="G463">
            <v>0</v>
          </cell>
        </row>
        <row r="464">
          <cell r="A464" t="str">
            <v>23-01-01-0213</v>
          </cell>
          <cell r="B464">
            <v>0</v>
          </cell>
          <cell r="C464" t="str">
            <v xml:space="preserve">  EMRAN HARDWARE SUPPLIER</v>
          </cell>
          <cell r="D464">
            <v>0</v>
          </cell>
          <cell r="E464">
            <v>0</v>
          </cell>
          <cell r="F464">
            <v>0</v>
          </cell>
          <cell r="G464">
            <v>0</v>
          </cell>
        </row>
        <row r="465">
          <cell r="A465" t="str">
            <v>23-01-01-0214</v>
          </cell>
          <cell r="B465">
            <v>0</v>
          </cell>
          <cell r="C465" t="str">
            <v xml:space="preserve">  FRONTIER TRADERS FSD</v>
          </cell>
          <cell r="D465">
            <v>0</v>
          </cell>
          <cell r="E465">
            <v>0</v>
          </cell>
          <cell r="F465">
            <v>0</v>
          </cell>
          <cell r="G465">
            <v>0</v>
          </cell>
        </row>
        <row r="466">
          <cell r="A466" t="str">
            <v>23-01-01-0215</v>
          </cell>
          <cell r="B466">
            <v>0</v>
          </cell>
          <cell r="C466" t="str">
            <v xml:space="preserve">  NAZ MILL PARTS STORE</v>
          </cell>
          <cell r="D466">
            <v>0</v>
          </cell>
          <cell r="E466">
            <v>0</v>
          </cell>
          <cell r="F466">
            <v>0</v>
          </cell>
          <cell r="G466">
            <v>0</v>
          </cell>
        </row>
        <row r="467">
          <cell r="A467" t="str">
            <v>23-01-01-0216</v>
          </cell>
          <cell r="B467">
            <v>0</v>
          </cell>
          <cell r="C467" t="str">
            <v xml:space="preserve">  ABDUL AZIZ PAPER CONE CENTRE FSD</v>
          </cell>
          <cell r="D467">
            <v>0</v>
          </cell>
          <cell r="E467">
            <v>0</v>
          </cell>
          <cell r="F467">
            <v>0</v>
          </cell>
          <cell r="G467">
            <v>0</v>
          </cell>
        </row>
        <row r="468">
          <cell r="A468" t="str">
            <v>23-01-01-0217</v>
          </cell>
          <cell r="B468">
            <v>0</v>
          </cell>
          <cell r="C468" t="str">
            <v xml:space="preserve">  AASIMA PLASTIC PACKING</v>
          </cell>
          <cell r="D468">
            <v>0</v>
          </cell>
          <cell r="E468">
            <v>0</v>
          </cell>
          <cell r="F468">
            <v>0</v>
          </cell>
          <cell r="G468">
            <v>0</v>
          </cell>
        </row>
        <row r="469">
          <cell r="A469" t="str">
            <v>23-01-01-0218</v>
          </cell>
          <cell r="B469">
            <v>0</v>
          </cell>
          <cell r="C469" t="str">
            <v xml:space="preserve">  RAZIA PLASTIC PACKING FSD</v>
          </cell>
          <cell r="D469">
            <v>0</v>
          </cell>
          <cell r="E469">
            <v>0</v>
          </cell>
          <cell r="F469">
            <v>0</v>
          </cell>
          <cell r="G469">
            <v>0</v>
          </cell>
        </row>
        <row r="470">
          <cell r="A470" t="str">
            <v>23-01-01-0219</v>
          </cell>
          <cell r="B470">
            <v>0</v>
          </cell>
          <cell r="C470" t="str">
            <v xml:space="preserve">  HAJI CORPORATION</v>
          </cell>
          <cell r="D470">
            <v>0</v>
          </cell>
          <cell r="E470">
            <v>0</v>
          </cell>
          <cell r="F470">
            <v>0</v>
          </cell>
          <cell r="G470">
            <v>0</v>
          </cell>
        </row>
        <row r="471">
          <cell r="A471" t="str">
            <v>23-01-01-0220</v>
          </cell>
          <cell r="B471">
            <v>0</v>
          </cell>
          <cell r="C471" t="str">
            <v xml:space="preserve">  ASIF MILL STORE.</v>
          </cell>
          <cell r="D471">
            <v>0</v>
          </cell>
          <cell r="E471">
            <v>0</v>
          </cell>
          <cell r="F471">
            <v>0</v>
          </cell>
          <cell r="G471">
            <v>0</v>
          </cell>
        </row>
        <row r="472">
          <cell r="A472" t="str">
            <v>23-01-01-0221</v>
          </cell>
          <cell r="B472">
            <v>0</v>
          </cell>
          <cell r="C472" t="str">
            <v xml:space="preserve">  FALAK &amp; CO.</v>
          </cell>
          <cell r="D472">
            <v>0</v>
          </cell>
          <cell r="E472">
            <v>0</v>
          </cell>
          <cell r="F472">
            <v>0</v>
          </cell>
          <cell r="G472">
            <v>0</v>
          </cell>
        </row>
        <row r="473">
          <cell r="A473" t="str">
            <v>23-01-01-0222</v>
          </cell>
          <cell r="B473">
            <v>0</v>
          </cell>
          <cell r="C473" t="str">
            <v xml:space="preserve">  AYUB &amp; SONS TIMBER MERCHANT TOPI.</v>
          </cell>
          <cell r="D473">
            <v>0</v>
          </cell>
          <cell r="E473">
            <v>0</v>
          </cell>
          <cell r="F473">
            <v>0</v>
          </cell>
          <cell r="G473">
            <v>0</v>
          </cell>
        </row>
        <row r="474">
          <cell r="A474" t="str">
            <v>23-01-01-0223</v>
          </cell>
          <cell r="B474">
            <v>0</v>
          </cell>
          <cell r="C474" t="str">
            <v xml:space="preserve">  FINE PRINTING SERVICE.</v>
          </cell>
          <cell r="D474">
            <v>0</v>
          </cell>
          <cell r="E474">
            <v>0</v>
          </cell>
          <cell r="F474">
            <v>0</v>
          </cell>
          <cell r="G474">
            <v>0</v>
          </cell>
        </row>
        <row r="475">
          <cell r="A475" t="str">
            <v>23-01-01-0224</v>
          </cell>
          <cell r="B475">
            <v>0</v>
          </cell>
          <cell r="C475" t="str">
            <v xml:space="preserve">  TARIQ BROTHERS LAHORE</v>
          </cell>
          <cell r="D475">
            <v>0</v>
          </cell>
          <cell r="E475">
            <v>0</v>
          </cell>
          <cell r="F475">
            <v>0</v>
          </cell>
          <cell r="G475">
            <v>0</v>
          </cell>
        </row>
        <row r="476">
          <cell r="A476" t="str">
            <v>23-01-01-0225</v>
          </cell>
          <cell r="B476">
            <v>0</v>
          </cell>
          <cell r="C476" t="str">
            <v xml:space="preserve">  TAJ TRADERS, LAHORE</v>
          </cell>
          <cell r="D476">
            <v>0</v>
          </cell>
          <cell r="E476">
            <v>0</v>
          </cell>
          <cell r="F476">
            <v>0</v>
          </cell>
          <cell r="G476">
            <v>0</v>
          </cell>
        </row>
        <row r="477">
          <cell r="A477" t="str">
            <v>23-01-01-0226</v>
          </cell>
          <cell r="B477">
            <v>0</v>
          </cell>
          <cell r="C477" t="str">
            <v xml:space="preserve">  MOOSA CO</v>
          </cell>
          <cell r="D477">
            <v>0</v>
          </cell>
          <cell r="E477">
            <v>0</v>
          </cell>
          <cell r="F477">
            <v>0</v>
          </cell>
          <cell r="G477">
            <v>0</v>
          </cell>
        </row>
        <row r="478">
          <cell r="A478" t="str">
            <v>23-01-01-0227</v>
          </cell>
          <cell r="B478">
            <v>0</v>
          </cell>
          <cell r="C478" t="str">
            <v xml:space="preserve">  ZAHIR CLOTH HOUSE, TOPI</v>
          </cell>
          <cell r="D478">
            <v>0</v>
          </cell>
          <cell r="E478">
            <v>0</v>
          </cell>
          <cell r="F478">
            <v>0</v>
          </cell>
          <cell r="G478">
            <v>0</v>
          </cell>
        </row>
        <row r="479">
          <cell r="A479" t="str">
            <v>23-01-01-0228</v>
          </cell>
          <cell r="B479">
            <v>0</v>
          </cell>
          <cell r="C479" t="str">
            <v xml:space="preserve">  NAIB SOBEDAR ANWAR SHAH, TOPI</v>
          </cell>
          <cell r="D479">
            <v>0</v>
          </cell>
          <cell r="E479">
            <v>0</v>
          </cell>
          <cell r="F479">
            <v>0</v>
          </cell>
          <cell r="G479">
            <v>0</v>
          </cell>
        </row>
        <row r="480">
          <cell r="A480" t="str">
            <v>23-01-01-0229</v>
          </cell>
          <cell r="B480">
            <v>0</v>
          </cell>
          <cell r="C480" t="str">
            <v xml:space="preserve">  RAFIQ MUHAMMAD, TOPI</v>
          </cell>
          <cell r="D480">
            <v>0</v>
          </cell>
          <cell r="E480">
            <v>0</v>
          </cell>
          <cell r="F480">
            <v>0</v>
          </cell>
          <cell r="G480">
            <v>0</v>
          </cell>
        </row>
        <row r="481">
          <cell r="A481" t="str">
            <v>23-01-01-0230</v>
          </cell>
          <cell r="B481">
            <v>0</v>
          </cell>
          <cell r="C481" t="str">
            <v xml:space="preserve">  WEAVES &amp; WEAVERS, LAHORE.</v>
          </cell>
          <cell r="D481">
            <v>0</v>
          </cell>
          <cell r="E481">
            <v>0</v>
          </cell>
          <cell r="F481">
            <v>0</v>
          </cell>
          <cell r="G481">
            <v>0</v>
          </cell>
        </row>
        <row r="482">
          <cell r="A482" t="str">
            <v>23-01-01-0231</v>
          </cell>
          <cell r="B482">
            <v>0</v>
          </cell>
          <cell r="C482" t="str">
            <v xml:space="preserve">  FAQIR MUHAMMAD, TOPI</v>
          </cell>
          <cell r="D482">
            <v>0</v>
          </cell>
          <cell r="E482">
            <v>0</v>
          </cell>
          <cell r="F482">
            <v>0</v>
          </cell>
          <cell r="G482">
            <v>0</v>
          </cell>
        </row>
        <row r="483">
          <cell r="A483" t="str">
            <v>23-01-01-0232</v>
          </cell>
          <cell r="B483">
            <v>0</v>
          </cell>
          <cell r="C483" t="str">
            <v xml:space="preserve">  M.IMRAN KHAN H/W &amp; PAINT, TOPI</v>
          </cell>
          <cell r="D483">
            <v>0</v>
          </cell>
          <cell r="E483">
            <v>0</v>
          </cell>
          <cell r="F483">
            <v>0</v>
          </cell>
          <cell r="G483">
            <v>0</v>
          </cell>
        </row>
        <row r="484">
          <cell r="A484" t="str">
            <v>23-01-01-0233</v>
          </cell>
          <cell r="B484">
            <v>0</v>
          </cell>
          <cell r="C484" t="str">
            <v xml:space="preserve">  CALTEX PAKISTAN LIMITED, RAWALPINDI</v>
          </cell>
          <cell r="D484">
            <v>0</v>
          </cell>
          <cell r="E484">
            <v>0</v>
          </cell>
          <cell r="F484">
            <v>0</v>
          </cell>
          <cell r="G484">
            <v>0</v>
          </cell>
        </row>
        <row r="485">
          <cell r="A485" t="str">
            <v>23-01-01-0234</v>
          </cell>
          <cell r="B485">
            <v>0</v>
          </cell>
          <cell r="C485" t="str">
            <v xml:space="preserve">  NAZIR FURNISHERS</v>
          </cell>
          <cell r="D485">
            <v>0</v>
          </cell>
          <cell r="E485">
            <v>0</v>
          </cell>
          <cell r="F485">
            <v>0</v>
          </cell>
          <cell r="G485">
            <v>0</v>
          </cell>
        </row>
        <row r="486">
          <cell r="A486" t="str">
            <v>23-01-01-0235</v>
          </cell>
          <cell r="B486">
            <v>0</v>
          </cell>
          <cell r="C486" t="str">
            <v xml:space="preserve">  M.M. ALLIANCE</v>
          </cell>
          <cell r="D486">
            <v>0</v>
          </cell>
          <cell r="E486">
            <v>0</v>
          </cell>
          <cell r="F486">
            <v>0</v>
          </cell>
          <cell r="G486">
            <v>0</v>
          </cell>
        </row>
        <row r="487">
          <cell r="A487" t="str">
            <v>23-01-01-0236</v>
          </cell>
          <cell r="B487">
            <v>0</v>
          </cell>
          <cell r="C487" t="str">
            <v xml:space="preserve">  SCHLAFHORST AG &amp; CO. GERMANY C/O MOONA</v>
          </cell>
          <cell r="D487">
            <v>0</v>
          </cell>
          <cell r="E487">
            <v>0</v>
          </cell>
          <cell r="F487">
            <v>0</v>
          </cell>
          <cell r="G487">
            <v>0</v>
          </cell>
        </row>
        <row r="488">
          <cell r="A488" t="str">
            <v>23-01-01-0237</v>
          </cell>
          <cell r="B488">
            <v>0</v>
          </cell>
          <cell r="C488" t="str">
            <v xml:space="preserve">  MEHRAN AUTO MOBILE</v>
          </cell>
          <cell r="D488">
            <v>0</v>
          </cell>
          <cell r="E488">
            <v>0</v>
          </cell>
          <cell r="F488">
            <v>0</v>
          </cell>
          <cell r="G488">
            <v>0</v>
          </cell>
        </row>
        <row r="489">
          <cell r="A489" t="str">
            <v>23-01-01-0238</v>
          </cell>
          <cell r="B489">
            <v>0</v>
          </cell>
          <cell r="C489" t="str">
            <v xml:space="preserve">  A.J. CORPORATION</v>
          </cell>
          <cell r="D489">
            <v>0</v>
          </cell>
          <cell r="E489">
            <v>0</v>
          </cell>
          <cell r="F489">
            <v>0</v>
          </cell>
          <cell r="G489">
            <v>0</v>
          </cell>
        </row>
        <row r="490">
          <cell r="A490" t="str">
            <v>23-01-01-0239</v>
          </cell>
          <cell r="B490">
            <v>0</v>
          </cell>
          <cell r="C490" t="str">
            <v xml:space="preserve">  ZENITH MACHINERY STORE</v>
          </cell>
          <cell r="D490">
            <v>0</v>
          </cell>
          <cell r="E490">
            <v>0</v>
          </cell>
          <cell r="F490">
            <v>0</v>
          </cell>
          <cell r="G490">
            <v>0</v>
          </cell>
        </row>
        <row r="491">
          <cell r="A491" t="str">
            <v>23-01-01-0240</v>
          </cell>
          <cell r="B491">
            <v>0</v>
          </cell>
          <cell r="C491" t="str">
            <v xml:space="preserve">  BASHIR &amp; RIFAQAT ALI TAILORS, GADOON</v>
          </cell>
          <cell r="D491">
            <v>0</v>
          </cell>
          <cell r="E491">
            <v>0</v>
          </cell>
          <cell r="F491">
            <v>0</v>
          </cell>
          <cell r="G491">
            <v>0</v>
          </cell>
        </row>
        <row r="492">
          <cell r="A492" t="str">
            <v>23-01-01-0241</v>
          </cell>
          <cell r="B492">
            <v>0</v>
          </cell>
          <cell r="C492" t="str">
            <v xml:space="preserve">  IMRAN HARWARE &amp; PAINT STORE, TOPI</v>
          </cell>
          <cell r="D492">
            <v>0</v>
          </cell>
          <cell r="E492">
            <v>0</v>
          </cell>
          <cell r="F492">
            <v>0</v>
          </cell>
          <cell r="G492">
            <v>0</v>
          </cell>
        </row>
        <row r="493">
          <cell r="A493" t="str">
            <v>23-01-01-0242</v>
          </cell>
          <cell r="B493">
            <v>0</v>
          </cell>
          <cell r="C493" t="str">
            <v xml:space="preserve">  SAID AFZAL CEMENT STOCKIST</v>
          </cell>
          <cell r="D493">
            <v>0</v>
          </cell>
          <cell r="E493">
            <v>0</v>
          </cell>
          <cell r="F493">
            <v>0</v>
          </cell>
          <cell r="G493">
            <v>0</v>
          </cell>
        </row>
        <row r="494">
          <cell r="A494" t="str">
            <v>23-01-01-0243</v>
          </cell>
          <cell r="B494">
            <v>0</v>
          </cell>
          <cell r="C494" t="str">
            <v xml:space="preserve">  ADD WISE</v>
          </cell>
          <cell r="D494">
            <v>0</v>
          </cell>
          <cell r="E494">
            <v>0</v>
          </cell>
          <cell r="F494">
            <v>0</v>
          </cell>
          <cell r="G494">
            <v>0</v>
          </cell>
        </row>
        <row r="495">
          <cell r="A495" t="str">
            <v>23-01-01-0244</v>
          </cell>
          <cell r="B495">
            <v>0</v>
          </cell>
          <cell r="C495" t="str">
            <v xml:space="preserve">  MULLA IBRAHIMJI KARIMBHOY</v>
          </cell>
          <cell r="D495">
            <v>0</v>
          </cell>
          <cell r="E495">
            <v>0</v>
          </cell>
          <cell r="F495">
            <v>0</v>
          </cell>
          <cell r="G495">
            <v>0</v>
          </cell>
        </row>
        <row r="496">
          <cell r="A496" t="str">
            <v>23-01-01-0245</v>
          </cell>
          <cell r="B496">
            <v>0</v>
          </cell>
          <cell r="C496" t="str">
            <v xml:space="preserve">  AFZAL RAUF NEWS AGENCY</v>
          </cell>
          <cell r="D496">
            <v>0</v>
          </cell>
          <cell r="E496">
            <v>0</v>
          </cell>
          <cell r="F496">
            <v>0</v>
          </cell>
          <cell r="G496">
            <v>0</v>
          </cell>
        </row>
        <row r="497">
          <cell r="A497" t="str">
            <v>23-01-01-0246</v>
          </cell>
          <cell r="B497">
            <v>0</v>
          </cell>
          <cell r="C497" t="str">
            <v xml:space="preserve">  SHAZIA PLASTIC FAISALABAD</v>
          </cell>
          <cell r="D497">
            <v>0</v>
          </cell>
          <cell r="E497">
            <v>0</v>
          </cell>
          <cell r="F497">
            <v>0</v>
          </cell>
          <cell r="G497">
            <v>0</v>
          </cell>
        </row>
        <row r="498">
          <cell r="A498" t="str">
            <v>23-01-01-0247</v>
          </cell>
          <cell r="B498">
            <v>0</v>
          </cell>
          <cell r="C498" t="str">
            <v xml:space="preserve">  KHALIDA PLASTIC FAISALABAD</v>
          </cell>
          <cell r="D498">
            <v>0</v>
          </cell>
          <cell r="E498">
            <v>0</v>
          </cell>
          <cell r="F498">
            <v>0</v>
          </cell>
          <cell r="G498">
            <v>0</v>
          </cell>
        </row>
        <row r="499">
          <cell r="A499" t="str">
            <v>23-01-01-0248</v>
          </cell>
          <cell r="B499">
            <v>0</v>
          </cell>
          <cell r="C499" t="str">
            <v xml:space="preserve">  ABID ALI POLY CENTRE FAISALABAD</v>
          </cell>
          <cell r="D499">
            <v>0</v>
          </cell>
          <cell r="E499">
            <v>0</v>
          </cell>
          <cell r="F499">
            <v>0</v>
          </cell>
          <cell r="G499">
            <v>0</v>
          </cell>
        </row>
        <row r="500">
          <cell r="A500" t="str">
            <v>23-01-01-0249</v>
          </cell>
          <cell r="B500">
            <v>0</v>
          </cell>
          <cell r="C500" t="str">
            <v xml:space="preserve">  M. SIDDIQUE TRADING COMPANY</v>
          </cell>
          <cell r="D500">
            <v>0</v>
          </cell>
          <cell r="E500">
            <v>0</v>
          </cell>
          <cell r="F500">
            <v>0</v>
          </cell>
          <cell r="G500">
            <v>0</v>
          </cell>
        </row>
        <row r="501">
          <cell r="A501" t="str">
            <v>23-01-01-0250</v>
          </cell>
          <cell r="B501">
            <v>0</v>
          </cell>
          <cell r="C501" t="str">
            <v xml:space="preserve">  HABIB MILL STORE</v>
          </cell>
          <cell r="D501">
            <v>0</v>
          </cell>
          <cell r="E501">
            <v>0</v>
          </cell>
          <cell r="F501">
            <v>0</v>
          </cell>
          <cell r="G501">
            <v>0</v>
          </cell>
        </row>
        <row r="502">
          <cell r="A502" t="str">
            <v>23-01-01-0251</v>
          </cell>
          <cell r="B502">
            <v>0</v>
          </cell>
          <cell r="C502" t="str">
            <v xml:space="preserve">  PAKMATEX MACHINERY COMPANY (PVT) LIMIT</v>
          </cell>
          <cell r="D502">
            <v>0</v>
          </cell>
          <cell r="E502">
            <v>0</v>
          </cell>
          <cell r="F502">
            <v>0</v>
          </cell>
          <cell r="G502">
            <v>0</v>
          </cell>
        </row>
        <row r="503">
          <cell r="A503" t="str">
            <v>23-01-01-0252</v>
          </cell>
          <cell r="B503">
            <v>0</v>
          </cell>
          <cell r="C503" t="str">
            <v xml:space="preserve">  RAFIQ ENGINEERING WORKS</v>
          </cell>
          <cell r="D503">
            <v>0</v>
          </cell>
          <cell r="E503">
            <v>0</v>
          </cell>
          <cell r="F503">
            <v>0</v>
          </cell>
          <cell r="G503">
            <v>0</v>
          </cell>
        </row>
        <row r="504">
          <cell r="A504" t="str">
            <v>23-01-01-0253</v>
          </cell>
          <cell r="B504">
            <v>0</v>
          </cell>
          <cell r="C504" t="str">
            <v xml:space="preserve">  SHAHID, SAJID WORKERS, GADOON</v>
          </cell>
          <cell r="D504">
            <v>0</v>
          </cell>
          <cell r="E504">
            <v>0</v>
          </cell>
          <cell r="F504">
            <v>0</v>
          </cell>
          <cell r="G504">
            <v>0</v>
          </cell>
        </row>
        <row r="505">
          <cell r="A505" t="str">
            <v>23-01-01-0254</v>
          </cell>
          <cell r="B505">
            <v>0</v>
          </cell>
          <cell r="C505" t="str">
            <v xml:space="preserve">  WALIJEE ENTERPRISES</v>
          </cell>
          <cell r="D505">
            <v>0</v>
          </cell>
          <cell r="E505">
            <v>0</v>
          </cell>
          <cell r="F505">
            <v>0</v>
          </cell>
          <cell r="G505">
            <v>0</v>
          </cell>
        </row>
        <row r="506">
          <cell r="A506" t="str">
            <v>23-01-01-0255</v>
          </cell>
          <cell r="B506">
            <v>0</v>
          </cell>
          <cell r="C506" t="str">
            <v xml:space="preserve">  SAMRA TRADERS.</v>
          </cell>
          <cell r="D506">
            <v>0</v>
          </cell>
          <cell r="E506">
            <v>0</v>
          </cell>
          <cell r="F506">
            <v>0</v>
          </cell>
          <cell r="G506">
            <v>0</v>
          </cell>
        </row>
        <row r="507">
          <cell r="A507" t="str">
            <v>23-01-01-0256</v>
          </cell>
          <cell r="B507">
            <v>0</v>
          </cell>
          <cell r="C507" t="str">
            <v xml:space="preserve">  ALI MUHAMMAD &amp; SONS FAISLABAD.</v>
          </cell>
          <cell r="D507">
            <v>0</v>
          </cell>
          <cell r="E507">
            <v>0</v>
          </cell>
          <cell r="F507">
            <v>0</v>
          </cell>
          <cell r="G507">
            <v>0</v>
          </cell>
        </row>
        <row r="508">
          <cell r="A508" t="str">
            <v>23-01-01-0257</v>
          </cell>
          <cell r="B508">
            <v>0</v>
          </cell>
          <cell r="C508" t="str">
            <v xml:space="preserve">  ABDUL GHAFOOR &amp; BROS FAISALABAD</v>
          </cell>
          <cell r="D508">
            <v>0</v>
          </cell>
          <cell r="E508">
            <v>0</v>
          </cell>
          <cell r="F508">
            <v>0</v>
          </cell>
          <cell r="G508">
            <v>0</v>
          </cell>
        </row>
        <row r="509">
          <cell r="A509" t="str">
            <v>23-01-01-0258</v>
          </cell>
          <cell r="B509">
            <v>0</v>
          </cell>
          <cell r="C509" t="str">
            <v xml:space="preserve">  UMAN HUSSAIN COTTON WASTE WALE FSD</v>
          </cell>
          <cell r="D509">
            <v>0</v>
          </cell>
          <cell r="E509">
            <v>0</v>
          </cell>
          <cell r="F509">
            <v>0</v>
          </cell>
          <cell r="G509">
            <v>0</v>
          </cell>
        </row>
        <row r="510">
          <cell r="A510" t="str">
            <v>23-01-01-0259</v>
          </cell>
          <cell r="B510">
            <v>0</v>
          </cell>
          <cell r="C510" t="str">
            <v xml:space="preserve">  NOOR MUHAMMAD PALSTIC PACKING FSD</v>
          </cell>
          <cell r="D510">
            <v>0</v>
          </cell>
          <cell r="E510">
            <v>0</v>
          </cell>
          <cell r="F510">
            <v>0</v>
          </cell>
          <cell r="G510">
            <v>0</v>
          </cell>
        </row>
        <row r="511">
          <cell r="A511" t="str">
            <v>23-01-01-0260</v>
          </cell>
          <cell r="B511">
            <v>0</v>
          </cell>
          <cell r="C511" t="str">
            <v xml:space="preserve">  SCHLAFHORST TRONICS</v>
          </cell>
          <cell r="D511">
            <v>0</v>
          </cell>
          <cell r="E511">
            <v>0</v>
          </cell>
          <cell r="F511">
            <v>0</v>
          </cell>
          <cell r="G511">
            <v>0</v>
          </cell>
        </row>
        <row r="512">
          <cell r="A512" t="str">
            <v>23-01-01-0261</v>
          </cell>
          <cell r="B512">
            <v>0</v>
          </cell>
          <cell r="C512" t="str">
            <v xml:space="preserve">  SHAHDAB INDUSTRY</v>
          </cell>
          <cell r="D512">
            <v>0</v>
          </cell>
          <cell r="E512">
            <v>0</v>
          </cell>
          <cell r="F512">
            <v>0</v>
          </cell>
          <cell r="G512">
            <v>0</v>
          </cell>
        </row>
        <row r="513">
          <cell r="A513" t="str">
            <v>23-01-01-0262</v>
          </cell>
          <cell r="B513">
            <v>0</v>
          </cell>
          <cell r="C513" t="str">
            <v xml:space="preserve">  SYED KHANI TRADERS TOPI</v>
          </cell>
          <cell r="D513">
            <v>0</v>
          </cell>
          <cell r="E513">
            <v>0</v>
          </cell>
          <cell r="F513">
            <v>0</v>
          </cell>
          <cell r="G513">
            <v>0</v>
          </cell>
        </row>
        <row r="514">
          <cell r="A514" t="str">
            <v>23-01-01-0263</v>
          </cell>
          <cell r="B514">
            <v>0</v>
          </cell>
          <cell r="C514" t="str">
            <v xml:space="preserve">  SAMAD STANDARD FURNITURE TOPI</v>
          </cell>
          <cell r="D514">
            <v>0</v>
          </cell>
          <cell r="E514">
            <v>0</v>
          </cell>
          <cell r="F514">
            <v>0</v>
          </cell>
          <cell r="G514">
            <v>0</v>
          </cell>
        </row>
        <row r="515">
          <cell r="A515" t="str">
            <v>23-01-01-0264</v>
          </cell>
          <cell r="B515">
            <v>0</v>
          </cell>
          <cell r="C515" t="str">
            <v xml:space="preserve">  IRSHAD ELECTRIC STORE TOPI</v>
          </cell>
          <cell r="D515">
            <v>0</v>
          </cell>
          <cell r="E515">
            <v>0</v>
          </cell>
          <cell r="F515">
            <v>0</v>
          </cell>
          <cell r="G515">
            <v>0</v>
          </cell>
        </row>
        <row r="516">
          <cell r="A516" t="str">
            <v>23-01-01-0265</v>
          </cell>
          <cell r="B516">
            <v>0</v>
          </cell>
          <cell r="C516" t="str">
            <v xml:space="preserve">  TRADER IMPEX</v>
          </cell>
          <cell r="D516">
            <v>0</v>
          </cell>
          <cell r="E516">
            <v>0</v>
          </cell>
          <cell r="F516">
            <v>0</v>
          </cell>
          <cell r="G516">
            <v>0</v>
          </cell>
        </row>
        <row r="517">
          <cell r="A517" t="str">
            <v>23-01-01-0266</v>
          </cell>
          <cell r="B517">
            <v>0</v>
          </cell>
          <cell r="C517" t="str">
            <v xml:space="preserve">  NEW UNITED PRINTERS</v>
          </cell>
          <cell r="D517">
            <v>0</v>
          </cell>
          <cell r="E517">
            <v>0</v>
          </cell>
          <cell r="F517">
            <v>0</v>
          </cell>
          <cell r="G517">
            <v>0</v>
          </cell>
        </row>
        <row r="518">
          <cell r="A518" t="str">
            <v>23-01-01-0267</v>
          </cell>
          <cell r="B518">
            <v>0</v>
          </cell>
          <cell r="C518" t="str">
            <v xml:space="preserve">  THE QUALITY PRINTING HOUSE</v>
          </cell>
          <cell r="D518">
            <v>0</v>
          </cell>
          <cell r="E518">
            <v>0</v>
          </cell>
          <cell r="F518">
            <v>0</v>
          </cell>
          <cell r="G518">
            <v>0</v>
          </cell>
        </row>
        <row r="519">
          <cell r="A519" t="str">
            <v>23-01-01-0268</v>
          </cell>
          <cell r="B519">
            <v>0</v>
          </cell>
          <cell r="C519" t="str">
            <v xml:space="preserve">  PRIMA INDUSTRIES</v>
          </cell>
          <cell r="D519">
            <v>0</v>
          </cell>
          <cell r="E519">
            <v>0</v>
          </cell>
          <cell r="F519">
            <v>0</v>
          </cell>
          <cell r="G519">
            <v>0</v>
          </cell>
        </row>
        <row r="520">
          <cell r="A520" t="str">
            <v>23-01-01-0269</v>
          </cell>
          <cell r="B520">
            <v>0</v>
          </cell>
          <cell r="C520" t="str">
            <v xml:space="preserve">  MARGALA PACKAGES &amp; ALLIED INDUS. (P) L</v>
          </cell>
          <cell r="D520">
            <v>0</v>
          </cell>
          <cell r="E520">
            <v>597542</v>
          </cell>
          <cell r="F520">
            <v>0</v>
          </cell>
          <cell r="G520">
            <v>0</v>
          </cell>
        </row>
        <row r="521">
          <cell r="A521" t="str">
            <v>23-01-01-0270</v>
          </cell>
          <cell r="B521">
            <v>0</v>
          </cell>
          <cell r="C521" t="str">
            <v xml:space="preserve">  SHELL PAKISTAN LIMITED RAWALPINDI</v>
          </cell>
          <cell r="D521">
            <v>82897.210000000006</v>
          </cell>
          <cell r="E521">
            <v>0</v>
          </cell>
          <cell r="F521">
            <v>0</v>
          </cell>
          <cell r="G521">
            <v>0</v>
          </cell>
        </row>
        <row r="522">
          <cell r="A522" t="str">
            <v>23-01-01-0271</v>
          </cell>
          <cell r="B522">
            <v>0</v>
          </cell>
          <cell r="C522" t="str">
            <v xml:space="preserve">  MUZZAMAL AND CO</v>
          </cell>
          <cell r="D522">
            <v>0</v>
          </cell>
          <cell r="E522">
            <v>0</v>
          </cell>
          <cell r="F522">
            <v>0</v>
          </cell>
          <cell r="G522">
            <v>0</v>
          </cell>
        </row>
        <row r="523">
          <cell r="A523" t="str">
            <v>23-01-01-0272</v>
          </cell>
          <cell r="B523">
            <v>0</v>
          </cell>
          <cell r="C523" t="str">
            <v xml:space="preserve">  GADOON TRADERS GADOON AMAZAI</v>
          </cell>
          <cell r="D523">
            <v>0</v>
          </cell>
          <cell r="E523">
            <v>0</v>
          </cell>
          <cell r="F523">
            <v>0</v>
          </cell>
          <cell r="G523">
            <v>0</v>
          </cell>
        </row>
        <row r="524">
          <cell r="A524" t="str">
            <v>23-01-01-0273</v>
          </cell>
          <cell r="B524">
            <v>0</v>
          </cell>
          <cell r="C524" t="str">
            <v xml:space="preserve">  MUHAMMAD RAFIQ CEMENT STOCKISTS</v>
          </cell>
          <cell r="D524">
            <v>0</v>
          </cell>
          <cell r="E524">
            <v>0</v>
          </cell>
          <cell r="F524">
            <v>0</v>
          </cell>
          <cell r="G524">
            <v>0</v>
          </cell>
        </row>
        <row r="525">
          <cell r="A525" t="str">
            <v>23-01-01-0274</v>
          </cell>
          <cell r="B525">
            <v>0</v>
          </cell>
          <cell r="C525" t="str">
            <v xml:space="preserve">  UJALA PACKAGES</v>
          </cell>
          <cell r="D525">
            <v>0</v>
          </cell>
          <cell r="E525">
            <v>0</v>
          </cell>
          <cell r="F525">
            <v>0</v>
          </cell>
          <cell r="G525">
            <v>0</v>
          </cell>
        </row>
        <row r="526">
          <cell r="A526" t="str">
            <v>23-01-01-0275</v>
          </cell>
          <cell r="B526">
            <v>0</v>
          </cell>
          <cell r="C526" t="str">
            <v xml:space="preserve">  EVERSHINE TRADERS</v>
          </cell>
          <cell r="D526">
            <v>0</v>
          </cell>
          <cell r="E526">
            <v>0</v>
          </cell>
          <cell r="F526">
            <v>0</v>
          </cell>
          <cell r="G526">
            <v>0</v>
          </cell>
        </row>
        <row r="527">
          <cell r="A527" t="str">
            <v>23-01-01-0276</v>
          </cell>
          <cell r="B527">
            <v>0</v>
          </cell>
          <cell r="C527" t="str">
            <v xml:space="preserve">  HINA PRINTERS, PESHAWAR</v>
          </cell>
          <cell r="D527">
            <v>0</v>
          </cell>
          <cell r="E527">
            <v>0</v>
          </cell>
          <cell r="F527">
            <v>0</v>
          </cell>
          <cell r="G527">
            <v>0</v>
          </cell>
        </row>
        <row r="528">
          <cell r="A528" t="str">
            <v>23-01-01-0277</v>
          </cell>
          <cell r="B528">
            <v>0</v>
          </cell>
          <cell r="C528" t="str">
            <v xml:space="preserve">  IQBAL ART PRESS, PESHAWAR</v>
          </cell>
          <cell r="D528">
            <v>0</v>
          </cell>
          <cell r="E528">
            <v>0</v>
          </cell>
          <cell r="F528">
            <v>0</v>
          </cell>
          <cell r="G528">
            <v>0</v>
          </cell>
        </row>
        <row r="529">
          <cell r="A529" t="str">
            <v>23-01-01-0278</v>
          </cell>
          <cell r="B529">
            <v>0</v>
          </cell>
          <cell r="C529" t="str">
            <v xml:space="preserve">  HABIB &amp; SONS TRADERS, PESHAWAR</v>
          </cell>
          <cell r="D529">
            <v>0</v>
          </cell>
          <cell r="E529">
            <v>0</v>
          </cell>
          <cell r="F529">
            <v>0</v>
          </cell>
          <cell r="G529">
            <v>0</v>
          </cell>
        </row>
        <row r="530">
          <cell r="A530" t="str">
            <v>23-01-01-0279</v>
          </cell>
          <cell r="B530">
            <v>0</v>
          </cell>
          <cell r="C530" t="str">
            <v xml:space="preserve">  WHITE GOLD BUSINESS, SYSTEM</v>
          </cell>
          <cell r="D530">
            <v>0</v>
          </cell>
          <cell r="E530">
            <v>0</v>
          </cell>
          <cell r="F530">
            <v>0</v>
          </cell>
          <cell r="G530">
            <v>0</v>
          </cell>
        </row>
        <row r="531">
          <cell r="A531" t="str">
            <v>23-01-01-0280</v>
          </cell>
          <cell r="B531">
            <v>0</v>
          </cell>
          <cell r="C531" t="str">
            <v xml:space="preserve">  PARADISE PRESS</v>
          </cell>
          <cell r="D531">
            <v>0</v>
          </cell>
          <cell r="E531">
            <v>0</v>
          </cell>
          <cell r="F531">
            <v>0</v>
          </cell>
          <cell r="G531">
            <v>0</v>
          </cell>
        </row>
        <row r="532">
          <cell r="A532" t="str">
            <v>23-01-01-0281</v>
          </cell>
          <cell r="B532">
            <v>0</v>
          </cell>
          <cell r="C532" t="str">
            <v xml:space="preserve">  MICRO TEXTILE ENGINEERING (REGD)</v>
          </cell>
          <cell r="D532">
            <v>0</v>
          </cell>
          <cell r="E532">
            <v>0</v>
          </cell>
          <cell r="F532">
            <v>0</v>
          </cell>
          <cell r="G532">
            <v>0</v>
          </cell>
        </row>
        <row r="533">
          <cell r="A533" t="str">
            <v>23-01-01-0282</v>
          </cell>
          <cell r="B533">
            <v>0</v>
          </cell>
          <cell r="C533" t="str">
            <v xml:space="preserve">  SHAN PACKRITE</v>
          </cell>
          <cell r="D533">
            <v>0</v>
          </cell>
          <cell r="E533">
            <v>0</v>
          </cell>
          <cell r="F533">
            <v>0</v>
          </cell>
          <cell r="G533">
            <v>0</v>
          </cell>
        </row>
        <row r="534">
          <cell r="A534" t="str">
            <v>23-01-01-0283</v>
          </cell>
          <cell r="B534">
            <v>0</v>
          </cell>
          <cell r="C534" t="str">
            <v xml:space="preserve">  SAGAR CORPORATION</v>
          </cell>
          <cell r="D534">
            <v>0</v>
          </cell>
          <cell r="E534">
            <v>0</v>
          </cell>
          <cell r="F534">
            <v>0</v>
          </cell>
          <cell r="G534">
            <v>0</v>
          </cell>
        </row>
        <row r="535">
          <cell r="A535" t="str">
            <v>23-01-01-0284</v>
          </cell>
          <cell r="B535">
            <v>0</v>
          </cell>
          <cell r="C535" t="str">
            <v xml:space="preserve">  MUHAMMAD AKBAR POLYMAKER, FAISALABAD.</v>
          </cell>
          <cell r="D535">
            <v>0</v>
          </cell>
          <cell r="E535">
            <v>0</v>
          </cell>
          <cell r="F535">
            <v>0</v>
          </cell>
          <cell r="G535">
            <v>0</v>
          </cell>
        </row>
        <row r="536">
          <cell r="A536" t="str">
            <v>23-01-01-0285</v>
          </cell>
          <cell r="B536">
            <v>0</v>
          </cell>
          <cell r="C536" t="str">
            <v xml:space="preserve">  BARKAT ALI &amp; CO.</v>
          </cell>
          <cell r="D536">
            <v>0</v>
          </cell>
          <cell r="E536">
            <v>0</v>
          </cell>
          <cell r="F536">
            <v>0</v>
          </cell>
          <cell r="G536">
            <v>0</v>
          </cell>
        </row>
        <row r="537">
          <cell r="A537" t="str">
            <v>23-01-01-0286</v>
          </cell>
          <cell r="B537">
            <v>0</v>
          </cell>
          <cell r="C537" t="str">
            <v xml:space="preserve">  S.S. TRADER, KARACHI</v>
          </cell>
          <cell r="D537">
            <v>0</v>
          </cell>
          <cell r="E537">
            <v>0</v>
          </cell>
          <cell r="F537">
            <v>0</v>
          </cell>
          <cell r="G537">
            <v>0</v>
          </cell>
        </row>
        <row r="538">
          <cell r="A538" t="str">
            <v>23-01-01-0287</v>
          </cell>
          <cell r="B538">
            <v>0</v>
          </cell>
          <cell r="C538" t="str">
            <v xml:space="preserve">  NOBLE BELTING CO. LAHORE</v>
          </cell>
          <cell r="D538">
            <v>0</v>
          </cell>
          <cell r="E538">
            <v>0</v>
          </cell>
          <cell r="F538">
            <v>0</v>
          </cell>
          <cell r="G538">
            <v>0</v>
          </cell>
        </row>
        <row r="539">
          <cell r="A539" t="str">
            <v>23-01-01-0288</v>
          </cell>
          <cell r="B539">
            <v>0</v>
          </cell>
          <cell r="C539" t="str">
            <v xml:space="preserve">  AMAN HUSSAIN PAPER CONE, FSD.</v>
          </cell>
          <cell r="D539">
            <v>0</v>
          </cell>
          <cell r="E539">
            <v>0</v>
          </cell>
          <cell r="F539">
            <v>0</v>
          </cell>
          <cell r="G539">
            <v>0</v>
          </cell>
        </row>
        <row r="540">
          <cell r="A540" t="str">
            <v>23-01-01-0289</v>
          </cell>
          <cell r="B540">
            <v>0</v>
          </cell>
          <cell r="C540" t="str">
            <v xml:space="preserve">  ABDUL AZIZ PLASTIC, FSD.</v>
          </cell>
          <cell r="D540">
            <v>0</v>
          </cell>
          <cell r="E540">
            <v>0</v>
          </cell>
          <cell r="F540">
            <v>0</v>
          </cell>
          <cell r="G540">
            <v>0</v>
          </cell>
        </row>
        <row r="541">
          <cell r="A541" t="str">
            <v>23-01-01-0290</v>
          </cell>
          <cell r="B541">
            <v>0</v>
          </cell>
          <cell r="C541" t="str">
            <v xml:space="preserve">  RIFAQAT ALI COTTON WALAY, FSD.</v>
          </cell>
          <cell r="D541">
            <v>0</v>
          </cell>
          <cell r="E541">
            <v>0</v>
          </cell>
          <cell r="F541">
            <v>0</v>
          </cell>
          <cell r="G541">
            <v>0</v>
          </cell>
        </row>
        <row r="542">
          <cell r="A542" t="str">
            <v>23-01-01-0291</v>
          </cell>
          <cell r="B542">
            <v>0</v>
          </cell>
          <cell r="C542" t="str">
            <v xml:space="preserve">  BSHIR AHMED PACKAGES, FSD.</v>
          </cell>
          <cell r="D542">
            <v>0</v>
          </cell>
          <cell r="E542">
            <v>0</v>
          </cell>
          <cell r="F542">
            <v>0</v>
          </cell>
          <cell r="G542">
            <v>0</v>
          </cell>
        </row>
        <row r="543">
          <cell r="A543" t="str">
            <v>23-01-01-0292</v>
          </cell>
          <cell r="B543">
            <v>0</v>
          </cell>
          <cell r="C543" t="str">
            <v xml:space="preserve">  ABDUL GHAFOOR PAPER CONE, FSD.</v>
          </cell>
          <cell r="D543">
            <v>0</v>
          </cell>
          <cell r="E543">
            <v>0</v>
          </cell>
          <cell r="F543">
            <v>0</v>
          </cell>
          <cell r="G543">
            <v>0</v>
          </cell>
        </row>
        <row r="544">
          <cell r="A544" t="str">
            <v>23-01-01-0293</v>
          </cell>
          <cell r="B544">
            <v>0</v>
          </cell>
          <cell r="C544" t="str">
            <v xml:space="preserve">  ILTAF HUSSAIN, FSD.</v>
          </cell>
          <cell r="D544">
            <v>0</v>
          </cell>
          <cell r="E544">
            <v>0</v>
          </cell>
          <cell r="F544">
            <v>0</v>
          </cell>
          <cell r="G544">
            <v>0</v>
          </cell>
        </row>
        <row r="545">
          <cell r="A545" t="str">
            <v>23-01-01-0294</v>
          </cell>
          <cell r="B545">
            <v>0</v>
          </cell>
          <cell r="C545" t="str">
            <v xml:space="preserve">  ANWAR &amp; COMPANY.</v>
          </cell>
          <cell r="D545">
            <v>0</v>
          </cell>
          <cell r="E545">
            <v>0</v>
          </cell>
          <cell r="F545">
            <v>0</v>
          </cell>
          <cell r="G545">
            <v>0</v>
          </cell>
        </row>
        <row r="546">
          <cell r="A546" t="str">
            <v>23-01-01-0295</v>
          </cell>
          <cell r="B546">
            <v>0</v>
          </cell>
          <cell r="C546" t="str">
            <v xml:space="preserve">  PLATINUM STATIONERS</v>
          </cell>
          <cell r="D546">
            <v>0</v>
          </cell>
          <cell r="E546">
            <v>0</v>
          </cell>
          <cell r="F546">
            <v>0</v>
          </cell>
          <cell r="G546">
            <v>0</v>
          </cell>
        </row>
        <row r="547">
          <cell r="A547" t="str">
            <v>23-01-01-0296</v>
          </cell>
          <cell r="B547">
            <v>0</v>
          </cell>
          <cell r="C547" t="str">
            <v xml:space="preserve">  KODWAVI COMPOSING CENTRE</v>
          </cell>
          <cell r="D547">
            <v>0</v>
          </cell>
          <cell r="E547">
            <v>0</v>
          </cell>
          <cell r="F547">
            <v>0</v>
          </cell>
          <cell r="G547">
            <v>0</v>
          </cell>
        </row>
        <row r="548">
          <cell r="A548" t="str">
            <v>23-01-01-0297</v>
          </cell>
          <cell r="B548">
            <v>0</v>
          </cell>
          <cell r="C548" t="str">
            <v xml:space="preserve">  ASMATULLAH PACKAGES (PLASTIC) FAISALAB</v>
          </cell>
          <cell r="D548">
            <v>0</v>
          </cell>
          <cell r="E548">
            <v>0</v>
          </cell>
          <cell r="F548">
            <v>0</v>
          </cell>
          <cell r="G548">
            <v>0</v>
          </cell>
        </row>
        <row r="549">
          <cell r="A549" t="str">
            <v>23-01-01-0298</v>
          </cell>
          <cell r="B549">
            <v>0</v>
          </cell>
          <cell r="C549" t="str">
            <v xml:space="preserve">  ALLAH RAKHA PACKAGES (PLASTIC) FSD</v>
          </cell>
          <cell r="D549">
            <v>0</v>
          </cell>
          <cell r="E549">
            <v>0</v>
          </cell>
          <cell r="F549">
            <v>0</v>
          </cell>
          <cell r="G549">
            <v>0</v>
          </cell>
        </row>
        <row r="550">
          <cell r="A550" t="str">
            <v>23-01-01-0299</v>
          </cell>
          <cell r="B550">
            <v>0</v>
          </cell>
          <cell r="C550" t="str">
            <v xml:space="preserve">  HAMALIA TRADERS</v>
          </cell>
          <cell r="D550">
            <v>0</v>
          </cell>
          <cell r="E550">
            <v>0</v>
          </cell>
          <cell r="F550">
            <v>0</v>
          </cell>
          <cell r="G550">
            <v>0</v>
          </cell>
        </row>
        <row r="551">
          <cell r="A551" t="str">
            <v>23-01-01-0300</v>
          </cell>
          <cell r="B551">
            <v>0</v>
          </cell>
          <cell r="C551" t="str">
            <v xml:space="preserve">  AIMTEK OFFICE EQUIPMENT PESHAWAR</v>
          </cell>
          <cell r="D551">
            <v>0</v>
          </cell>
          <cell r="E551">
            <v>0</v>
          </cell>
          <cell r="F551">
            <v>0</v>
          </cell>
          <cell r="G551">
            <v>0</v>
          </cell>
        </row>
        <row r="552">
          <cell r="A552" t="str">
            <v>23-01-01-0301</v>
          </cell>
          <cell r="B552">
            <v>0</v>
          </cell>
          <cell r="C552" t="str">
            <v xml:space="preserve">  MIRAB SHAH TIMBER TOPI</v>
          </cell>
          <cell r="D552">
            <v>0</v>
          </cell>
          <cell r="E552">
            <v>0</v>
          </cell>
          <cell r="F552">
            <v>0</v>
          </cell>
          <cell r="G552">
            <v>0</v>
          </cell>
        </row>
        <row r="553">
          <cell r="A553" t="str">
            <v>23-01-01-0302</v>
          </cell>
          <cell r="B553">
            <v>0</v>
          </cell>
          <cell r="C553" t="str">
            <v xml:space="preserve">  NATIONAL TEXTILE TRADERS</v>
          </cell>
          <cell r="D553">
            <v>0</v>
          </cell>
          <cell r="E553">
            <v>0</v>
          </cell>
          <cell r="F553">
            <v>0</v>
          </cell>
          <cell r="G553">
            <v>0</v>
          </cell>
        </row>
        <row r="554">
          <cell r="A554" t="str">
            <v>23-01-01-0303</v>
          </cell>
          <cell r="B554">
            <v>0</v>
          </cell>
          <cell r="C554" t="str">
            <v xml:space="preserve">  Y.J. REHMANI &amp; CO.</v>
          </cell>
          <cell r="D554">
            <v>0</v>
          </cell>
          <cell r="E554">
            <v>0</v>
          </cell>
          <cell r="F554">
            <v>0</v>
          </cell>
          <cell r="G554">
            <v>0</v>
          </cell>
        </row>
        <row r="555">
          <cell r="A555" t="str">
            <v>23-01-01-0304</v>
          </cell>
          <cell r="B555">
            <v>0</v>
          </cell>
          <cell r="C555" t="str">
            <v xml:space="preserve">  KEYLINE GRAPHIC</v>
          </cell>
          <cell r="D555">
            <v>0</v>
          </cell>
          <cell r="E555">
            <v>0</v>
          </cell>
          <cell r="F555">
            <v>0</v>
          </cell>
          <cell r="G555">
            <v>0</v>
          </cell>
        </row>
        <row r="556">
          <cell r="A556" t="str">
            <v>23-01-01-0305</v>
          </cell>
          <cell r="B556">
            <v>0</v>
          </cell>
          <cell r="C556" t="str">
            <v xml:space="preserve">  IQRA TRADERS</v>
          </cell>
          <cell r="D556">
            <v>0</v>
          </cell>
          <cell r="E556">
            <v>0</v>
          </cell>
          <cell r="F556">
            <v>0</v>
          </cell>
          <cell r="G556">
            <v>0</v>
          </cell>
        </row>
        <row r="557">
          <cell r="A557" t="str">
            <v>23-01-01-0306</v>
          </cell>
          <cell r="B557">
            <v>0</v>
          </cell>
          <cell r="C557" t="str">
            <v xml:space="preserve">  ADEEL INTERNATIONAL</v>
          </cell>
          <cell r="D557">
            <v>0</v>
          </cell>
          <cell r="E557">
            <v>0</v>
          </cell>
          <cell r="F557">
            <v>0</v>
          </cell>
          <cell r="G557">
            <v>0</v>
          </cell>
        </row>
        <row r="558">
          <cell r="A558" t="str">
            <v>23-01-01-0307</v>
          </cell>
          <cell r="B558">
            <v>0</v>
          </cell>
          <cell r="C558" t="str">
            <v xml:space="preserve">  STORE SUPPLY CO.</v>
          </cell>
          <cell r="D558">
            <v>0</v>
          </cell>
          <cell r="E558">
            <v>0</v>
          </cell>
          <cell r="F558">
            <v>0</v>
          </cell>
          <cell r="G558">
            <v>0</v>
          </cell>
        </row>
        <row r="559">
          <cell r="A559" t="str">
            <v>23-01-01-0308</v>
          </cell>
          <cell r="B559">
            <v>0</v>
          </cell>
          <cell r="C559" t="str">
            <v xml:space="preserve">  PEARL PLASTIC PRODUCTS</v>
          </cell>
          <cell r="D559">
            <v>0</v>
          </cell>
          <cell r="E559">
            <v>0</v>
          </cell>
          <cell r="F559">
            <v>0</v>
          </cell>
          <cell r="G559">
            <v>0</v>
          </cell>
        </row>
        <row r="560">
          <cell r="A560" t="str">
            <v>23-01-01-0309</v>
          </cell>
          <cell r="B560">
            <v>0</v>
          </cell>
          <cell r="C560" t="str">
            <v xml:space="preserve">  RAUF ELECTRONIC EQUIPMENT SERVICE</v>
          </cell>
          <cell r="D560">
            <v>0</v>
          </cell>
          <cell r="E560">
            <v>5245</v>
          </cell>
          <cell r="F560">
            <v>0</v>
          </cell>
          <cell r="G560">
            <v>0</v>
          </cell>
        </row>
        <row r="561">
          <cell r="A561" t="str">
            <v>23-01-01-0310</v>
          </cell>
          <cell r="B561">
            <v>0</v>
          </cell>
          <cell r="C561" t="str">
            <v xml:space="preserve">  NAZER &amp; CO. KARACHI</v>
          </cell>
          <cell r="D561">
            <v>0</v>
          </cell>
          <cell r="E561">
            <v>9785</v>
          </cell>
          <cell r="F561">
            <v>0</v>
          </cell>
          <cell r="G561">
            <v>0</v>
          </cell>
        </row>
        <row r="562">
          <cell r="A562" t="str">
            <v>23-01-01-0311</v>
          </cell>
          <cell r="B562">
            <v>0</v>
          </cell>
          <cell r="C562" t="str">
            <v xml:space="preserve">  KODWAVI COPIER &amp; PRINTERS</v>
          </cell>
          <cell r="D562">
            <v>0</v>
          </cell>
          <cell r="E562">
            <v>0</v>
          </cell>
          <cell r="F562">
            <v>0</v>
          </cell>
          <cell r="G562">
            <v>0</v>
          </cell>
        </row>
        <row r="563">
          <cell r="A563" t="str">
            <v>23-01-01-0312</v>
          </cell>
          <cell r="B563">
            <v>0</v>
          </cell>
          <cell r="C563" t="str">
            <v xml:space="preserve">  S.A. SHAHZAD ENGINEERING CORPORATION</v>
          </cell>
          <cell r="D563">
            <v>0</v>
          </cell>
          <cell r="E563">
            <v>0</v>
          </cell>
          <cell r="F563">
            <v>0</v>
          </cell>
          <cell r="G563">
            <v>0</v>
          </cell>
        </row>
        <row r="564">
          <cell r="A564" t="str">
            <v>23-01-01-0313</v>
          </cell>
          <cell r="B564">
            <v>0</v>
          </cell>
          <cell r="C564" t="str">
            <v xml:space="preserve">  AYUB TRADERS, KARACHI</v>
          </cell>
          <cell r="D564">
            <v>0</v>
          </cell>
          <cell r="E564">
            <v>0</v>
          </cell>
          <cell r="F564">
            <v>0</v>
          </cell>
          <cell r="G564">
            <v>0</v>
          </cell>
        </row>
        <row r="565">
          <cell r="A565" t="str">
            <v>23-01-01-0314</v>
          </cell>
          <cell r="B565">
            <v>0</v>
          </cell>
          <cell r="C565" t="str">
            <v xml:space="preserve">  JAWED MILL STORE, KARACHI</v>
          </cell>
          <cell r="D565">
            <v>0</v>
          </cell>
          <cell r="E565">
            <v>0</v>
          </cell>
          <cell r="F565">
            <v>0</v>
          </cell>
          <cell r="G565">
            <v>0</v>
          </cell>
        </row>
        <row r="566">
          <cell r="A566" t="str">
            <v>23-01-01-0315</v>
          </cell>
          <cell r="B566">
            <v>0</v>
          </cell>
          <cell r="C566" t="str">
            <v xml:space="preserve">  MUHAMMAD SIDDIQUE PLASTIC</v>
          </cell>
          <cell r="D566">
            <v>0</v>
          </cell>
          <cell r="E566">
            <v>0</v>
          </cell>
          <cell r="F566">
            <v>0</v>
          </cell>
          <cell r="G566">
            <v>0</v>
          </cell>
        </row>
        <row r="567">
          <cell r="A567" t="str">
            <v>23-01-01-0316</v>
          </cell>
          <cell r="B567">
            <v>0</v>
          </cell>
          <cell r="C567" t="str">
            <v xml:space="preserve">  MUHAMMAD MUNIR, FAISALABAD</v>
          </cell>
          <cell r="D567">
            <v>0</v>
          </cell>
          <cell r="E567">
            <v>0</v>
          </cell>
          <cell r="F567">
            <v>0</v>
          </cell>
          <cell r="G567">
            <v>0</v>
          </cell>
        </row>
        <row r="568">
          <cell r="A568" t="str">
            <v>23-01-01-0317</v>
          </cell>
          <cell r="B568">
            <v>0</v>
          </cell>
          <cell r="C568" t="str">
            <v xml:space="preserve">  ANWAR PLASTIC, KARACHI</v>
          </cell>
          <cell r="D568">
            <v>0</v>
          </cell>
          <cell r="E568">
            <v>0</v>
          </cell>
          <cell r="F568">
            <v>0</v>
          </cell>
          <cell r="G568">
            <v>0</v>
          </cell>
        </row>
        <row r="569">
          <cell r="A569" t="str">
            <v>23-01-01-0318</v>
          </cell>
          <cell r="B569">
            <v>0</v>
          </cell>
          <cell r="C569" t="str">
            <v xml:space="preserve">  MOID &amp; COMPANY, KARACHI</v>
          </cell>
          <cell r="D569">
            <v>0</v>
          </cell>
          <cell r="E569">
            <v>0</v>
          </cell>
          <cell r="F569">
            <v>0</v>
          </cell>
          <cell r="G569">
            <v>0</v>
          </cell>
        </row>
        <row r="570">
          <cell r="A570" t="str">
            <v>23-01-01-0319</v>
          </cell>
          <cell r="B570">
            <v>0</v>
          </cell>
          <cell r="C570" t="str">
            <v xml:space="preserve">  GOLDEN PALSTIC COMPANY, KARACHI</v>
          </cell>
          <cell r="D570">
            <v>0</v>
          </cell>
          <cell r="E570">
            <v>0</v>
          </cell>
          <cell r="F570">
            <v>0</v>
          </cell>
          <cell r="G570">
            <v>0</v>
          </cell>
        </row>
        <row r="571">
          <cell r="A571" t="str">
            <v>23-01-01-0320</v>
          </cell>
          <cell r="B571">
            <v>0</v>
          </cell>
          <cell r="C571" t="str">
            <v xml:space="preserve">  GENERAL SUPPLY COMPANY, KARACHI</v>
          </cell>
          <cell r="D571">
            <v>0</v>
          </cell>
          <cell r="E571">
            <v>0</v>
          </cell>
          <cell r="F571">
            <v>0</v>
          </cell>
          <cell r="G571">
            <v>0</v>
          </cell>
        </row>
        <row r="572">
          <cell r="A572" t="str">
            <v>23-01-01-0321</v>
          </cell>
          <cell r="B572">
            <v>0</v>
          </cell>
          <cell r="C572" t="str">
            <v xml:space="preserve">  NIDA PLASTIC COMPANY, KARACHI</v>
          </cell>
          <cell r="D572">
            <v>0</v>
          </cell>
          <cell r="E572">
            <v>0</v>
          </cell>
          <cell r="F572">
            <v>0</v>
          </cell>
          <cell r="G572">
            <v>0</v>
          </cell>
        </row>
        <row r="573">
          <cell r="A573" t="str">
            <v>23-01-01-0322</v>
          </cell>
          <cell r="B573">
            <v>0</v>
          </cell>
          <cell r="C573" t="str">
            <v xml:space="preserve">  MOONLIGHT TRADING COMPANY, KARACHI</v>
          </cell>
          <cell r="D573">
            <v>0</v>
          </cell>
          <cell r="E573">
            <v>0</v>
          </cell>
          <cell r="F573">
            <v>0</v>
          </cell>
          <cell r="G573">
            <v>0</v>
          </cell>
        </row>
        <row r="574">
          <cell r="A574" t="str">
            <v>23-01-01-0323</v>
          </cell>
          <cell r="B574">
            <v>0</v>
          </cell>
          <cell r="C574" t="str">
            <v xml:space="preserve">  FAHAD PACKING KARACHI</v>
          </cell>
          <cell r="D574">
            <v>0</v>
          </cell>
          <cell r="E574">
            <v>0</v>
          </cell>
          <cell r="F574">
            <v>0</v>
          </cell>
          <cell r="G574">
            <v>0</v>
          </cell>
        </row>
        <row r="575">
          <cell r="A575" t="str">
            <v>23-01-01-0324</v>
          </cell>
          <cell r="B575">
            <v>0</v>
          </cell>
          <cell r="C575" t="str">
            <v xml:space="preserve">  ORIENT PLASTIC KARACHI</v>
          </cell>
          <cell r="D575">
            <v>0</v>
          </cell>
          <cell r="E575">
            <v>0</v>
          </cell>
          <cell r="F575">
            <v>0</v>
          </cell>
          <cell r="G575">
            <v>0</v>
          </cell>
        </row>
        <row r="576">
          <cell r="A576" t="str">
            <v>23-01-01-0325</v>
          </cell>
          <cell r="B576">
            <v>0</v>
          </cell>
          <cell r="C576" t="str">
            <v xml:space="preserve">  QADDARI MILL STORE</v>
          </cell>
          <cell r="D576">
            <v>0</v>
          </cell>
          <cell r="E576">
            <v>0</v>
          </cell>
          <cell r="F576">
            <v>0</v>
          </cell>
          <cell r="G576">
            <v>0</v>
          </cell>
        </row>
        <row r="577">
          <cell r="A577" t="str">
            <v>23-01-01-0326</v>
          </cell>
          <cell r="B577">
            <v>0</v>
          </cell>
          <cell r="C577" t="str">
            <v xml:space="preserve">  MUHAMMAD AKBAR POLYMAKER, FAISALABAD</v>
          </cell>
          <cell r="D577">
            <v>0</v>
          </cell>
          <cell r="E577">
            <v>0</v>
          </cell>
          <cell r="F577">
            <v>0</v>
          </cell>
          <cell r="G577">
            <v>0</v>
          </cell>
        </row>
        <row r="578">
          <cell r="A578" t="str">
            <v>23-01-01-0327</v>
          </cell>
          <cell r="B578">
            <v>0</v>
          </cell>
          <cell r="C578" t="str">
            <v xml:space="preserve">  J.S. CORPORATION, KARACHI</v>
          </cell>
          <cell r="D578">
            <v>0</v>
          </cell>
          <cell r="E578">
            <v>0</v>
          </cell>
          <cell r="F578">
            <v>0</v>
          </cell>
          <cell r="G578">
            <v>0</v>
          </cell>
        </row>
        <row r="579">
          <cell r="A579" t="str">
            <v>23-01-01-0328</v>
          </cell>
          <cell r="B579">
            <v>0</v>
          </cell>
          <cell r="C579" t="str">
            <v xml:space="preserve">  SHAMA CORPORATION, KARACHI</v>
          </cell>
          <cell r="D579">
            <v>0</v>
          </cell>
          <cell r="E579">
            <v>0</v>
          </cell>
          <cell r="F579">
            <v>0</v>
          </cell>
          <cell r="G579">
            <v>0</v>
          </cell>
        </row>
        <row r="580">
          <cell r="A580" t="str">
            <v>23-01-01-0329</v>
          </cell>
          <cell r="B580">
            <v>0</v>
          </cell>
          <cell r="C580" t="str">
            <v xml:space="preserve">  NAEEM BROTHERS, KARACHI</v>
          </cell>
          <cell r="D580">
            <v>0</v>
          </cell>
          <cell r="E580">
            <v>0</v>
          </cell>
          <cell r="F580">
            <v>0</v>
          </cell>
          <cell r="G580">
            <v>0</v>
          </cell>
        </row>
        <row r="581">
          <cell r="A581" t="str">
            <v>23-01-01-0330</v>
          </cell>
          <cell r="B581">
            <v>0</v>
          </cell>
          <cell r="C581" t="str">
            <v xml:space="preserve">  AYOOB &amp; AYOOB TRADING CO.</v>
          </cell>
          <cell r="D581">
            <v>0</v>
          </cell>
          <cell r="E581">
            <v>0</v>
          </cell>
          <cell r="F581">
            <v>0</v>
          </cell>
          <cell r="G581">
            <v>0</v>
          </cell>
        </row>
        <row r="582">
          <cell r="A582" t="str">
            <v>23-01-01-0331</v>
          </cell>
          <cell r="B582">
            <v>0</v>
          </cell>
          <cell r="C582" t="str">
            <v xml:space="preserve">  PARAMOUNT STATIONERS</v>
          </cell>
          <cell r="D582">
            <v>0</v>
          </cell>
          <cell r="E582">
            <v>0</v>
          </cell>
          <cell r="F582">
            <v>0</v>
          </cell>
          <cell r="G582">
            <v>0</v>
          </cell>
        </row>
        <row r="583">
          <cell r="A583" t="str">
            <v>23-01-01-0332</v>
          </cell>
          <cell r="B583">
            <v>0</v>
          </cell>
          <cell r="C583" t="str">
            <v xml:space="preserve">  MUGHAL ENGINEERING WORKS</v>
          </cell>
          <cell r="D583">
            <v>0</v>
          </cell>
          <cell r="E583">
            <v>0</v>
          </cell>
          <cell r="F583">
            <v>0</v>
          </cell>
          <cell r="G583">
            <v>0</v>
          </cell>
        </row>
        <row r="584">
          <cell r="A584" t="str">
            <v>23-01-01-0333</v>
          </cell>
          <cell r="B584">
            <v>0</v>
          </cell>
          <cell r="C584" t="str">
            <v xml:space="preserve">  JAFFAR &amp; ASIF COMPANY, KARACHI</v>
          </cell>
          <cell r="D584">
            <v>0</v>
          </cell>
          <cell r="E584">
            <v>0</v>
          </cell>
          <cell r="F584">
            <v>0</v>
          </cell>
          <cell r="G584">
            <v>0</v>
          </cell>
        </row>
        <row r="585">
          <cell r="A585" t="str">
            <v>23-01-01-0334</v>
          </cell>
          <cell r="B585">
            <v>0</v>
          </cell>
          <cell r="C585" t="str">
            <v xml:space="preserve">  JAVID FEROZ, KARACHI</v>
          </cell>
          <cell r="D585">
            <v>0</v>
          </cell>
          <cell r="E585">
            <v>0</v>
          </cell>
          <cell r="F585">
            <v>0</v>
          </cell>
          <cell r="G585">
            <v>0</v>
          </cell>
        </row>
        <row r="586">
          <cell r="A586" t="str">
            <v>23-01-01-0335</v>
          </cell>
          <cell r="B586">
            <v>0</v>
          </cell>
          <cell r="C586" t="str">
            <v xml:space="preserve">  IQBAL SONS, KARACHI</v>
          </cell>
          <cell r="D586">
            <v>0</v>
          </cell>
          <cell r="E586">
            <v>0</v>
          </cell>
          <cell r="F586">
            <v>0</v>
          </cell>
          <cell r="G586">
            <v>0</v>
          </cell>
        </row>
        <row r="587">
          <cell r="A587" t="str">
            <v>23-01-01-0336</v>
          </cell>
          <cell r="B587">
            <v>0</v>
          </cell>
          <cell r="C587" t="str">
            <v xml:space="preserve">  ALMAS ENTERPRISES, KARACHI</v>
          </cell>
          <cell r="D587">
            <v>0</v>
          </cell>
          <cell r="E587">
            <v>0</v>
          </cell>
          <cell r="F587">
            <v>0</v>
          </cell>
          <cell r="G587">
            <v>0</v>
          </cell>
        </row>
        <row r="588">
          <cell r="A588" t="str">
            <v>23-01-01-0337</v>
          </cell>
          <cell r="B588">
            <v>0</v>
          </cell>
          <cell r="C588" t="str">
            <v xml:space="preserve">  AQIL ENTERPRISES, KARACHI</v>
          </cell>
          <cell r="D588">
            <v>0</v>
          </cell>
          <cell r="E588">
            <v>0</v>
          </cell>
          <cell r="F588">
            <v>0</v>
          </cell>
          <cell r="G588">
            <v>0</v>
          </cell>
        </row>
        <row r="589">
          <cell r="A589" t="str">
            <v>23-01-01-0338</v>
          </cell>
          <cell r="B589">
            <v>0</v>
          </cell>
          <cell r="C589" t="str">
            <v xml:space="preserve">  SITARA PLASTIC COMPANY, KARACHI</v>
          </cell>
          <cell r="D589">
            <v>0</v>
          </cell>
          <cell r="E589">
            <v>0</v>
          </cell>
          <cell r="F589">
            <v>0</v>
          </cell>
          <cell r="G589">
            <v>0</v>
          </cell>
        </row>
        <row r="590">
          <cell r="A590" t="str">
            <v>23-01-01-0339</v>
          </cell>
          <cell r="B590">
            <v>0</v>
          </cell>
          <cell r="C590" t="str">
            <v xml:space="preserve">  INTERNATIONAL MACHINERY, KARACHI</v>
          </cell>
          <cell r="D590">
            <v>0</v>
          </cell>
          <cell r="E590">
            <v>0</v>
          </cell>
          <cell r="F590">
            <v>0</v>
          </cell>
          <cell r="G590">
            <v>0</v>
          </cell>
        </row>
        <row r="591">
          <cell r="A591" t="str">
            <v>23-01-01-0340</v>
          </cell>
          <cell r="B591">
            <v>0</v>
          </cell>
          <cell r="C591" t="str">
            <v xml:space="preserve">  BOLAN MACHINERY CORPORATION, KARACHI</v>
          </cell>
          <cell r="D591">
            <v>0</v>
          </cell>
          <cell r="E591">
            <v>0</v>
          </cell>
          <cell r="F591">
            <v>0</v>
          </cell>
          <cell r="G591">
            <v>0</v>
          </cell>
        </row>
        <row r="592">
          <cell r="A592" t="str">
            <v>23-01-01-0341</v>
          </cell>
          <cell r="B592">
            <v>0</v>
          </cell>
          <cell r="C592" t="str">
            <v xml:space="preserve">  SHALIMAR MACHINERY STORE</v>
          </cell>
          <cell r="D592">
            <v>0</v>
          </cell>
          <cell r="E592">
            <v>0</v>
          </cell>
          <cell r="F592">
            <v>0</v>
          </cell>
          <cell r="G592">
            <v>0</v>
          </cell>
        </row>
        <row r="593">
          <cell r="A593" t="str">
            <v>23-01-01-0342</v>
          </cell>
          <cell r="B593">
            <v>0</v>
          </cell>
          <cell r="C593" t="str">
            <v xml:space="preserve">  TAHIR CORPORATION, KARACHI</v>
          </cell>
          <cell r="D593">
            <v>0</v>
          </cell>
          <cell r="E593">
            <v>0</v>
          </cell>
          <cell r="F593">
            <v>0</v>
          </cell>
          <cell r="G593">
            <v>0</v>
          </cell>
        </row>
        <row r="594">
          <cell r="A594" t="str">
            <v>23-01-01-0343</v>
          </cell>
          <cell r="B594">
            <v>0</v>
          </cell>
          <cell r="C594" t="str">
            <v xml:space="preserve">  AFTAB TRADING COMPANY, KARACHI</v>
          </cell>
          <cell r="D594">
            <v>0</v>
          </cell>
          <cell r="E594">
            <v>0</v>
          </cell>
          <cell r="F594">
            <v>0</v>
          </cell>
          <cell r="G594">
            <v>0</v>
          </cell>
        </row>
        <row r="595">
          <cell r="A595" t="str">
            <v>23-01-01-0344</v>
          </cell>
          <cell r="B595">
            <v>0</v>
          </cell>
          <cell r="C595" t="str">
            <v xml:space="preserve">  TAYYAB MILL STORE, KARACHI</v>
          </cell>
          <cell r="D595">
            <v>0</v>
          </cell>
          <cell r="E595">
            <v>0</v>
          </cell>
          <cell r="F595">
            <v>0</v>
          </cell>
          <cell r="G595">
            <v>0</v>
          </cell>
        </row>
        <row r="596">
          <cell r="A596" t="str">
            <v>23-01-01-0345</v>
          </cell>
          <cell r="B596">
            <v>0</v>
          </cell>
          <cell r="C596" t="str">
            <v xml:space="preserve">  HAJI ABDUL HALEEM TOPI</v>
          </cell>
          <cell r="D596">
            <v>0</v>
          </cell>
          <cell r="E596">
            <v>0</v>
          </cell>
          <cell r="F596">
            <v>0</v>
          </cell>
          <cell r="G596">
            <v>0</v>
          </cell>
        </row>
        <row r="597">
          <cell r="A597" t="str">
            <v>23-01-01-0346</v>
          </cell>
          <cell r="B597">
            <v>0</v>
          </cell>
          <cell r="C597" t="str">
            <v xml:space="preserve">  GOODLUCK FRIENDS ENGINEERING WORKS</v>
          </cell>
          <cell r="D597">
            <v>0</v>
          </cell>
          <cell r="E597">
            <v>0</v>
          </cell>
          <cell r="F597">
            <v>0</v>
          </cell>
          <cell r="G597">
            <v>0</v>
          </cell>
        </row>
        <row r="598">
          <cell r="A598" t="str">
            <v>23-01-01-0347</v>
          </cell>
          <cell r="B598">
            <v>0</v>
          </cell>
          <cell r="C598" t="str">
            <v xml:space="preserve">  FAZAL KARIM, FAISALABAD</v>
          </cell>
          <cell r="D598">
            <v>0</v>
          </cell>
          <cell r="E598">
            <v>0</v>
          </cell>
          <cell r="F598">
            <v>0</v>
          </cell>
          <cell r="G598">
            <v>0</v>
          </cell>
        </row>
        <row r="599">
          <cell r="A599" t="str">
            <v>23-01-01-0348</v>
          </cell>
          <cell r="B599">
            <v>0</v>
          </cell>
          <cell r="C599" t="str">
            <v xml:space="preserve">  ARIF ALI, FAISALABAD</v>
          </cell>
          <cell r="D599">
            <v>0</v>
          </cell>
          <cell r="E599">
            <v>0</v>
          </cell>
          <cell r="F599">
            <v>0</v>
          </cell>
          <cell r="G599">
            <v>0</v>
          </cell>
        </row>
        <row r="600">
          <cell r="A600" t="str">
            <v>23-01-01-0349</v>
          </cell>
          <cell r="B600">
            <v>0</v>
          </cell>
          <cell r="C600" t="str">
            <v xml:space="preserve">  LIAQUAT ALI, FAISALABAD</v>
          </cell>
          <cell r="D600">
            <v>0</v>
          </cell>
          <cell r="E600">
            <v>0</v>
          </cell>
          <cell r="F600">
            <v>0</v>
          </cell>
          <cell r="G600">
            <v>0</v>
          </cell>
        </row>
        <row r="601">
          <cell r="A601" t="str">
            <v>23-01-01-0350</v>
          </cell>
          <cell r="B601">
            <v>0</v>
          </cell>
          <cell r="C601" t="str">
            <v xml:space="preserve">  FAZAL QADEER, TOPI</v>
          </cell>
          <cell r="D601">
            <v>0</v>
          </cell>
          <cell r="E601">
            <v>0</v>
          </cell>
          <cell r="F601">
            <v>0</v>
          </cell>
          <cell r="G601">
            <v>0</v>
          </cell>
        </row>
        <row r="602">
          <cell r="A602" t="str">
            <v>23-01-01-0351</v>
          </cell>
          <cell r="B602">
            <v>0</v>
          </cell>
          <cell r="C602" t="str">
            <v xml:space="preserve">  BUSINESS SYSTEMS &amp; SUPPLIES</v>
          </cell>
          <cell r="D602">
            <v>0</v>
          </cell>
          <cell r="E602">
            <v>0</v>
          </cell>
          <cell r="F602">
            <v>0</v>
          </cell>
          <cell r="G602">
            <v>0</v>
          </cell>
        </row>
        <row r="603">
          <cell r="A603" t="str">
            <v>23-01-01-0352</v>
          </cell>
          <cell r="B603">
            <v>0</v>
          </cell>
          <cell r="C603" t="str">
            <v xml:space="preserve">  YOUSUFZAI (P) CONST. &amp; MATERIAL SUPPLI</v>
          </cell>
          <cell r="D603">
            <v>0</v>
          </cell>
          <cell r="E603">
            <v>0</v>
          </cell>
          <cell r="F603">
            <v>0</v>
          </cell>
          <cell r="G603">
            <v>0</v>
          </cell>
        </row>
        <row r="604">
          <cell r="A604" t="str">
            <v>23-01-01-0353</v>
          </cell>
          <cell r="B604">
            <v>0</v>
          </cell>
          <cell r="C604" t="str">
            <v xml:space="preserve">  D.A. TRADERS, KARACHI</v>
          </cell>
          <cell r="D604">
            <v>0</v>
          </cell>
          <cell r="E604">
            <v>0</v>
          </cell>
          <cell r="F604">
            <v>0</v>
          </cell>
          <cell r="G604">
            <v>0</v>
          </cell>
        </row>
        <row r="605">
          <cell r="A605" t="str">
            <v>23-01-01-0354</v>
          </cell>
          <cell r="B605">
            <v>0</v>
          </cell>
          <cell r="C605" t="str">
            <v xml:space="preserve">  SUFI SONS, KARACHI</v>
          </cell>
          <cell r="D605">
            <v>0</v>
          </cell>
          <cell r="E605">
            <v>0</v>
          </cell>
          <cell r="F605">
            <v>0</v>
          </cell>
          <cell r="G605">
            <v>0</v>
          </cell>
        </row>
        <row r="606">
          <cell r="A606" t="str">
            <v>23-01-01-0355</v>
          </cell>
          <cell r="B606">
            <v>0</v>
          </cell>
          <cell r="C606" t="str">
            <v xml:space="preserve">  UNITED PLASTIC, KARACHI</v>
          </cell>
          <cell r="D606">
            <v>0</v>
          </cell>
          <cell r="E606">
            <v>0</v>
          </cell>
          <cell r="F606">
            <v>0</v>
          </cell>
          <cell r="G606">
            <v>0</v>
          </cell>
        </row>
        <row r="607">
          <cell r="A607" t="str">
            <v>23-01-01-0356</v>
          </cell>
          <cell r="B607">
            <v>0</v>
          </cell>
          <cell r="C607" t="str">
            <v xml:space="preserve">  KHURRAM ENTERPRISES, LAHORE</v>
          </cell>
          <cell r="D607">
            <v>0</v>
          </cell>
          <cell r="E607">
            <v>0</v>
          </cell>
          <cell r="F607">
            <v>0</v>
          </cell>
          <cell r="G607">
            <v>0</v>
          </cell>
        </row>
        <row r="608">
          <cell r="A608" t="str">
            <v>23-01-01-0357</v>
          </cell>
          <cell r="B608">
            <v>0</v>
          </cell>
          <cell r="C608" t="str">
            <v xml:space="preserve">  A.W. ENTERPRISES, FAISALABAD</v>
          </cell>
          <cell r="D608">
            <v>0</v>
          </cell>
          <cell r="E608">
            <v>0</v>
          </cell>
          <cell r="F608">
            <v>0</v>
          </cell>
          <cell r="G608">
            <v>0</v>
          </cell>
        </row>
        <row r="609">
          <cell r="A609" t="str">
            <v>23-01-01-0358</v>
          </cell>
          <cell r="B609">
            <v>0</v>
          </cell>
          <cell r="C609" t="str">
            <v xml:space="preserve">  ARSHI COMPUTER</v>
          </cell>
          <cell r="D609">
            <v>0</v>
          </cell>
          <cell r="E609">
            <v>0</v>
          </cell>
          <cell r="F609">
            <v>0</v>
          </cell>
          <cell r="G609">
            <v>0</v>
          </cell>
        </row>
        <row r="610">
          <cell r="A610" t="str">
            <v>23-01-01-0359</v>
          </cell>
          <cell r="B610">
            <v>0</v>
          </cell>
          <cell r="C610" t="str">
            <v xml:space="preserve">  MICROTECH SYSTEMS</v>
          </cell>
          <cell r="D610">
            <v>0</v>
          </cell>
          <cell r="E610">
            <v>0</v>
          </cell>
          <cell r="F610">
            <v>0</v>
          </cell>
          <cell r="G610">
            <v>0</v>
          </cell>
        </row>
        <row r="611">
          <cell r="A611" t="str">
            <v>23-01-01-0360</v>
          </cell>
          <cell r="B611">
            <v>0</v>
          </cell>
          <cell r="C611" t="str">
            <v xml:space="preserve">  COMMODITY SERVICE AGENCY</v>
          </cell>
          <cell r="D611">
            <v>0</v>
          </cell>
          <cell r="E611">
            <v>0</v>
          </cell>
          <cell r="F611">
            <v>0</v>
          </cell>
          <cell r="G611">
            <v>0</v>
          </cell>
        </row>
        <row r="612">
          <cell r="A612" t="str">
            <v>23-01-01-0361</v>
          </cell>
          <cell r="B612">
            <v>0</v>
          </cell>
          <cell r="C612" t="str">
            <v xml:space="preserve">  ZULFIQAR BOOK, DEPOT</v>
          </cell>
          <cell r="D612">
            <v>0</v>
          </cell>
          <cell r="E612">
            <v>0</v>
          </cell>
          <cell r="F612">
            <v>0</v>
          </cell>
          <cell r="G612">
            <v>0</v>
          </cell>
        </row>
        <row r="613">
          <cell r="A613" t="str">
            <v>23-01-01-0362</v>
          </cell>
          <cell r="B613">
            <v>0</v>
          </cell>
          <cell r="C613" t="str">
            <v xml:space="preserve">  ASMA TRADING CO.</v>
          </cell>
          <cell r="D613">
            <v>0</v>
          </cell>
          <cell r="E613">
            <v>0</v>
          </cell>
          <cell r="F613">
            <v>0</v>
          </cell>
          <cell r="G613">
            <v>0</v>
          </cell>
        </row>
        <row r="614">
          <cell r="A614" t="str">
            <v>23-01-01-0363</v>
          </cell>
          <cell r="B614">
            <v>0</v>
          </cell>
          <cell r="C614" t="str">
            <v xml:space="preserve">  PREMIER INDUSTRIES</v>
          </cell>
          <cell r="D614">
            <v>0</v>
          </cell>
          <cell r="E614">
            <v>0</v>
          </cell>
          <cell r="F614">
            <v>0</v>
          </cell>
          <cell r="G614">
            <v>0</v>
          </cell>
        </row>
        <row r="615">
          <cell r="A615" t="str">
            <v>23-01-01-0364</v>
          </cell>
          <cell r="B615">
            <v>0</v>
          </cell>
          <cell r="C615" t="str">
            <v xml:space="preserve">  EVERSHINE TRADERS</v>
          </cell>
          <cell r="D615">
            <v>0</v>
          </cell>
          <cell r="E615">
            <v>0</v>
          </cell>
          <cell r="F615">
            <v>0</v>
          </cell>
          <cell r="G615">
            <v>0</v>
          </cell>
        </row>
        <row r="616">
          <cell r="A616" t="str">
            <v>23-01-01-0365</v>
          </cell>
          <cell r="B616">
            <v>0</v>
          </cell>
          <cell r="C616" t="str">
            <v xml:space="preserve">  INSAF KIRYANA STORE</v>
          </cell>
          <cell r="D616">
            <v>0</v>
          </cell>
          <cell r="E616">
            <v>0</v>
          </cell>
          <cell r="F616">
            <v>0</v>
          </cell>
          <cell r="G616">
            <v>0</v>
          </cell>
        </row>
        <row r="617">
          <cell r="A617" t="str">
            <v>23-01-01-0366</v>
          </cell>
          <cell r="B617">
            <v>0</v>
          </cell>
          <cell r="C617" t="str">
            <v xml:space="preserve">  MUHAMMAD AKRAM CONE STOPER WALE, FSD</v>
          </cell>
          <cell r="D617">
            <v>0</v>
          </cell>
          <cell r="E617">
            <v>0</v>
          </cell>
          <cell r="F617">
            <v>0</v>
          </cell>
          <cell r="G617">
            <v>0</v>
          </cell>
        </row>
        <row r="618">
          <cell r="A618" t="str">
            <v>23-01-01-0367</v>
          </cell>
          <cell r="B618">
            <v>0</v>
          </cell>
          <cell r="C618" t="str">
            <v xml:space="preserve">  MUHAMMAD ASLAM PLASTIC FAISALABAD</v>
          </cell>
          <cell r="D618">
            <v>0</v>
          </cell>
          <cell r="E618">
            <v>0</v>
          </cell>
          <cell r="F618">
            <v>0</v>
          </cell>
          <cell r="G618">
            <v>0</v>
          </cell>
        </row>
        <row r="619">
          <cell r="A619" t="str">
            <v>23-01-01-0368</v>
          </cell>
          <cell r="B619">
            <v>0</v>
          </cell>
          <cell r="C619" t="str">
            <v xml:space="preserve">  ABDUL GHAFOOR PLASTIC PACKING, FSD</v>
          </cell>
          <cell r="D619">
            <v>0</v>
          </cell>
          <cell r="E619">
            <v>0</v>
          </cell>
          <cell r="F619">
            <v>0</v>
          </cell>
          <cell r="G619">
            <v>0</v>
          </cell>
        </row>
        <row r="620">
          <cell r="A620" t="str">
            <v>23-01-01-0369</v>
          </cell>
          <cell r="B620">
            <v>0</v>
          </cell>
          <cell r="C620" t="str">
            <v xml:space="preserve">  HALIMA MILL STORE, LAHORE</v>
          </cell>
          <cell r="D620">
            <v>0</v>
          </cell>
          <cell r="E620">
            <v>0</v>
          </cell>
          <cell r="F620">
            <v>0</v>
          </cell>
          <cell r="G620">
            <v>0</v>
          </cell>
        </row>
        <row r="621">
          <cell r="A621" t="str">
            <v>23-01-01-0370</v>
          </cell>
          <cell r="B621">
            <v>0</v>
          </cell>
          <cell r="C621" t="str">
            <v xml:space="preserve">  JEENE DO ENTERPRISE, LAHORE</v>
          </cell>
          <cell r="D621">
            <v>0</v>
          </cell>
          <cell r="E621">
            <v>0</v>
          </cell>
          <cell r="F621">
            <v>0</v>
          </cell>
          <cell r="G621">
            <v>0</v>
          </cell>
        </row>
        <row r="622">
          <cell r="A622" t="str">
            <v>23-01-01-0371</v>
          </cell>
          <cell r="B622">
            <v>0</v>
          </cell>
          <cell r="C622" t="str">
            <v xml:space="preserve">  RABIA ENTERPRISES, LAHORE</v>
          </cell>
          <cell r="D622">
            <v>0</v>
          </cell>
          <cell r="E622">
            <v>0</v>
          </cell>
          <cell r="F622">
            <v>0</v>
          </cell>
          <cell r="G622">
            <v>0</v>
          </cell>
        </row>
        <row r="623">
          <cell r="A623" t="str">
            <v>23-01-01-0372</v>
          </cell>
          <cell r="B623">
            <v>0</v>
          </cell>
          <cell r="C623" t="str">
            <v xml:space="preserve">  JAFOM ENTERPRISES, LAHORE</v>
          </cell>
          <cell r="D623">
            <v>0</v>
          </cell>
          <cell r="E623">
            <v>0</v>
          </cell>
          <cell r="F623">
            <v>0</v>
          </cell>
          <cell r="G623">
            <v>0</v>
          </cell>
        </row>
        <row r="624">
          <cell r="A624" t="str">
            <v>23-01-01-0373</v>
          </cell>
          <cell r="B624">
            <v>0</v>
          </cell>
          <cell r="C624" t="str">
            <v xml:space="preserve">  ALI ENTERPRISES, LAHORE</v>
          </cell>
          <cell r="D624">
            <v>0</v>
          </cell>
          <cell r="E624">
            <v>0</v>
          </cell>
          <cell r="F624">
            <v>0</v>
          </cell>
          <cell r="G624">
            <v>0</v>
          </cell>
        </row>
        <row r="625">
          <cell r="A625" t="str">
            <v>23-01-01-0374</v>
          </cell>
          <cell r="B625">
            <v>0</v>
          </cell>
          <cell r="C625" t="str">
            <v xml:space="preserve">  ELAHI ENTEPRISES, LAHORE</v>
          </cell>
          <cell r="D625">
            <v>0</v>
          </cell>
          <cell r="E625">
            <v>0</v>
          </cell>
          <cell r="F625">
            <v>0</v>
          </cell>
          <cell r="G625">
            <v>0</v>
          </cell>
        </row>
        <row r="626">
          <cell r="A626" t="str">
            <v>23-01-01-0375</v>
          </cell>
          <cell r="B626">
            <v>0</v>
          </cell>
          <cell r="C626" t="str">
            <v xml:space="preserve">  HIRA ENTERPRISES, LAHORE</v>
          </cell>
          <cell r="D626">
            <v>0</v>
          </cell>
          <cell r="E626">
            <v>0</v>
          </cell>
          <cell r="F626">
            <v>0</v>
          </cell>
          <cell r="G626">
            <v>0</v>
          </cell>
        </row>
        <row r="627">
          <cell r="A627" t="str">
            <v>23-01-01-0376</v>
          </cell>
          <cell r="B627">
            <v>0</v>
          </cell>
          <cell r="C627" t="str">
            <v xml:space="preserve">  UMER ENTERPRISES, LAHORE</v>
          </cell>
          <cell r="D627">
            <v>0</v>
          </cell>
          <cell r="E627">
            <v>0</v>
          </cell>
          <cell r="F627">
            <v>0</v>
          </cell>
          <cell r="G627">
            <v>0</v>
          </cell>
        </row>
        <row r="628">
          <cell r="A628" t="str">
            <v>23-01-01-0377</v>
          </cell>
          <cell r="B628">
            <v>0</v>
          </cell>
          <cell r="C628" t="str">
            <v xml:space="preserve">  EURO ENTERPRISES, LAHORE</v>
          </cell>
          <cell r="D628">
            <v>0</v>
          </cell>
          <cell r="E628">
            <v>0</v>
          </cell>
          <cell r="F628">
            <v>0</v>
          </cell>
          <cell r="G628">
            <v>0</v>
          </cell>
        </row>
        <row r="629">
          <cell r="A629" t="str">
            <v>23-01-01-0378</v>
          </cell>
          <cell r="B629">
            <v>0</v>
          </cell>
          <cell r="C629" t="str">
            <v xml:space="preserve">  BOLAN MILL STORE, LAHORE</v>
          </cell>
          <cell r="D629">
            <v>0</v>
          </cell>
          <cell r="E629">
            <v>0</v>
          </cell>
          <cell r="F629">
            <v>0</v>
          </cell>
          <cell r="G629">
            <v>0</v>
          </cell>
        </row>
        <row r="630">
          <cell r="A630" t="str">
            <v>23-01-01-0379</v>
          </cell>
          <cell r="B630">
            <v>0</v>
          </cell>
          <cell r="C630" t="str">
            <v xml:space="preserve">  GOLDEN PRINTING PRESS, PESHAWAR</v>
          </cell>
          <cell r="D630">
            <v>0</v>
          </cell>
          <cell r="E630">
            <v>0</v>
          </cell>
          <cell r="F630">
            <v>0</v>
          </cell>
          <cell r="G630">
            <v>0</v>
          </cell>
        </row>
        <row r="631">
          <cell r="A631" t="str">
            <v>23-01-01-0380</v>
          </cell>
          <cell r="B631">
            <v>0</v>
          </cell>
          <cell r="C631" t="str">
            <v xml:space="preserve">  SHARIF SONS PRINTERS, PESHAWAR</v>
          </cell>
          <cell r="D631">
            <v>0</v>
          </cell>
          <cell r="E631">
            <v>0</v>
          </cell>
          <cell r="F631">
            <v>0</v>
          </cell>
          <cell r="G631">
            <v>0</v>
          </cell>
        </row>
        <row r="632">
          <cell r="A632" t="str">
            <v>23-01-01-0381</v>
          </cell>
          <cell r="B632">
            <v>0</v>
          </cell>
          <cell r="C632" t="str">
            <v xml:space="preserve">  EMPIRE CARD COMPANY, LAHORE</v>
          </cell>
          <cell r="D632">
            <v>0</v>
          </cell>
          <cell r="E632">
            <v>0</v>
          </cell>
          <cell r="F632">
            <v>0</v>
          </cell>
          <cell r="G632">
            <v>0</v>
          </cell>
        </row>
        <row r="633">
          <cell r="A633" t="str">
            <v>23-01-01-0382</v>
          </cell>
          <cell r="B633">
            <v>0</v>
          </cell>
          <cell r="C633" t="str">
            <v xml:space="preserve">  M. KHALIL ENTERPRISES</v>
          </cell>
          <cell r="D633">
            <v>0</v>
          </cell>
          <cell r="E633">
            <v>0</v>
          </cell>
          <cell r="F633">
            <v>0</v>
          </cell>
          <cell r="G633">
            <v>0</v>
          </cell>
        </row>
        <row r="634">
          <cell r="A634" t="str">
            <v>23-01-01-0383</v>
          </cell>
          <cell r="B634">
            <v>0</v>
          </cell>
          <cell r="C634" t="str">
            <v xml:space="preserve">  TARIQ TRADERS, FAISALABAD</v>
          </cell>
          <cell r="D634">
            <v>0</v>
          </cell>
          <cell r="E634">
            <v>0</v>
          </cell>
          <cell r="F634">
            <v>0</v>
          </cell>
          <cell r="G634">
            <v>0</v>
          </cell>
        </row>
        <row r="635">
          <cell r="A635" t="str">
            <v>23-01-01-0384</v>
          </cell>
          <cell r="B635">
            <v>0</v>
          </cell>
          <cell r="C635" t="str">
            <v xml:space="preserve">  DIAMOND PLASTIC, KARACHI</v>
          </cell>
          <cell r="D635">
            <v>0</v>
          </cell>
          <cell r="E635">
            <v>0</v>
          </cell>
          <cell r="F635">
            <v>0</v>
          </cell>
          <cell r="G635">
            <v>0</v>
          </cell>
        </row>
        <row r="636">
          <cell r="A636" t="str">
            <v>23-01-01-0385</v>
          </cell>
          <cell r="B636">
            <v>0</v>
          </cell>
          <cell r="C636" t="str">
            <v xml:space="preserve">  ADEEL PACKAGES, LAHORE</v>
          </cell>
          <cell r="D636">
            <v>0</v>
          </cell>
          <cell r="E636">
            <v>0</v>
          </cell>
          <cell r="F636">
            <v>0</v>
          </cell>
          <cell r="G636">
            <v>0</v>
          </cell>
        </row>
        <row r="637">
          <cell r="A637" t="str">
            <v>23-01-01-0386</v>
          </cell>
          <cell r="B637">
            <v>0</v>
          </cell>
          <cell r="C637" t="str">
            <v xml:space="preserve">  WORLD TOP COMPUTERS</v>
          </cell>
          <cell r="D637">
            <v>0</v>
          </cell>
          <cell r="E637">
            <v>0</v>
          </cell>
          <cell r="F637">
            <v>0</v>
          </cell>
          <cell r="G637">
            <v>0</v>
          </cell>
        </row>
        <row r="638">
          <cell r="A638" t="str">
            <v>23-01-01-0387</v>
          </cell>
          <cell r="B638">
            <v>0</v>
          </cell>
          <cell r="C638" t="str">
            <v xml:space="preserve">  A. I. AND COMPANY KARACHI</v>
          </cell>
          <cell r="D638">
            <v>0</v>
          </cell>
          <cell r="E638">
            <v>0</v>
          </cell>
          <cell r="F638">
            <v>0</v>
          </cell>
          <cell r="G638">
            <v>0</v>
          </cell>
        </row>
        <row r="639">
          <cell r="A639" t="str">
            <v>23-01-01-0388</v>
          </cell>
          <cell r="B639">
            <v>0</v>
          </cell>
          <cell r="C639" t="str">
            <v xml:space="preserve">  YAQOOB HUSSAIN WASTE. FAISALABAD</v>
          </cell>
          <cell r="D639">
            <v>0</v>
          </cell>
          <cell r="E639">
            <v>0</v>
          </cell>
          <cell r="F639">
            <v>0</v>
          </cell>
          <cell r="G639">
            <v>0</v>
          </cell>
        </row>
        <row r="640">
          <cell r="A640" t="str">
            <v>23-01-01-0389</v>
          </cell>
          <cell r="B640">
            <v>0</v>
          </cell>
          <cell r="C640" t="str">
            <v xml:space="preserve">  TOUQEER HUSSAIN PLASTIC FAISALABAD</v>
          </cell>
          <cell r="D640">
            <v>0</v>
          </cell>
          <cell r="E640">
            <v>0</v>
          </cell>
          <cell r="F640">
            <v>0</v>
          </cell>
          <cell r="G640">
            <v>0</v>
          </cell>
        </row>
        <row r="641">
          <cell r="A641" t="str">
            <v>23-01-01-0390</v>
          </cell>
          <cell r="B641">
            <v>0</v>
          </cell>
          <cell r="C641" t="str">
            <v xml:space="preserve">  WAHEED HUSSAIN PAPER CONE FAISALABAD</v>
          </cell>
          <cell r="D641">
            <v>0</v>
          </cell>
          <cell r="E641">
            <v>0</v>
          </cell>
          <cell r="F641">
            <v>0</v>
          </cell>
          <cell r="G641">
            <v>0</v>
          </cell>
        </row>
        <row r="642">
          <cell r="A642" t="str">
            <v>23-01-01-0391</v>
          </cell>
          <cell r="B642">
            <v>0</v>
          </cell>
          <cell r="C642" t="str">
            <v xml:space="preserve">  I. P. TRADERS KARACHI.</v>
          </cell>
          <cell r="D642">
            <v>0</v>
          </cell>
          <cell r="E642">
            <v>0</v>
          </cell>
          <cell r="F642">
            <v>0</v>
          </cell>
          <cell r="G642">
            <v>0</v>
          </cell>
        </row>
        <row r="643">
          <cell r="A643" t="str">
            <v>23-01-01-0392</v>
          </cell>
          <cell r="B643">
            <v>0</v>
          </cell>
          <cell r="C643" t="str">
            <v xml:space="preserve">  KODWAVI PRINTERS</v>
          </cell>
          <cell r="D643">
            <v>0</v>
          </cell>
          <cell r="E643">
            <v>0</v>
          </cell>
          <cell r="F643">
            <v>0</v>
          </cell>
          <cell r="G643">
            <v>0</v>
          </cell>
        </row>
        <row r="644">
          <cell r="A644" t="str">
            <v>23-01-01-0393</v>
          </cell>
          <cell r="B644">
            <v>0</v>
          </cell>
          <cell r="C644" t="str">
            <v xml:space="preserve">  SADAAT OIL CORPORATION MULTAN</v>
          </cell>
          <cell r="D644">
            <v>0</v>
          </cell>
          <cell r="E644">
            <v>0</v>
          </cell>
          <cell r="F644">
            <v>0</v>
          </cell>
          <cell r="G644">
            <v>0</v>
          </cell>
        </row>
        <row r="645">
          <cell r="A645" t="str">
            <v>23-01-01-0394</v>
          </cell>
          <cell r="B645">
            <v>0</v>
          </cell>
          <cell r="C645" t="str">
            <v xml:space="preserve">  AWAL TRADING COMPANY, SWABI.</v>
          </cell>
          <cell r="D645">
            <v>0</v>
          </cell>
          <cell r="E645">
            <v>14100</v>
          </cell>
          <cell r="F645">
            <v>0</v>
          </cell>
          <cell r="G645">
            <v>0</v>
          </cell>
        </row>
        <row r="646">
          <cell r="A646" t="str">
            <v>23-01-01-0395</v>
          </cell>
          <cell r="B646">
            <v>0</v>
          </cell>
          <cell r="C646" t="str">
            <v xml:space="preserve">  HASHMI TRADERS PESHAWAR</v>
          </cell>
          <cell r="D646">
            <v>0</v>
          </cell>
          <cell r="E646">
            <v>0</v>
          </cell>
          <cell r="F646">
            <v>0</v>
          </cell>
          <cell r="G646">
            <v>0</v>
          </cell>
        </row>
        <row r="647">
          <cell r="A647" t="str">
            <v>23-01-01-0396</v>
          </cell>
          <cell r="B647">
            <v>0</v>
          </cell>
          <cell r="C647" t="str">
            <v xml:space="preserve">  ALLIED CORPORATION</v>
          </cell>
          <cell r="D647">
            <v>0</v>
          </cell>
          <cell r="E647">
            <v>0</v>
          </cell>
          <cell r="F647">
            <v>0</v>
          </cell>
          <cell r="G647">
            <v>0</v>
          </cell>
        </row>
        <row r="648">
          <cell r="A648" t="str">
            <v>23-01-01-0397</v>
          </cell>
          <cell r="B648">
            <v>0</v>
          </cell>
          <cell r="C648" t="str">
            <v xml:space="preserve">  BOOTI SONS</v>
          </cell>
          <cell r="D648">
            <v>0</v>
          </cell>
          <cell r="E648">
            <v>0</v>
          </cell>
          <cell r="F648">
            <v>0</v>
          </cell>
          <cell r="G648">
            <v>0</v>
          </cell>
        </row>
        <row r="649">
          <cell r="A649" t="str">
            <v>23-01-01-0398</v>
          </cell>
          <cell r="B649">
            <v>0</v>
          </cell>
          <cell r="C649" t="str">
            <v xml:space="preserve">  SHAFAQ PLASTIC KARACHI</v>
          </cell>
          <cell r="D649">
            <v>0</v>
          </cell>
          <cell r="E649">
            <v>0</v>
          </cell>
          <cell r="F649">
            <v>0</v>
          </cell>
          <cell r="G649">
            <v>0</v>
          </cell>
        </row>
        <row r="650">
          <cell r="A650" t="str">
            <v>23-01-01-0399</v>
          </cell>
          <cell r="B650">
            <v>0</v>
          </cell>
          <cell r="C650" t="str">
            <v xml:space="preserve">  HUMAYUN TRADING CO. KARACHI</v>
          </cell>
          <cell r="D650">
            <v>0</v>
          </cell>
          <cell r="E650">
            <v>0</v>
          </cell>
          <cell r="F650">
            <v>0</v>
          </cell>
          <cell r="G650">
            <v>0</v>
          </cell>
        </row>
        <row r="651">
          <cell r="A651" t="str">
            <v>23-01-01-0400</v>
          </cell>
          <cell r="B651">
            <v>0</v>
          </cell>
          <cell r="C651" t="str">
            <v xml:space="preserve">  TAWAKKAL SUPPLY CO. KARACHI</v>
          </cell>
          <cell r="D651">
            <v>0</v>
          </cell>
          <cell r="E651">
            <v>0</v>
          </cell>
          <cell r="F651">
            <v>0</v>
          </cell>
          <cell r="G651">
            <v>0</v>
          </cell>
        </row>
        <row r="652">
          <cell r="A652" t="str">
            <v>23-01-01-0401</v>
          </cell>
          <cell r="B652">
            <v>0</v>
          </cell>
          <cell r="C652" t="str">
            <v xml:space="preserve">  TANVIR PLASTIC KARACHI</v>
          </cell>
          <cell r="D652">
            <v>0</v>
          </cell>
          <cell r="E652">
            <v>0</v>
          </cell>
          <cell r="F652">
            <v>0</v>
          </cell>
          <cell r="G652">
            <v>0</v>
          </cell>
        </row>
        <row r="653">
          <cell r="A653" t="str">
            <v>23-01-01-0402</v>
          </cell>
          <cell r="B653">
            <v>0</v>
          </cell>
          <cell r="C653" t="str">
            <v xml:space="preserve">  ELLAHI TRADERS</v>
          </cell>
          <cell r="D653">
            <v>0</v>
          </cell>
          <cell r="E653">
            <v>0</v>
          </cell>
          <cell r="F653">
            <v>0</v>
          </cell>
          <cell r="G653">
            <v>0</v>
          </cell>
        </row>
        <row r="654">
          <cell r="A654" t="str">
            <v>23-01-01-0403</v>
          </cell>
          <cell r="B654">
            <v>0</v>
          </cell>
          <cell r="C654" t="str">
            <v xml:space="preserve">  S.S. TECHNICAL, RAWALPINDI.</v>
          </cell>
          <cell r="D654">
            <v>0</v>
          </cell>
          <cell r="E654">
            <v>0</v>
          </cell>
          <cell r="F654">
            <v>0</v>
          </cell>
          <cell r="G654">
            <v>0</v>
          </cell>
        </row>
        <row r="655">
          <cell r="A655" t="str">
            <v>23-01-01-0404</v>
          </cell>
          <cell r="B655">
            <v>0</v>
          </cell>
          <cell r="C655" t="str">
            <v xml:space="preserve">  MUBASHIR ELECTRIC CO. LAHORE</v>
          </cell>
          <cell r="D655">
            <v>0</v>
          </cell>
          <cell r="E655">
            <v>0</v>
          </cell>
          <cell r="F655">
            <v>0</v>
          </cell>
          <cell r="G655">
            <v>0</v>
          </cell>
        </row>
        <row r="656">
          <cell r="A656" t="str">
            <v>23-01-01-0405</v>
          </cell>
          <cell r="B656">
            <v>0</v>
          </cell>
          <cell r="C656" t="str">
            <v xml:space="preserve">  FAZAL HAIDER - SHOP KEEPER. TOPI</v>
          </cell>
          <cell r="D656">
            <v>0</v>
          </cell>
          <cell r="E656">
            <v>0</v>
          </cell>
          <cell r="F656">
            <v>0</v>
          </cell>
          <cell r="G656">
            <v>0</v>
          </cell>
        </row>
        <row r="657">
          <cell r="A657" t="str">
            <v>23-01-01-0406</v>
          </cell>
          <cell r="B657">
            <v>0</v>
          </cell>
          <cell r="C657" t="str">
            <v xml:space="preserve">  DIAMOND FOAM CENTRE, TOPI</v>
          </cell>
          <cell r="D657">
            <v>0</v>
          </cell>
          <cell r="E657">
            <v>0</v>
          </cell>
          <cell r="F657">
            <v>0</v>
          </cell>
          <cell r="G657">
            <v>0</v>
          </cell>
        </row>
        <row r="658">
          <cell r="A658" t="str">
            <v>23-01-01-0407</v>
          </cell>
          <cell r="B658">
            <v>0</v>
          </cell>
          <cell r="C658" t="str">
            <v xml:space="preserve">  PAKISTAN STEEL MILLS CORPORATION LHR</v>
          </cell>
          <cell r="D658">
            <v>0</v>
          </cell>
          <cell r="E658">
            <v>0</v>
          </cell>
          <cell r="F658">
            <v>0</v>
          </cell>
          <cell r="G658">
            <v>0</v>
          </cell>
        </row>
        <row r="659">
          <cell r="A659" t="str">
            <v>23-01-01-0408</v>
          </cell>
          <cell r="B659">
            <v>0</v>
          </cell>
          <cell r="C659" t="str">
            <v xml:space="preserve">  ROYAL P.V.C (PVT) LTD.</v>
          </cell>
          <cell r="D659">
            <v>0</v>
          </cell>
          <cell r="E659">
            <v>0</v>
          </cell>
          <cell r="F659">
            <v>0</v>
          </cell>
          <cell r="G659">
            <v>0</v>
          </cell>
        </row>
        <row r="660">
          <cell r="A660" t="str">
            <v>23-01-01-0409</v>
          </cell>
          <cell r="B660">
            <v>0</v>
          </cell>
          <cell r="C660" t="str">
            <v xml:space="preserve">  SADDAT ELECTRIC TRADERS</v>
          </cell>
          <cell r="D660">
            <v>0</v>
          </cell>
          <cell r="E660">
            <v>0</v>
          </cell>
          <cell r="F660">
            <v>0</v>
          </cell>
          <cell r="G660">
            <v>0</v>
          </cell>
        </row>
        <row r="661">
          <cell r="A661" t="str">
            <v>23-01-01-0410</v>
          </cell>
          <cell r="B661">
            <v>0</v>
          </cell>
          <cell r="C661" t="str">
            <v xml:space="preserve">  BOOTI CORP.</v>
          </cell>
          <cell r="D661">
            <v>0</v>
          </cell>
          <cell r="E661">
            <v>0</v>
          </cell>
          <cell r="F661">
            <v>0</v>
          </cell>
          <cell r="G661">
            <v>0</v>
          </cell>
        </row>
        <row r="662">
          <cell r="A662" t="str">
            <v>23-01-01-0411</v>
          </cell>
          <cell r="B662">
            <v>0</v>
          </cell>
          <cell r="C662" t="str">
            <v xml:space="preserve">  INSAF KIRYANA STORE, TOPI.</v>
          </cell>
          <cell r="D662">
            <v>0</v>
          </cell>
          <cell r="E662">
            <v>0</v>
          </cell>
          <cell r="F662">
            <v>0</v>
          </cell>
          <cell r="G662">
            <v>0</v>
          </cell>
        </row>
        <row r="663">
          <cell r="A663" t="str">
            <v>23-01-01-0412</v>
          </cell>
          <cell r="B663">
            <v>0</v>
          </cell>
          <cell r="C663" t="str">
            <v xml:space="preserve">  KHADIM HUSSAIN PLASTIC, F.ABAD.</v>
          </cell>
          <cell r="D663">
            <v>0</v>
          </cell>
          <cell r="E663">
            <v>0</v>
          </cell>
          <cell r="F663">
            <v>0</v>
          </cell>
          <cell r="G663">
            <v>0</v>
          </cell>
        </row>
        <row r="664">
          <cell r="A664" t="str">
            <v>23-01-01-0413</v>
          </cell>
          <cell r="B664">
            <v>0</v>
          </cell>
          <cell r="C664" t="str">
            <v xml:space="preserve">  AFTAB HUSSAIN PAPER CONE, F.ABAD.</v>
          </cell>
          <cell r="D664">
            <v>0</v>
          </cell>
          <cell r="E664">
            <v>0</v>
          </cell>
          <cell r="F664">
            <v>0</v>
          </cell>
          <cell r="G664">
            <v>0</v>
          </cell>
        </row>
        <row r="665">
          <cell r="A665" t="str">
            <v>23-01-01-0414</v>
          </cell>
          <cell r="B665">
            <v>0</v>
          </cell>
          <cell r="C665" t="str">
            <v xml:space="preserve">  TALIB HUSSAIN PLASTIC PACKAGES, F.ABAD</v>
          </cell>
          <cell r="D665">
            <v>0</v>
          </cell>
          <cell r="E665">
            <v>0</v>
          </cell>
          <cell r="F665">
            <v>0</v>
          </cell>
          <cell r="G665">
            <v>0</v>
          </cell>
        </row>
        <row r="666">
          <cell r="A666" t="str">
            <v>23-01-01-0415</v>
          </cell>
          <cell r="B666">
            <v>0</v>
          </cell>
          <cell r="C666" t="str">
            <v xml:space="preserve">  SAFA &amp; SONS</v>
          </cell>
          <cell r="D666">
            <v>0</v>
          </cell>
          <cell r="E666">
            <v>0</v>
          </cell>
          <cell r="F666">
            <v>0</v>
          </cell>
          <cell r="G666">
            <v>0</v>
          </cell>
        </row>
        <row r="667">
          <cell r="A667" t="str">
            <v>23-01-01-0416</v>
          </cell>
          <cell r="B667">
            <v>0</v>
          </cell>
          <cell r="C667" t="str">
            <v xml:space="preserve">  SHAMS TRADERS, KARACHI.</v>
          </cell>
          <cell r="D667">
            <v>0</v>
          </cell>
          <cell r="E667">
            <v>0</v>
          </cell>
          <cell r="F667">
            <v>0</v>
          </cell>
          <cell r="G667">
            <v>0</v>
          </cell>
        </row>
        <row r="668">
          <cell r="A668" t="str">
            <v>23-01-01-0417</v>
          </cell>
          <cell r="B668">
            <v>0</v>
          </cell>
          <cell r="C668" t="str">
            <v xml:space="preserve">  M. N. PLASTIC, KARACHI.</v>
          </cell>
          <cell r="D668">
            <v>0</v>
          </cell>
          <cell r="E668">
            <v>0</v>
          </cell>
          <cell r="F668">
            <v>0</v>
          </cell>
          <cell r="G668">
            <v>0</v>
          </cell>
        </row>
        <row r="669">
          <cell r="A669" t="str">
            <v>23-01-01-0418</v>
          </cell>
          <cell r="B669">
            <v>0</v>
          </cell>
          <cell r="C669" t="str">
            <v xml:space="preserve">  MUSLIM TRADERS, KARACHI.</v>
          </cell>
          <cell r="D669">
            <v>0</v>
          </cell>
          <cell r="E669">
            <v>0</v>
          </cell>
          <cell r="F669">
            <v>0</v>
          </cell>
          <cell r="G669">
            <v>0</v>
          </cell>
        </row>
        <row r="670">
          <cell r="A670" t="str">
            <v>23-01-01-0419</v>
          </cell>
          <cell r="B670">
            <v>0</v>
          </cell>
          <cell r="C670" t="str">
            <v xml:space="preserve">  JAWED KASIF BROTHERS, KARACHI.</v>
          </cell>
          <cell r="D670">
            <v>0</v>
          </cell>
          <cell r="E670">
            <v>0</v>
          </cell>
          <cell r="F670">
            <v>0</v>
          </cell>
          <cell r="G670">
            <v>0</v>
          </cell>
        </row>
        <row r="671">
          <cell r="A671" t="str">
            <v>23-01-01-0420</v>
          </cell>
          <cell r="B671">
            <v>0</v>
          </cell>
          <cell r="C671" t="str">
            <v xml:space="preserve">  SAJJAD MUNIR, KARACHI.</v>
          </cell>
          <cell r="D671">
            <v>0</v>
          </cell>
          <cell r="E671">
            <v>0</v>
          </cell>
          <cell r="F671">
            <v>0</v>
          </cell>
          <cell r="G671">
            <v>0</v>
          </cell>
        </row>
        <row r="672">
          <cell r="A672" t="str">
            <v>23-01-01-0421</v>
          </cell>
          <cell r="B672">
            <v>0</v>
          </cell>
          <cell r="C672" t="str">
            <v xml:space="preserve">  AL-HAMAD INDUSTRIES, LAHORE.</v>
          </cell>
          <cell r="D672">
            <v>0</v>
          </cell>
          <cell r="E672">
            <v>49700</v>
          </cell>
          <cell r="F672">
            <v>0</v>
          </cell>
          <cell r="G672">
            <v>0</v>
          </cell>
        </row>
        <row r="673">
          <cell r="A673" t="str">
            <v>23-01-01-0422</v>
          </cell>
          <cell r="B673">
            <v>0</v>
          </cell>
          <cell r="C673" t="str">
            <v xml:space="preserve">  TAHIR MILL STORE</v>
          </cell>
          <cell r="D673">
            <v>0</v>
          </cell>
          <cell r="E673">
            <v>0</v>
          </cell>
          <cell r="F673">
            <v>0</v>
          </cell>
          <cell r="G673">
            <v>0</v>
          </cell>
        </row>
        <row r="674">
          <cell r="A674" t="str">
            <v>23-01-01-0423</v>
          </cell>
          <cell r="B674">
            <v>0</v>
          </cell>
          <cell r="C674" t="str">
            <v xml:space="preserve">  MUGHEES MILL STORE</v>
          </cell>
          <cell r="D674">
            <v>0</v>
          </cell>
          <cell r="E674">
            <v>0</v>
          </cell>
          <cell r="F674">
            <v>0</v>
          </cell>
          <cell r="G674">
            <v>0</v>
          </cell>
        </row>
        <row r="675">
          <cell r="A675" t="str">
            <v>23-01-01-0424</v>
          </cell>
          <cell r="B675">
            <v>0</v>
          </cell>
          <cell r="C675" t="str">
            <v xml:space="preserve">  SIDDIQUE TEXTILE TRADERS -KARACHI</v>
          </cell>
          <cell r="D675">
            <v>0</v>
          </cell>
          <cell r="E675">
            <v>0</v>
          </cell>
          <cell r="F675">
            <v>0</v>
          </cell>
          <cell r="G675">
            <v>0</v>
          </cell>
        </row>
        <row r="676">
          <cell r="A676" t="str">
            <v>23-01-01-0425</v>
          </cell>
          <cell r="B676">
            <v>0</v>
          </cell>
          <cell r="C676" t="str">
            <v xml:space="preserve">  .</v>
          </cell>
          <cell r="D676">
            <v>0</v>
          </cell>
          <cell r="E676">
            <v>0</v>
          </cell>
          <cell r="F676">
            <v>0</v>
          </cell>
          <cell r="G676">
            <v>0</v>
          </cell>
        </row>
        <row r="677">
          <cell r="A677" t="str">
            <v>23-01-01-0426</v>
          </cell>
          <cell r="B677">
            <v>0</v>
          </cell>
          <cell r="C677" t="str">
            <v xml:space="preserve">  .</v>
          </cell>
          <cell r="D677">
            <v>0</v>
          </cell>
          <cell r="E677">
            <v>0</v>
          </cell>
          <cell r="F677">
            <v>0</v>
          </cell>
          <cell r="G677">
            <v>0</v>
          </cell>
        </row>
        <row r="678">
          <cell r="A678" t="str">
            <v>23-01-01-0427</v>
          </cell>
          <cell r="B678">
            <v>0</v>
          </cell>
          <cell r="C678" t="str">
            <v xml:space="preserve">  .</v>
          </cell>
          <cell r="D678">
            <v>0</v>
          </cell>
          <cell r="E678">
            <v>0</v>
          </cell>
          <cell r="F678">
            <v>0</v>
          </cell>
          <cell r="G678">
            <v>0</v>
          </cell>
        </row>
        <row r="679">
          <cell r="A679" t="str">
            <v>23-01-01-0428</v>
          </cell>
          <cell r="B679">
            <v>0</v>
          </cell>
          <cell r="C679" t="str">
            <v xml:space="preserve">  J.S. &amp; SONS</v>
          </cell>
          <cell r="D679">
            <v>0</v>
          </cell>
          <cell r="E679">
            <v>0</v>
          </cell>
          <cell r="F679">
            <v>0</v>
          </cell>
          <cell r="G679">
            <v>0</v>
          </cell>
        </row>
        <row r="680">
          <cell r="A680" t="str">
            <v>23-01-01-0429</v>
          </cell>
          <cell r="B680">
            <v>0</v>
          </cell>
          <cell r="C680" t="str">
            <v xml:space="preserve">  JUPITER TRADERS</v>
          </cell>
          <cell r="D680">
            <v>0</v>
          </cell>
          <cell r="E680">
            <v>1100</v>
          </cell>
          <cell r="F680">
            <v>0</v>
          </cell>
          <cell r="G680">
            <v>0</v>
          </cell>
        </row>
        <row r="681">
          <cell r="A681" t="str">
            <v>23-01-01-0430</v>
          </cell>
          <cell r="B681">
            <v>0</v>
          </cell>
          <cell r="C681" t="str">
            <v xml:space="preserve">  TAHIR TRADING CO.</v>
          </cell>
          <cell r="D681">
            <v>0</v>
          </cell>
          <cell r="E681">
            <v>0</v>
          </cell>
          <cell r="F681">
            <v>0</v>
          </cell>
          <cell r="G681">
            <v>0</v>
          </cell>
        </row>
        <row r="682">
          <cell r="A682" t="str">
            <v>23-01-01-0431</v>
          </cell>
          <cell r="B682">
            <v>0</v>
          </cell>
          <cell r="C682" t="str">
            <v xml:space="preserve">  ABDULLAH TRADING CO.</v>
          </cell>
          <cell r="D682">
            <v>0</v>
          </cell>
          <cell r="E682">
            <v>0</v>
          </cell>
          <cell r="F682">
            <v>0</v>
          </cell>
          <cell r="G682">
            <v>0</v>
          </cell>
        </row>
        <row r="683">
          <cell r="A683" t="str">
            <v>23-01-01-0432</v>
          </cell>
          <cell r="B683">
            <v>0</v>
          </cell>
          <cell r="C683" t="str">
            <v xml:space="preserve">  SABAH TRADERS</v>
          </cell>
          <cell r="D683">
            <v>0</v>
          </cell>
          <cell r="E683">
            <v>0</v>
          </cell>
          <cell r="F683">
            <v>0</v>
          </cell>
          <cell r="G683">
            <v>0</v>
          </cell>
        </row>
        <row r="684">
          <cell r="A684" t="str">
            <v>23-01-01-0433</v>
          </cell>
          <cell r="B684">
            <v>0</v>
          </cell>
          <cell r="C684" t="str">
            <v xml:space="preserve">  ADAM TRADING</v>
          </cell>
          <cell r="D684">
            <v>0</v>
          </cell>
          <cell r="E684">
            <v>0</v>
          </cell>
          <cell r="F684">
            <v>0</v>
          </cell>
          <cell r="G684">
            <v>0</v>
          </cell>
        </row>
        <row r="685">
          <cell r="A685" t="str">
            <v>23-01-01-0434</v>
          </cell>
          <cell r="B685">
            <v>0</v>
          </cell>
          <cell r="C685" t="str">
            <v xml:space="preserve">  TAYYAB &amp; CO.</v>
          </cell>
          <cell r="D685">
            <v>0</v>
          </cell>
          <cell r="E685">
            <v>0</v>
          </cell>
          <cell r="F685">
            <v>0</v>
          </cell>
          <cell r="G685">
            <v>0</v>
          </cell>
        </row>
        <row r="686">
          <cell r="A686" t="str">
            <v>23-01-01-0435</v>
          </cell>
          <cell r="B686">
            <v>0</v>
          </cell>
          <cell r="C686" t="str">
            <v xml:space="preserve">  SHAKEEL ENTERPRISES</v>
          </cell>
          <cell r="D686">
            <v>0</v>
          </cell>
          <cell r="E686">
            <v>0</v>
          </cell>
          <cell r="F686">
            <v>0</v>
          </cell>
          <cell r="G686">
            <v>0</v>
          </cell>
        </row>
        <row r="687">
          <cell r="A687" t="str">
            <v>23-01-01-0436</v>
          </cell>
          <cell r="B687">
            <v>0</v>
          </cell>
          <cell r="C687" t="str">
            <v xml:space="preserve">  BSHIR CORPORATION</v>
          </cell>
          <cell r="D687">
            <v>0</v>
          </cell>
          <cell r="E687">
            <v>0</v>
          </cell>
          <cell r="F687">
            <v>0</v>
          </cell>
          <cell r="G687">
            <v>0</v>
          </cell>
        </row>
        <row r="688">
          <cell r="A688" t="str">
            <v>23-01-01-0437</v>
          </cell>
          <cell r="B688">
            <v>0</v>
          </cell>
          <cell r="C688" t="str">
            <v xml:space="preserve">  HANIF &amp; CO.</v>
          </cell>
          <cell r="D688">
            <v>0</v>
          </cell>
          <cell r="E688">
            <v>0</v>
          </cell>
          <cell r="F688">
            <v>0</v>
          </cell>
          <cell r="G688">
            <v>0</v>
          </cell>
        </row>
        <row r="689">
          <cell r="A689" t="str">
            <v>23-01-01-0438</v>
          </cell>
          <cell r="B689">
            <v>0</v>
          </cell>
          <cell r="C689" t="str">
            <v xml:space="preserve">  SIDDIQUE TRADERS</v>
          </cell>
          <cell r="D689">
            <v>0</v>
          </cell>
          <cell r="E689">
            <v>0</v>
          </cell>
          <cell r="F689">
            <v>0</v>
          </cell>
          <cell r="G689">
            <v>0</v>
          </cell>
        </row>
        <row r="690">
          <cell r="A690" t="str">
            <v>23-01-01-0439</v>
          </cell>
          <cell r="B690">
            <v>0</v>
          </cell>
          <cell r="C690" t="str">
            <v xml:space="preserve">  ASAD MAHMOOD SHAIKH</v>
          </cell>
          <cell r="D690">
            <v>0</v>
          </cell>
          <cell r="E690">
            <v>0</v>
          </cell>
          <cell r="F690">
            <v>0</v>
          </cell>
          <cell r="G690">
            <v>0</v>
          </cell>
        </row>
        <row r="691">
          <cell r="A691" t="str">
            <v>23-01-01-0440</v>
          </cell>
          <cell r="B691">
            <v>0</v>
          </cell>
          <cell r="C691" t="str">
            <v xml:space="preserve">  AL-YAQOOB TEXTILE CORPORATION</v>
          </cell>
          <cell r="D691">
            <v>0</v>
          </cell>
          <cell r="E691">
            <v>0</v>
          </cell>
          <cell r="F691">
            <v>0</v>
          </cell>
          <cell r="G691">
            <v>0</v>
          </cell>
        </row>
        <row r="692">
          <cell r="A692" t="str">
            <v>23-01-01-0441</v>
          </cell>
          <cell r="B692">
            <v>0</v>
          </cell>
          <cell r="C692" t="str">
            <v xml:space="preserve">  RIFAQAT &amp; BROS.</v>
          </cell>
          <cell r="D692">
            <v>0</v>
          </cell>
          <cell r="E692">
            <v>0</v>
          </cell>
          <cell r="F692">
            <v>0</v>
          </cell>
          <cell r="G692">
            <v>0</v>
          </cell>
        </row>
        <row r="693">
          <cell r="A693" t="str">
            <v>23-01-01-0442</v>
          </cell>
          <cell r="B693">
            <v>0</v>
          </cell>
          <cell r="C693" t="str">
            <v xml:space="preserve">  NASEER AHMAD PACKING MATERIAL. FSLD</v>
          </cell>
          <cell r="D693">
            <v>0</v>
          </cell>
          <cell r="E693">
            <v>0</v>
          </cell>
          <cell r="F693">
            <v>0</v>
          </cell>
          <cell r="G693">
            <v>0</v>
          </cell>
        </row>
        <row r="694">
          <cell r="A694" t="str">
            <v>23-01-01-0443</v>
          </cell>
          <cell r="B694">
            <v>0</v>
          </cell>
          <cell r="C694" t="str">
            <v xml:space="preserve">  NAZAR MOHAMMAD PAPER CONE. FSLD</v>
          </cell>
          <cell r="D694">
            <v>0</v>
          </cell>
          <cell r="E694">
            <v>0</v>
          </cell>
          <cell r="F694">
            <v>0</v>
          </cell>
          <cell r="G694">
            <v>0</v>
          </cell>
        </row>
        <row r="695">
          <cell r="A695" t="str">
            <v>23-01-01-0444</v>
          </cell>
          <cell r="B695">
            <v>0</v>
          </cell>
          <cell r="C695" t="str">
            <v xml:space="preserve">  GUL ZAMAN KHAN TOPI</v>
          </cell>
          <cell r="D695">
            <v>0</v>
          </cell>
          <cell r="E695">
            <v>0</v>
          </cell>
          <cell r="F695">
            <v>0</v>
          </cell>
          <cell r="G695">
            <v>0</v>
          </cell>
        </row>
        <row r="696">
          <cell r="A696" t="str">
            <v>23-01-01-0445</v>
          </cell>
          <cell r="B696">
            <v>0</v>
          </cell>
          <cell r="C696" t="str">
            <v xml:space="preserve">  SAAD ENTERPRISES TARBELA</v>
          </cell>
          <cell r="D696">
            <v>0</v>
          </cell>
          <cell r="E696">
            <v>0</v>
          </cell>
          <cell r="F696">
            <v>0</v>
          </cell>
          <cell r="G696">
            <v>0</v>
          </cell>
        </row>
        <row r="697">
          <cell r="A697" t="str">
            <v>23-01-01-0446</v>
          </cell>
          <cell r="B697">
            <v>0</v>
          </cell>
          <cell r="C697" t="str">
            <v xml:space="preserve">  YOUSAFZAI PVT CONSTRUCTION &amp; MATERIAL</v>
          </cell>
          <cell r="D697">
            <v>0</v>
          </cell>
          <cell r="E697">
            <v>0</v>
          </cell>
          <cell r="F697">
            <v>0</v>
          </cell>
          <cell r="G697">
            <v>0</v>
          </cell>
        </row>
        <row r="698">
          <cell r="A698" t="str">
            <v>23-01-01-0447</v>
          </cell>
          <cell r="B698">
            <v>0</v>
          </cell>
          <cell r="C698" t="str">
            <v xml:space="preserve">  SUFI ENGINEERING WORKS</v>
          </cell>
          <cell r="D698">
            <v>0</v>
          </cell>
          <cell r="E698">
            <v>0</v>
          </cell>
          <cell r="F698">
            <v>0</v>
          </cell>
          <cell r="G698">
            <v>0</v>
          </cell>
        </row>
        <row r="699">
          <cell r="A699" t="str">
            <v>23-01-01-0448</v>
          </cell>
          <cell r="B699">
            <v>0</v>
          </cell>
          <cell r="C699" t="str">
            <v xml:space="preserve">  BASHIR &amp; SONS. FAISALABAD</v>
          </cell>
          <cell r="D699">
            <v>0</v>
          </cell>
          <cell r="E699">
            <v>0</v>
          </cell>
          <cell r="F699">
            <v>0</v>
          </cell>
          <cell r="G699">
            <v>0</v>
          </cell>
        </row>
        <row r="700">
          <cell r="A700" t="str">
            <v>23-01-01-0449</v>
          </cell>
          <cell r="B700">
            <v>0</v>
          </cell>
          <cell r="C700" t="str">
            <v xml:space="preserve">  ALLAH RAKHA PAPER CONE. FAISALABAD</v>
          </cell>
          <cell r="D700">
            <v>0</v>
          </cell>
          <cell r="E700">
            <v>0</v>
          </cell>
          <cell r="F700">
            <v>0</v>
          </cell>
          <cell r="G700">
            <v>0</v>
          </cell>
        </row>
        <row r="701">
          <cell r="A701" t="str">
            <v>23-01-01-0450</v>
          </cell>
          <cell r="B701">
            <v>0</v>
          </cell>
          <cell r="C701" t="str">
            <v xml:space="preserve">  DEEN MOHAMMAD PLASTIC</v>
          </cell>
          <cell r="D701">
            <v>0</v>
          </cell>
          <cell r="E701">
            <v>0</v>
          </cell>
          <cell r="F701">
            <v>0</v>
          </cell>
          <cell r="G701">
            <v>0</v>
          </cell>
        </row>
        <row r="702">
          <cell r="A702" t="str">
            <v>23-01-01-0451</v>
          </cell>
          <cell r="B702">
            <v>0</v>
          </cell>
          <cell r="C702" t="str">
            <v xml:space="preserve">  M.AKBER PAPER CONE WALLEY FSD</v>
          </cell>
          <cell r="D702">
            <v>0</v>
          </cell>
          <cell r="E702">
            <v>0</v>
          </cell>
          <cell r="F702">
            <v>0</v>
          </cell>
          <cell r="G702">
            <v>0</v>
          </cell>
        </row>
        <row r="703">
          <cell r="A703" t="str">
            <v>23-01-01-0452</v>
          </cell>
          <cell r="B703">
            <v>0</v>
          </cell>
          <cell r="C703" t="str">
            <v xml:space="preserve">  SHAKEEL TRADERS</v>
          </cell>
          <cell r="D703">
            <v>0</v>
          </cell>
          <cell r="E703">
            <v>0</v>
          </cell>
          <cell r="F703">
            <v>0</v>
          </cell>
          <cell r="G703">
            <v>0</v>
          </cell>
        </row>
        <row r="704">
          <cell r="A704" t="str">
            <v>23-01-01-0453</v>
          </cell>
          <cell r="B704">
            <v>0</v>
          </cell>
          <cell r="C704" t="str">
            <v xml:space="preserve">  SHUMAIL IMPEX</v>
          </cell>
          <cell r="D704">
            <v>0</v>
          </cell>
          <cell r="E704">
            <v>0</v>
          </cell>
          <cell r="F704">
            <v>0</v>
          </cell>
          <cell r="G704">
            <v>0</v>
          </cell>
        </row>
        <row r="705">
          <cell r="A705" t="str">
            <v>23-01-01-0454</v>
          </cell>
          <cell r="B705">
            <v>0</v>
          </cell>
          <cell r="C705" t="str">
            <v xml:space="preserve">  REHMANIA &amp; COMPANY</v>
          </cell>
          <cell r="D705">
            <v>0</v>
          </cell>
          <cell r="E705">
            <v>0</v>
          </cell>
          <cell r="F705">
            <v>0</v>
          </cell>
          <cell r="G705">
            <v>0</v>
          </cell>
        </row>
        <row r="706">
          <cell r="A706" t="str">
            <v>23-01-01-0455</v>
          </cell>
          <cell r="B706">
            <v>0</v>
          </cell>
          <cell r="C706" t="str">
            <v xml:space="preserve">  RIZWANA PRINTERS</v>
          </cell>
          <cell r="D706">
            <v>0</v>
          </cell>
          <cell r="E706">
            <v>0</v>
          </cell>
          <cell r="F706">
            <v>0</v>
          </cell>
          <cell r="G706">
            <v>0</v>
          </cell>
        </row>
        <row r="707">
          <cell r="A707" t="str">
            <v>23-01-01-0456</v>
          </cell>
          <cell r="B707">
            <v>0</v>
          </cell>
          <cell r="C707" t="str">
            <v xml:space="preserve">  SOHAIL SUPPLY SERVICES</v>
          </cell>
          <cell r="D707">
            <v>0</v>
          </cell>
          <cell r="E707">
            <v>0</v>
          </cell>
          <cell r="F707">
            <v>0</v>
          </cell>
          <cell r="G707">
            <v>0</v>
          </cell>
        </row>
        <row r="708">
          <cell r="A708" t="str">
            <v>23-01-01-0457</v>
          </cell>
          <cell r="B708">
            <v>0</v>
          </cell>
          <cell r="C708" t="str">
            <v xml:space="preserve">  ATIQUE &amp; COMPANY.</v>
          </cell>
          <cell r="D708">
            <v>0</v>
          </cell>
          <cell r="E708">
            <v>0</v>
          </cell>
          <cell r="F708">
            <v>0</v>
          </cell>
          <cell r="G708">
            <v>0</v>
          </cell>
        </row>
        <row r="709">
          <cell r="A709" t="str">
            <v>23-01-01-0458</v>
          </cell>
          <cell r="B709">
            <v>0</v>
          </cell>
          <cell r="C709" t="str">
            <v xml:space="preserve">  KASHIF IMPEX</v>
          </cell>
          <cell r="D709">
            <v>0</v>
          </cell>
          <cell r="E709">
            <v>0</v>
          </cell>
          <cell r="F709">
            <v>0</v>
          </cell>
          <cell r="G709">
            <v>0</v>
          </cell>
        </row>
        <row r="710">
          <cell r="A710" t="str">
            <v>23-01-01-0459</v>
          </cell>
          <cell r="B710">
            <v>0</v>
          </cell>
          <cell r="C710" t="str">
            <v xml:space="preserve">  USMAN IMPEX</v>
          </cell>
          <cell r="D710">
            <v>0</v>
          </cell>
          <cell r="E710">
            <v>0</v>
          </cell>
          <cell r="F710">
            <v>0</v>
          </cell>
          <cell r="G710">
            <v>0</v>
          </cell>
        </row>
        <row r="711">
          <cell r="A711" t="str">
            <v>23-01-01-0460</v>
          </cell>
          <cell r="B711">
            <v>0</v>
          </cell>
          <cell r="C711" t="str">
            <v xml:space="preserve">  DAWCHEM (PVT) LTD</v>
          </cell>
          <cell r="D711">
            <v>0</v>
          </cell>
          <cell r="E711">
            <v>0</v>
          </cell>
          <cell r="F711">
            <v>0</v>
          </cell>
          <cell r="G711">
            <v>0</v>
          </cell>
        </row>
        <row r="712">
          <cell r="A712" t="str">
            <v>23-01-01-0461</v>
          </cell>
          <cell r="B712">
            <v>0</v>
          </cell>
          <cell r="C712" t="str">
            <v xml:space="preserve">  SHABBIR AHMED AND BROTHERS</v>
          </cell>
          <cell r="D712">
            <v>0</v>
          </cell>
          <cell r="E712">
            <v>0</v>
          </cell>
          <cell r="F712">
            <v>0</v>
          </cell>
          <cell r="G712">
            <v>0</v>
          </cell>
        </row>
        <row r="713">
          <cell r="A713" t="str">
            <v>23-01-01-0462</v>
          </cell>
          <cell r="B713">
            <v>0</v>
          </cell>
          <cell r="C713" t="str">
            <v xml:space="preserve">  MUHAMMAD MUNIR PAPER CONE</v>
          </cell>
          <cell r="D713">
            <v>0</v>
          </cell>
          <cell r="E713">
            <v>0</v>
          </cell>
          <cell r="F713">
            <v>0</v>
          </cell>
          <cell r="G713">
            <v>0</v>
          </cell>
        </row>
        <row r="714">
          <cell r="A714" t="str">
            <v>23-01-01-0463</v>
          </cell>
          <cell r="B714">
            <v>0</v>
          </cell>
          <cell r="C714" t="str">
            <v xml:space="preserve">  MANZOOR AHMED FSLD</v>
          </cell>
          <cell r="D714">
            <v>0</v>
          </cell>
          <cell r="E714">
            <v>0</v>
          </cell>
          <cell r="F714">
            <v>0</v>
          </cell>
          <cell r="G714">
            <v>0</v>
          </cell>
        </row>
        <row r="715">
          <cell r="A715" t="str">
            <v>23-01-01-0464</v>
          </cell>
          <cell r="B715">
            <v>0</v>
          </cell>
          <cell r="C715" t="str">
            <v xml:space="preserve">  SHALIMAR TRADERS</v>
          </cell>
          <cell r="D715">
            <v>0</v>
          </cell>
          <cell r="E715">
            <v>0</v>
          </cell>
          <cell r="F715">
            <v>0</v>
          </cell>
          <cell r="G715">
            <v>0</v>
          </cell>
        </row>
        <row r="716">
          <cell r="A716" t="str">
            <v>23-01-01-0465</v>
          </cell>
          <cell r="B716">
            <v>0</v>
          </cell>
          <cell r="C716" t="str">
            <v xml:space="preserve">  JABBAR CORPORATION</v>
          </cell>
          <cell r="D716">
            <v>0</v>
          </cell>
          <cell r="E716">
            <v>0</v>
          </cell>
          <cell r="F716">
            <v>0</v>
          </cell>
          <cell r="G716">
            <v>0</v>
          </cell>
        </row>
        <row r="717">
          <cell r="A717" t="str">
            <v>23-01-01-0466</v>
          </cell>
          <cell r="B717">
            <v>0</v>
          </cell>
          <cell r="C717" t="str">
            <v xml:space="preserve">  S.M. IQBAL &amp; SONS</v>
          </cell>
          <cell r="D717">
            <v>0</v>
          </cell>
          <cell r="E717">
            <v>0</v>
          </cell>
          <cell r="F717">
            <v>0</v>
          </cell>
          <cell r="G717">
            <v>0</v>
          </cell>
        </row>
        <row r="718">
          <cell r="A718" t="str">
            <v>23-01-01-0467</v>
          </cell>
          <cell r="B718">
            <v>0</v>
          </cell>
          <cell r="C718" t="str">
            <v xml:space="preserve">  WAQAR IMPEX</v>
          </cell>
          <cell r="D718">
            <v>0</v>
          </cell>
          <cell r="E718">
            <v>0</v>
          </cell>
          <cell r="F718">
            <v>0</v>
          </cell>
          <cell r="G718">
            <v>0</v>
          </cell>
        </row>
        <row r="719">
          <cell r="A719" t="str">
            <v>23-01-01-0468</v>
          </cell>
          <cell r="B719">
            <v>0</v>
          </cell>
          <cell r="C719" t="str">
            <v xml:space="preserve">  M.H. &amp; COMPANY</v>
          </cell>
          <cell r="D719">
            <v>0</v>
          </cell>
          <cell r="E719">
            <v>0</v>
          </cell>
          <cell r="F719">
            <v>0</v>
          </cell>
          <cell r="G719">
            <v>0</v>
          </cell>
        </row>
        <row r="720">
          <cell r="A720" t="str">
            <v>23-01-01-0469</v>
          </cell>
          <cell r="B720">
            <v>0</v>
          </cell>
          <cell r="C720" t="str">
            <v xml:space="preserve">  KING PRINTERS</v>
          </cell>
          <cell r="D720">
            <v>0</v>
          </cell>
          <cell r="E720">
            <v>0</v>
          </cell>
          <cell r="F720">
            <v>0</v>
          </cell>
          <cell r="G720">
            <v>0</v>
          </cell>
        </row>
        <row r="721">
          <cell r="A721" t="str">
            <v>23-01-01-0470</v>
          </cell>
          <cell r="B721">
            <v>0</v>
          </cell>
          <cell r="C721" t="str">
            <v xml:space="preserve">  MEHRAN MILL STORE</v>
          </cell>
          <cell r="D721">
            <v>0</v>
          </cell>
          <cell r="E721">
            <v>0</v>
          </cell>
          <cell r="F721">
            <v>0</v>
          </cell>
          <cell r="G721">
            <v>0</v>
          </cell>
        </row>
        <row r="722">
          <cell r="A722" t="str">
            <v>23-01-01-0471</v>
          </cell>
          <cell r="B722">
            <v>0</v>
          </cell>
          <cell r="C722" t="str">
            <v xml:space="preserve">  TEXTILE SUPPLY COMPANY</v>
          </cell>
          <cell r="D722">
            <v>0</v>
          </cell>
          <cell r="E722">
            <v>0</v>
          </cell>
          <cell r="F722">
            <v>0</v>
          </cell>
          <cell r="G722">
            <v>0</v>
          </cell>
        </row>
        <row r="723">
          <cell r="A723" t="str">
            <v>23-01-01-0472</v>
          </cell>
          <cell r="B723">
            <v>0</v>
          </cell>
          <cell r="C723" t="str">
            <v xml:space="preserve">  KOHINOOR TEXTILE CONCERN</v>
          </cell>
          <cell r="D723">
            <v>0</v>
          </cell>
          <cell r="E723">
            <v>0</v>
          </cell>
          <cell r="F723">
            <v>0</v>
          </cell>
          <cell r="G723">
            <v>0</v>
          </cell>
        </row>
        <row r="724">
          <cell r="A724" t="str">
            <v>23-01-01-0473</v>
          </cell>
          <cell r="B724">
            <v>0</v>
          </cell>
          <cell r="C724" t="str">
            <v xml:space="preserve">  WORLD TEXTILE CONCERNS</v>
          </cell>
          <cell r="D724">
            <v>0</v>
          </cell>
          <cell r="E724">
            <v>0</v>
          </cell>
          <cell r="F724">
            <v>0</v>
          </cell>
          <cell r="G724">
            <v>0</v>
          </cell>
        </row>
        <row r="725">
          <cell r="A725" t="str">
            <v>23-01-01-0474</v>
          </cell>
          <cell r="B725">
            <v>0</v>
          </cell>
          <cell r="C725" t="str">
            <v xml:space="preserve">  MODERN ELECTRONICS</v>
          </cell>
          <cell r="D725">
            <v>0</v>
          </cell>
          <cell r="E725">
            <v>0</v>
          </cell>
          <cell r="F725">
            <v>0</v>
          </cell>
          <cell r="G725">
            <v>0</v>
          </cell>
        </row>
        <row r="726">
          <cell r="A726" t="str">
            <v>23-01-01-0475</v>
          </cell>
          <cell r="B726">
            <v>0</v>
          </cell>
          <cell r="C726" t="str">
            <v xml:space="preserve">  JASIM ENTERPRISES</v>
          </cell>
          <cell r="D726">
            <v>0</v>
          </cell>
          <cell r="E726">
            <v>0</v>
          </cell>
          <cell r="F726">
            <v>0</v>
          </cell>
          <cell r="G726">
            <v>0</v>
          </cell>
        </row>
        <row r="727">
          <cell r="A727" t="str">
            <v>23-01-01-0476</v>
          </cell>
          <cell r="B727">
            <v>0</v>
          </cell>
          <cell r="C727" t="str">
            <v xml:space="preserve">  AL YOUSAF ENGINEERING WORKS</v>
          </cell>
          <cell r="D727">
            <v>0</v>
          </cell>
          <cell r="E727">
            <v>0</v>
          </cell>
          <cell r="F727">
            <v>0</v>
          </cell>
          <cell r="G727">
            <v>0</v>
          </cell>
        </row>
        <row r="728">
          <cell r="A728" t="str">
            <v>23-01-01-0477</v>
          </cell>
          <cell r="B728">
            <v>0</v>
          </cell>
          <cell r="C728" t="str">
            <v xml:space="preserve">  SHAHZAIB TRADERS</v>
          </cell>
          <cell r="D728">
            <v>0</v>
          </cell>
          <cell r="E728">
            <v>0</v>
          </cell>
          <cell r="F728">
            <v>0</v>
          </cell>
          <cell r="G728">
            <v>0</v>
          </cell>
        </row>
        <row r="729">
          <cell r="A729" t="str">
            <v>23-01-01-0478</v>
          </cell>
          <cell r="B729">
            <v>0</v>
          </cell>
          <cell r="C729" t="str">
            <v xml:space="preserve">  SHAHID TRADERS</v>
          </cell>
          <cell r="D729">
            <v>0</v>
          </cell>
          <cell r="E729">
            <v>0</v>
          </cell>
          <cell r="F729">
            <v>0</v>
          </cell>
          <cell r="G729">
            <v>0</v>
          </cell>
        </row>
        <row r="730">
          <cell r="A730" t="str">
            <v>23-01-01-0479</v>
          </cell>
          <cell r="B730">
            <v>0</v>
          </cell>
          <cell r="C730" t="str">
            <v xml:space="preserve">  S.S. TRADERS</v>
          </cell>
          <cell r="D730">
            <v>0</v>
          </cell>
          <cell r="E730">
            <v>0</v>
          </cell>
          <cell r="F730">
            <v>0</v>
          </cell>
          <cell r="G730">
            <v>0</v>
          </cell>
        </row>
        <row r="731">
          <cell r="A731" t="str">
            <v>23-01-01-0480</v>
          </cell>
          <cell r="B731">
            <v>0</v>
          </cell>
          <cell r="C731" t="str">
            <v xml:space="preserve">  TAYYAB TRADERS</v>
          </cell>
          <cell r="D731">
            <v>0</v>
          </cell>
          <cell r="E731">
            <v>0</v>
          </cell>
          <cell r="F731">
            <v>0</v>
          </cell>
          <cell r="G731">
            <v>0</v>
          </cell>
        </row>
        <row r="732">
          <cell r="A732" t="str">
            <v>23-01-01-0481</v>
          </cell>
          <cell r="B732">
            <v>0</v>
          </cell>
          <cell r="C732" t="str">
            <v xml:space="preserve">  SEASON TRADING COMPANY</v>
          </cell>
          <cell r="D732">
            <v>0</v>
          </cell>
          <cell r="E732">
            <v>0</v>
          </cell>
          <cell r="F732">
            <v>0</v>
          </cell>
          <cell r="G732">
            <v>0</v>
          </cell>
        </row>
        <row r="733">
          <cell r="A733" t="str">
            <v>23-01-01-0482</v>
          </cell>
          <cell r="B733">
            <v>0</v>
          </cell>
          <cell r="C733" t="str">
            <v xml:space="preserve">  D.D. TEXTILE</v>
          </cell>
          <cell r="D733">
            <v>0</v>
          </cell>
          <cell r="E733">
            <v>0</v>
          </cell>
          <cell r="F733">
            <v>0</v>
          </cell>
          <cell r="G733">
            <v>0</v>
          </cell>
        </row>
        <row r="734">
          <cell r="A734" t="str">
            <v>23-01-01-0483</v>
          </cell>
          <cell r="B734">
            <v>0</v>
          </cell>
          <cell r="C734" t="str">
            <v xml:space="preserve">  IQRA ENTERPRISES</v>
          </cell>
          <cell r="D734">
            <v>0</v>
          </cell>
          <cell r="E734">
            <v>0</v>
          </cell>
          <cell r="F734">
            <v>0</v>
          </cell>
          <cell r="G734">
            <v>0</v>
          </cell>
        </row>
        <row r="735">
          <cell r="A735" t="str">
            <v>23-01-01-0484</v>
          </cell>
          <cell r="B735">
            <v>0</v>
          </cell>
          <cell r="C735" t="str">
            <v xml:space="preserve">  WAQAS ENTERPRISES</v>
          </cell>
          <cell r="D735">
            <v>0</v>
          </cell>
          <cell r="E735">
            <v>0</v>
          </cell>
          <cell r="F735">
            <v>0</v>
          </cell>
          <cell r="G735">
            <v>0</v>
          </cell>
        </row>
        <row r="736">
          <cell r="A736" t="str">
            <v>23-01-01-0485</v>
          </cell>
          <cell r="B736">
            <v>0</v>
          </cell>
          <cell r="C736" t="str">
            <v xml:space="preserve">  DIAMOND ENTERPRISES</v>
          </cell>
          <cell r="D736">
            <v>0</v>
          </cell>
          <cell r="E736">
            <v>0</v>
          </cell>
          <cell r="F736">
            <v>0</v>
          </cell>
          <cell r="G736">
            <v>0</v>
          </cell>
        </row>
        <row r="737">
          <cell r="A737" t="str">
            <v>23-01-01-0486</v>
          </cell>
          <cell r="B737">
            <v>0</v>
          </cell>
          <cell r="C737" t="str">
            <v xml:space="preserve">  BLACKMAN BELT COMPANY</v>
          </cell>
          <cell r="D737">
            <v>0</v>
          </cell>
          <cell r="E737">
            <v>0</v>
          </cell>
          <cell r="F737">
            <v>0</v>
          </cell>
          <cell r="G737">
            <v>0</v>
          </cell>
        </row>
        <row r="738">
          <cell r="A738" t="str">
            <v>23-01-01-0487</v>
          </cell>
          <cell r="B738">
            <v>0</v>
          </cell>
          <cell r="C738" t="str">
            <v xml:space="preserve">  M.K. HUSAIN &amp; COMPANY (PVT) LTD.</v>
          </cell>
          <cell r="D738">
            <v>0</v>
          </cell>
          <cell r="E738">
            <v>0</v>
          </cell>
          <cell r="F738">
            <v>0</v>
          </cell>
          <cell r="G738">
            <v>0</v>
          </cell>
        </row>
        <row r="739">
          <cell r="A739" t="str">
            <v>23-01-01-0488</v>
          </cell>
          <cell r="B739">
            <v>0</v>
          </cell>
          <cell r="C739" t="str">
            <v xml:space="preserve">  CREATIVE PRINTERS</v>
          </cell>
          <cell r="D739">
            <v>0</v>
          </cell>
          <cell r="E739">
            <v>163203.75</v>
          </cell>
          <cell r="F739">
            <v>0</v>
          </cell>
          <cell r="G739">
            <v>0</v>
          </cell>
        </row>
        <row r="740">
          <cell r="A740" t="str">
            <v>23-01-01-0489</v>
          </cell>
          <cell r="B740">
            <v>0</v>
          </cell>
          <cell r="C740" t="str">
            <v xml:space="preserve">  UNITED ENGINERRING WORKS</v>
          </cell>
          <cell r="D740">
            <v>0</v>
          </cell>
          <cell r="E740">
            <v>0</v>
          </cell>
          <cell r="F740">
            <v>0</v>
          </cell>
          <cell r="G740">
            <v>0</v>
          </cell>
        </row>
        <row r="741">
          <cell r="A741" t="str">
            <v>23-01-01-0490</v>
          </cell>
          <cell r="B741">
            <v>0</v>
          </cell>
          <cell r="C741" t="str">
            <v xml:space="preserve">  SATTAR SONS</v>
          </cell>
          <cell r="D741">
            <v>0</v>
          </cell>
          <cell r="E741">
            <v>0</v>
          </cell>
          <cell r="F741">
            <v>0</v>
          </cell>
          <cell r="G741">
            <v>0</v>
          </cell>
        </row>
        <row r="742">
          <cell r="A742" t="str">
            <v>23-01-01-0491</v>
          </cell>
          <cell r="B742">
            <v>0</v>
          </cell>
          <cell r="C742" t="str">
            <v xml:space="preserve">  ZARA  ENTERPRISES</v>
          </cell>
          <cell r="D742">
            <v>0</v>
          </cell>
          <cell r="E742">
            <v>0</v>
          </cell>
          <cell r="F742">
            <v>0</v>
          </cell>
          <cell r="G742">
            <v>0</v>
          </cell>
        </row>
        <row r="743">
          <cell r="A743" t="str">
            <v>23-01-01-0492</v>
          </cell>
          <cell r="B743">
            <v>0</v>
          </cell>
          <cell r="C743" t="str">
            <v xml:space="preserve">  SIKANDAR  FSD</v>
          </cell>
          <cell r="D743">
            <v>0</v>
          </cell>
          <cell r="E743">
            <v>0</v>
          </cell>
          <cell r="F743">
            <v>0</v>
          </cell>
          <cell r="G743">
            <v>0</v>
          </cell>
        </row>
        <row r="744">
          <cell r="A744" t="str">
            <v>23-01-01-0493</v>
          </cell>
          <cell r="B744">
            <v>0</v>
          </cell>
          <cell r="C744" t="str">
            <v xml:space="preserve">  ABDUL RAUF FSD</v>
          </cell>
          <cell r="D744">
            <v>0</v>
          </cell>
          <cell r="E744">
            <v>0</v>
          </cell>
          <cell r="F744">
            <v>0</v>
          </cell>
          <cell r="G744">
            <v>0</v>
          </cell>
        </row>
        <row r="745">
          <cell r="A745" t="str">
            <v>23-01-01-0494</v>
          </cell>
          <cell r="B745">
            <v>0</v>
          </cell>
          <cell r="C745" t="str">
            <v xml:space="preserve">  HABIB AHMED  FSD</v>
          </cell>
          <cell r="D745">
            <v>0</v>
          </cell>
          <cell r="E745">
            <v>0</v>
          </cell>
          <cell r="F745">
            <v>0</v>
          </cell>
          <cell r="G745">
            <v>0</v>
          </cell>
        </row>
        <row r="746">
          <cell r="A746" t="str">
            <v>23-01-01-0495</v>
          </cell>
          <cell r="B746">
            <v>0</v>
          </cell>
          <cell r="C746" t="str">
            <v xml:space="preserve">  HAMID PACKING MATERIAL</v>
          </cell>
          <cell r="D746">
            <v>0</v>
          </cell>
          <cell r="E746">
            <v>0</v>
          </cell>
          <cell r="F746">
            <v>0</v>
          </cell>
          <cell r="G746">
            <v>0</v>
          </cell>
        </row>
        <row r="747">
          <cell r="A747" t="str">
            <v>23-01-01-0496</v>
          </cell>
          <cell r="B747">
            <v>0</v>
          </cell>
          <cell r="C747" t="str">
            <v xml:space="preserve">  SHOAIB &amp; COMPANY</v>
          </cell>
          <cell r="D747">
            <v>0</v>
          </cell>
          <cell r="E747">
            <v>0</v>
          </cell>
          <cell r="F747">
            <v>0</v>
          </cell>
          <cell r="G747">
            <v>0</v>
          </cell>
        </row>
        <row r="748">
          <cell r="A748" t="str">
            <v>23-01-01-0497</v>
          </cell>
          <cell r="B748">
            <v>0</v>
          </cell>
          <cell r="C748" t="str">
            <v xml:space="preserve">  VOLGA PRINTERS</v>
          </cell>
          <cell r="D748">
            <v>0</v>
          </cell>
          <cell r="E748">
            <v>0</v>
          </cell>
          <cell r="F748">
            <v>0</v>
          </cell>
          <cell r="G748">
            <v>0</v>
          </cell>
        </row>
        <row r="749">
          <cell r="A749" t="str">
            <v>23-01-01-0498</v>
          </cell>
          <cell r="B749">
            <v>0</v>
          </cell>
          <cell r="C749" t="str">
            <v xml:space="preserve">  SHOUKAT ALI- FSLD</v>
          </cell>
          <cell r="D749">
            <v>0</v>
          </cell>
          <cell r="E749">
            <v>0</v>
          </cell>
          <cell r="F749">
            <v>0</v>
          </cell>
          <cell r="G749">
            <v>0</v>
          </cell>
        </row>
        <row r="750">
          <cell r="A750" t="str">
            <v>23-01-01-0499</v>
          </cell>
          <cell r="B750">
            <v>0</v>
          </cell>
          <cell r="C750" t="str">
            <v xml:space="preserve">  ABID ALI FSLD</v>
          </cell>
          <cell r="D750">
            <v>0</v>
          </cell>
          <cell r="E750">
            <v>0</v>
          </cell>
          <cell r="F750">
            <v>0</v>
          </cell>
          <cell r="G750">
            <v>0</v>
          </cell>
        </row>
        <row r="751">
          <cell r="A751" t="str">
            <v>23-01-01-0500</v>
          </cell>
          <cell r="B751">
            <v>0</v>
          </cell>
          <cell r="C751" t="str">
            <v xml:space="preserve">  FIDA HUSSAIN- FSLD</v>
          </cell>
          <cell r="D751">
            <v>0</v>
          </cell>
          <cell r="E751">
            <v>0</v>
          </cell>
          <cell r="F751">
            <v>0</v>
          </cell>
          <cell r="G751">
            <v>0</v>
          </cell>
        </row>
        <row r="752">
          <cell r="A752" t="str">
            <v>23-01-01-0501</v>
          </cell>
          <cell r="B752">
            <v>0</v>
          </cell>
          <cell r="C752" t="str">
            <v xml:space="preserve">  NASIR PACKAGES</v>
          </cell>
          <cell r="D752">
            <v>0</v>
          </cell>
          <cell r="E752">
            <v>0</v>
          </cell>
          <cell r="F752">
            <v>0</v>
          </cell>
          <cell r="G752">
            <v>0</v>
          </cell>
        </row>
        <row r="753">
          <cell r="A753" t="str">
            <v>23-01-01-0502</v>
          </cell>
          <cell r="B753">
            <v>0</v>
          </cell>
          <cell r="C753" t="str">
            <v xml:space="preserve">  FEROZ TRADERS</v>
          </cell>
          <cell r="D753">
            <v>0</v>
          </cell>
          <cell r="E753">
            <v>0</v>
          </cell>
          <cell r="F753">
            <v>0</v>
          </cell>
          <cell r="G753">
            <v>0</v>
          </cell>
        </row>
        <row r="754">
          <cell r="A754" t="str">
            <v>23-01-01-0503</v>
          </cell>
          <cell r="B754">
            <v>0</v>
          </cell>
          <cell r="C754" t="str">
            <v xml:space="preserve">  ASLAM BROTHER</v>
          </cell>
          <cell r="D754">
            <v>0</v>
          </cell>
          <cell r="E754">
            <v>0</v>
          </cell>
          <cell r="F754">
            <v>0</v>
          </cell>
          <cell r="G754">
            <v>0</v>
          </cell>
        </row>
        <row r="755">
          <cell r="A755" t="str">
            <v>23-01-01-0504</v>
          </cell>
          <cell r="B755">
            <v>0</v>
          </cell>
          <cell r="C755" t="str">
            <v xml:space="preserve">  AFZAL &amp; COMPANY</v>
          </cell>
          <cell r="D755">
            <v>0</v>
          </cell>
          <cell r="E755">
            <v>0</v>
          </cell>
          <cell r="F755">
            <v>0</v>
          </cell>
          <cell r="G755">
            <v>0</v>
          </cell>
        </row>
        <row r="756">
          <cell r="A756" t="str">
            <v>23-01-01-0505</v>
          </cell>
          <cell r="B756">
            <v>0</v>
          </cell>
          <cell r="C756" t="str">
            <v xml:space="preserve">  RASHID IMPEX</v>
          </cell>
          <cell r="D756">
            <v>0</v>
          </cell>
          <cell r="E756">
            <v>0</v>
          </cell>
          <cell r="F756">
            <v>0</v>
          </cell>
          <cell r="G756">
            <v>0</v>
          </cell>
        </row>
        <row r="757">
          <cell r="A757" t="str">
            <v>23-01-01-0506</v>
          </cell>
          <cell r="B757">
            <v>0</v>
          </cell>
          <cell r="C757" t="str">
            <v xml:space="preserve">  NOOR PLASTIC</v>
          </cell>
          <cell r="D757">
            <v>0</v>
          </cell>
          <cell r="E757">
            <v>0</v>
          </cell>
          <cell r="F757">
            <v>0</v>
          </cell>
          <cell r="G757">
            <v>0</v>
          </cell>
        </row>
        <row r="758">
          <cell r="A758" t="str">
            <v>23-01-01-0507</v>
          </cell>
          <cell r="B758">
            <v>0</v>
          </cell>
          <cell r="C758" t="str">
            <v xml:space="preserve">  NADEEM IMPEX</v>
          </cell>
          <cell r="D758">
            <v>0</v>
          </cell>
          <cell r="E758">
            <v>0</v>
          </cell>
          <cell r="F758">
            <v>0</v>
          </cell>
          <cell r="G758">
            <v>0</v>
          </cell>
        </row>
        <row r="759">
          <cell r="A759" t="str">
            <v>23-01-01-0508</v>
          </cell>
          <cell r="B759">
            <v>0</v>
          </cell>
          <cell r="C759" t="str">
            <v xml:space="preserve">  FICO LIMITED</v>
          </cell>
          <cell r="D759">
            <v>0</v>
          </cell>
          <cell r="E759">
            <v>0</v>
          </cell>
          <cell r="F759">
            <v>0</v>
          </cell>
          <cell r="G759">
            <v>0</v>
          </cell>
        </row>
        <row r="760">
          <cell r="A760" t="str">
            <v>23-01-01-0509</v>
          </cell>
          <cell r="B760">
            <v>0</v>
          </cell>
          <cell r="C760" t="str">
            <v xml:space="preserve">  INAM IMPEX</v>
          </cell>
          <cell r="D760">
            <v>0</v>
          </cell>
          <cell r="E760">
            <v>0</v>
          </cell>
          <cell r="F760">
            <v>0</v>
          </cell>
          <cell r="G760">
            <v>0</v>
          </cell>
        </row>
        <row r="761">
          <cell r="A761" t="str">
            <v>23-01-01-0510</v>
          </cell>
          <cell r="B761">
            <v>0</v>
          </cell>
          <cell r="C761" t="str">
            <v xml:space="preserve">  KHUDA BAX STORE</v>
          </cell>
          <cell r="D761">
            <v>0</v>
          </cell>
          <cell r="E761">
            <v>0</v>
          </cell>
          <cell r="F761">
            <v>0</v>
          </cell>
          <cell r="G761">
            <v>0</v>
          </cell>
        </row>
        <row r="762">
          <cell r="A762" t="str">
            <v>23-01-01-0511</v>
          </cell>
          <cell r="B762">
            <v>0</v>
          </cell>
          <cell r="C762" t="str">
            <v xml:space="preserve">  UMER TRADERS</v>
          </cell>
          <cell r="D762">
            <v>0</v>
          </cell>
          <cell r="E762">
            <v>0</v>
          </cell>
          <cell r="F762">
            <v>0</v>
          </cell>
          <cell r="G762">
            <v>0</v>
          </cell>
        </row>
        <row r="763">
          <cell r="A763" t="str">
            <v>23-01-01-0512</v>
          </cell>
          <cell r="B763">
            <v>0</v>
          </cell>
          <cell r="C763" t="str">
            <v xml:space="preserve">  A.G.S. PRINTING PRESS</v>
          </cell>
          <cell r="D763">
            <v>0</v>
          </cell>
          <cell r="E763">
            <v>0</v>
          </cell>
          <cell r="F763">
            <v>0</v>
          </cell>
          <cell r="G763">
            <v>0</v>
          </cell>
        </row>
        <row r="764">
          <cell r="A764" t="str">
            <v>23-01-01-0513</v>
          </cell>
          <cell r="B764">
            <v>0</v>
          </cell>
          <cell r="C764" t="str">
            <v xml:space="preserve">  SHAKOOR AHMED PACKING FSLD</v>
          </cell>
          <cell r="D764">
            <v>0</v>
          </cell>
          <cell r="E764">
            <v>0</v>
          </cell>
          <cell r="F764">
            <v>0</v>
          </cell>
          <cell r="G764">
            <v>0</v>
          </cell>
        </row>
        <row r="765">
          <cell r="A765" t="str">
            <v>23-01-01-0514</v>
          </cell>
          <cell r="B765">
            <v>0</v>
          </cell>
          <cell r="C765" t="str">
            <v xml:space="preserve">  MUHAMMAD LATEEF PLASTIC CONE FSLD</v>
          </cell>
          <cell r="D765">
            <v>0</v>
          </cell>
          <cell r="E765">
            <v>0</v>
          </cell>
          <cell r="F765">
            <v>0</v>
          </cell>
          <cell r="G765">
            <v>0</v>
          </cell>
        </row>
        <row r="766">
          <cell r="A766" t="str">
            <v>23-01-01-0515</v>
          </cell>
          <cell r="B766">
            <v>0</v>
          </cell>
          <cell r="C766" t="str">
            <v xml:space="preserve">  ABDUL RASHEED PAPER CONE FSLD</v>
          </cell>
          <cell r="D766">
            <v>0</v>
          </cell>
          <cell r="E766">
            <v>0</v>
          </cell>
          <cell r="F766">
            <v>0</v>
          </cell>
          <cell r="G766">
            <v>0</v>
          </cell>
        </row>
        <row r="767">
          <cell r="A767" t="str">
            <v>23-01-01-0516</v>
          </cell>
          <cell r="B767">
            <v>0</v>
          </cell>
          <cell r="C767" t="str">
            <v xml:space="preserve">  NAFEES MILL STORE</v>
          </cell>
          <cell r="D767">
            <v>0</v>
          </cell>
          <cell r="E767">
            <v>0</v>
          </cell>
          <cell r="F767">
            <v>0</v>
          </cell>
          <cell r="G767">
            <v>0</v>
          </cell>
        </row>
        <row r="768">
          <cell r="A768" t="str">
            <v>23-01-01-0517</v>
          </cell>
          <cell r="B768">
            <v>0</v>
          </cell>
          <cell r="C768" t="str">
            <v xml:space="preserve">  INDUSTRIAL &amp; SCIENTIFIC CONSULTANTS</v>
          </cell>
          <cell r="D768">
            <v>0</v>
          </cell>
          <cell r="E768">
            <v>0</v>
          </cell>
          <cell r="F768">
            <v>0</v>
          </cell>
          <cell r="G768">
            <v>0</v>
          </cell>
        </row>
        <row r="769">
          <cell r="A769" t="str">
            <v>23-01-01-0518</v>
          </cell>
          <cell r="B769">
            <v>0</v>
          </cell>
          <cell r="C769" t="str">
            <v xml:space="preserve">  DANISH BROTHERS</v>
          </cell>
          <cell r="D769">
            <v>0</v>
          </cell>
          <cell r="E769">
            <v>0</v>
          </cell>
          <cell r="F769">
            <v>0</v>
          </cell>
          <cell r="G769">
            <v>0</v>
          </cell>
        </row>
        <row r="770">
          <cell r="A770" t="str">
            <v>23-01-01-0519</v>
          </cell>
          <cell r="B770">
            <v>0</v>
          </cell>
          <cell r="C770" t="str">
            <v xml:space="preserve">  DANISH INTERNATIONAL</v>
          </cell>
          <cell r="D770">
            <v>0</v>
          </cell>
          <cell r="E770">
            <v>0</v>
          </cell>
          <cell r="F770">
            <v>0</v>
          </cell>
          <cell r="G770">
            <v>0</v>
          </cell>
        </row>
        <row r="771">
          <cell r="A771" t="str">
            <v>23-01-01-0520</v>
          </cell>
          <cell r="B771">
            <v>0</v>
          </cell>
          <cell r="C771" t="str">
            <v xml:space="preserve">  PROLINE PRINTERS</v>
          </cell>
          <cell r="D771">
            <v>0</v>
          </cell>
          <cell r="E771">
            <v>0</v>
          </cell>
          <cell r="F771">
            <v>0</v>
          </cell>
          <cell r="G771">
            <v>0</v>
          </cell>
        </row>
        <row r="772">
          <cell r="A772" t="str">
            <v>23-01-01-0521</v>
          </cell>
          <cell r="B772">
            <v>0</v>
          </cell>
          <cell r="C772" t="str">
            <v xml:space="preserve">  AMEER MUHAMMAD TOPI</v>
          </cell>
          <cell r="D772">
            <v>0</v>
          </cell>
          <cell r="E772">
            <v>0</v>
          </cell>
          <cell r="F772">
            <v>0</v>
          </cell>
          <cell r="G772">
            <v>0</v>
          </cell>
        </row>
        <row r="773">
          <cell r="A773" t="str">
            <v>23-01-01-0522</v>
          </cell>
          <cell r="B773">
            <v>0</v>
          </cell>
          <cell r="C773" t="str">
            <v xml:space="preserve">  MANSOOR TRADERS</v>
          </cell>
          <cell r="D773">
            <v>0</v>
          </cell>
          <cell r="E773">
            <v>0</v>
          </cell>
          <cell r="F773">
            <v>0</v>
          </cell>
          <cell r="G773">
            <v>0</v>
          </cell>
        </row>
        <row r="774">
          <cell r="A774" t="str">
            <v>23-01-01-0523</v>
          </cell>
          <cell r="B774">
            <v>0</v>
          </cell>
          <cell r="C774" t="str">
            <v xml:space="preserve">  S.A. CORPORATION.</v>
          </cell>
          <cell r="D774">
            <v>0</v>
          </cell>
          <cell r="E774">
            <v>0</v>
          </cell>
          <cell r="F774">
            <v>0</v>
          </cell>
          <cell r="G774">
            <v>0</v>
          </cell>
        </row>
        <row r="775">
          <cell r="A775" t="str">
            <v>23-01-01-0524</v>
          </cell>
          <cell r="B775">
            <v>0</v>
          </cell>
          <cell r="C775" t="str">
            <v xml:space="preserve">  NAZAKAT &amp; BROS.</v>
          </cell>
          <cell r="D775">
            <v>0</v>
          </cell>
          <cell r="E775">
            <v>0</v>
          </cell>
          <cell r="F775">
            <v>0</v>
          </cell>
          <cell r="G775">
            <v>0</v>
          </cell>
        </row>
        <row r="776">
          <cell r="A776" t="str">
            <v>23-01-01-0525</v>
          </cell>
          <cell r="B776">
            <v>0</v>
          </cell>
          <cell r="C776" t="str">
            <v xml:space="preserve">  ZAHEER TRADERS</v>
          </cell>
          <cell r="D776">
            <v>0</v>
          </cell>
          <cell r="E776">
            <v>0</v>
          </cell>
          <cell r="F776">
            <v>0</v>
          </cell>
          <cell r="G776">
            <v>0</v>
          </cell>
        </row>
        <row r="777">
          <cell r="A777" t="str">
            <v>23-01-01-0526</v>
          </cell>
          <cell r="B777">
            <v>0</v>
          </cell>
          <cell r="C777" t="str">
            <v xml:space="preserve">  TARIQ &amp; BROS</v>
          </cell>
          <cell r="D777">
            <v>0</v>
          </cell>
          <cell r="E777">
            <v>0</v>
          </cell>
          <cell r="F777">
            <v>0</v>
          </cell>
          <cell r="G777">
            <v>0</v>
          </cell>
        </row>
        <row r="778">
          <cell r="A778" t="str">
            <v>23-01-01-0527</v>
          </cell>
          <cell r="B778">
            <v>0</v>
          </cell>
          <cell r="C778" t="str">
            <v xml:space="preserve">  ZAFAR AND CO.</v>
          </cell>
          <cell r="D778">
            <v>0</v>
          </cell>
          <cell r="E778">
            <v>0</v>
          </cell>
          <cell r="F778">
            <v>0</v>
          </cell>
          <cell r="G778">
            <v>0</v>
          </cell>
        </row>
        <row r="779">
          <cell r="A779" t="str">
            <v>23-01-01-0528</v>
          </cell>
          <cell r="B779">
            <v>0</v>
          </cell>
          <cell r="C779" t="str">
            <v xml:space="preserve">  SHAUKAT &amp; SONS</v>
          </cell>
          <cell r="D779">
            <v>0</v>
          </cell>
          <cell r="E779">
            <v>0</v>
          </cell>
          <cell r="F779">
            <v>0</v>
          </cell>
          <cell r="G779">
            <v>0</v>
          </cell>
        </row>
        <row r="780">
          <cell r="A780" t="str">
            <v>23-01-01-0529</v>
          </cell>
          <cell r="B780">
            <v>0</v>
          </cell>
          <cell r="C780" t="str">
            <v xml:space="preserve">  GULZAR IMPEX</v>
          </cell>
          <cell r="D780">
            <v>0</v>
          </cell>
          <cell r="E780">
            <v>0</v>
          </cell>
          <cell r="F780">
            <v>0</v>
          </cell>
          <cell r="G780">
            <v>0</v>
          </cell>
        </row>
        <row r="781">
          <cell r="A781" t="str">
            <v>23-01-01-0530</v>
          </cell>
          <cell r="B781">
            <v>0</v>
          </cell>
          <cell r="C781" t="str">
            <v xml:space="preserve">  TEXTILE BELTING COMPANY</v>
          </cell>
          <cell r="D781">
            <v>0</v>
          </cell>
          <cell r="E781">
            <v>0</v>
          </cell>
          <cell r="F781">
            <v>0</v>
          </cell>
          <cell r="G781">
            <v>0</v>
          </cell>
        </row>
        <row r="782">
          <cell r="A782" t="str">
            <v>23-01-01-0531</v>
          </cell>
          <cell r="B782">
            <v>0</v>
          </cell>
          <cell r="C782" t="str">
            <v xml:space="preserve">  RIZWAN CORPORATION</v>
          </cell>
          <cell r="D782">
            <v>0</v>
          </cell>
          <cell r="E782">
            <v>0</v>
          </cell>
          <cell r="F782">
            <v>0</v>
          </cell>
          <cell r="G782">
            <v>0</v>
          </cell>
        </row>
        <row r="783">
          <cell r="A783" t="str">
            <v>23-01-01-0532</v>
          </cell>
          <cell r="B783">
            <v>0</v>
          </cell>
          <cell r="C783" t="str">
            <v xml:space="preserve">  ASAD ENTERPRISES</v>
          </cell>
          <cell r="D783">
            <v>0</v>
          </cell>
          <cell r="E783">
            <v>0</v>
          </cell>
          <cell r="F783">
            <v>0</v>
          </cell>
          <cell r="G783">
            <v>0</v>
          </cell>
        </row>
        <row r="784">
          <cell r="A784" t="str">
            <v>23-01-01-0533</v>
          </cell>
          <cell r="B784">
            <v>0</v>
          </cell>
          <cell r="C784" t="str">
            <v xml:space="preserve">  MERHABA TRADERS</v>
          </cell>
          <cell r="D784">
            <v>0</v>
          </cell>
          <cell r="E784">
            <v>0</v>
          </cell>
          <cell r="F784">
            <v>0</v>
          </cell>
          <cell r="G784">
            <v>0</v>
          </cell>
        </row>
        <row r="785">
          <cell r="A785" t="str">
            <v>23-01-01-0534</v>
          </cell>
          <cell r="B785">
            <v>0</v>
          </cell>
          <cell r="C785" t="str">
            <v xml:space="preserve">  YASIR MILL STORE, LAHORE</v>
          </cell>
          <cell r="D785">
            <v>0</v>
          </cell>
          <cell r="E785">
            <v>0</v>
          </cell>
          <cell r="F785">
            <v>0</v>
          </cell>
          <cell r="G785">
            <v>0</v>
          </cell>
        </row>
        <row r="786">
          <cell r="A786" t="str">
            <v>23-01-01-0535</v>
          </cell>
          <cell r="B786">
            <v>0</v>
          </cell>
          <cell r="C786" t="str">
            <v xml:space="preserve">  AMIR CORPORATION, KARACHI</v>
          </cell>
          <cell r="D786">
            <v>0</v>
          </cell>
          <cell r="E786">
            <v>0</v>
          </cell>
          <cell r="F786">
            <v>0</v>
          </cell>
          <cell r="G786">
            <v>0</v>
          </cell>
        </row>
        <row r="787">
          <cell r="A787" t="str">
            <v>23-01-01-0536</v>
          </cell>
          <cell r="B787">
            <v>0</v>
          </cell>
          <cell r="C787" t="str">
            <v xml:space="preserve">  F. R. ENTERPRISES, KARACHI</v>
          </cell>
          <cell r="D787">
            <v>0</v>
          </cell>
          <cell r="E787">
            <v>0</v>
          </cell>
          <cell r="F787">
            <v>0</v>
          </cell>
          <cell r="G787">
            <v>0</v>
          </cell>
        </row>
        <row r="788">
          <cell r="A788" t="str">
            <v>23-01-01-0537</v>
          </cell>
          <cell r="B788">
            <v>0</v>
          </cell>
          <cell r="C788" t="str">
            <v xml:space="preserve">  A. A. ASSOCIATES, FAISALABAD</v>
          </cell>
          <cell r="D788">
            <v>0</v>
          </cell>
          <cell r="E788">
            <v>0</v>
          </cell>
          <cell r="F788">
            <v>0</v>
          </cell>
          <cell r="G788">
            <v>0</v>
          </cell>
        </row>
        <row r="789">
          <cell r="A789" t="str">
            <v>23-01-01-0538</v>
          </cell>
          <cell r="B789">
            <v>0</v>
          </cell>
          <cell r="C789" t="str">
            <v xml:space="preserve">  ASHRAF TRADERS, KARACHI</v>
          </cell>
          <cell r="D789">
            <v>0</v>
          </cell>
          <cell r="E789">
            <v>0</v>
          </cell>
          <cell r="F789">
            <v>0</v>
          </cell>
          <cell r="G789">
            <v>0</v>
          </cell>
        </row>
        <row r="790">
          <cell r="A790" t="str">
            <v>23-01-01-0539</v>
          </cell>
          <cell r="B790">
            <v>0</v>
          </cell>
          <cell r="C790" t="str">
            <v xml:space="preserve">  RAFIQUE TRADERS, KARACHI</v>
          </cell>
          <cell r="D790">
            <v>0</v>
          </cell>
          <cell r="E790">
            <v>0</v>
          </cell>
          <cell r="F790">
            <v>0</v>
          </cell>
          <cell r="G790">
            <v>0</v>
          </cell>
        </row>
        <row r="791">
          <cell r="A791" t="str">
            <v>23-01-01-0540</v>
          </cell>
          <cell r="B791">
            <v>0</v>
          </cell>
          <cell r="C791" t="str">
            <v xml:space="preserve">  NAGINA MILL STORE, LAHORE.</v>
          </cell>
          <cell r="D791">
            <v>0</v>
          </cell>
          <cell r="E791">
            <v>0</v>
          </cell>
          <cell r="F791">
            <v>0</v>
          </cell>
          <cell r="G791">
            <v>0</v>
          </cell>
        </row>
        <row r="792">
          <cell r="A792" t="str">
            <v>23-01-01-0541</v>
          </cell>
          <cell r="B792">
            <v>0</v>
          </cell>
          <cell r="C792" t="str">
            <v xml:space="preserve">  M. J. ENGINEERING COPRORATION, KARACHI</v>
          </cell>
          <cell r="D792">
            <v>0</v>
          </cell>
          <cell r="E792">
            <v>0</v>
          </cell>
          <cell r="F792">
            <v>0</v>
          </cell>
          <cell r="G792">
            <v>0</v>
          </cell>
        </row>
        <row r="793">
          <cell r="A793" t="str">
            <v>23-01-01-0542</v>
          </cell>
          <cell r="B793">
            <v>0</v>
          </cell>
          <cell r="C793" t="str">
            <v xml:space="preserve">  RAHAT MILL STORES,KARACHI.</v>
          </cell>
          <cell r="D793">
            <v>0</v>
          </cell>
          <cell r="E793">
            <v>0</v>
          </cell>
          <cell r="F793">
            <v>0</v>
          </cell>
          <cell r="G793">
            <v>0</v>
          </cell>
        </row>
        <row r="794">
          <cell r="A794" t="str">
            <v>23-01-01-0543</v>
          </cell>
          <cell r="B794">
            <v>0</v>
          </cell>
          <cell r="C794" t="str">
            <v xml:space="preserve">  ALLIED ENGINEERING WORKS,LAHORE.</v>
          </cell>
          <cell r="D794">
            <v>0</v>
          </cell>
          <cell r="E794">
            <v>0</v>
          </cell>
          <cell r="F794">
            <v>0</v>
          </cell>
          <cell r="G794">
            <v>0</v>
          </cell>
        </row>
        <row r="795">
          <cell r="A795" t="str">
            <v>23-01-01-0544</v>
          </cell>
          <cell r="B795">
            <v>0</v>
          </cell>
          <cell r="C795" t="str">
            <v xml:space="preserve">  ILYAS PACKAGES,KARACHI.</v>
          </cell>
          <cell r="D795">
            <v>0</v>
          </cell>
          <cell r="E795">
            <v>0</v>
          </cell>
          <cell r="F795">
            <v>0</v>
          </cell>
          <cell r="G795">
            <v>0</v>
          </cell>
        </row>
        <row r="796">
          <cell r="A796" t="str">
            <v>23-01-01-0545</v>
          </cell>
          <cell r="B796">
            <v>0</v>
          </cell>
          <cell r="C796" t="str">
            <v xml:space="preserve">  QAYYUM TRADERS,KARACHI.</v>
          </cell>
          <cell r="D796">
            <v>0</v>
          </cell>
          <cell r="E796">
            <v>0</v>
          </cell>
          <cell r="F796">
            <v>0</v>
          </cell>
          <cell r="G796">
            <v>0</v>
          </cell>
        </row>
        <row r="797">
          <cell r="A797" t="str">
            <v>23-01-01-0546</v>
          </cell>
          <cell r="B797">
            <v>0</v>
          </cell>
          <cell r="C797" t="str">
            <v xml:space="preserve">  SHAFIQ PLASTIC,KARACHI.</v>
          </cell>
          <cell r="D797">
            <v>0</v>
          </cell>
          <cell r="E797">
            <v>0</v>
          </cell>
          <cell r="F797">
            <v>0</v>
          </cell>
          <cell r="G797">
            <v>0</v>
          </cell>
        </row>
        <row r="798">
          <cell r="A798" t="str">
            <v>23-01-01-0547</v>
          </cell>
          <cell r="B798">
            <v>0</v>
          </cell>
          <cell r="C798" t="str">
            <v xml:space="preserve">  IQBAL TRADERS,KARACHI.</v>
          </cell>
          <cell r="D798">
            <v>0</v>
          </cell>
          <cell r="E798">
            <v>870895</v>
          </cell>
          <cell r="F798">
            <v>0</v>
          </cell>
          <cell r="G798">
            <v>0</v>
          </cell>
        </row>
        <row r="799">
          <cell r="A799" t="str">
            <v>23-01-01-0548</v>
          </cell>
          <cell r="B799">
            <v>0</v>
          </cell>
          <cell r="C799" t="str">
            <v xml:space="preserve">  AMIN TRADERS,KARACHI.</v>
          </cell>
          <cell r="D799">
            <v>0</v>
          </cell>
          <cell r="E799">
            <v>0</v>
          </cell>
          <cell r="F799">
            <v>0</v>
          </cell>
          <cell r="G799">
            <v>0</v>
          </cell>
        </row>
        <row r="800">
          <cell r="A800" t="str">
            <v>23-01-01-0549</v>
          </cell>
          <cell r="B800">
            <v>0</v>
          </cell>
          <cell r="C800" t="str">
            <v xml:space="preserve">  AAMIR SAHZAD</v>
          </cell>
          <cell r="D800">
            <v>0</v>
          </cell>
          <cell r="E800">
            <v>0</v>
          </cell>
          <cell r="F800">
            <v>0</v>
          </cell>
          <cell r="G800">
            <v>0</v>
          </cell>
        </row>
        <row r="801">
          <cell r="A801" t="str">
            <v>23-01-01-0550</v>
          </cell>
          <cell r="B801">
            <v>0</v>
          </cell>
          <cell r="C801" t="str">
            <v xml:space="preserve">  MUHAMMAD IDRIS</v>
          </cell>
          <cell r="D801">
            <v>0</v>
          </cell>
          <cell r="E801">
            <v>0</v>
          </cell>
          <cell r="F801">
            <v>0</v>
          </cell>
          <cell r="G801">
            <v>0</v>
          </cell>
        </row>
        <row r="802">
          <cell r="A802" t="str">
            <v>23-01-01-0551</v>
          </cell>
          <cell r="B802">
            <v>0</v>
          </cell>
          <cell r="C802" t="str">
            <v xml:space="preserve">  FIROZ COPORATION.</v>
          </cell>
          <cell r="D802">
            <v>0</v>
          </cell>
          <cell r="E802">
            <v>0</v>
          </cell>
          <cell r="F802">
            <v>0</v>
          </cell>
          <cell r="G802">
            <v>0</v>
          </cell>
        </row>
        <row r="803">
          <cell r="A803" t="str">
            <v>23-01-01-0552</v>
          </cell>
          <cell r="B803">
            <v>0</v>
          </cell>
          <cell r="C803" t="str">
            <v xml:space="preserve">  YAQOOB IMPEX</v>
          </cell>
          <cell r="D803">
            <v>0</v>
          </cell>
          <cell r="E803">
            <v>0</v>
          </cell>
          <cell r="F803">
            <v>0</v>
          </cell>
          <cell r="G803">
            <v>0</v>
          </cell>
        </row>
        <row r="804">
          <cell r="A804" t="str">
            <v>23-01-01-0553</v>
          </cell>
          <cell r="B804">
            <v>0</v>
          </cell>
          <cell r="C804" t="str">
            <v xml:space="preserve">  MADNI TRADERS</v>
          </cell>
          <cell r="D804">
            <v>0</v>
          </cell>
          <cell r="E804">
            <v>0</v>
          </cell>
          <cell r="F804">
            <v>0</v>
          </cell>
          <cell r="G804">
            <v>0</v>
          </cell>
        </row>
        <row r="805">
          <cell r="A805" t="str">
            <v>23-01-01-0554</v>
          </cell>
          <cell r="B805">
            <v>0</v>
          </cell>
          <cell r="C805" t="str">
            <v xml:space="preserve">  ASAD &amp; CO.</v>
          </cell>
          <cell r="D805">
            <v>0</v>
          </cell>
          <cell r="E805">
            <v>0</v>
          </cell>
          <cell r="F805">
            <v>0</v>
          </cell>
          <cell r="G805">
            <v>0</v>
          </cell>
        </row>
        <row r="806">
          <cell r="A806" t="str">
            <v>23-01-01-0555</v>
          </cell>
          <cell r="B806">
            <v>0</v>
          </cell>
          <cell r="C806" t="str">
            <v xml:space="preserve">  PAKISTAN OIL CORPORATION</v>
          </cell>
          <cell r="D806">
            <v>0</v>
          </cell>
          <cell r="E806">
            <v>0</v>
          </cell>
          <cell r="F806">
            <v>0</v>
          </cell>
          <cell r="G806">
            <v>0</v>
          </cell>
        </row>
        <row r="807">
          <cell r="A807" t="str">
            <v>23-01-01-0556</v>
          </cell>
          <cell r="B807">
            <v>0</v>
          </cell>
          <cell r="C807" t="str">
            <v xml:space="preserve">  ADEN MILL STORE</v>
          </cell>
          <cell r="D807">
            <v>0</v>
          </cell>
          <cell r="E807">
            <v>0</v>
          </cell>
          <cell r="F807">
            <v>0</v>
          </cell>
          <cell r="G807">
            <v>0</v>
          </cell>
        </row>
        <row r="808">
          <cell r="A808" t="str">
            <v>23-01-01-0557</v>
          </cell>
          <cell r="B808">
            <v>0</v>
          </cell>
          <cell r="C808" t="str">
            <v xml:space="preserve">  AYAZ MAHMOOD SHAIKH</v>
          </cell>
          <cell r="D808">
            <v>0</v>
          </cell>
          <cell r="E808">
            <v>0</v>
          </cell>
          <cell r="F808">
            <v>0</v>
          </cell>
          <cell r="G808">
            <v>0</v>
          </cell>
        </row>
        <row r="809">
          <cell r="A809" t="str">
            <v>23-01-01-0558</v>
          </cell>
          <cell r="B809">
            <v>0</v>
          </cell>
          <cell r="C809" t="str">
            <v xml:space="preserve">  MUHAMMED ANWAR PACKING.</v>
          </cell>
          <cell r="D809">
            <v>0</v>
          </cell>
          <cell r="E809">
            <v>0</v>
          </cell>
          <cell r="F809">
            <v>0</v>
          </cell>
          <cell r="G809">
            <v>0</v>
          </cell>
        </row>
        <row r="810">
          <cell r="A810" t="str">
            <v>23-01-01-0559</v>
          </cell>
          <cell r="B810">
            <v>0</v>
          </cell>
          <cell r="C810" t="str">
            <v xml:space="preserve">  REHMAT ALI &amp; BROTHERS,FAISALABAD.</v>
          </cell>
          <cell r="D810">
            <v>0</v>
          </cell>
          <cell r="E810">
            <v>0</v>
          </cell>
          <cell r="F810">
            <v>0</v>
          </cell>
          <cell r="G810">
            <v>0</v>
          </cell>
        </row>
        <row r="811">
          <cell r="A811" t="str">
            <v>23-01-01-0560</v>
          </cell>
          <cell r="B811">
            <v>0</v>
          </cell>
          <cell r="C811" t="str">
            <v xml:space="preserve">  JAMALUDDIN PACKAGES.</v>
          </cell>
          <cell r="D811">
            <v>0</v>
          </cell>
          <cell r="E811">
            <v>0</v>
          </cell>
          <cell r="F811">
            <v>0</v>
          </cell>
          <cell r="G811">
            <v>0</v>
          </cell>
        </row>
        <row r="812">
          <cell r="A812" t="str">
            <v>23-01-01-0561</v>
          </cell>
          <cell r="B812">
            <v>0</v>
          </cell>
          <cell r="C812" t="str">
            <v xml:space="preserve">  LAKHA TRADERS</v>
          </cell>
          <cell r="D812">
            <v>0</v>
          </cell>
          <cell r="E812">
            <v>0</v>
          </cell>
          <cell r="F812">
            <v>0</v>
          </cell>
          <cell r="G812">
            <v>0</v>
          </cell>
        </row>
        <row r="813">
          <cell r="A813" t="str">
            <v>23-01-01-0562</v>
          </cell>
          <cell r="B813">
            <v>0</v>
          </cell>
          <cell r="C813" t="str">
            <v xml:space="preserve">  AL-SADIQ LIMITED.</v>
          </cell>
          <cell r="D813">
            <v>0</v>
          </cell>
          <cell r="E813">
            <v>0</v>
          </cell>
          <cell r="F813">
            <v>0</v>
          </cell>
          <cell r="G813">
            <v>0</v>
          </cell>
        </row>
        <row r="814">
          <cell r="A814" t="str">
            <v>23-01-01-0563</v>
          </cell>
          <cell r="B814">
            <v>0</v>
          </cell>
          <cell r="C814" t="str">
            <v xml:space="preserve">  HANIF CORPORATION</v>
          </cell>
          <cell r="D814">
            <v>0</v>
          </cell>
          <cell r="E814">
            <v>0</v>
          </cell>
          <cell r="F814">
            <v>0</v>
          </cell>
          <cell r="G814">
            <v>0</v>
          </cell>
        </row>
        <row r="815">
          <cell r="A815" t="str">
            <v>23-01-01-0564</v>
          </cell>
          <cell r="B815">
            <v>0</v>
          </cell>
          <cell r="C815" t="str">
            <v xml:space="preserve">  FAISAL IMPEX.</v>
          </cell>
          <cell r="D815">
            <v>0</v>
          </cell>
          <cell r="E815">
            <v>0</v>
          </cell>
          <cell r="F815">
            <v>0</v>
          </cell>
          <cell r="G815">
            <v>0</v>
          </cell>
        </row>
        <row r="816">
          <cell r="A816" t="str">
            <v>23-01-01-0565</v>
          </cell>
          <cell r="B816">
            <v>0</v>
          </cell>
          <cell r="C816" t="str">
            <v xml:space="preserve">  WICO TRADERS</v>
          </cell>
          <cell r="D816">
            <v>0</v>
          </cell>
          <cell r="E816">
            <v>0</v>
          </cell>
          <cell r="F816">
            <v>0</v>
          </cell>
          <cell r="G816">
            <v>0</v>
          </cell>
        </row>
        <row r="817">
          <cell r="A817" t="str">
            <v>23-01-01-0566</v>
          </cell>
          <cell r="B817">
            <v>0</v>
          </cell>
          <cell r="C817" t="str">
            <v xml:space="preserve">  ARIF IMPEX</v>
          </cell>
          <cell r="D817">
            <v>0</v>
          </cell>
          <cell r="E817">
            <v>0</v>
          </cell>
          <cell r="F817">
            <v>0</v>
          </cell>
          <cell r="G817">
            <v>0</v>
          </cell>
        </row>
        <row r="818">
          <cell r="A818" t="str">
            <v>23-01-01-0567</v>
          </cell>
          <cell r="B818">
            <v>0</v>
          </cell>
          <cell r="C818" t="str">
            <v xml:space="preserve">  MANSOOR CORPORATION</v>
          </cell>
          <cell r="D818">
            <v>0</v>
          </cell>
          <cell r="E818">
            <v>0</v>
          </cell>
          <cell r="F818">
            <v>0</v>
          </cell>
          <cell r="G818">
            <v>0</v>
          </cell>
        </row>
        <row r="819">
          <cell r="A819" t="str">
            <v>23-01-01-0568</v>
          </cell>
          <cell r="B819">
            <v>0</v>
          </cell>
          <cell r="C819" t="str">
            <v xml:space="preserve">  S. S. PRINTERS KARACHI.</v>
          </cell>
          <cell r="D819">
            <v>0</v>
          </cell>
          <cell r="E819">
            <v>0</v>
          </cell>
          <cell r="F819">
            <v>0</v>
          </cell>
          <cell r="G819">
            <v>0</v>
          </cell>
        </row>
        <row r="820">
          <cell r="A820" t="str">
            <v>23-01-01-0569</v>
          </cell>
          <cell r="B820">
            <v>0</v>
          </cell>
          <cell r="C820" t="str">
            <v xml:space="preserve">  ALAM ENGINEERING WORKS FSD</v>
          </cell>
          <cell r="D820">
            <v>0</v>
          </cell>
          <cell r="E820">
            <v>0</v>
          </cell>
          <cell r="F820">
            <v>0</v>
          </cell>
          <cell r="G820">
            <v>0</v>
          </cell>
        </row>
        <row r="821">
          <cell r="A821" t="str">
            <v>23-01-01-0570</v>
          </cell>
          <cell r="B821">
            <v>0</v>
          </cell>
          <cell r="C821" t="str">
            <v xml:space="preserve">  MATEEN TRADERS</v>
          </cell>
          <cell r="D821">
            <v>0</v>
          </cell>
          <cell r="E821">
            <v>0</v>
          </cell>
          <cell r="F821">
            <v>0</v>
          </cell>
          <cell r="G821">
            <v>0</v>
          </cell>
        </row>
        <row r="822">
          <cell r="A822" t="str">
            <v>23-01-01-0571</v>
          </cell>
          <cell r="B822">
            <v>0</v>
          </cell>
          <cell r="C822" t="str">
            <v xml:space="preserve">  RAUF IMPEX</v>
          </cell>
          <cell r="D822">
            <v>0</v>
          </cell>
          <cell r="E822">
            <v>0</v>
          </cell>
          <cell r="F822">
            <v>0</v>
          </cell>
          <cell r="G822">
            <v>0</v>
          </cell>
        </row>
        <row r="823">
          <cell r="A823" t="str">
            <v>23-01-01-0572</v>
          </cell>
          <cell r="B823">
            <v>0</v>
          </cell>
          <cell r="C823" t="str">
            <v xml:space="preserve">  UMER CORPORATION</v>
          </cell>
          <cell r="D823">
            <v>0</v>
          </cell>
          <cell r="E823">
            <v>0</v>
          </cell>
          <cell r="F823">
            <v>0</v>
          </cell>
          <cell r="G823">
            <v>0</v>
          </cell>
        </row>
        <row r="824">
          <cell r="A824" t="str">
            <v>23-01-01-0573</v>
          </cell>
          <cell r="B824">
            <v>0</v>
          </cell>
          <cell r="C824" t="str">
            <v xml:space="preserve">  MANSOOR IMPEX</v>
          </cell>
          <cell r="D824">
            <v>0</v>
          </cell>
          <cell r="E824">
            <v>0</v>
          </cell>
          <cell r="F824">
            <v>0</v>
          </cell>
          <cell r="G824">
            <v>0</v>
          </cell>
        </row>
        <row r="825">
          <cell r="A825" t="str">
            <v>23-01-01-0574</v>
          </cell>
          <cell r="B825">
            <v>0</v>
          </cell>
          <cell r="C825" t="str">
            <v xml:space="preserve">  TAHER TRADERS</v>
          </cell>
          <cell r="D825">
            <v>0</v>
          </cell>
          <cell r="E825">
            <v>0</v>
          </cell>
          <cell r="F825">
            <v>0</v>
          </cell>
          <cell r="G825">
            <v>0</v>
          </cell>
        </row>
        <row r="826">
          <cell r="A826" t="str">
            <v>23-01-01-0575</v>
          </cell>
          <cell r="B826">
            <v>0</v>
          </cell>
          <cell r="C826" t="str">
            <v xml:space="preserve">  ANIS TRADERS</v>
          </cell>
          <cell r="D826">
            <v>0</v>
          </cell>
          <cell r="E826">
            <v>0</v>
          </cell>
          <cell r="F826">
            <v>0</v>
          </cell>
          <cell r="G826">
            <v>0</v>
          </cell>
        </row>
        <row r="827">
          <cell r="A827" t="str">
            <v>23-01-01-0576</v>
          </cell>
          <cell r="B827">
            <v>0</v>
          </cell>
          <cell r="C827" t="str">
            <v xml:space="preserve">  IQBAL CORPORATION</v>
          </cell>
          <cell r="D827">
            <v>0</v>
          </cell>
          <cell r="E827">
            <v>0</v>
          </cell>
          <cell r="F827">
            <v>0</v>
          </cell>
          <cell r="G827">
            <v>0</v>
          </cell>
        </row>
        <row r="828">
          <cell r="A828" t="str">
            <v>23-01-01-0577</v>
          </cell>
          <cell r="B828">
            <v>0</v>
          </cell>
          <cell r="C828" t="str">
            <v xml:space="preserve">  DILNAWAZ ENTERPRISES</v>
          </cell>
          <cell r="D828">
            <v>0</v>
          </cell>
          <cell r="E828">
            <v>0</v>
          </cell>
          <cell r="F828">
            <v>0</v>
          </cell>
          <cell r="G828">
            <v>0</v>
          </cell>
        </row>
        <row r="829">
          <cell r="A829" t="str">
            <v>23-01-01-0578</v>
          </cell>
          <cell r="B829">
            <v>0</v>
          </cell>
          <cell r="C829" t="str">
            <v xml:space="preserve">  AMIR MUHAMMAD TOPI.</v>
          </cell>
          <cell r="D829">
            <v>0</v>
          </cell>
          <cell r="E829">
            <v>0</v>
          </cell>
          <cell r="F829">
            <v>0</v>
          </cell>
          <cell r="G829">
            <v>0</v>
          </cell>
        </row>
        <row r="830">
          <cell r="A830" t="str">
            <v>23-01-01-0579</v>
          </cell>
          <cell r="B830">
            <v>0</v>
          </cell>
          <cell r="C830" t="str">
            <v xml:space="preserve">  HUSSNA CORPORATION</v>
          </cell>
          <cell r="D830">
            <v>0</v>
          </cell>
          <cell r="E830">
            <v>0</v>
          </cell>
          <cell r="F830">
            <v>0</v>
          </cell>
          <cell r="G830">
            <v>0</v>
          </cell>
        </row>
        <row r="831">
          <cell r="A831" t="str">
            <v>23-01-01-0580</v>
          </cell>
          <cell r="B831">
            <v>0</v>
          </cell>
          <cell r="C831" t="str">
            <v xml:space="preserve">  LUCKY PRINTERS</v>
          </cell>
          <cell r="D831">
            <v>0</v>
          </cell>
          <cell r="E831">
            <v>0</v>
          </cell>
          <cell r="F831">
            <v>0</v>
          </cell>
          <cell r="G831">
            <v>0</v>
          </cell>
        </row>
        <row r="832">
          <cell r="A832" t="str">
            <v>23-01-01-0581</v>
          </cell>
          <cell r="B832">
            <v>0</v>
          </cell>
          <cell r="C832" t="str">
            <v xml:space="preserve">  A ,TO Z PRINTING PRESS</v>
          </cell>
          <cell r="D832">
            <v>0</v>
          </cell>
          <cell r="E832">
            <v>0</v>
          </cell>
          <cell r="F832">
            <v>0</v>
          </cell>
          <cell r="G832">
            <v>0</v>
          </cell>
        </row>
        <row r="833">
          <cell r="A833" t="str">
            <v>23-01-01-0582</v>
          </cell>
          <cell r="B833">
            <v>0</v>
          </cell>
          <cell r="C833" t="str">
            <v xml:space="preserve">  SHAHZAD PRINTING PRESS</v>
          </cell>
          <cell r="D833">
            <v>0</v>
          </cell>
          <cell r="E833">
            <v>0</v>
          </cell>
          <cell r="F833">
            <v>0</v>
          </cell>
          <cell r="G833">
            <v>0</v>
          </cell>
        </row>
        <row r="834">
          <cell r="A834" t="str">
            <v>23-01-01-0583</v>
          </cell>
          <cell r="B834">
            <v>0</v>
          </cell>
          <cell r="C834" t="str">
            <v xml:space="preserve">  SILVER PRINTING SERVICE</v>
          </cell>
          <cell r="D834">
            <v>0</v>
          </cell>
          <cell r="E834">
            <v>0</v>
          </cell>
          <cell r="F834">
            <v>0</v>
          </cell>
          <cell r="G834">
            <v>0</v>
          </cell>
        </row>
        <row r="835">
          <cell r="A835" t="str">
            <v>23-01-01-0584</v>
          </cell>
          <cell r="B835">
            <v>0</v>
          </cell>
          <cell r="C835" t="str">
            <v xml:space="preserve">  JETPUR WALA PRINTERS</v>
          </cell>
          <cell r="D835">
            <v>0</v>
          </cell>
          <cell r="E835">
            <v>0</v>
          </cell>
          <cell r="F835">
            <v>0</v>
          </cell>
          <cell r="G835">
            <v>0</v>
          </cell>
        </row>
        <row r="836">
          <cell r="A836" t="str">
            <v>23-01-01-0585</v>
          </cell>
          <cell r="B836">
            <v>0</v>
          </cell>
          <cell r="C836" t="str">
            <v xml:space="preserve">  SATTAR TRADERS</v>
          </cell>
          <cell r="D836">
            <v>0</v>
          </cell>
          <cell r="E836">
            <v>0</v>
          </cell>
          <cell r="F836">
            <v>0</v>
          </cell>
          <cell r="G836">
            <v>0</v>
          </cell>
        </row>
        <row r="837">
          <cell r="A837" t="str">
            <v>23-01-01-0586</v>
          </cell>
          <cell r="B837">
            <v>0</v>
          </cell>
          <cell r="C837" t="str">
            <v xml:space="preserve">  STATE LUBRICANTS</v>
          </cell>
          <cell r="D837">
            <v>0</v>
          </cell>
          <cell r="E837">
            <v>0</v>
          </cell>
          <cell r="F837">
            <v>0</v>
          </cell>
          <cell r="G837">
            <v>0</v>
          </cell>
        </row>
        <row r="838">
          <cell r="A838" t="str">
            <v>23-01-01-0587</v>
          </cell>
          <cell r="B838">
            <v>0</v>
          </cell>
          <cell r="C838" t="str">
            <v xml:space="preserve">  STATE OIL COMPANY</v>
          </cell>
          <cell r="D838">
            <v>0</v>
          </cell>
          <cell r="E838">
            <v>0</v>
          </cell>
          <cell r="F838">
            <v>0</v>
          </cell>
          <cell r="G838">
            <v>0</v>
          </cell>
        </row>
        <row r="839">
          <cell r="A839" t="str">
            <v>23-01-01-0588</v>
          </cell>
          <cell r="B839">
            <v>0</v>
          </cell>
          <cell r="C839" t="str">
            <v xml:space="preserve">  PAKISTAN PATROLEIUM PRODUCTS</v>
          </cell>
          <cell r="D839">
            <v>0</v>
          </cell>
          <cell r="E839">
            <v>0</v>
          </cell>
          <cell r="F839">
            <v>0</v>
          </cell>
          <cell r="G839">
            <v>0</v>
          </cell>
        </row>
        <row r="840">
          <cell r="A840" t="str">
            <v>23-01-01-0590</v>
          </cell>
          <cell r="B840">
            <v>0</v>
          </cell>
          <cell r="C840" t="str">
            <v xml:space="preserve">  SHAKIR TRADERS</v>
          </cell>
          <cell r="D840">
            <v>0</v>
          </cell>
          <cell r="E840">
            <v>0</v>
          </cell>
          <cell r="F840">
            <v>0</v>
          </cell>
          <cell r="G840">
            <v>0</v>
          </cell>
        </row>
        <row r="841">
          <cell r="A841" t="str">
            <v>23-01-01-0591</v>
          </cell>
          <cell r="B841">
            <v>0</v>
          </cell>
          <cell r="C841" t="str">
            <v xml:space="preserve">  IQBAL IMPEX</v>
          </cell>
          <cell r="D841">
            <v>0</v>
          </cell>
          <cell r="E841">
            <v>0</v>
          </cell>
          <cell r="F841">
            <v>0</v>
          </cell>
          <cell r="G841">
            <v>0</v>
          </cell>
        </row>
        <row r="842">
          <cell r="A842" t="str">
            <v>23-01-01-0592</v>
          </cell>
          <cell r="B842">
            <v>0</v>
          </cell>
          <cell r="C842" t="str">
            <v xml:space="preserve">  QAIUM CORPORATION</v>
          </cell>
          <cell r="D842">
            <v>0</v>
          </cell>
          <cell r="E842">
            <v>0</v>
          </cell>
          <cell r="F842">
            <v>0</v>
          </cell>
          <cell r="G842">
            <v>0</v>
          </cell>
        </row>
        <row r="843">
          <cell r="A843" t="str">
            <v>23-01-01-0593</v>
          </cell>
          <cell r="B843">
            <v>0</v>
          </cell>
          <cell r="C843" t="str">
            <v xml:space="preserve">  FAZAL PRESS</v>
          </cell>
          <cell r="D843">
            <v>0</v>
          </cell>
          <cell r="E843">
            <v>0</v>
          </cell>
          <cell r="F843">
            <v>0</v>
          </cell>
          <cell r="G843">
            <v>0</v>
          </cell>
        </row>
        <row r="844">
          <cell r="A844" t="str">
            <v>23-01-01-0594</v>
          </cell>
          <cell r="B844">
            <v>0</v>
          </cell>
          <cell r="C844" t="str">
            <v xml:space="preserve">  ANJUM IMPEX</v>
          </cell>
          <cell r="D844">
            <v>0</v>
          </cell>
          <cell r="E844">
            <v>0</v>
          </cell>
          <cell r="F844">
            <v>0</v>
          </cell>
          <cell r="G844">
            <v>0</v>
          </cell>
        </row>
        <row r="845">
          <cell r="A845" t="str">
            <v>23-01-01-0595</v>
          </cell>
          <cell r="B845">
            <v>0</v>
          </cell>
          <cell r="C845" t="str">
            <v xml:space="preserve">  ANWAR TRADERS</v>
          </cell>
          <cell r="D845">
            <v>0</v>
          </cell>
          <cell r="E845">
            <v>0</v>
          </cell>
          <cell r="F845">
            <v>0</v>
          </cell>
          <cell r="G845">
            <v>0</v>
          </cell>
        </row>
        <row r="846">
          <cell r="A846" t="str">
            <v>23-01-01-0596</v>
          </cell>
          <cell r="B846">
            <v>0</v>
          </cell>
          <cell r="C846" t="str">
            <v xml:space="preserve">  REHMAN IMPEX</v>
          </cell>
          <cell r="D846">
            <v>0</v>
          </cell>
          <cell r="E846">
            <v>0</v>
          </cell>
          <cell r="F846">
            <v>0</v>
          </cell>
          <cell r="G846">
            <v>0</v>
          </cell>
        </row>
        <row r="847">
          <cell r="A847" t="str">
            <v>23-01-01-0597</v>
          </cell>
          <cell r="B847">
            <v>0</v>
          </cell>
          <cell r="C847" t="str">
            <v xml:space="preserve">  MUNAF CORPORATION.</v>
          </cell>
          <cell r="D847">
            <v>0</v>
          </cell>
          <cell r="E847">
            <v>0</v>
          </cell>
          <cell r="F847">
            <v>0</v>
          </cell>
          <cell r="G847">
            <v>0</v>
          </cell>
        </row>
        <row r="848">
          <cell r="A848" t="str">
            <v>23-01-01-0598</v>
          </cell>
          <cell r="B848">
            <v>0</v>
          </cell>
          <cell r="C848" t="str">
            <v xml:space="preserve">  MUKHTAR AHMED</v>
          </cell>
          <cell r="D848">
            <v>0</v>
          </cell>
          <cell r="E848">
            <v>0</v>
          </cell>
          <cell r="F848">
            <v>0</v>
          </cell>
          <cell r="G848">
            <v>0</v>
          </cell>
        </row>
        <row r="849">
          <cell r="A849" t="str">
            <v>23-01-01-0599</v>
          </cell>
          <cell r="B849">
            <v>0</v>
          </cell>
          <cell r="C849" t="str">
            <v xml:space="preserve">  ABDUL AZIZ</v>
          </cell>
          <cell r="D849">
            <v>0</v>
          </cell>
          <cell r="E849">
            <v>0</v>
          </cell>
          <cell r="F849">
            <v>0</v>
          </cell>
          <cell r="G849">
            <v>0</v>
          </cell>
        </row>
        <row r="850">
          <cell r="A850" t="str">
            <v>23-01-01-0600</v>
          </cell>
          <cell r="B850">
            <v>0</v>
          </cell>
          <cell r="C850" t="str">
            <v xml:space="preserve">  MUSHTAQ HUSSAIN</v>
          </cell>
          <cell r="D850">
            <v>0</v>
          </cell>
          <cell r="E850">
            <v>0</v>
          </cell>
          <cell r="F850">
            <v>0</v>
          </cell>
          <cell r="G850">
            <v>0</v>
          </cell>
        </row>
        <row r="851">
          <cell r="A851" t="str">
            <v>23-01-01-0602</v>
          </cell>
          <cell r="B851">
            <v>0</v>
          </cell>
          <cell r="C851" t="str">
            <v xml:space="preserve">  AFZAL HARDWARE &amp; PAINT STORE.</v>
          </cell>
          <cell r="D851">
            <v>0</v>
          </cell>
          <cell r="E851">
            <v>0</v>
          </cell>
          <cell r="F851">
            <v>0</v>
          </cell>
          <cell r="G851">
            <v>0</v>
          </cell>
        </row>
        <row r="852">
          <cell r="A852" t="str">
            <v>23-01-01-0603</v>
          </cell>
          <cell r="B852">
            <v>0</v>
          </cell>
          <cell r="C852" t="str">
            <v xml:space="preserve">  PEARL ENTERPRISES</v>
          </cell>
          <cell r="D852">
            <v>0</v>
          </cell>
          <cell r="E852">
            <v>0</v>
          </cell>
          <cell r="F852">
            <v>0</v>
          </cell>
          <cell r="G852">
            <v>0</v>
          </cell>
        </row>
        <row r="853">
          <cell r="A853" t="str">
            <v>23-01-01-0604</v>
          </cell>
          <cell r="B853">
            <v>0</v>
          </cell>
          <cell r="C853" t="str">
            <v xml:space="preserve">  NAWAZ MILL STORE</v>
          </cell>
          <cell r="D853">
            <v>0</v>
          </cell>
          <cell r="E853">
            <v>0</v>
          </cell>
          <cell r="F853">
            <v>0</v>
          </cell>
          <cell r="G853">
            <v>0</v>
          </cell>
        </row>
        <row r="854">
          <cell r="A854" t="str">
            <v>23-01-01-0605</v>
          </cell>
          <cell r="B854">
            <v>0</v>
          </cell>
          <cell r="C854" t="str">
            <v xml:space="preserve">  TASADUQ MILL STORE</v>
          </cell>
          <cell r="D854">
            <v>0</v>
          </cell>
          <cell r="E854">
            <v>0</v>
          </cell>
          <cell r="F854">
            <v>0</v>
          </cell>
          <cell r="G854">
            <v>0</v>
          </cell>
        </row>
        <row r="855">
          <cell r="A855" t="str">
            <v>23-01-01-0606</v>
          </cell>
          <cell r="B855">
            <v>0</v>
          </cell>
          <cell r="C855" t="str">
            <v xml:space="preserve">  POWER TEC</v>
          </cell>
          <cell r="D855">
            <v>0</v>
          </cell>
          <cell r="E855">
            <v>0</v>
          </cell>
          <cell r="F855">
            <v>0</v>
          </cell>
          <cell r="G855">
            <v>0</v>
          </cell>
        </row>
        <row r="856">
          <cell r="A856" t="str">
            <v>23-01-01-0607</v>
          </cell>
          <cell r="B856">
            <v>0</v>
          </cell>
          <cell r="C856" t="str">
            <v xml:space="preserve">  PIRAN DITA PLASTIC.</v>
          </cell>
          <cell r="D856">
            <v>0</v>
          </cell>
          <cell r="E856">
            <v>0</v>
          </cell>
          <cell r="F856">
            <v>0</v>
          </cell>
          <cell r="G856">
            <v>0</v>
          </cell>
        </row>
        <row r="857">
          <cell r="A857" t="str">
            <v>23-01-01-0608</v>
          </cell>
          <cell r="B857">
            <v>0</v>
          </cell>
          <cell r="C857" t="str">
            <v xml:space="preserve">  ALI MUHAMMED PLASTIC</v>
          </cell>
          <cell r="D857">
            <v>0</v>
          </cell>
          <cell r="E857">
            <v>0</v>
          </cell>
          <cell r="F857">
            <v>0</v>
          </cell>
          <cell r="G857">
            <v>0</v>
          </cell>
        </row>
        <row r="858">
          <cell r="A858" t="str">
            <v>23-01-01-0609</v>
          </cell>
          <cell r="B858">
            <v>0</v>
          </cell>
          <cell r="C858" t="str">
            <v xml:space="preserve">  ALLAH DITTA PLASTIC.</v>
          </cell>
          <cell r="D858">
            <v>0</v>
          </cell>
          <cell r="E858">
            <v>0</v>
          </cell>
          <cell r="F858">
            <v>0</v>
          </cell>
          <cell r="G858">
            <v>0</v>
          </cell>
        </row>
        <row r="859">
          <cell r="A859" t="str">
            <v>23-01-01-0610</v>
          </cell>
          <cell r="B859">
            <v>0</v>
          </cell>
          <cell r="C859" t="str">
            <v xml:space="preserve">  AL-FARIZ PRINTERS</v>
          </cell>
          <cell r="D859">
            <v>0</v>
          </cell>
          <cell r="E859">
            <v>0</v>
          </cell>
          <cell r="F859">
            <v>0</v>
          </cell>
          <cell r="G859">
            <v>0</v>
          </cell>
        </row>
        <row r="860">
          <cell r="A860" t="str">
            <v>23-01-01-0611</v>
          </cell>
          <cell r="B860">
            <v>0</v>
          </cell>
          <cell r="C860" t="str">
            <v xml:space="preserve">  FALCON TRADERS</v>
          </cell>
          <cell r="D860">
            <v>0</v>
          </cell>
          <cell r="E860">
            <v>0</v>
          </cell>
          <cell r="F860">
            <v>0</v>
          </cell>
          <cell r="G860">
            <v>0</v>
          </cell>
        </row>
        <row r="861">
          <cell r="A861" t="str">
            <v>23-01-01-0612</v>
          </cell>
          <cell r="B861">
            <v>0</v>
          </cell>
          <cell r="C861" t="str">
            <v xml:space="preserve">  ALFA COMPUTERS</v>
          </cell>
          <cell r="D861">
            <v>0</v>
          </cell>
          <cell r="E861">
            <v>0</v>
          </cell>
          <cell r="F861">
            <v>0</v>
          </cell>
          <cell r="G861">
            <v>0</v>
          </cell>
        </row>
        <row r="862">
          <cell r="A862" t="str">
            <v>23-01-01-0613</v>
          </cell>
          <cell r="B862">
            <v>0</v>
          </cell>
          <cell r="C862" t="str">
            <v xml:space="preserve">  LASANI TECHNO IMPEX</v>
          </cell>
          <cell r="D862">
            <v>0</v>
          </cell>
          <cell r="E862">
            <v>50296</v>
          </cell>
          <cell r="F862">
            <v>0</v>
          </cell>
          <cell r="G862">
            <v>0</v>
          </cell>
        </row>
        <row r="863">
          <cell r="A863" t="str">
            <v>23-01-01-0614</v>
          </cell>
          <cell r="B863">
            <v>0</v>
          </cell>
          <cell r="C863" t="str">
            <v xml:space="preserve">  ATEEQ MILL STORE</v>
          </cell>
          <cell r="D863">
            <v>0</v>
          </cell>
          <cell r="E863">
            <v>0</v>
          </cell>
          <cell r="F863">
            <v>0</v>
          </cell>
          <cell r="G863">
            <v>0</v>
          </cell>
        </row>
        <row r="864">
          <cell r="A864" t="str">
            <v>23-01-01-0615</v>
          </cell>
          <cell r="B864">
            <v>0</v>
          </cell>
          <cell r="C864" t="str">
            <v xml:space="preserve">  ZUBAIR BROTHERS</v>
          </cell>
          <cell r="D864">
            <v>0</v>
          </cell>
          <cell r="E864">
            <v>0</v>
          </cell>
          <cell r="F864">
            <v>0</v>
          </cell>
          <cell r="G864">
            <v>0</v>
          </cell>
        </row>
        <row r="865">
          <cell r="A865" t="str">
            <v>23-01-01-0616</v>
          </cell>
          <cell r="B865">
            <v>0</v>
          </cell>
          <cell r="C865" t="str">
            <v xml:space="preserve">  MUNIR</v>
          </cell>
          <cell r="D865">
            <v>0</v>
          </cell>
          <cell r="E865">
            <v>0</v>
          </cell>
          <cell r="F865">
            <v>0</v>
          </cell>
          <cell r="G865">
            <v>0</v>
          </cell>
        </row>
        <row r="866">
          <cell r="A866" t="str">
            <v>23-01-01-0617</v>
          </cell>
          <cell r="B866">
            <v>0</v>
          </cell>
          <cell r="C866" t="str">
            <v xml:space="preserve">  TAHIR SHARIF TRADERS</v>
          </cell>
          <cell r="D866">
            <v>0</v>
          </cell>
          <cell r="E866">
            <v>0</v>
          </cell>
          <cell r="F866">
            <v>0</v>
          </cell>
          <cell r="G866">
            <v>0</v>
          </cell>
        </row>
        <row r="867">
          <cell r="A867" t="str">
            <v>23-01-01-0618</v>
          </cell>
          <cell r="B867">
            <v>0</v>
          </cell>
          <cell r="C867" t="str">
            <v xml:space="preserve">  COMMODITY SERVICE AGENY</v>
          </cell>
          <cell r="D867">
            <v>0</v>
          </cell>
          <cell r="E867">
            <v>0</v>
          </cell>
          <cell r="F867">
            <v>0</v>
          </cell>
          <cell r="G867">
            <v>0</v>
          </cell>
        </row>
        <row r="868">
          <cell r="A868" t="str">
            <v>23-01-01-0619</v>
          </cell>
          <cell r="B868">
            <v>0</v>
          </cell>
          <cell r="C868" t="str">
            <v xml:space="preserve">  AL-RIAZ TRADERS</v>
          </cell>
          <cell r="D868">
            <v>0</v>
          </cell>
          <cell r="E868">
            <v>0</v>
          </cell>
          <cell r="F868">
            <v>0</v>
          </cell>
          <cell r="G868">
            <v>0</v>
          </cell>
        </row>
        <row r="869">
          <cell r="A869" t="str">
            <v>23-01-01-0620</v>
          </cell>
          <cell r="B869">
            <v>0</v>
          </cell>
          <cell r="C869" t="str">
            <v xml:space="preserve">  M.AJMAL BUTT &amp; SONS</v>
          </cell>
          <cell r="D869">
            <v>0</v>
          </cell>
          <cell r="E869">
            <v>0</v>
          </cell>
          <cell r="F869">
            <v>0</v>
          </cell>
          <cell r="G869">
            <v>0</v>
          </cell>
        </row>
        <row r="870">
          <cell r="A870" t="str">
            <v>23-01-01-0621</v>
          </cell>
          <cell r="B870">
            <v>0</v>
          </cell>
          <cell r="C870" t="str">
            <v xml:space="preserve">  MUGHAL ENGINEERING CO.</v>
          </cell>
          <cell r="D870">
            <v>0</v>
          </cell>
          <cell r="E870">
            <v>18300</v>
          </cell>
          <cell r="F870">
            <v>0</v>
          </cell>
          <cell r="G870">
            <v>0</v>
          </cell>
        </row>
        <row r="871">
          <cell r="A871" t="str">
            <v>23-01-01-0622</v>
          </cell>
          <cell r="B871">
            <v>0</v>
          </cell>
          <cell r="C871" t="str">
            <v xml:space="preserve">  MUNAF TRADERS</v>
          </cell>
          <cell r="D871">
            <v>0</v>
          </cell>
          <cell r="E871">
            <v>0</v>
          </cell>
          <cell r="F871">
            <v>0</v>
          </cell>
          <cell r="G871">
            <v>0</v>
          </cell>
        </row>
        <row r="872">
          <cell r="A872" t="str">
            <v>23-01-01-0623</v>
          </cell>
          <cell r="B872">
            <v>0</v>
          </cell>
          <cell r="C872" t="str">
            <v xml:space="preserve">  AHMED CORPORATION</v>
          </cell>
          <cell r="D872">
            <v>0</v>
          </cell>
          <cell r="E872">
            <v>0</v>
          </cell>
          <cell r="F872">
            <v>0</v>
          </cell>
          <cell r="G872">
            <v>0</v>
          </cell>
        </row>
        <row r="873">
          <cell r="A873" t="str">
            <v>23-01-01-0624</v>
          </cell>
          <cell r="B873">
            <v>0</v>
          </cell>
          <cell r="C873" t="str">
            <v xml:space="preserve">  MANSOOR &amp; CO.</v>
          </cell>
          <cell r="D873">
            <v>0</v>
          </cell>
          <cell r="E873">
            <v>0</v>
          </cell>
          <cell r="F873">
            <v>0</v>
          </cell>
          <cell r="G873">
            <v>0</v>
          </cell>
        </row>
        <row r="874">
          <cell r="A874" t="str">
            <v>23-01-01-0625</v>
          </cell>
          <cell r="B874">
            <v>0</v>
          </cell>
          <cell r="C874" t="str">
            <v xml:space="preserve">  MAZHAR TRADERS</v>
          </cell>
          <cell r="D874">
            <v>0</v>
          </cell>
          <cell r="E874">
            <v>0</v>
          </cell>
          <cell r="F874">
            <v>0</v>
          </cell>
          <cell r="G874">
            <v>0</v>
          </cell>
        </row>
        <row r="875">
          <cell r="A875" t="str">
            <v>23-01-01-0626</v>
          </cell>
          <cell r="B875">
            <v>0</v>
          </cell>
          <cell r="C875" t="str">
            <v xml:space="preserve">  TANVEER HUSSAIN PACKING PLASTIC</v>
          </cell>
          <cell r="D875">
            <v>0</v>
          </cell>
          <cell r="E875">
            <v>0</v>
          </cell>
          <cell r="F875">
            <v>0</v>
          </cell>
          <cell r="G875">
            <v>0</v>
          </cell>
        </row>
        <row r="876">
          <cell r="A876" t="str">
            <v>23-01-01-0627</v>
          </cell>
          <cell r="B876">
            <v>0</v>
          </cell>
          <cell r="C876" t="str">
            <v xml:space="preserve">  PIR DAD PLASTIC PACKING ENTERPRISES.</v>
          </cell>
          <cell r="D876">
            <v>0</v>
          </cell>
          <cell r="E876">
            <v>0</v>
          </cell>
          <cell r="F876">
            <v>0</v>
          </cell>
          <cell r="G876">
            <v>0</v>
          </cell>
        </row>
        <row r="877">
          <cell r="A877" t="str">
            <v>23-01-01-0628</v>
          </cell>
          <cell r="B877">
            <v>0</v>
          </cell>
          <cell r="C877" t="str">
            <v xml:space="preserve">  SAFDAR HUSSAIN PLASTIC PACKING ENTRPRI</v>
          </cell>
          <cell r="D877">
            <v>0</v>
          </cell>
          <cell r="E877">
            <v>0</v>
          </cell>
          <cell r="F877">
            <v>0</v>
          </cell>
          <cell r="G877">
            <v>0</v>
          </cell>
        </row>
        <row r="878">
          <cell r="A878" t="str">
            <v>23-01-01-0629</v>
          </cell>
          <cell r="B878">
            <v>0</v>
          </cell>
          <cell r="C878" t="str">
            <v xml:space="preserve">  MOON STAR LIGHT ENTERPRISE</v>
          </cell>
          <cell r="D878">
            <v>0</v>
          </cell>
          <cell r="E878">
            <v>0</v>
          </cell>
          <cell r="F878">
            <v>0</v>
          </cell>
          <cell r="G878">
            <v>0</v>
          </cell>
        </row>
        <row r="879">
          <cell r="A879" t="str">
            <v>23-01-01-0630</v>
          </cell>
          <cell r="B879">
            <v>0</v>
          </cell>
          <cell r="C879" t="str">
            <v xml:space="preserve">  FLAQ COMPANY.</v>
          </cell>
          <cell r="D879">
            <v>0</v>
          </cell>
          <cell r="E879">
            <v>0</v>
          </cell>
          <cell r="F879">
            <v>0</v>
          </cell>
          <cell r="G879">
            <v>0</v>
          </cell>
        </row>
        <row r="880">
          <cell r="A880" t="str">
            <v>23-01-01-0631</v>
          </cell>
          <cell r="B880">
            <v>0</v>
          </cell>
          <cell r="C880" t="str">
            <v xml:space="preserve">  MUSHTAQ ENTERPRISES</v>
          </cell>
          <cell r="D880">
            <v>0</v>
          </cell>
          <cell r="E880">
            <v>0</v>
          </cell>
          <cell r="F880">
            <v>0</v>
          </cell>
          <cell r="G880">
            <v>0</v>
          </cell>
        </row>
        <row r="881">
          <cell r="A881" t="str">
            <v>23-01-01-0632</v>
          </cell>
          <cell r="B881">
            <v>0</v>
          </cell>
          <cell r="C881" t="str">
            <v xml:space="preserve">  Y.S TRADERS</v>
          </cell>
          <cell r="D881">
            <v>0</v>
          </cell>
          <cell r="E881">
            <v>0</v>
          </cell>
          <cell r="F881">
            <v>0</v>
          </cell>
          <cell r="G881">
            <v>0</v>
          </cell>
        </row>
        <row r="882">
          <cell r="A882" t="str">
            <v>23-01-01-0633</v>
          </cell>
          <cell r="B882">
            <v>0</v>
          </cell>
          <cell r="C882" t="str">
            <v xml:space="preserve">  J.S TRADERS</v>
          </cell>
          <cell r="D882">
            <v>0</v>
          </cell>
          <cell r="E882">
            <v>0</v>
          </cell>
          <cell r="F882">
            <v>0</v>
          </cell>
          <cell r="G882">
            <v>0</v>
          </cell>
        </row>
        <row r="883">
          <cell r="A883" t="str">
            <v>23-01-01-0634</v>
          </cell>
          <cell r="B883">
            <v>0</v>
          </cell>
          <cell r="C883" t="str">
            <v xml:space="preserve">  ASIF IMPEX</v>
          </cell>
          <cell r="D883">
            <v>0</v>
          </cell>
          <cell r="E883">
            <v>0</v>
          </cell>
          <cell r="F883">
            <v>0</v>
          </cell>
          <cell r="G883">
            <v>0</v>
          </cell>
        </row>
        <row r="884">
          <cell r="A884" t="str">
            <v>23-01-01-0635</v>
          </cell>
          <cell r="B884">
            <v>0</v>
          </cell>
          <cell r="C884" t="str">
            <v xml:space="preserve">  ZARINA CORPORATION.</v>
          </cell>
          <cell r="D884">
            <v>0</v>
          </cell>
          <cell r="E884">
            <v>0</v>
          </cell>
          <cell r="F884">
            <v>0</v>
          </cell>
          <cell r="G884">
            <v>0</v>
          </cell>
        </row>
        <row r="885">
          <cell r="A885" t="str">
            <v>23-01-01-0636</v>
          </cell>
          <cell r="B885">
            <v>0</v>
          </cell>
          <cell r="C885" t="str">
            <v xml:space="preserve">  TAUFIQUE IMPEX</v>
          </cell>
          <cell r="D885">
            <v>0</v>
          </cell>
          <cell r="E885">
            <v>0</v>
          </cell>
          <cell r="F885">
            <v>0</v>
          </cell>
          <cell r="G885">
            <v>0</v>
          </cell>
        </row>
        <row r="886">
          <cell r="A886" t="str">
            <v>23-01-01-0637</v>
          </cell>
          <cell r="B886">
            <v>0</v>
          </cell>
          <cell r="C886" t="str">
            <v xml:space="preserve">  MADNI COPRORATION.</v>
          </cell>
          <cell r="D886">
            <v>0</v>
          </cell>
          <cell r="E886">
            <v>0</v>
          </cell>
          <cell r="F886">
            <v>0</v>
          </cell>
          <cell r="G886">
            <v>0</v>
          </cell>
        </row>
        <row r="887">
          <cell r="A887" t="str">
            <v>23-01-01-0638</v>
          </cell>
          <cell r="B887">
            <v>0</v>
          </cell>
          <cell r="C887" t="str">
            <v xml:space="preserve">  ZIKAR &amp; CO.</v>
          </cell>
          <cell r="D887">
            <v>0</v>
          </cell>
          <cell r="E887">
            <v>0</v>
          </cell>
          <cell r="F887">
            <v>0</v>
          </cell>
          <cell r="G887">
            <v>0</v>
          </cell>
        </row>
        <row r="888">
          <cell r="A888" t="str">
            <v>23-01-01-0639</v>
          </cell>
          <cell r="B888">
            <v>0</v>
          </cell>
          <cell r="C888" t="str">
            <v xml:space="preserve">  KHALID IMPEX</v>
          </cell>
          <cell r="D888">
            <v>0</v>
          </cell>
          <cell r="E888">
            <v>0</v>
          </cell>
          <cell r="F888">
            <v>0</v>
          </cell>
          <cell r="G888">
            <v>0</v>
          </cell>
        </row>
        <row r="889">
          <cell r="A889" t="str">
            <v>23-01-01-0640</v>
          </cell>
          <cell r="B889">
            <v>0</v>
          </cell>
          <cell r="C889" t="str">
            <v xml:space="preserve">  ARIFF TRADERS</v>
          </cell>
          <cell r="D889">
            <v>0</v>
          </cell>
          <cell r="E889">
            <v>0</v>
          </cell>
          <cell r="F889">
            <v>0</v>
          </cell>
          <cell r="G889">
            <v>0</v>
          </cell>
        </row>
        <row r="890">
          <cell r="A890" t="str">
            <v>23-01-01-0641</v>
          </cell>
          <cell r="B890">
            <v>0</v>
          </cell>
          <cell r="C890" t="str">
            <v xml:space="preserve">  UNITED TRADERS</v>
          </cell>
          <cell r="D890">
            <v>0</v>
          </cell>
          <cell r="E890">
            <v>0</v>
          </cell>
          <cell r="F890">
            <v>0</v>
          </cell>
          <cell r="G890">
            <v>0</v>
          </cell>
        </row>
        <row r="891">
          <cell r="A891" t="str">
            <v>23-01-01-0642</v>
          </cell>
          <cell r="B891">
            <v>0</v>
          </cell>
          <cell r="C891" t="str">
            <v xml:space="preserve">  JAWED &amp; COMPANY</v>
          </cell>
          <cell r="D891">
            <v>0</v>
          </cell>
          <cell r="E891">
            <v>40250</v>
          </cell>
          <cell r="F891">
            <v>0</v>
          </cell>
          <cell r="G891">
            <v>0</v>
          </cell>
        </row>
        <row r="892">
          <cell r="A892" t="str">
            <v>23-01-01-0643</v>
          </cell>
          <cell r="B892">
            <v>0</v>
          </cell>
          <cell r="C892" t="str">
            <v xml:space="preserve">  AMIN TRADERS</v>
          </cell>
          <cell r="D892">
            <v>0</v>
          </cell>
          <cell r="E892">
            <v>0</v>
          </cell>
          <cell r="F892">
            <v>0</v>
          </cell>
          <cell r="G892">
            <v>0</v>
          </cell>
        </row>
        <row r="893">
          <cell r="A893" t="str">
            <v>23-01-01-0644</v>
          </cell>
          <cell r="B893">
            <v>0</v>
          </cell>
          <cell r="C893" t="str">
            <v xml:space="preserve">  AKBAR IMPEX</v>
          </cell>
          <cell r="D893">
            <v>0</v>
          </cell>
          <cell r="E893">
            <v>0</v>
          </cell>
          <cell r="F893">
            <v>0</v>
          </cell>
          <cell r="G893">
            <v>0</v>
          </cell>
        </row>
        <row r="894">
          <cell r="A894" t="str">
            <v>23-01-01-0645</v>
          </cell>
          <cell r="B894">
            <v>0</v>
          </cell>
          <cell r="C894" t="str">
            <v xml:space="preserve">  SHAHID MUNIR &amp; CO</v>
          </cell>
          <cell r="D894">
            <v>0</v>
          </cell>
          <cell r="E894">
            <v>0</v>
          </cell>
          <cell r="F894">
            <v>0</v>
          </cell>
          <cell r="G894">
            <v>0</v>
          </cell>
        </row>
        <row r="895">
          <cell r="A895" t="str">
            <v>23-01-01-0646</v>
          </cell>
          <cell r="B895">
            <v>0</v>
          </cell>
          <cell r="C895" t="str">
            <v xml:space="preserve">  SAJJAD CORPORATION</v>
          </cell>
          <cell r="D895">
            <v>0</v>
          </cell>
          <cell r="E895">
            <v>0</v>
          </cell>
          <cell r="F895">
            <v>0</v>
          </cell>
          <cell r="G895">
            <v>0</v>
          </cell>
        </row>
        <row r="896">
          <cell r="A896" t="str">
            <v>23-01-01-0647</v>
          </cell>
          <cell r="B896">
            <v>0</v>
          </cell>
          <cell r="C896" t="str">
            <v xml:space="preserve">  HAROON BROTHERS</v>
          </cell>
          <cell r="D896">
            <v>0</v>
          </cell>
          <cell r="E896">
            <v>0</v>
          </cell>
          <cell r="F896">
            <v>0</v>
          </cell>
          <cell r="G896">
            <v>0</v>
          </cell>
        </row>
        <row r="897">
          <cell r="A897" t="str">
            <v>23-01-01-0648</v>
          </cell>
          <cell r="B897">
            <v>0</v>
          </cell>
          <cell r="C897" t="str">
            <v xml:space="preserve">  A.S.SONS</v>
          </cell>
          <cell r="D897">
            <v>0</v>
          </cell>
          <cell r="E897">
            <v>0</v>
          </cell>
          <cell r="F897">
            <v>0</v>
          </cell>
          <cell r="G897">
            <v>0</v>
          </cell>
        </row>
        <row r="898">
          <cell r="A898" t="str">
            <v>23-01-01-0649</v>
          </cell>
          <cell r="B898">
            <v>0</v>
          </cell>
          <cell r="C898" t="str">
            <v xml:space="preserve">  ROYAL RUBBER INDUSTRIES</v>
          </cell>
          <cell r="D898">
            <v>0</v>
          </cell>
          <cell r="E898">
            <v>0</v>
          </cell>
          <cell r="F898">
            <v>0</v>
          </cell>
          <cell r="G898">
            <v>0</v>
          </cell>
        </row>
        <row r="899">
          <cell r="A899" t="str">
            <v>23-01-01-0650</v>
          </cell>
          <cell r="B899">
            <v>0</v>
          </cell>
          <cell r="C899" t="str">
            <v xml:space="preserve">  JAPAN ENGINEERING WORKS</v>
          </cell>
          <cell r="D899">
            <v>0</v>
          </cell>
          <cell r="E899">
            <v>0</v>
          </cell>
          <cell r="F899">
            <v>0</v>
          </cell>
          <cell r="G899">
            <v>0</v>
          </cell>
        </row>
        <row r="900">
          <cell r="A900" t="str">
            <v>23-01-01-0651</v>
          </cell>
          <cell r="B900">
            <v>0</v>
          </cell>
          <cell r="C900" t="str">
            <v xml:space="preserve">  COMPUTER ZONE</v>
          </cell>
          <cell r="D900">
            <v>0</v>
          </cell>
          <cell r="E900">
            <v>0</v>
          </cell>
          <cell r="F900">
            <v>0</v>
          </cell>
          <cell r="G900">
            <v>0</v>
          </cell>
        </row>
        <row r="901">
          <cell r="A901" t="str">
            <v>23-01-01-0652</v>
          </cell>
          <cell r="B901">
            <v>0</v>
          </cell>
          <cell r="C901" t="str">
            <v xml:space="preserve">  OVERSEAS ENTERPRISES</v>
          </cell>
          <cell r="D901">
            <v>0</v>
          </cell>
          <cell r="E901">
            <v>0</v>
          </cell>
          <cell r="F901">
            <v>0</v>
          </cell>
          <cell r="G901">
            <v>0</v>
          </cell>
        </row>
        <row r="902">
          <cell r="A902" t="str">
            <v>23-01-01-0653</v>
          </cell>
          <cell r="B902">
            <v>0</v>
          </cell>
          <cell r="C902" t="str">
            <v xml:space="preserve">  FAHAD TRADERS</v>
          </cell>
          <cell r="D902">
            <v>0</v>
          </cell>
          <cell r="E902">
            <v>675</v>
          </cell>
          <cell r="F902">
            <v>0</v>
          </cell>
          <cell r="G902">
            <v>0</v>
          </cell>
        </row>
        <row r="903">
          <cell r="A903" t="str">
            <v>23-01-01-0654</v>
          </cell>
          <cell r="B903">
            <v>0</v>
          </cell>
          <cell r="C903" t="str">
            <v xml:space="preserve">  BISMILLAH TRADERS</v>
          </cell>
          <cell r="D903">
            <v>0</v>
          </cell>
          <cell r="E903">
            <v>0</v>
          </cell>
          <cell r="F903">
            <v>0</v>
          </cell>
          <cell r="G903">
            <v>0</v>
          </cell>
        </row>
        <row r="904">
          <cell r="A904" t="str">
            <v>23-01-01-0655</v>
          </cell>
          <cell r="B904">
            <v>0</v>
          </cell>
          <cell r="C904" t="str">
            <v xml:space="preserve">  PREMIER ENTERPRISES</v>
          </cell>
          <cell r="D904">
            <v>0</v>
          </cell>
          <cell r="E904">
            <v>0</v>
          </cell>
          <cell r="F904">
            <v>0</v>
          </cell>
          <cell r="G904">
            <v>0</v>
          </cell>
        </row>
        <row r="905">
          <cell r="A905" t="str">
            <v>23-01-01-0656</v>
          </cell>
          <cell r="B905">
            <v>0</v>
          </cell>
          <cell r="C905" t="str">
            <v xml:space="preserve">  AMBER TRADERS</v>
          </cell>
          <cell r="D905">
            <v>0</v>
          </cell>
          <cell r="E905">
            <v>0</v>
          </cell>
          <cell r="F905">
            <v>0</v>
          </cell>
          <cell r="G905">
            <v>0</v>
          </cell>
        </row>
        <row r="906">
          <cell r="A906" t="str">
            <v>23-01-01-0657</v>
          </cell>
          <cell r="B906">
            <v>0</v>
          </cell>
          <cell r="C906" t="str">
            <v xml:space="preserve">  SIND BOBBINS</v>
          </cell>
          <cell r="D906">
            <v>0</v>
          </cell>
          <cell r="E906">
            <v>0</v>
          </cell>
          <cell r="F906">
            <v>0</v>
          </cell>
          <cell r="G906">
            <v>0</v>
          </cell>
        </row>
        <row r="907">
          <cell r="A907" t="str">
            <v>23-01-01-0658</v>
          </cell>
          <cell r="B907">
            <v>0</v>
          </cell>
          <cell r="C907" t="str">
            <v xml:space="preserve">  FEROZ FEEDS LIMITED.</v>
          </cell>
          <cell r="D907">
            <v>0</v>
          </cell>
          <cell r="E907">
            <v>0</v>
          </cell>
          <cell r="F907">
            <v>0</v>
          </cell>
          <cell r="G907">
            <v>0</v>
          </cell>
        </row>
        <row r="908">
          <cell r="A908" t="str">
            <v>23-01-01-0659</v>
          </cell>
          <cell r="B908">
            <v>0</v>
          </cell>
          <cell r="C908" t="str">
            <v xml:space="preserve">  HUMAYUN TRADERS</v>
          </cell>
          <cell r="D908">
            <v>0</v>
          </cell>
          <cell r="E908">
            <v>0</v>
          </cell>
          <cell r="F908">
            <v>0</v>
          </cell>
          <cell r="G908">
            <v>0</v>
          </cell>
        </row>
        <row r="909">
          <cell r="A909" t="str">
            <v>23-01-01-0660</v>
          </cell>
          <cell r="B909">
            <v>0</v>
          </cell>
          <cell r="C909" t="str">
            <v xml:space="preserve">  M.R. &amp; CO.</v>
          </cell>
          <cell r="D909">
            <v>0</v>
          </cell>
          <cell r="E909">
            <v>0</v>
          </cell>
          <cell r="F909">
            <v>0</v>
          </cell>
          <cell r="G909">
            <v>0</v>
          </cell>
        </row>
        <row r="910">
          <cell r="A910" t="str">
            <v>23-01-01-0661</v>
          </cell>
          <cell r="B910">
            <v>0</v>
          </cell>
          <cell r="C910" t="str">
            <v xml:space="preserve">  UNITED PUBLISHERS</v>
          </cell>
          <cell r="D910">
            <v>0</v>
          </cell>
          <cell r="E910">
            <v>0</v>
          </cell>
          <cell r="F910">
            <v>0</v>
          </cell>
          <cell r="G910">
            <v>0</v>
          </cell>
        </row>
        <row r="911">
          <cell r="A911" t="str">
            <v>23-01-01-0662</v>
          </cell>
          <cell r="B911">
            <v>0</v>
          </cell>
          <cell r="C911" t="str">
            <v xml:space="preserve">  ALI AMJAD TRADING COMPANY</v>
          </cell>
          <cell r="D911">
            <v>0</v>
          </cell>
          <cell r="E911">
            <v>0</v>
          </cell>
          <cell r="F911">
            <v>0</v>
          </cell>
          <cell r="G911">
            <v>0</v>
          </cell>
        </row>
        <row r="912">
          <cell r="A912" t="str">
            <v>23-01-01-0663</v>
          </cell>
          <cell r="B912">
            <v>0</v>
          </cell>
          <cell r="C912" t="str">
            <v xml:space="preserve">  AL-MADINA ENTERPRISES.</v>
          </cell>
          <cell r="D912">
            <v>0</v>
          </cell>
          <cell r="E912">
            <v>0</v>
          </cell>
          <cell r="F912">
            <v>0</v>
          </cell>
          <cell r="G912">
            <v>0</v>
          </cell>
        </row>
        <row r="913">
          <cell r="A913" t="str">
            <v>23-01-01-0664</v>
          </cell>
          <cell r="B913">
            <v>0</v>
          </cell>
          <cell r="C913" t="str">
            <v xml:space="preserve">  REGAL STAR INDUSTRIES</v>
          </cell>
          <cell r="D913">
            <v>0</v>
          </cell>
          <cell r="E913">
            <v>0</v>
          </cell>
          <cell r="F913">
            <v>0</v>
          </cell>
          <cell r="G913">
            <v>0</v>
          </cell>
        </row>
        <row r="914">
          <cell r="A914" t="str">
            <v>23-01-01-0665</v>
          </cell>
          <cell r="B914">
            <v>0</v>
          </cell>
          <cell r="C914" t="str">
            <v xml:space="preserve">  LITECH ELECTRIC</v>
          </cell>
          <cell r="D914">
            <v>0</v>
          </cell>
          <cell r="E914">
            <v>0</v>
          </cell>
          <cell r="F914">
            <v>0</v>
          </cell>
          <cell r="G914">
            <v>0</v>
          </cell>
        </row>
        <row r="915">
          <cell r="A915" t="str">
            <v>23-01-01-0666</v>
          </cell>
          <cell r="B915">
            <v>0</v>
          </cell>
          <cell r="C915" t="str">
            <v xml:space="preserve">  N.D TRADERS</v>
          </cell>
          <cell r="D915">
            <v>0</v>
          </cell>
          <cell r="E915">
            <v>0</v>
          </cell>
          <cell r="F915">
            <v>0</v>
          </cell>
          <cell r="G915">
            <v>0</v>
          </cell>
        </row>
        <row r="916">
          <cell r="A916" t="str">
            <v>23-01-01-0667</v>
          </cell>
          <cell r="B916">
            <v>0</v>
          </cell>
          <cell r="C916" t="str">
            <v xml:space="preserve">  MEHWISH ENTERPRISES.</v>
          </cell>
          <cell r="D916">
            <v>0</v>
          </cell>
          <cell r="E916">
            <v>0</v>
          </cell>
          <cell r="F916">
            <v>0</v>
          </cell>
          <cell r="G916">
            <v>0</v>
          </cell>
        </row>
        <row r="917">
          <cell r="A917" t="str">
            <v>23-01-01-0668</v>
          </cell>
          <cell r="B917">
            <v>0</v>
          </cell>
          <cell r="C917" t="str">
            <v xml:space="preserve">  AHMED DIN SUPPLIER</v>
          </cell>
          <cell r="D917">
            <v>0</v>
          </cell>
          <cell r="E917">
            <v>0</v>
          </cell>
          <cell r="F917">
            <v>0</v>
          </cell>
          <cell r="G917">
            <v>0</v>
          </cell>
        </row>
        <row r="918">
          <cell r="A918" t="str">
            <v>23-01-01-0669</v>
          </cell>
          <cell r="B918">
            <v>0</v>
          </cell>
          <cell r="C918" t="str">
            <v xml:space="preserve">  MUHAMMED DIN SUPPLIER</v>
          </cell>
          <cell r="D918">
            <v>0</v>
          </cell>
          <cell r="E918">
            <v>0</v>
          </cell>
          <cell r="F918">
            <v>0</v>
          </cell>
          <cell r="G918">
            <v>0</v>
          </cell>
        </row>
        <row r="919">
          <cell r="A919" t="str">
            <v>23-01-01-0670</v>
          </cell>
          <cell r="B919">
            <v>0</v>
          </cell>
          <cell r="C919" t="str">
            <v xml:space="preserve">  CHOUDHRY INTERPRISES</v>
          </cell>
          <cell r="D919">
            <v>0</v>
          </cell>
          <cell r="E919">
            <v>0</v>
          </cell>
          <cell r="F919">
            <v>0</v>
          </cell>
          <cell r="G919">
            <v>0</v>
          </cell>
        </row>
        <row r="920">
          <cell r="A920" t="str">
            <v>23-01-01-0671</v>
          </cell>
          <cell r="B920">
            <v>0</v>
          </cell>
          <cell r="C920" t="str">
            <v xml:space="preserve">  ALI YOUSAF MANUFECTURING CO.</v>
          </cell>
          <cell r="D920">
            <v>0</v>
          </cell>
          <cell r="E920">
            <v>0</v>
          </cell>
          <cell r="F920">
            <v>0</v>
          </cell>
          <cell r="G920">
            <v>0</v>
          </cell>
        </row>
        <row r="921">
          <cell r="A921" t="str">
            <v>23-01-01-0672</v>
          </cell>
          <cell r="B921">
            <v>0</v>
          </cell>
          <cell r="C921" t="str">
            <v xml:space="preserve">  PHILIPS ELECTRICAL INDUSTRIES PAKISTAN</v>
          </cell>
          <cell r="D921">
            <v>22882.48</v>
          </cell>
          <cell r="E921">
            <v>0</v>
          </cell>
          <cell r="F921">
            <v>0</v>
          </cell>
          <cell r="G921">
            <v>0</v>
          </cell>
        </row>
        <row r="922">
          <cell r="A922" t="str">
            <v>23-01-01-0673</v>
          </cell>
          <cell r="B922">
            <v>0</v>
          </cell>
          <cell r="C922" t="str">
            <v xml:space="preserve">  CROWN TYRE</v>
          </cell>
          <cell r="D922">
            <v>0</v>
          </cell>
          <cell r="E922">
            <v>0</v>
          </cell>
          <cell r="F922">
            <v>0</v>
          </cell>
          <cell r="G922">
            <v>0</v>
          </cell>
        </row>
        <row r="923">
          <cell r="A923" t="str">
            <v>23-01-01-0674</v>
          </cell>
          <cell r="B923">
            <v>0</v>
          </cell>
          <cell r="C923" t="str">
            <v xml:space="preserve">  BABAR MUNIR &amp; COMPANY LAHORE.</v>
          </cell>
          <cell r="D923">
            <v>0</v>
          </cell>
          <cell r="E923">
            <v>0</v>
          </cell>
          <cell r="F923">
            <v>0</v>
          </cell>
          <cell r="G923">
            <v>0</v>
          </cell>
        </row>
        <row r="924">
          <cell r="A924" t="str">
            <v>23-01-01-0675</v>
          </cell>
          <cell r="B924">
            <v>0</v>
          </cell>
          <cell r="C924" t="str">
            <v xml:space="preserve">  TEXTILE SERVISES</v>
          </cell>
          <cell r="D924">
            <v>0</v>
          </cell>
          <cell r="E924">
            <v>0</v>
          </cell>
          <cell r="F924">
            <v>0</v>
          </cell>
          <cell r="G924">
            <v>0</v>
          </cell>
        </row>
        <row r="925">
          <cell r="A925" t="str">
            <v>23-01-01-0676</v>
          </cell>
          <cell r="B925">
            <v>0</v>
          </cell>
          <cell r="C925" t="str">
            <v xml:space="preserve">  SABGHATULLAH &amp; TASLIMULLAH</v>
          </cell>
          <cell r="D925">
            <v>0</v>
          </cell>
          <cell r="E925">
            <v>0</v>
          </cell>
          <cell r="F925">
            <v>0</v>
          </cell>
          <cell r="G925">
            <v>0</v>
          </cell>
        </row>
        <row r="926">
          <cell r="A926" t="str">
            <v>23-01-01-0677</v>
          </cell>
          <cell r="B926">
            <v>0</v>
          </cell>
          <cell r="C926" t="str">
            <v xml:space="preserve">  SADAAT CORPORATION</v>
          </cell>
          <cell r="D926">
            <v>0</v>
          </cell>
          <cell r="E926">
            <v>456600</v>
          </cell>
          <cell r="F926">
            <v>0</v>
          </cell>
          <cell r="G926">
            <v>0</v>
          </cell>
        </row>
        <row r="927">
          <cell r="A927" t="str">
            <v>23-01-01-0678</v>
          </cell>
          <cell r="B927">
            <v>0</v>
          </cell>
          <cell r="C927" t="str">
            <v xml:space="preserve">  SPEEDY CORPORATION.</v>
          </cell>
          <cell r="D927">
            <v>0</v>
          </cell>
          <cell r="E927">
            <v>0</v>
          </cell>
          <cell r="F927">
            <v>0</v>
          </cell>
          <cell r="G927">
            <v>0</v>
          </cell>
        </row>
        <row r="928">
          <cell r="A928" t="str">
            <v>23-01-01-0679</v>
          </cell>
          <cell r="B928">
            <v>0</v>
          </cell>
          <cell r="C928" t="str">
            <v xml:space="preserve">  RANA TEXTILE TRADERS</v>
          </cell>
          <cell r="D928">
            <v>0</v>
          </cell>
          <cell r="E928">
            <v>0</v>
          </cell>
          <cell r="F928">
            <v>0</v>
          </cell>
          <cell r="G928">
            <v>0</v>
          </cell>
        </row>
        <row r="929">
          <cell r="A929" t="str">
            <v>23-01-01-0680</v>
          </cell>
          <cell r="B929">
            <v>0</v>
          </cell>
          <cell r="C929" t="str">
            <v xml:space="preserve">  PAKISTAN BOBBIN INDUSTRIES</v>
          </cell>
          <cell r="D929">
            <v>0</v>
          </cell>
          <cell r="E929">
            <v>0</v>
          </cell>
          <cell r="F929">
            <v>0</v>
          </cell>
          <cell r="G929">
            <v>0</v>
          </cell>
        </row>
        <row r="930">
          <cell r="A930" t="str">
            <v>23-01-01-0681</v>
          </cell>
          <cell r="B930">
            <v>0</v>
          </cell>
          <cell r="C930" t="str">
            <v xml:space="preserve">  TEXTILE APRON COMPANY</v>
          </cell>
          <cell r="D930">
            <v>0</v>
          </cell>
          <cell r="E930">
            <v>0</v>
          </cell>
          <cell r="F930">
            <v>0</v>
          </cell>
          <cell r="G930">
            <v>0</v>
          </cell>
        </row>
        <row r="931">
          <cell r="A931" t="str">
            <v>23-01-01-0682</v>
          </cell>
          <cell r="B931">
            <v>0</v>
          </cell>
          <cell r="C931" t="str">
            <v xml:space="preserve">  IDS COMPUTER LAB</v>
          </cell>
          <cell r="D931">
            <v>0</v>
          </cell>
          <cell r="E931">
            <v>0</v>
          </cell>
          <cell r="F931">
            <v>0</v>
          </cell>
          <cell r="G931">
            <v>0</v>
          </cell>
        </row>
        <row r="932">
          <cell r="A932" t="str">
            <v>23-01-01-0683</v>
          </cell>
          <cell r="B932">
            <v>0</v>
          </cell>
          <cell r="C932" t="str">
            <v xml:space="preserve">  ALLA DIN CRUSH SUPPLIER.</v>
          </cell>
          <cell r="D932">
            <v>0</v>
          </cell>
          <cell r="E932">
            <v>0</v>
          </cell>
          <cell r="F932">
            <v>0</v>
          </cell>
          <cell r="G932">
            <v>0</v>
          </cell>
        </row>
        <row r="933">
          <cell r="A933" t="str">
            <v>23-01-01-0684</v>
          </cell>
          <cell r="B933">
            <v>0</v>
          </cell>
          <cell r="C933" t="str">
            <v xml:space="preserve">  ISMAIL USMAN &amp; BROTHERS</v>
          </cell>
          <cell r="D933">
            <v>0</v>
          </cell>
          <cell r="E933">
            <v>0</v>
          </cell>
          <cell r="F933">
            <v>0</v>
          </cell>
          <cell r="G933">
            <v>0</v>
          </cell>
        </row>
        <row r="934">
          <cell r="A934" t="str">
            <v>23-01-01-0685</v>
          </cell>
          <cell r="B934">
            <v>0</v>
          </cell>
          <cell r="C934" t="str">
            <v xml:space="preserve">  FIRDOOS ENGINEERING WORKS</v>
          </cell>
          <cell r="D934">
            <v>0</v>
          </cell>
          <cell r="E934">
            <v>0</v>
          </cell>
          <cell r="F934">
            <v>0</v>
          </cell>
          <cell r="G934">
            <v>0</v>
          </cell>
        </row>
        <row r="935">
          <cell r="A935" t="str">
            <v>23-01-01-0686</v>
          </cell>
          <cell r="B935">
            <v>0</v>
          </cell>
          <cell r="C935" t="str">
            <v xml:space="preserve">  STRONGMAN RUBBER COMPANY LAHORE.</v>
          </cell>
          <cell r="D935">
            <v>0</v>
          </cell>
          <cell r="E935">
            <v>0</v>
          </cell>
          <cell r="F935">
            <v>0</v>
          </cell>
          <cell r="G935">
            <v>0</v>
          </cell>
        </row>
        <row r="936">
          <cell r="A936" t="str">
            <v>23-01-01-0687</v>
          </cell>
          <cell r="B936">
            <v>0</v>
          </cell>
          <cell r="C936" t="str">
            <v xml:space="preserve">  AL-MADINA PRINTERS</v>
          </cell>
          <cell r="D936">
            <v>0</v>
          </cell>
          <cell r="E936">
            <v>0</v>
          </cell>
          <cell r="F936">
            <v>0</v>
          </cell>
          <cell r="G936">
            <v>0</v>
          </cell>
        </row>
        <row r="937">
          <cell r="A937" t="str">
            <v>23-01-01-0688</v>
          </cell>
          <cell r="B937">
            <v>0</v>
          </cell>
          <cell r="C937" t="str">
            <v xml:space="preserve">  GHULAB DIN-GADOON.</v>
          </cell>
          <cell r="D937">
            <v>0</v>
          </cell>
          <cell r="E937">
            <v>0</v>
          </cell>
          <cell r="F937">
            <v>0</v>
          </cell>
          <cell r="G937">
            <v>0</v>
          </cell>
        </row>
        <row r="938">
          <cell r="A938" t="str">
            <v>23-01-01-0689</v>
          </cell>
          <cell r="B938">
            <v>0</v>
          </cell>
          <cell r="C938" t="str">
            <v xml:space="preserve">  PAKISTAN MACHINERY STORE.</v>
          </cell>
          <cell r="D938">
            <v>0</v>
          </cell>
          <cell r="E938">
            <v>0</v>
          </cell>
          <cell r="F938">
            <v>0</v>
          </cell>
          <cell r="G938">
            <v>0</v>
          </cell>
        </row>
        <row r="939">
          <cell r="A939" t="str">
            <v>23-01-01-0690</v>
          </cell>
          <cell r="B939">
            <v>0</v>
          </cell>
          <cell r="C939" t="str">
            <v xml:space="preserve">  SYED BHAIS (PVT) LIMITED</v>
          </cell>
          <cell r="D939">
            <v>0</v>
          </cell>
          <cell r="E939">
            <v>0</v>
          </cell>
          <cell r="F939">
            <v>0</v>
          </cell>
          <cell r="G939">
            <v>0</v>
          </cell>
        </row>
        <row r="940">
          <cell r="A940" t="str">
            <v>23-01-01-0691</v>
          </cell>
          <cell r="B940">
            <v>0</v>
          </cell>
          <cell r="C940" t="str">
            <v xml:space="preserve">  JAFFAR ,&amp; ASIF CO.</v>
          </cell>
          <cell r="D940">
            <v>0</v>
          </cell>
          <cell r="E940">
            <v>0</v>
          </cell>
          <cell r="F940">
            <v>0</v>
          </cell>
          <cell r="G940">
            <v>0</v>
          </cell>
        </row>
        <row r="941">
          <cell r="A941" t="str">
            <v>23-01-01-0692</v>
          </cell>
          <cell r="B941">
            <v>0</v>
          </cell>
          <cell r="C941" t="str">
            <v xml:space="preserve">  ABDUL SALAM HARDWARE &amp; PAINT STORE.</v>
          </cell>
          <cell r="D941">
            <v>0</v>
          </cell>
          <cell r="E941">
            <v>0</v>
          </cell>
          <cell r="F941">
            <v>0</v>
          </cell>
          <cell r="G941">
            <v>0</v>
          </cell>
        </row>
        <row r="942">
          <cell r="A942" t="str">
            <v>23-01-01-0693</v>
          </cell>
          <cell r="B942">
            <v>0</v>
          </cell>
          <cell r="C942" t="str">
            <v xml:space="preserve">  HAJI AMIR MUHAMMAD &amp; SAEED MUHAMMAD.</v>
          </cell>
          <cell r="D942">
            <v>0</v>
          </cell>
          <cell r="E942">
            <v>0</v>
          </cell>
          <cell r="F942">
            <v>0</v>
          </cell>
          <cell r="G942">
            <v>0</v>
          </cell>
        </row>
        <row r="943">
          <cell r="A943" t="str">
            <v>23-01-01-0695</v>
          </cell>
          <cell r="B943">
            <v>0</v>
          </cell>
          <cell r="C943" t="str">
            <v xml:space="preserve">  HAJI BAKHT MUHAMMAD &amp; BROTHERS.</v>
          </cell>
          <cell r="D943">
            <v>0</v>
          </cell>
          <cell r="E943">
            <v>0</v>
          </cell>
          <cell r="F943">
            <v>0</v>
          </cell>
          <cell r="G943">
            <v>0</v>
          </cell>
        </row>
        <row r="944">
          <cell r="A944" t="str">
            <v>23-01-01-0697</v>
          </cell>
          <cell r="B944">
            <v>0</v>
          </cell>
          <cell r="C944" t="str">
            <v xml:space="preserve">  SANAULLAH SUPPLIER TOPI.</v>
          </cell>
          <cell r="D944">
            <v>0</v>
          </cell>
          <cell r="E944">
            <v>0</v>
          </cell>
          <cell r="F944">
            <v>0</v>
          </cell>
          <cell r="G944">
            <v>0</v>
          </cell>
        </row>
        <row r="945">
          <cell r="A945" t="str">
            <v>23-01-01-0698</v>
          </cell>
          <cell r="B945">
            <v>0</v>
          </cell>
          <cell r="C945" t="str">
            <v xml:space="preserve">  ABDUL RASHEED GUZARA ENTERPRISES.</v>
          </cell>
          <cell r="D945">
            <v>0</v>
          </cell>
          <cell r="E945">
            <v>0</v>
          </cell>
          <cell r="F945">
            <v>0</v>
          </cell>
          <cell r="G945">
            <v>0</v>
          </cell>
        </row>
        <row r="946">
          <cell r="A946" t="str">
            <v>23-01-01-0699</v>
          </cell>
          <cell r="B946">
            <v>0</v>
          </cell>
          <cell r="C946" t="str">
            <v xml:space="preserve">  MUHAMMAD IDRIS</v>
          </cell>
          <cell r="D946">
            <v>0</v>
          </cell>
          <cell r="E946">
            <v>0</v>
          </cell>
          <cell r="F946">
            <v>0</v>
          </cell>
          <cell r="G946">
            <v>0</v>
          </cell>
        </row>
        <row r="947">
          <cell r="A947" t="str">
            <v>23-01-01-0700</v>
          </cell>
          <cell r="B947">
            <v>0</v>
          </cell>
          <cell r="C947" t="str">
            <v xml:space="preserve">  STANDARD ENTERPRISES</v>
          </cell>
          <cell r="D947">
            <v>0</v>
          </cell>
          <cell r="E947">
            <v>0</v>
          </cell>
          <cell r="F947">
            <v>0</v>
          </cell>
          <cell r="G947">
            <v>0</v>
          </cell>
        </row>
        <row r="948">
          <cell r="A948" t="str">
            <v>23-01-01-0701</v>
          </cell>
          <cell r="B948">
            <v>0</v>
          </cell>
          <cell r="C948" t="str">
            <v xml:space="preserve">  CH.HAYAT MOHAMMAD MOR</v>
          </cell>
          <cell r="D948">
            <v>0</v>
          </cell>
          <cell r="E948">
            <v>0</v>
          </cell>
          <cell r="F948">
            <v>0</v>
          </cell>
          <cell r="G948">
            <v>0</v>
          </cell>
        </row>
        <row r="949">
          <cell r="A949" t="str">
            <v>23-01-01-0702</v>
          </cell>
          <cell r="B949">
            <v>0</v>
          </cell>
          <cell r="C949" t="str">
            <v xml:space="preserve">  MARSHAL ALLOYS (PVT) LIMITED.</v>
          </cell>
          <cell r="D949">
            <v>0</v>
          </cell>
          <cell r="E949">
            <v>0</v>
          </cell>
          <cell r="F949">
            <v>0</v>
          </cell>
          <cell r="G949">
            <v>0</v>
          </cell>
        </row>
        <row r="950">
          <cell r="A950" t="str">
            <v>23-01-01-0703</v>
          </cell>
          <cell r="B950">
            <v>0</v>
          </cell>
          <cell r="C950" t="str">
            <v xml:space="preserve">  BILAL ENTERPRISES</v>
          </cell>
          <cell r="D950">
            <v>0</v>
          </cell>
          <cell r="E950">
            <v>0</v>
          </cell>
          <cell r="F950">
            <v>0</v>
          </cell>
          <cell r="G950">
            <v>0</v>
          </cell>
        </row>
        <row r="951">
          <cell r="A951" t="str">
            <v>23-01-01-0704</v>
          </cell>
          <cell r="B951">
            <v>0</v>
          </cell>
          <cell r="C951" t="str">
            <v xml:space="preserve">  COMPUTER ZONE-NOWSHERA</v>
          </cell>
          <cell r="D951">
            <v>0</v>
          </cell>
          <cell r="E951">
            <v>0</v>
          </cell>
          <cell r="F951">
            <v>0</v>
          </cell>
          <cell r="G951">
            <v>0</v>
          </cell>
        </row>
        <row r="952">
          <cell r="A952" t="str">
            <v>23-01-01-0705</v>
          </cell>
          <cell r="B952">
            <v>0</v>
          </cell>
          <cell r="C952" t="str">
            <v xml:space="preserve">  GUL WALI KHAN TOPI.</v>
          </cell>
          <cell r="D952">
            <v>0</v>
          </cell>
          <cell r="E952">
            <v>0</v>
          </cell>
          <cell r="F952">
            <v>0</v>
          </cell>
          <cell r="G952">
            <v>0</v>
          </cell>
        </row>
        <row r="953">
          <cell r="A953" t="str">
            <v>23-01-01-0706</v>
          </cell>
          <cell r="B953">
            <v>0</v>
          </cell>
          <cell r="C953" t="str">
            <v xml:space="preserve">  GOHAR REHMAN TOPI.</v>
          </cell>
          <cell r="D953">
            <v>0</v>
          </cell>
          <cell r="E953">
            <v>0</v>
          </cell>
          <cell r="F953">
            <v>0</v>
          </cell>
          <cell r="G953">
            <v>0</v>
          </cell>
        </row>
        <row r="954">
          <cell r="A954" t="str">
            <v>23-01-01-0707</v>
          </cell>
          <cell r="B954">
            <v>0</v>
          </cell>
          <cell r="C954" t="str">
            <v xml:space="preserve">  BAKHTIAR MUHAMMAD TOPI.</v>
          </cell>
          <cell r="D954">
            <v>0</v>
          </cell>
          <cell r="E954">
            <v>0</v>
          </cell>
          <cell r="F954">
            <v>0</v>
          </cell>
          <cell r="G954">
            <v>0</v>
          </cell>
        </row>
        <row r="955">
          <cell r="A955" t="str">
            <v>23-01-01-0708</v>
          </cell>
          <cell r="B955">
            <v>0</v>
          </cell>
          <cell r="C955" t="str">
            <v xml:space="preserve">  MIRZAMAN TOPI.</v>
          </cell>
          <cell r="D955">
            <v>0</v>
          </cell>
          <cell r="E955">
            <v>0</v>
          </cell>
          <cell r="F955">
            <v>0</v>
          </cell>
          <cell r="G955">
            <v>0</v>
          </cell>
        </row>
        <row r="956">
          <cell r="A956" t="str">
            <v>23-01-01-0709</v>
          </cell>
          <cell r="B956">
            <v>0</v>
          </cell>
          <cell r="C956" t="str">
            <v xml:space="preserve">  COMPACT TRADERS</v>
          </cell>
          <cell r="D956">
            <v>0</v>
          </cell>
          <cell r="E956">
            <v>0</v>
          </cell>
          <cell r="F956">
            <v>0</v>
          </cell>
          <cell r="G956">
            <v>0</v>
          </cell>
        </row>
        <row r="957">
          <cell r="A957" t="str">
            <v>23-01-01-0710</v>
          </cell>
          <cell r="B957">
            <v>0</v>
          </cell>
          <cell r="C957" t="str">
            <v xml:space="preserve">  ASMA ENTERPRISES</v>
          </cell>
          <cell r="D957">
            <v>0</v>
          </cell>
          <cell r="E957">
            <v>873520</v>
          </cell>
          <cell r="F957">
            <v>0</v>
          </cell>
          <cell r="G957">
            <v>0</v>
          </cell>
        </row>
        <row r="958">
          <cell r="A958" t="str">
            <v>23-01-01-0711</v>
          </cell>
          <cell r="B958">
            <v>0</v>
          </cell>
          <cell r="C958" t="str">
            <v xml:space="preserve">  HAFIZ &amp; BROTHERS</v>
          </cell>
          <cell r="D958">
            <v>0</v>
          </cell>
          <cell r="E958">
            <v>0</v>
          </cell>
          <cell r="F958">
            <v>0</v>
          </cell>
          <cell r="G958">
            <v>0</v>
          </cell>
        </row>
        <row r="959">
          <cell r="A959" t="str">
            <v>23-01-01-0712</v>
          </cell>
          <cell r="B959">
            <v>0</v>
          </cell>
          <cell r="C959" t="str">
            <v xml:space="preserve">  SHAH WALI GADOON AMAZAI.</v>
          </cell>
          <cell r="D959">
            <v>0</v>
          </cell>
          <cell r="E959">
            <v>0</v>
          </cell>
          <cell r="F959">
            <v>0</v>
          </cell>
          <cell r="G959">
            <v>0</v>
          </cell>
        </row>
        <row r="960">
          <cell r="A960" t="str">
            <v>23-01-01-0713</v>
          </cell>
          <cell r="B960">
            <v>0</v>
          </cell>
          <cell r="C960" t="str">
            <v xml:space="preserve">  NIAZ ALI &amp; BROTHERS GADOON AMAZAI.</v>
          </cell>
          <cell r="D960">
            <v>0</v>
          </cell>
          <cell r="E960">
            <v>0</v>
          </cell>
          <cell r="F960">
            <v>0</v>
          </cell>
          <cell r="G960">
            <v>0</v>
          </cell>
        </row>
        <row r="961">
          <cell r="A961" t="str">
            <v>23-01-01-0714</v>
          </cell>
          <cell r="B961">
            <v>0</v>
          </cell>
          <cell r="C961" t="str">
            <v xml:space="preserve">  MUHAMMAD SHAH &amp; CO GADOON AMAZAI.</v>
          </cell>
          <cell r="D961">
            <v>0</v>
          </cell>
          <cell r="E961">
            <v>0</v>
          </cell>
          <cell r="F961">
            <v>0</v>
          </cell>
          <cell r="G961">
            <v>0</v>
          </cell>
        </row>
        <row r="962">
          <cell r="A962" t="str">
            <v>23-01-01-0715</v>
          </cell>
          <cell r="B962">
            <v>0</v>
          </cell>
          <cell r="C962" t="str">
            <v xml:space="preserve">  FAZAL QAYYUM &amp; BROTHERS</v>
          </cell>
          <cell r="D962">
            <v>0</v>
          </cell>
          <cell r="E962">
            <v>0</v>
          </cell>
          <cell r="F962">
            <v>0</v>
          </cell>
          <cell r="G962">
            <v>0</v>
          </cell>
        </row>
        <row r="963">
          <cell r="A963" t="str">
            <v>23-01-01-0716</v>
          </cell>
          <cell r="B963">
            <v>0</v>
          </cell>
          <cell r="C963" t="str">
            <v xml:space="preserve">  MUHAMMAD HAYAT &amp; CO GADOON AMAZAI.</v>
          </cell>
          <cell r="D963">
            <v>0</v>
          </cell>
          <cell r="E963">
            <v>0</v>
          </cell>
          <cell r="F963">
            <v>0</v>
          </cell>
          <cell r="G963">
            <v>0</v>
          </cell>
        </row>
        <row r="964">
          <cell r="A964" t="str">
            <v>23-01-01-0717</v>
          </cell>
          <cell r="B964">
            <v>0</v>
          </cell>
          <cell r="C964" t="str">
            <v xml:space="preserve">  ZAHID ZAMAN</v>
          </cell>
          <cell r="D964">
            <v>0</v>
          </cell>
          <cell r="E964">
            <v>0</v>
          </cell>
          <cell r="F964">
            <v>0</v>
          </cell>
          <cell r="G964">
            <v>0</v>
          </cell>
        </row>
        <row r="965">
          <cell r="A965" t="str">
            <v>23-01-01-0718</v>
          </cell>
          <cell r="B965">
            <v>0</v>
          </cell>
          <cell r="C965" t="str">
            <v xml:space="preserve">  NOOR UL REHAMAN SUPPLIER TOPI.</v>
          </cell>
          <cell r="D965">
            <v>0</v>
          </cell>
          <cell r="E965">
            <v>0</v>
          </cell>
          <cell r="F965">
            <v>0</v>
          </cell>
          <cell r="G965">
            <v>0</v>
          </cell>
        </row>
        <row r="966">
          <cell r="A966" t="str">
            <v>23-01-01-0719</v>
          </cell>
          <cell r="B966">
            <v>0</v>
          </cell>
          <cell r="C966" t="str">
            <v xml:space="preserve">  GHANI HAYAT SUPPLIER TOPI.</v>
          </cell>
          <cell r="D966">
            <v>0</v>
          </cell>
          <cell r="E966">
            <v>0</v>
          </cell>
          <cell r="F966">
            <v>0</v>
          </cell>
          <cell r="G966">
            <v>0</v>
          </cell>
        </row>
        <row r="967">
          <cell r="A967" t="str">
            <v>23-01-01-0720</v>
          </cell>
          <cell r="B967">
            <v>0</v>
          </cell>
          <cell r="C967" t="str">
            <v xml:space="preserve">  RAHMAN ENTERPRISES</v>
          </cell>
          <cell r="D967">
            <v>0</v>
          </cell>
          <cell r="E967">
            <v>0</v>
          </cell>
          <cell r="F967">
            <v>0</v>
          </cell>
          <cell r="G967">
            <v>0</v>
          </cell>
        </row>
        <row r="968">
          <cell r="A968" t="str">
            <v>23-01-01-0721</v>
          </cell>
          <cell r="B968">
            <v>0</v>
          </cell>
          <cell r="C968" t="str">
            <v xml:space="preserve">  QAISER BROTHERS</v>
          </cell>
          <cell r="D968">
            <v>0</v>
          </cell>
          <cell r="E968">
            <v>0</v>
          </cell>
          <cell r="F968">
            <v>0</v>
          </cell>
          <cell r="G968">
            <v>0</v>
          </cell>
        </row>
        <row r="969">
          <cell r="A969" t="str">
            <v>23-01-01-0722</v>
          </cell>
          <cell r="B969">
            <v>0</v>
          </cell>
          <cell r="C969" t="str">
            <v xml:space="preserve">  KHIZAR HAYAT AND BROTHERS GADOON.</v>
          </cell>
          <cell r="D969">
            <v>0</v>
          </cell>
          <cell r="E969">
            <v>0</v>
          </cell>
          <cell r="F969">
            <v>0</v>
          </cell>
          <cell r="G969">
            <v>0</v>
          </cell>
        </row>
        <row r="970">
          <cell r="A970" t="str">
            <v>23-01-01-0723</v>
          </cell>
          <cell r="B970">
            <v>0</v>
          </cell>
          <cell r="C970" t="str">
            <v xml:space="preserve">  ABDUL AZIZ &amp; BROTHERS GADOON.</v>
          </cell>
          <cell r="D970">
            <v>0</v>
          </cell>
          <cell r="E970">
            <v>0</v>
          </cell>
          <cell r="F970">
            <v>0</v>
          </cell>
          <cell r="G970">
            <v>0</v>
          </cell>
        </row>
        <row r="971">
          <cell r="A971" t="str">
            <v>23-01-01-0724</v>
          </cell>
          <cell r="B971">
            <v>0</v>
          </cell>
          <cell r="C971" t="str">
            <v xml:space="preserve">  GUL MUHAMMAD &amp; BROTHERS GADOON</v>
          </cell>
          <cell r="D971">
            <v>0</v>
          </cell>
          <cell r="E971">
            <v>0</v>
          </cell>
          <cell r="F971">
            <v>0</v>
          </cell>
          <cell r="G971">
            <v>0</v>
          </cell>
        </row>
        <row r="972">
          <cell r="A972" t="str">
            <v>23-01-01-0725</v>
          </cell>
          <cell r="B972">
            <v>0</v>
          </cell>
          <cell r="C972" t="str">
            <v xml:space="preserve">  BASHIR AHMED GADOON</v>
          </cell>
          <cell r="D972">
            <v>0</v>
          </cell>
          <cell r="E972">
            <v>0</v>
          </cell>
          <cell r="F972">
            <v>0</v>
          </cell>
          <cell r="G972">
            <v>0</v>
          </cell>
        </row>
        <row r="973">
          <cell r="A973" t="str">
            <v>23-01-01-0726</v>
          </cell>
          <cell r="B973">
            <v>0</v>
          </cell>
          <cell r="C973" t="str">
            <v xml:space="preserve">  HAMEED KHAN &amp; BROTHERS GADOON</v>
          </cell>
          <cell r="D973">
            <v>0</v>
          </cell>
          <cell r="E973">
            <v>0</v>
          </cell>
          <cell r="F973">
            <v>0</v>
          </cell>
          <cell r="G973">
            <v>0</v>
          </cell>
        </row>
        <row r="974">
          <cell r="A974" t="str">
            <v>23-01-01-0727</v>
          </cell>
          <cell r="B974">
            <v>0</v>
          </cell>
          <cell r="C974" t="str">
            <v xml:space="preserve">  TASLIMULLAH SUPPLIER GADOON</v>
          </cell>
          <cell r="D974">
            <v>0</v>
          </cell>
          <cell r="E974">
            <v>0</v>
          </cell>
          <cell r="F974">
            <v>0</v>
          </cell>
          <cell r="G974">
            <v>0</v>
          </cell>
        </row>
        <row r="975">
          <cell r="A975" t="str">
            <v>23-01-01-0728</v>
          </cell>
          <cell r="B975">
            <v>0</v>
          </cell>
          <cell r="C975" t="str">
            <v xml:space="preserve">  KHADIM HUSSAIN ENTERPRISES.</v>
          </cell>
          <cell r="D975">
            <v>0</v>
          </cell>
          <cell r="E975">
            <v>0</v>
          </cell>
          <cell r="F975">
            <v>0</v>
          </cell>
          <cell r="G975">
            <v>0</v>
          </cell>
        </row>
        <row r="976">
          <cell r="A976" t="str">
            <v>23-01-01-0729</v>
          </cell>
          <cell r="B976">
            <v>0</v>
          </cell>
          <cell r="C976" t="str">
            <v xml:space="preserve">  NOOR MUAHMMED ENTERPRISES.</v>
          </cell>
          <cell r="D976">
            <v>0</v>
          </cell>
          <cell r="E976">
            <v>0</v>
          </cell>
          <cell r="F976">
            <v>0</v>
          </cell>
          <cell r="G976">
            <v>0</v>
          </cell>
        </row>
        <row r="977">
          <cell r="A977" t="str">
            <v>23-01-01-0730</v>
          </cell>
          <cell r="B977">
            <v>0</v>
          </cell>
          <cell r="C977" t="str">
            <v xml:space="preserve">  FALIK ENTERPRISES</v>
          </cell>
          <cell r="D977">
            <v>0</v>
          </cell>
          <cell r="E977">
            <v>0</v>
          </cell>
          <cell r="F977">
            <v>0</v>
          </cell>
          <cell r="G977">
            <v>0</v>
          </cell>
        </row>
        <row r="978">
          <cell r="A978" t="str">
            <v>23-01-01-0731</v>
          </cell>
          <cell r="B978">
            <v>0</v>
          </cell>
          <cell r="C978" t="str">
            <v xml:space="preserve">  SAEED UR REHMAN GADOON</v>
          </cell>
          <cell r="D978">
            <v>0</v>
          </cell>
          <cell r="E978">
            <v>0</v>
          </cell>
          <cell r="F978">
            <v>0</v>
          </cell>
          <cell r="G978">
            <v>0</v>
          </cell>
        </row>
        <row r="979">
          <cell r="A979" t="str">
            <v>23-01-01-0732</v>
          </cell>
          <cell r="B979">
            <v>0</v>
          </cell>
          <cell r="C979" t="str">
            <v xml:space="preserve">  SYED LAL BADSHAH GADOON.</v>
          </cell>
          <cell r="D979">
            <v>0</v>
          </cell>
          <cell r="E979">
            <v>0</v>
          </cell>
          <cell r="F979">
            <v>0</v>
          </cell>
          <cell r="G979">
            <v>0</v>
          </cell>
        </row>
        <row r="980">
          <cell r="A980" t="str">
            <v>23-01-01-0733</v>
          </cell>
          <cell r="B980">
            <v>0</v>
          </cell>
          <cell r="C980" t="str">
            <v xml:space="preserve">  BASHIR &amp; BROS.</v>
          </cell>
          <cell r="D980">
            <v>0</v>
          </cell>
          <cell r="E980">
            <v>0</v>
          </cell>
          <cell r="F980">
            <v>0</v>
          </cell>
          <cell r="G980">
            <v>0</v>
          </cell>
        </row>
        <row r="981">
          <cell r="A981" t="str">
            <v>23-01-01-0734</v>
          </cell>
          <cell r="B981">
            <v>0</v>
          </cell>
          <cell r="C981" t="str">
            <v xml:space="preserve">  S.I.TRADERS</v>
          </cell>
          <cell r="D981">
            <v>0</v>
          </cell>
          <cell r="E981">
            <v>0</v>
          </cell>
          <cell r="F981">
            <v>0</v>
          </cell>
          <cell r="G981">
            <v>0</v>
          </cell>
        </row>
        <row r="982">
          <cell r="A982" t="str">
            <v>23-01-01-0735</v>
          </cell>
          <cell r="B982">
            <v>0</v>
          </cell>
          <cell r="C982" t="str">
            <v xml:space="preserve">  FALAK ENTERPRISES</v>
          </cell>
          <cell r="D982">
            <v>0</v>
          </cell>
          <cell r="E982">
            <v>0</v>
          </cell>
          <cell r="F982">
            <v>0</v>
          </cell>
          <cell r="G982">
            <v>0</v>
          </cell>
        </row>
        <row r="983">
          <cell r="A983" t="str">
            <v>23-01-01-0736</v>
          </cell>
          <cell r="B983">
            <v>0</v>
          </cell>
          <cell r="C983" t="str">
            <v xml:space="preserve">  TOYO ENGINEERING WORKS</v>
          </cell>
          <cell r="D983">
            <v>0</v>
          </cell>
          <cell r="E983">
            <v>0</v>
          </cell>
          <cell r="F983">
            <v>0</v>
          </cell>
          <cell r="G983">
            <v>0</v>
          </cell>
        </row>
        <row r="984">
          <cell r="A984" t="str">
            <v>23-01-01-0737</v>
          </cell>
          <cell r="B984">
            <v>0</v>
          </cell>
          <cell r="C984" t="str">
            <v xml:space="preserve">  SAID RAZAQ SUPPLIER GADOON.</v>
          </cell>
          <cell r="D984">
            <v>0</v>
          </cell>
          <cell r="E984">
            <v>0</v>
          </cell>
          <cell r="F984">
            <v>0</v>
          </cell>
          <cell r="G984">
            <v>0</v>
          </cell>
        </row>
        <row r="985">
          <cell r="A985" t="str">
            <v>23-01-01-0738</v>
          </cell>
          <cell r="B985">
            <v>0</v>
          </cell>
          <cell r="C985" t="str">
            <v xml:space="preserve">  MUZAMMIL SHAH &amp; BROS.GADOON.</v>
          </cell>
          <cell r="D985">
            <v>0</v>
          </cell>
          <cell r="E985">
            <v>0</v>
          </cell>
          <cell r="F985">
            <v>0</v>
          </cell>
          <cell r="G985">
            <v>0</v>
          </cell>
        </row>
        <row r="986">
          <cell r="A986" t="str">
            <v>23-01-01-0739</v>
          </cell>
          <cell r="B986">
            <v>0</v>
          </cell>
          <cell r="C986" t="str">
            <v xml:space="preserve">  ADIL SHAH MATERIAL GADOON.</v>
          </cell>
          <cell r="D986">
            <v>0</v>
          </cell>
          <cell r="E986">
            <v>0</v>
          </cell>
          <cell r="F986">
            <v>0</v>
          </cell>
          <cell r="G986">
            <v>0</v>
          </cell>
        </row>
        <row r="987">
          <cell r="A987" t="str">
            <v>23-01-01-0740</v>
          </cell>
          <cell r="B987">
            <v>0</v>
          </cell>
          <cell r="C987" t="str">
            <v xml:space="preserve">  SHAFIQ UR REHMAN &amp; BROS. GADOON.</v>
          </cell>
          <cell r="D987">
            <v>0</v>
          </cell>
          <cell r="E987">
            <v>0</v>
          </cell>
          <cell r="F987">
            <v>0</v>
          </cell>
          <cell r="G987">
            <v>0</v>
          </cell>
        </row>
        <row r="988">
          <cell r="A988" t="str">
            <v>23-01-01-0741</v>
          </cell>
          <cell r="B988">
            <v>0</v>
          </cell>
          <cell r="C988" t="str">
            <v xml:space="preserve">  MOHAMMAD SHAMIM &amp; BROS. GADOON.</v>
          </cell>
          <cell r="D988">
            <v>0</v>
          </cell>
          <cell r="E988">
            <v>0</v>
          </cell>
          <cell r="F988">
            <v>0</v>
          </cell>
          <cell r="G988">
            <v>0</v>
          </cell>
        </row>
        <row r="989">
          <cell r="A989" t="str">
            <v>23-01-01-0742</v>
          </cell>
          <cell r="B989">
            <v>0</v>
          </cell>
          <cell r="C989" t="str">
            <v xml:space="preserve">  ISMAIL KHAN GADOON.</v>
          </cell>
          <cell r="D989">
            <v>0</v>
          </cell>
          <cell r="E989">
            <v>0</v>
          </cell>
          <cell r="F989">
            <v>0</v>
          </cell>
          <cell r="G989">
            <v>0</v>
          </cell>
        </row>
        <row r="990">
          <cell r="A990" t="str">
            <v>23-01-01-0743</v>
          </cell>
          <cell r="B990">
            <v>0</v>
          </cell>
          <cell r="C990" t="str">
            <v xml:space="preserve">  SAID REHMAN GADOON.</v>
          </cell>
          <cell r="D990">
            <v>0</v>
          </cell>
          <cell r="E990">
            <v>0</v>
          </cell>
          <cell r="F990">
            <v>0</v>
          </cell>
          <cell r="G990">
            <v>0</v>
          </cell>
        </row>
        <row r="991">
          <cell r="A991" t="str">
            <v>23-01-01-0744</v>
          </cell>
          <cell r="B991">
            <v>0</v>
          </cell>
          <cell r="C991" t="str">
            <v xml:space="preserve">  FRAZ &amp; CO.</v>
          </cell>
          <cell r="D991">
            <v>0</v>
          </cell>
          <cell r="E991">
            <v>0</v>
          </cell>
          <cell r="F991">
            <v>0</v>
          </cell>
          <cell r="G991">
            <v>0</v>
          </cell>
        </row>
        <row r="992">
          <cell r="A992" t="str">
            <v>23-01-01-0745</v>
          </cell>
          <cell r="B992">
            <v>0</v>
          </cell>
          <cell r="C992" t="str">
            <v xml:space="preserve">  I.P.TRADERS</v>
          </cell>
          <cell r="D992">
            <v>0</v>
          </cell>
          <cell r="E992">
            <v>0</v>
          </cell>
          <cell r="F992">
            <v>0</v>
          </cell>
          <cell r="G992">
            <v>0</v>
          </cell>
        </row>
        <row r="993">
          <cell r="A993" t="str">
            <v>23-01-01-0746</v>
          </cell>
          <cell r="B993">
            <v>0</v>
          </cell>
          <cell r="C993" t="str">
            <v xml:space="preserve">  ZAHID &amp; COMPANY</v>
          </cell>
          <cell r="D993">
            <v>0</v>
          </cell>
          <cell r="E993">
            <v>0</v>
          </cell>
          <cell r="F993">
            <v>0</v>
          </cell>
          <cell r="G993">
            <v>0</v>
          </cell>
        </row>
        <row r="994">
          <cell r="A994" t="str">
            <v>23-01-01-0747</v>
          </cell>
          <cell r="B994">
            <v>0</v>
          </cell>
          <cell r="C994" t="str">
            <v xml:space="preserve">  M.S TRADING CORPORATION</v>
          </cell>
          <cell r="D994">
            <v>0</v>
          </cell>
          <cell r="E994">
            <v>0</v>
          </cell>
          <cell r="F994">
            <v>0</v>
          </cell>
          <cell r="G994">
            <v>0</v>
          </cell>
        </row>
        <row r="995">
          <cell r="A995" t="str">
            <v>23-01-01-0748</v>
          </cell>
          <cell r="B995">
            <v>0</v>
          </cell>
          <cell r="C995" t="str">
            <v xml:space="preserve">  ASAD BACHA MATERIAL SUPPLIERS GADOON.</v>
          </cell>
          <cell r="D995">
            <v>0</v>
          </cell>
          <cell r="E995">
            <v>0</v>
          </cell>
          <cell r="F995">
            <v>0</v>
          </cell>
          <cell r="G995">
            <v>0</v>
          </cell>
        </row>
        <row r="996">
          <cell r="A996" t="str">
            <v>23-01-01-0749</v>
          </cell>
          <cell r="B996">
            <v>0</v>
          </cell>
          <cell r="C996" t="str">
            <v xml:space="preserve">  NOORA KHAN SUPPLIER GADOON.</v>
          </cell>
          <cell r="D996">
            <v>0</v>
          </cell>
          <cell r="E996">
            <v>0</v>
          </cell>
          <cell r="F996">
            <v>0</v>
          </cell>
          <cell r="G996">
            <v>0</v>
          </cell>
        </row>
        <row r="997">
          <cell r="A997" t="str">
            <v>23-01-01-0750</v>
          </cell>
          <cell r="B997">
            <v>0</v>
          </cell>
          <cell r="C997" t="str">
            <v xml:space="preserve">  GOHAR REHMAN &amp; BROTHERS-GADOON.</v>
          </cell>
          <cell r="D997">
            <v>0</v>
          </cell>
          <cell r="E997">
            <v>0</v>
          </cell>
          <cell r="F997">
            <v>0</v>
          </cell>
          <cell r="G997">
            <v>0</v>
          </cell>
        </row>
        <row r="998">
          <cell r="A998" t="str">
            <v>23-01-01-0751</v>
          </cell>
          <cell r="B998">
            <v>0</v>
          </cell>
          <cell r="C998" t="str">
            <v xml:space="preserve">  FAIR TEXTILE TRADERS.</v>
          </cell>
          <cell r="D998">
            <v>0</v>
          </cell>
          <cell r="E998">
            <v>0</v>
          </cell>
          <cell r="F998">
            <v>0</v>
          </cell>
          <cell r="G998">
            <v>0</v>
          </cell>
        </row>
        <row r="999">
          <cell r="A999" t="str">
            <v>23-01-01-0752</v>
          </cell>
          <cell r="B999">
            <v>0</v>
          </cell>
          <cell r="C999" t="str">
            <v xml:space="preserve">  AFZAL TRADERS</v>
          </cell>
          <cell r="D999">
            <v>0</v>
          </cell>
          <cell r="E999">
            <v>0</v>
          </cell>
          <cell r="F999">
            <v>0</v>
          </cell>
          <cell r="G999">
            <v>0</v>
          </cell>
        </row>
        <row r="1000">
          <cell r="A1000" t="str">
            <v>23-01-01-0753</v>
          </cell>
          <cell r="B1000">
            <v>0</v>
          </cell>
          <cell r="C1000" t="str">
            <v xml:space="preserve">  PERWAIZ TRADING CORPORATION (PVT) LTD.</v>
          </cell>
          <cell r="D1000">
            <v>0</v>
          </cell>
          <cell r="E1000">
            <v>0</v>
          </cell>
          <cell r="F1000">
            <v>0</v>
          </cell>
          <cell r="G1000">
            <v>0</v>
          </cell>
        </row>
        <row r="1001">
          <cell r="A1001" t="str">
            <v>23-01-01-0754</v>
          </cell>
          <cell r="B1001">
            <v>0</v>
          </cell>
          <cell r="C1001" t="str">
            <v xml:space="preserve">  RAJPUT TRADERS</v>
          </cell>
          <cell r="D1001">
            <v>0</v>
          </cell>
          <cell r="E1001">
            <v>0</v>
          </cell>
          <cell r="F1001">
            <v>0</v>
          </cell>
          <cell r="G1001">
            <v>0</v>
          </cell>
        </row>
        <row r="1002">
          <cell r="A1002" t="str">
            <v>23-01-01-0755</v>
          </cell>
          <cell r="B1002">
            <v>0</v>
          </cell>
          <cell r="C1002" t="str">
            <v xml:space="preserve">  FARHAT BROTHERS</v>
          </cell>
          <cell r="D1002">
            <v>0</v>
          </cell>
          <cell r="E1002">
            <v>0</v>
          </cell>
          <cell r="F1002">
            <v>0</v>
          </cell>
          <cell r="G1002">
            <v>0</v>
          </cell>
        </row>
        <row r="1003">
          <cell r="A1003" t="str">
            <v>23-01-01-0756</v>
          </cell>
          <cell r="B1003">
            <v>0</v>
          </cell>
          <cell r="C1003" t="str">
            <v xml:space="preserve">  MEHBOOBULLAH GADOON</v>
          </cell>
          <cell r="D1003">
            <v>0</v>
          </cell>
          <cell r="E1003">
            <v>0</v>
          </cell>
          <cell r="F1003">
            <v>0</v>
          </cell>
          <cell r="G1003">
            <v>0</v>
          </cell>
        </row>
        <row r="1004">
          <cell r="A1004" t="str">
            <v>23-01-01-0757</v>
          </cell>
          <cell r="B1004">
            <v>0</v>
          </cell>
          <cell r="C1004" t="str">
            <v xml:space="preserve">  GOHAR ALI &amp; BROTHERS GADOON.</v>
          </cell>
          <cell r="D1004">
            <v>0</v>
          </cell>
          <cell r="E1004">
            <v>0</v>
          </cell>
          <cell r="F1004">
            <v>0</v>
          </cell>
          <cell r="G1004">
            <v>0</v>
          </cell>
        </row>
        <row r="1005">
          <cell r="A1005" t="str">
            <v>23-01-01-0758</v>
          </cell>
          <cell r="B1005">
            <v>0</v>
          </cell>
          <cell r="C1005" t="str">
            <v xml:space="preserve">  BURANUD DIN SUPPLIER GADOON.</v>
          </cell>
          <cell r="D1005">
            <v>0</v>
          </cell>
          <cell r="E1005">
            <v>0</v>
          </cell>
          <cell r="F1005">
            <v>0</v>
          </cell>
          <cell r="G1005">
            <v>0</v>
          </cell>
        </row>
        <row r="1006">
          <cell r="A1006" t="str">
            <v>23-01-01-0759</v>
          </cell>
          <cell r="B1006">
            <v>0</v>
          </cell>
          <cell r="C1006" t="str">
            <v xml:space="preserve">  ZAINUD DIN SUPPLIER GADOON.</v>
          </cell>
          <cell r="D1006">
            <v>0</v>
          </cell>
          <cell r="E1006">
            <v>0</v>
          </cell>
          <cell r="F1006">
            <v>0</v>
          </cell>
          <cell r="G1006">
            <v>0</v>
          </cell>
        </row>
        <row r="1007">
          <cell r="A1007" t="str">
            <v>23-01-01-0760</v>
          </cell>
          <cell r="B1007">
            <v>0</v>
          </cell>
          <cell r="C1007" t="str">
            <v xml:space="preserve">  ZAREEN DIN SUPPLIER GADOON.</v>
          </cell>
          <cell r="D1007">
            <v>0</v>
          </cell>
          <cell r="E1007">
            <v>0</v>
          </cell>
          <cell r="F1007">
            <v>0</v>
          </cell>
          <cell r="G1007">
            <v>0</v>
          </cell>
        </row>
        <row r="1008">
          <cell r="A1008" t="str">
            <v>23-01-01-0761</v>
          </cell>
          <cell r="B1008">
            <v>0</v>
          </cell>
          <cell r="C1008" t="str">
            <v xml:space="preserve">  PRINCE TEXTILE TRADERS</v>
          </cell>
          <cell r="D1008">
            <v>0</v>
          </cell>
          <cell r="E1008">
            <v>0</v>
          </cell>
          <cell r="F1008">
            <v>0</v>
          </cell>
          <cell r="G1008">
            <v>0</v>
          </cell>
        </row>
        <row r="1009">
          <cell r="A1009" t="str">
            <v>23-01-01-0762</v>
          </cell>
          <cell r="B1009">
            <v>0</v>
          </cell>
          <cell r="C1009" t="str">
            <v xml:space="preserve">  YAQOOB SONS</v>
          </cell>
          <cell r="D1009">
            <v>0</v>
          </cell>
          <cell r="E1009">
            <v>0</v>
          </cell>
          <cell r="F1009">
            <v>0</v>
          </cell>
          <cell r="G1009">
            <v>0</v>
          </cell>
        </row>
        <row r="1010">
          <cell r="A1010" t="str">
            <v>23-01-01-0763</v>
          </cell>
          <cell r="B1010">
            <v>0</v>
          </cell>
          <cell r="C1010" t="str">
            <v xml:space="preserve">  REHMAN ULLAH  &amp; COMPANY.</v>
          </cell>
          <cell r="D1010">
            <v>0</v>
          </cell>
          <cell r="E1010">
            <v>0</v>
          </cell>
          <cell r="F1010">
            <v>0</v>
          </cell>
          <cell r="G1010">
            <v>0</v>
          </cell>
        </row>
        <row r="1011">
          <cell r="A1011" t="str">
            <v>23-01-01-0764</v>
          </cell>
          <cell r="B1011">
            <v>0</v>
          </cell>
          <cell r="C1011" t="str">
            <v xml:space="preserve">  AZMATULLAH</v>
          </cell>
          <cell r="D1011">
            <v>0</v>
          </cell>
          <cell r="E1011">
            <v>0</v>
          </cell>
          <cell r="F1011">
            <v>0</v>
          </cell>
          <cell r="G1011">
            <v>0</v>
          </cell>
        </row>
        <row r="1012">
          <cell r="A1012" t="str">
            <v>23-01-01-0765</v>
          </cell>
          <cell r="B1012">
            <v>0</v>
          </cell>
          <cell r="C1012" t="str">
            <v xml:space="preserve">  BASHIR TASLEEM</v>
          </cell>
          <cell r="D1012">
            <v>0</v>
          </cell>
          <cell r="E1012">
            <v>0</v>
          </cell>
          <cell r="F1012">
            <v>0</v>
          </cell>
          <cell r="G1012">
            <v>0</v>
          </cell>
        </row>
        <row r="1013">
          <cell r="A1013" t="str">
            <v>23-01-01-0766</v>
          </cell>
          <cell r="B1013">
            <v>0</v>
          </cell>
          <cell r="C1013" t="str">
            <v xml:space="preserve">  KHATAMULLAH SUPPLIER  GADOON.</v>
          </cell>
          <cell r="D1013">
            <v>0</v>
          </cell>
          <cell r="E1013">
            <v>0</v>
          </cell>
          <cell r="F1013">
            <v>0</v>
          </cell>
          <cell r="G1013">
            <v>0</v>
          </cell>
        </row>
        <row r="1014">
          <cell r="A1014" t="str">
            <v>23-01-01-0767</v>
          </cell>
          <cell r="B1014">
            <v>0</v>
          </cell>
          <cell r="C1014" t="str">
            <v xml:space="preserve">  HAIDER REHMAN &amp; BROTHERS GADOON</v>
          </cell>
          <cell r="D1014">
            <v>0</v>
          </cell>
          <cell r="E1014">
            <v>0</v>
          </cell>
          <cell r="F1014">
            <v>0</v>
          </cell>
          <cell r="G1014">
            <v>0</v>
          </cell>
        </row>
        <row r="1015">
          <cell r="A1015" t="str">
            <v>23-01-01-0768</v>
          </cell>
          <cell r="B1015">
            <v>0</v>
          </cell>
          <cell r="C1015" t="str">
            <v xml:space="preserve">  THE MERCANTILE COMPANY</v>
          </cell>
          <cell r="D1015">
            <v>0</v>
          </cell>
          <cell r="E1015">
            <v>0</v>
          </cell>
          <cell r="F1015">
            <v>0</v>
          </cell>
          <cell r="G1015">
            <v>0</v>
          </cell>
        </row>
        <row r="1016">
          <cell r="A1016" t="str">
            <v>23-01-01-0769</v>
          </cell>
          <cell r="B1016">
            <v>0</v>
          </cell>
          <cell r="C1016" t="str">
            <v xml:space="preserve">  JUNAID ALAM MATERIAL SUPPLIER</v>
          </cell>
          <cell r="D1016">
            <v>0</v>
          </cell>
          <cell r="E1016">
            <v>0</v>
          </cell>
          <cell r="F1016">
            <v>0</v>
          </cell>
          <cell r="G1016">
            <v>0</v>
          </cell>
        </row>
        <row r="1017">
          <cell r="A1017" t="str">
            <v>23-01-01-0770</v>
          </cell>
          <cell r="B1017">
            <v>0</v>
          </cell>
          <cell r="C1017" t="str">
            <v xml:space="preserve">  ZEESHAN ALAM MATERIAL</v>
          </cell>
          <cell r="D1017">
            <v>0</v>
          </cell>
          <cell r="E1017">
            <v>0</v>
          </cell>
          <cell r="F1017">
            <v>0</v>
          </cell>
          <cell r="G1017">
            <v>0</v>
          </cell>
        </row>
        <row r="1018">
          <cell r="A1018" t="str">
            <v>23-01-01-0771</v>
          </cell>
          <cell r="B1018">
            <v>0</v>
          </cell>
          <cell r="C1018" t="str">
            <v xml:space="preserve">  AFTAB ALAM  MATERIAL SUPPLIER</v>
          </cell>
          <cell r="D1018">
            <v>0</v>
          </cell>
          <cell r="E1018">
            <v>0</v>
          </cell>
          <cell r="F1018">
            <v>0</v>
          </cell>
          <cell r="G1018">
            <v>0</v>
          </cell>
        </row>
        <row r="1019">
          <cell r="A1019" t="str">
            <v>23-01-01-0772</v>
          </cell>
          <cell r="B1019">
            <v>0</v>
          </cell>
          <cell r="C1019" t="str">
            <v xml:space="preserve">  SHER AFZAL MATERIAL SUPPLIER</v>
          </cell>
          <cell r="D1019">
            <v>0</v>
          </cell>
          <cell r="E1019">
            <v>0</v>
          </cell>
          <cell r="F1019">
            <v>0</v>
          </cell>
          <cell r="G1019">
            <v>0</v>
          </cell>
        </row>
        <row r="1020">
          <cell r="A1020" t="str">
            <v>23-01-01-0773</v>
          </cell>
          <cell r="B1020">
            <v>0</v>
          </cell>
          <cell r="C1020" t="str">
            <v xml:space="preserve">  A.C.G. COMPUTER</v>
          </cell>
          <cell r="D1020">
            <v>0</v>
          </cell>
          <cell r="E1020">
            <v>0</v>
          </cell>
          <cell r="F1020">
            <v>0</v>
          </cell>
          <cell r="G1020">
            <v>0</v>
          </cell>
        </row>
        <row r="1021">
          <cell r="A1021" t="str">
            <v>23-01-01-0774</v>
          </cell>
          <cell r="B1021">
            <v>0</v>
          </cell>
          <cell r="C1021" t="str">
            <v xml:space="preserve">  A.A.ASSOCIATES</v>
          </cell>
          <cell r="D1021">
            <v>0</v>
          </cell>
          <cell r="E1021">
            <v>0</v>
          </cell>
          <cell r="F1021">
            <v>0</v>
          </cell>
          <cell r="G1021">
            <v>0</v>
          </cell>
        </row>
        <row r="1022">
          <cell r="A1022" t="str">
            <v>23-01-01-0775</v>
          </cell>
          <cell r="B1022">
            <v>0</v>
          </cell>
          <cell r="C1022" t="str">
            <v xml:space="preserve">  MOZAMAL MILLS STORE</v>
          </cell>
          <cell r="D1022">
            <v>0</v>
          </cell>
          <cell r="E1022">
            <v>0</v>
          </cell>
          <cell r="F1022">
            <v>0</v>
          </cell>
          <cell r="G1022">
            <v>0</v>
          </cell>
        </row>
        <row r="1023">
          <cell r="A1023" t="str">
            <v>23-01-01-0776</v>
          </cell>
          <cell r="B1023">
            <v>0</v>
          </cell>
          <cell r="C1023" t="str">
            <v xml:space="preserve">  NAZIR &amp; SONS</v>
          </cell>
          <cell r="D1023">
            <v>0</v>
          </cell>
          <cell r="E1023">
            <v>0</v>
          </cell>
          <cell r="F1023">
            <v>0</v>
          </cell>
          <cell r="G1023">
            <v>0</v>
          </cell>
        </row>
        <row r="1024">
          <cell r="A1024" t="str">
            <v>23-01-01-0777</v>
          </cell>
          <cell r="B1024">
            <v>0</v>
          </cell>
          <cell r="C1024" t="str">
            <v xml:space="preserve">  SHAHZAD &amp; SONS.</v>
          </cell>
          <cell r="D1024">
            <v>0</v>
          </cell>
          <cell r="E1024">
            <v>0</v>
          </cell>
          <cell r="F1024">
            <v>0</v>
          </cell>
          <cell r="G1024">
            <v>0</v>
          </cell>
        </row>
        <row r="1025">
          <cell r="A1025" t="str">
            <v>23-01-01-0778</v>
          </cell>
          <cell r="B1025">
            <v>0</v>
          </cell>
          <cell r="C1025" t="str">
            <v xml:space="preserve">  GUL KHAN  GADOON.</v>
          </cell>
          <cell r="D1025">
            <v>0</v>
          </cell>
          <cell r="E1025">
            <v>0</v>
          </cell>
          <cell r="F1025">
            <v>0</v>
          </cell>
          <cell r="G1025">
            <v>0</v>
          </cell>
        </row>
        <row r="1026">
          <cell r="A1026" t="str">
            <v>23-01-01-0779</v>
          </cell>
          <cell r="B1026">
            <v>0</v>
          </cell>
          <cell r="C1026" t="str">
            <v xml:space="preserve">  CHANAR KHAN GADOON.</v>
          </cell>
          <cell r="D1026">
            <v>0</v>
          </cell>
          <cell r="E1026">
            <v>0</v>
          </cell>
          <cell r="F1026">
            <v>0</v>
          </cell>
          <cell r="G1026">
            <v>0</v>
          </cell>
        </row>
        <row r="1027">
          <cell r="A1027" t="str">
            <v>23-01-01-0780</v>
          </cell>
          <cell r="B1027">
            <v>0</v>
          </cell>
          <cell r="C1027" t="str">
            <v xml:space="preserve">  BADSHAH KHAN.  GADOON.</v>
          </cell>
          <cell r="D1027">
            <v>0</v>
          </cell>
          <cell r="E1027">
            <v>0</v>
          </cell>
          <cell r="F1027">
            <v>0</v>
          </cell>
          <cell r="G1027">
            <v>0</v>
          </cell>
        </row>
        <row r="1028">
          <cell r="A1028" t="str">
            <v>23-01-01-0781</v>
          </cell>
          <cell r="B1028">
            <v>0</v>
          </cell>
          <cell r="C1028" t="str">
            <v xml:space="preserve">  LAL GUL GADOON.</v>
          </cell>
          <cell r="D1028">
            <v>0</v>
          </cell>
          <cell r="E1028">
            <v>0</v>
          </cell>
          <cell r="F1028">
            <v>0</v>
          </cell>
          <cell r="G1028">
            <v>0</v>
          </cell>
        </row>
        <row r="1029">
          <cell r="A1029" t="str">
            <v>23-01-01-0782</v>
          </cell>
          <cell r="B1029">
            <v>0</v>
          </cell>
          <cell r="C1029" t="str">
            <v xml:space="preserve">  MAQSOOD ULLAH</v>
          </cell>
          <cell r="D1029">
            <v>0</v>
          </cell>
          <cell r="E1029">
            <v>0</v>
          </cell>
          <cell r="F1029">
            <v>0</v>
          </cell>
          <cell r="G1029">
            <v>0</v>
          </cell>
        </row>
        <row r="1030">
          <cell r="A1030" t="str">
            <v>23-01-01-0783</v>
          </cell>
          <cell r="B1030">
            <v>0</v>
          </cell>
          <cell r="C1030" t="str">
            <v xml:space="preserve">  MUHAMMED RAFIQ</v>
          </cell>
          <cell r="D1030">
            <v>0</v>
          </cell>
          <cell r="E1030">
            <v>0</v>
          </cell>
          <cell r="F1030">
            <v>0</v>
          </cell>
          <cell r="G1030">
            <v>0</v>
          </cell>
        </row>
        <row r="1031">
          <cell r="A1031" t="str">
            <v>23-01-01-0784</v>
          </cell>
          <cell r="B1031">
            <v>0</v>
          </cell>
          <cell r="C1031" t="str">
            <v xml:space="preserve">  JABRAN MATERIAL SUPPLIER GADOON.</v>
          </cell>
          <cell r="D1031">
            <v>0</v>
          </cell>
          <cell r="E1031">
            <v>0</v>
          </cell>
          <cell r="F1031">
            <v>0</v>
          </cell>
          <cell r="G1031">
            <v>0</v>
          </cell>
        </row>
        <row r="1032">
          <cell r="A1032" t="str">
            <v>23-01-01-0785</v>
          </cell>
          <cell r="B1032">
            <v>0</v>
          </cell>
          <cell r="C1032" t="str">
            <v xml:space="preserve">  UMER HAYAT SUPPLIER GADOON.</v>
          </cell>
          <cell r="D1032">
            <v>0</v>
          </cell>
          <cell r="E1032">
            <v>0</v>
          </cell>
          <cell r="F1032">
            <v>0</v>
          </cell>
          <cell r="G1032">
            <v>0</v>
          </cell>
        </row>
        <row r="1033">
          <cell r="A1033" t="str">
            <v>23-01-01-0786</v>
          </cell>
          <cell r="B1033">
            <v>0</v>
          </cell>
          <cell r="C1033" t="str">
            <v xml:space="preserve">  IBN-E-AMIN. GADOON.</v>
          </cell>
          <cell r="D1033">
            <v>0</v>
          </cell>
          <cell r="E1033">
            <v>0</v>
          </cell>
          <cell r="F1033">
            <v>0</v>
          </cell>
          <cell r="G1033">
            <v>0</v>
          </cell>
        </row>
        <row r="1034">
          <cell r="A1034" t="str">
            <v>23-01-01-0787</v>
          </cell>
          <cell r="B1034">
            <v>0</v>
          </cell>
          <cell r="C1034" t="str">
            <v xml:space="preserve">  IRFAN MATERIAL SUPPLIER GADOON.</v>
          </cell>
          <cell r="D1034">
            <v>0</v>
          </cell>
          <cell r="E1034">
            <v>0</v>
          </cell>
          <cell r="F1034">
            <v>0</v>
          </cell>
          <cell r="G1034">
            <v>0</v>
          </cell>
        </row>
        <row r="1035">
          <cell r="A1035" t="str">
            <v>23-01-01-0788</v>
          </cell>
          <cell r="B1035">
            <v>0</v>
          </cell>
          <cell r="C1035" t="str">
            <v xml:space="preserve">  NEW ALLIED PAINT &amp; HARDWARE STORE.</v>
          </cell>
          <cell r="D1035">
            <v>0</v>
          </cell>
          <cell r="E1035">
            <v>0</v>
          </cell>
          <cell r="F1035">
            <v>0</v>
          </cell>
          <cell r="G1035">
            <v>0</v>
          </cell>
        </row>
        <row r="1036">
          <cell r="A1036" t="str">
            <v>23-01-01-0789</v>
          </cell>
          <cell r="B1036">
            <v>0</v>
          </cell>
          <cell r="C1036" t="str">
            <v xml:space="preserve">  INTERNATIONAL SALES &amp; DISTRIBUTIONS LT</v>
          </cell>
          <cell r="D1036">
            <v>0</v>
          </cell>
          <cell r="E1036">
            <v>0</v>
          </cell>
          <cell r="F1036">
            <v>0</v>
          </cell>
          <cell r="G1036">
            <v>0</v>
          </cell>
        </row>
        <row r="1037">
          <cell r="A1037" t="str">
            <v>23-01-01-0790</v>
          </cell>
          <cell r="B1037">
            <v>0</v>
          </cell>
          <cell r="C1037" t="str">
            <v xml:space="preserve">  A.I. AND COMPANY</v>
          </cell>
          <cell r="D1037">
            <v>0</v>
          </cell>
          <cell r="E1037">
            <v>0</v>
          </cell>
          <cell r="F1037">
            <v>0</v>
          </cell>
          <cell r="G1037">
            <v>0</v>
          </cell>
        </row>
        <row r="1038">
          <cell r="A1038" t="str">
            <v>23-01-01-0791</v>
          </cell>
          <cell r="B1038">
            <v>0</v>
          </cell>
          <cell r="C1038" t="str">
            <v xml:space="preserve">  JAWED ENGINEERING WORKS</v>
          </cell>
          <cell r="D1038">
            <v>0</v>
          </cell>
          <cell r="E1038">
            <v>0</v>
          </cell>
          <cell r="F1038">
            <v>0</v>
          </cell>
          <cell r="G1038">
            <v>0</v>
          </cell>
        </row>
        <row r="1039">
          <cell r="A1039" t="str">
            <v>23-01-01-0792</v>
          </cell>
          <cell r="B1039">
            <v>0</v>
          </cell>
          <cell r="C1039" t="str">
            <v xml:space="preserve">  INAYAT CORPOARATION</v>
          </cell>
          <cell r="D1039">
            <v>0</v>
          </cell>
          <cell r="E1039">
            <v>0</v>
          </cell>
          <cell r="F1039">
            <v>0</v>
          </cell>
          <cell r="G1039">
            <v>0</v>
          </cell>
        </row>
        <row r="1040">
          <cell r="A1040" t="str">
            <v>23-01-01-0793</v>
          </cell>
          <cell r="B1040">
            <v>0</v>
          </cell>
          <cell r="C1040" t="str">
            <v xml:space="preserve">  SCIENCE CENTRE</v>
          </cell>
          <cell r="D1040">
            <v>0</v>
          </cell>
          <cell r="E1040">
            <v>0</v>
          </cell>
          <cell r="F1040">
            <v>0</v>
          </cell>
          <cell r="G1040">
            <v>0</v>
          </cell>
        </row>
        <row r="1041">
          <cell r="A1041" t="str">
            <v>23-01-01-0794</v>
          </cell>
          <cell r="B1041">
            <v>0</v>
          </cell>
          <cell r="C1041" t="str">
            <v xml:space="preserve">  ZIA KAMRAN BROTHERS</v>
          </cell>
          <cell r="D1041">
            <v>0</v>
          </cell>
          <cell r="E1041">
            <v>0</v>
          </cell>
          <cell r="F1041">
            <v>0</v>
          </cell>
          <cell r="G1041">
            <v>0</v>
          </cell>
        </row>
        <row r="1042">
          <cell r="A1042" t="str">
            <v>23-01-01-0795</v>
          </cell>
          <cell r="B1042">
            <v>0</v>
          </cell>
          <cell r="C1042" t="str">
            <v xml:space="preserve">  GOGUN ENTERPRISES</v>
          </cell>
          <cell r="D1042">
            <v>0</v>
          </cell>
          <cell r="E1042">
            <v>0</v>
          </cell>
          <cell r="F1042">
            <v>0</v>
          </cell>
          <cell r="G1042">
            <v>0</v>
          </cell>
        </row>
        <row r="1043">
          <cell r="A1043" t="str">
            <v>23-01-01-0796</v>
          </cell>
          <cell r="B1043">
            <v>0</v>
          </cell>
          <cell r="C1043" t="str">
            <v xml:space="preserve">  NEW GADOON MATERIAL SUPPLIER</v>
          </cell>
          <cell r="D1043">
            <v>0</v>
          </cell>
          <cell r="E1043">
            <v>0</v>
          </cell>
          <cell r="F1043">
            <v>0</v>
          </cell>
          <cell r="G1043">
            <v>0</v>
          </cell>
        </row>
        <row r="1044">
          <cell r="A1044" t="str">
            <v>23-01-01-0797</v>
          </cell>
          <cell r="B1044">
            <v>0</v>
          </cell>
          <cell r="C1044" t="str">
            <v xml:space="preserve">  MUNAWWAR KHAN COMPANY.</v>
          </cell>
          <cell r="D1044">
            <v>0</v>
          </cell>
          <cell r="E1044">
            <v>0</v>
          </cell>
          <cell r="F1044">
            <v>0</v>
          </cell>
          <cell r="G1044">
            <v>0</v>
          </cell>
        </row>
        <row r="1045">
          <cell r="A1045" t="str">
            <v>23-01-01-0798</v>
          </cell>
          <cell r="B1045">
            <v>0</v>
          </cell>
          <cell r="C1045" t="str">
            <v xml:space="preserve">  DANGRA PRINTING PRESS</v>
          </cell>
          <cell r="D1045">
            <v>0</v>
          </cell>
          <cell r="E1045">
            <v>0</v>
          </cell>
          <cell r="F1045">
            <v>0</v>
          </cell>
          <cell r="G1045">
            <v>0</v>
          </cell>
        </row>
        <row r="1046">
          <cell r="A1046" t="str">
            <v>23-01-01-0799</v>
          </cell>
          <cell r="B1046">
            <v>0</v>
          </cell>
          <cell r="C1046" t="str">
            <v xml:space="preserve">  ABDUL HAMEED AGAR.</v>
          </cell>
          <cell r="D1046">
            <v>0</v>
          </cell>
          <cell r="E1046">
            <v>0</v>
          </cell>
          <cell r="F1046">
            <v>0</v>
          </cell>
          <cell r="G1046">
            <v>0</v>
          </cell>
        </row>
        <row r="1047">
          <cell r="A1047" t="str">
            <v>23-01-01-0800</v>
          </cell>
          <cell r="B1047">
            <v>0</v>
          </cell>
          <cell r="C1047" t="str">
            <v xml:space="preserve">  SIR ENTERPRISES.</v>
          </cell>
          <cell r="D1047">
            <v>0</v>
          </cell>
          <cell r="E1047">
            <v>0</v>
          </cell>
          <cell r="F1047">
            <v>0</v>
          </cell>
          <cell r="G1047">
            <v>0</v>
          </cell>
        </row>
        <row r="1048">
          <cell r="A1048" t="str">
            <v>23-01-01-0802</v>
          </cell>
          <cell r="B1048">
            <v>0</v>
          </cell>
          <cell r="C1048" t="str">
            <v xml:space="preserve">  ZAFAR.</v>
          </cell>
          <cell r="D1048">
            <v>0</v>
          </cell>
          <cell r="E1048">
            <v>0</v>
          </cell>
          <cell r="F1048">
            <v>0</v>
          </cell>
          <cell r="G1048">
            <v>0</v>
          </cell>
        </row>
        <row r="1049">
          <cell r="A1049" t="str">
            <v>23-01-01-0803</v>
          </cell>
          <cell r="B1049">
            <v>0</v>
          </cell>
          <cell r="C1049" t="str">
            <v xml:space="preserve">  MIRZA GUL GADOON.</v>
          </cell>
          <cell r="D1049">
            <v>0</v>
          </cell>
          <cell r="E1049">
            <v>0</v>
          </cell>
          <cell r="F1049">
            <v>0</v>
          </cell>
          <cell r="G1049">
            <v>0</v>
          </cell>
        </row>
        <row r="1050">
          <cell r="A1050" t="str">
            <v>23-01-01-0804</v>
          </cell>
          <cell r="B1050">
            <v>0</v>
          </cell>
          <cell r="C1050" t="str">
            <v xml:space="preserve">  KHAYAL WALI GADOON.</v>
          </cell>
          <cell r="D1050">
            <v>0</v>
          </cell>
          <cell r="E1050">
            <v>0</v>
          </cell>
          <cell r="F1050">
            <v>0</v>
          </cell>
          <cell r="G1050">
            <v>0</v>
          </cell>
        </row>
        <row r="1051">
          <cell r="A1051" t="str">
            <v>23-01-01-0805</v>
          </cell>
          <cell r="B1051">
            <v>0</v>
          </cell>
          <cell r="C1051" t="str">
            <v xml:space="preserve">  AHMED ALI MATERIAL SUPPLIER</v>
          </cell>
          <cell r="D1051">
            <v>0</v>
          </cell>
          <cell r="E1051">
            <v>0</v>
          </cell>
          <cell r="F1051">
            <v>0</v>
          </cell>
          <cell r="G1051">
            <v>0</v>
          </cell>
        </row>
        <row r="1052">
          <cell r="A1052" t="str">
            <v>23-01-01-0806</v>
          </cell>
          <cell r="B1052">
            <v>0</v>
          </cell>
          <cell r="C1052" t="str">
            <v xml:space="preserve">  SYDA NOOR MATERIAL SUPPLIERS</v>
          </cell>
          <cell r="D1052">
            <v>0</v>
          </cell>
          <cell r="E1052">
            <v>0</v>
          </cell>
          <cell r="F1052">
            <v>0</v>
          </cell>
          <cell r="G1052">
            <v>0</v>
          </cell>
        </row>
        <row r="1053">
          <cell r="A1053" t="str">
            <v>23-01-01-0807</v>
          </cell>
          <cell r="B1053">
            <v>0</v>
          </cell>
          <cell r="C1053" t="str">
            <v xml:space="preserve">  SRIFULLAH MATERIAL SUPPLIERS</v>
          </cell>
          <cell r="D1053">
            <v>0</v>
          </cell>
          <cell r="E1053">
            <v>0</v>
          </cell>
          <cell r="F1053">
            <v>0</v>
          </cell>
          <cell r="G1053">
            <v>0</v>
          </cell>
        </row>
        <row r="1054">
          <cell r="A1054" t="str">
            <v>23-01-01-0808</v>
          </cell>
          <cell r="B1054">
            <v>0</v>
          </cell>
          <cell r="C1054" t="str">
            <v xml:space="preserve">  HABIBULLAH MATERIAL SUPPLIERS</v>
          </cell>
          <cell r="D1054">
            <v>0</v>
          </cell>
          <cell r="E1054">
            <v>0</v>
          </cell>
          <cell r="F1054">
            <v>0</v>
          </cell>
          <cell r="G1054">
            <v>0</v>
          </cell>
        </row>
        <row r="1055">
          <cell r="A1055" t="str">
            <v>23-01-01-0809</v>
          </cell>
          <cell r="B1055">
            <v>0</v>
          </cell>
          <cell r="C1055" t="str">
            <v xml:space="preserve">  SUBHANULLAH MATERIAL SUPPLIERS</v>
          </cell>
          <cell r="D1055">
            <v>0</v>
          </cell>
          <cell r="E1055">
            <v>0</v>
          </cell>
          <cell r="F1055">
            <v>0</v>
          </cell>
          <cell r="G1055">
            <v>0</v>
          </cell>
        </row>
        <row r="1056">
          <cell r="A1056" t="str">
            <v>23-01-01-0810</v>
          </cell>
          <cell r="B1056">
            <v>0</v>
          </cell>
          <cell r="C1056" t="str">
            <v xml:space="preserve">  ZAINULLHA MATERIAL SUPPLIERS</v>
          </cell>
          <cell r="D1056">
            <v>0</v>
          </cell>
          <cell r="E1056">
            <v>0</v>
          </cell>
          <cell r="F1056">
            <v>0</v>
          </cell>
          <cell r="G1056">
            <v>0</v>
          </cell>
        </row>
        <row r="1057">
          <cell r="A1057" t="str">
            <v>23-01-01-0811</v>
          </cell>
          <cell r="B1057">
            <v>0</v>
          </cell>
          <cell r="C1057" t="str">
            <v xml:space="preserve">  JADOON BROTHERS PACKAGES (PVT) LIMITED</v>
          </cell>
          <cell r="D1057">
            <v>0</v>
          </cell>
          <cell r="E1057">
            <v>0</v>
          </cell>
          <cell r="F1057">
            <v>0</v>
          </cell>
          <cell r="G1057">
            <v>0</v>
          </cell>
        </row>
        <row r="1058">
          <cell r="A1058" t="str">
            <v>23-01-01-0812</v>
          </cell>
          <cell r="B1058">
            <v>0</v>
          </cell>
          <cell r="C1058" t="str">
            <v xml:space="preserve">  SABZALI GADOON.</v>
          </cell>
          <cell r="D1058">
            <v>0</v>
          </cell>
          <cell r="E1058">
            <v>0</v>
          </cell>
          <cell r="F1058">
            <v>0</v>
          </cell>
          <cell r="G1058">
            <v>0</v>
          </cell>
        </row>
        <row r="1059">
          <cell r="A1059" t="str">
            <v>23-01-01-0813</v>
          </cell>
          <cell r="B1059">
            <v>0</v>
          </cell>
          <cell r="C1059" t="str">
            <v xml:space="preserve">  MUHAMMED RAFIQ GADOON</v>
          </cell>
          <cell r="D1059">
            <v>0</v>
          </cell>
          <cell r="E1059">
            <v>0</v>
          </cell>
          <cell r="F1059">
            <v>0</v>
          </cell>
          <cell r="G1059">
            <v>0</v>
          </cell>
        </row>
        <row r="1060">
          <cell r="A1060" t="str">
            <v>23-01-01-0814</v>
          </cell>
          <cell r="B1060">
            <v>0</v>
          </cell>
          <cell r="C1060" t="str">
            <v xml:space="preserve">  MAKHROOS SHAH GADOON.</v>
          </cell>
          <cell r="D1060">
            <v>0</v>
          </cell>
          <cell r="E1060">
            <v>0</v>
          </cell>
          <cell r="F1060">
            <v>0</v>
          </cell>
          <cell r="G1060">
            <v>0</v>
          </cell>
        </row>
        <row r="1061">
          <cell r="A1061" t="str">
            <v>23-01-01-0815</v>
          </cell>
          <cell r="B1061">
            <v>0</v>
          </cell>
          <cell r="C1061" t="str">
            <v xml:space="preserve">  HABIB TRADERS</v>
          </cell>
          <cell r="D1061">
            <v>0</v>
          </cell>
          <cell r="E1061">
            <v>0</v>
          </cell>
          <cell r="F1061">
            <v>0</v>
          </cell>
          <cell r="G1061">
            <v>0</v>
          </cell>
        </row>
        <row r="1062">
          <cell r="A1062" t="str">
            <v>23-01-01-0816</v>
          </cell>
          <cell r="B1062">
            <v>0</v>
          </cell>
          <cell r="C1062" t="str">
            <v xml:space="preserve">  CHAUDHARY ENTERPRISES</v>
          </cell>
          <cell r="D1062">
            <v>0</v>
          </cell>
          <cell r="E1062">
            <v>0</v>
          </cell>
          <cell r="F1062">
            <v>0</v>
          </cell>
          <cell r="G1062">
            <v>0</v>
          </cell>
        </row>
        <row r="1063">
          <cell r="A1063" t="str">
            <v>23-01-01-0817</v>
          </cell>
          <cell r="B1063">
            <v>0</v>
          </cell>
          <cell r="C1063" t="str">
            <v xml:space="preserve">  CORRUBOARD INDUSTRIES</v>
          </cell>
          <cell r="D1063">
            <v>0</v>
          </cell>
          <cell r="E1063">
            <v>0</v>
          </cell>
          <cell r="F1063">
            <v>0</v>
          </cell>
          <cell r="G1063">
            <v>0</v>
          </cell>
        </row>
        <row r="1064">
          <cell r="A1064" t="str">
            <v>23-01-01-0818</v>
          </cell>
          <cell r="B1064">
            <v>0</v>
          </cell>
          <cell r="C1064" t="str">
            <v xml:space="preserve">  SAFEWAY TRADING</v>
          </cell>
          <cell r="D1064">
            <v>0</v>
          </cell>
          <cell r="E1064">
            <v>0</v>
          </cell>
          <cell r="F1064">
            <v>0</v>
          </cell>
          <cell r="G1064">
            <v>0</v>
          </cell>
        </row>
        <row r="1065">
          <cell r="A1065" t="str">
            <v>23-01-01-0819</v>
          </cell>
          <cell r="B1065">
            <v>0</v>
          </cell>
          <cell r="C1065" t="str">
            <v xml:space="preserve">  PAKISTAN PRINTING EQUIPMENT CO.(PVT) L</v>
          </cell>
          <cell r="D1065">
            <v>0</v>
          </cell>
          <cell r="E1065">
            <v>0</v>
          </cell>
          <cell r="F1065">
            <v>0</v>
          </cell>
          <cell r="G1065">
            <v>0</v>
          </cell>
        </row>
        <row r="1066">
          <cell r="A1066" t="str">
            <v>23-01-01-0820</v>
          </cell>
          <cell r="B1066">
            <v>0</v>
          </cell>
          <cell r="C1066" t="str">
            <v xml:space="preserve">  MU.KHAN ENTERPRISES</v>
          </cell>
          <cell r="D1066">
            <v>0</v>
          </cell>
          <cell r="E1066">
            <v>0</v>
          </cell>
          <cell r="F1066">
            <v>0</v>
          </cell>
          <cell r="G1066">
            <v>0</v>
          </cell>
        </row>
        <row r="1067">
          <cell r="A1067" t="str">
            <v>23-01-01-0821</v>
          </cell>
          <cell r="B1067">
            <v>0</v>
          </cell>
          <cell r="C1067" t="str">
            <v xml:space="preserve">  YUNUS FANS</v>
          </cell>
          <cell r="D1067">
            <v>0</v>
          </cell>
          <cell r="E1067">
            <v>0</v>
          </cell>
          <cell r="F1067">
            <v>0</v>
          </cell>
          <cell r="G1067">
            <v>0</v>
          </cell>
        </row>
        <row r="1068">
          <cell r="A1068" t="str">
            <v>23-01-01-0822</v>
          </cell>
          <cell r="B1068">
            <v>0</v>
          </cell>
          <cell r="C1068" t="str">
            <v xml:space="preserve">  HAROON INDUSTRIAL STORE</v>
          </cell>
          <cell r="D1068">
            <v>0</v>
          </cell>
          <cell r="E1068">
            <v>0</v>
          </cell>
          <cell r="F1068">
            <v>0</v>
          </cell>
          <cell r="G1068">
            <v>0</v>
          </cell>
        </row>
        <row r="1069">
          <cell r="A1069" t="str">
            <v>23-01-01-0823</v>
          </cell>
          <cell r="B1069">
            <v>0</v>
          </cell>
          <cell r="C1069" t="str">
            <v xml:space="preserve">  SHAUKAT TEXTILE TRADERS</v>
          </cell>
          <cell r="D1069">
            <v>0</v>
          </cell>
          <cell r="E1069">
            <v>0</v>
          </cell>
          <cell r="F1069">
            <v>0</v>
          </cell>
          <cell r="G1069">
            <v>0</v>
          </cell>
        </row>
        <row r="1070">
          <cell r="A1070" t="str">
            <v>23-01-01-0824</v>
          </cell>
          <cell r="B1070">
            <v>0</v>
          </cell>
          <cell r="C1070" t="str">
            <v xml:space="preserve">  BUKHARI TRADERS</v>
          </cell>
          <cell r="D1070">
            <v>0</v>
          </cell>
          <cell r="E1070">
            <v>0</v>
          </cell>
          <cell r="F1070">
            <v>0</v>
          </cell>
          <cell r="G1070">
            <v>0</v>
          </cell>
        </row>
        <row r="1071">
          <cell r="A1071" t="str">
            <v>23-01-01-0825</v>
          </cell>
          <cell r="B1071">
            <v>0</v>
          </cell>
          <cell r="C1071" t="str">
            <v xml:space="preserve">  STAR LUBRICANTS</v>
          </cell>
          <cell r="D1071">
            <v>0</v>
          </cell>
          <cell r="E1071">
            <v>0</v>
          </cell>
          <cell r="F1071">
            <v>0</v>
          </cell>
          <cell r="G1071">
            <v>0</v>
          </cell>
        </row>
        <row r="1072">
          <cell r="A1072" t="str">
            <v>23-01-01-0826</v>
          </cell>
          <cell r="B1072">
            <v>0</v>
          </cell>
          <cell r="C1072" t="str">
            <v xml:space="preserve">  MULTAN PETROLIUM AGENCIES</v>
          </cell>
          <cell r="D1072">
            <v>0</v>
          </cell>
          <cell r="E1072">
            <v>0</v>
          </cell>
          <cell r="F1072">
            <v>0</v>
          </cell>
          <cell r="G1072">
            <v>0</v>
          </cell>
        </row>
        <row r="1073">
          <cell r="A1073" t="str">
            <v>23-01-01-0827</v>
          </cell>
          <cell r="B1073">
            <v>0</v>
          </cell>
          <cell r="C1073" t="str">
            <v xml:space="preserve">  K Z &amp; CO.</v>
          </cell>
          <cell r="D1073">
            <v>0</v>
          </cell>
          <cell r="E1073">
            <v>0</v>
          </cell>
          <cell r="F1073">
            <v>0</v>
          </cell>
          <cell r="G1073">
            <v>0</v>
          </cell>
        </row>
        <row r="1074">
          <cell r="A1074" t="str">
            <v>23-01-01-0828</v>
          </cell>
          <cell r="B1074">
            <v>0</v>
          </cell>
          <cell r="C1074" t="str">
            <v xml:space="preserve">  IRSHAD MOHAMMED &amp; BROS.GADOON.</v>
          </cell>
          <cell r="D1074">
            <v>0</v>
          </cell>
          <cell r="E1074">
            <v>0</v>
          </cell>
          <cell r="F1074">
            <v>0</v>
          </cell>
          <cell r="G1074">
            <v>0</v>
          </cell>
        </row>
        <row r="1075">
          <cell r="A1075" t="str">
            <v>23-01-01-0829</v>
          </cell>
          <cell r="B1075">
            <v>0</v>
          </cell>
          <cell r="C1075" t="str">
            <v xml:space="preserve">  MUHAMMED ZARIN GADOON.</v>
          </cell>
          <cell r="D1075">
            <v>0</v>
          </cell>
          <cell r="E1075">
            <v>0</v>
          </cell>
          <cell r="F1075">
            <v>0</v>
          </cell>
          <cell r="G1075">
            <v>0</v>
          </cell>
        </row>
        <row r="1076">
          <cell r="A1076" t="str">
            <v>23-01-01-0830</v>
          </cell>
          <cell r="B1076">
            <v>0</v>
          </cell>
          <cell r="C1076" t="str">
            <v xml:space="preserve">  JIHANZEB MATERIAL SUPPLIER</v>
          </cell>
          <cell r="D1076">
            <v>0</v>
          </cell>
          <cell r="E1076">
            <v>0</v>
          </cell>
          <cell r="F1076">
            <v>0</v>
          </cell>
          <cell r="G1076">
            <v>0</v>
          </cell>
        </row>
        <row r="1077">
          <cell r="A1077" t="str">
            <v>23-01-01-0831</v>
          </cell>
          <cell r="B1077">
            <v>0</v>
          </cell>
          <cell r="C1077" t="str">
            <v xml:space="preserve">  SULTAN BASHIR MATERIAL SUPPLIER</v>
          </cell>
          <cell r="D1077">
            <v>0</v>
          </cell>
          <cell r="E1077">
            <v>0</v>
          </cell>
          <cell r="F1077">
            <v>0</v>
          </cell>
          <cell r="G1077">
            <v>0</v>
          </cell>
        </row>
        <row r="1078">
          <cell r="A1078" t="str">
            <v>23-01-01-0832</v>
          </cell>
          <cell r="B1078">
            <v>0</v>
          </cell>
          <cell r="C1078" t="str">
            <v xml:space="preserve">  ASIF MATERIL SUPPLIER</v>
          </cell>
          <cell r="D1078">
            <v>0</v>
          </cell>
          <cell r="E1078">
            <v>0</v>
          </cell>
          <cell r="F1078">
            <v>0</v>
          </cell>
          <cell r="G1078">
            <v>0</v>
          </cell>
        </row>
        <row r="1079">
          <cell r="A1079" t="str">
            <v>23-01-01-0833</v>
          </cell>
          <cell r="B1079">
            <v>0</v>
          </cell>
          <cell r="C1079" t="str">
            <v xml:space="preserve">  BAKHTAR SHAH</v>
          </cell>
          <cell r="D1079">
            <v>0</v>
          </cell>
          <cell r="E1079">
            <v>0</v>
          </cell>
          <cell r="F1079">
            <v>0</v>
          </cell>
          <cell r="G1079">
            <v>0</v>
          </cell>
        </row>
        <row r="1080">
          <cell r="A1080" t="str">
            <v>23-01-01-0834</v>
          </cell>
          <cell r="B1080">
            <v>0</v>
          </cell>
          <cell r="C1080" t="str">
            <v xml:space="preserve">  PARAGON INTERNATIONAL</v>
          </cell>
          <cell r="D1080">
            <v>0</v>
          </cell>
          <cell r="E1080">
            <v>0</v>
          </cell>
          <cell r="F1080">
            <v>0</v>
          </cell>
          <cell r="G1080">
            <v>0</v>
          </cell>
        </row>
        <row r="1081">
          <cell r="A1081" t="str">
            <v>23-01-01-0835</v>
          </cell>
          <cell r="B1081">
            <v>0</v>
          </cell>
          <cell r="C1081" t="str">
            <v xml:space="preserve">  PAK STEEL RE-ROLLING MILLS (PVT) LIMIT</v>
          </cell>
          <cell r="D1081">
            <v>0</v>
          </cell>
          <cell r="E1081">
            <v>0</v>
          </cell>
          <cell r="F1081">
            <v>0</v>
          </cell>
          <cell r="G1081">
            <v>0</v>
          </cell>
        </row>
        <row r="1082">
          <cell r="A1082" t="str">
            <v>23-01-01-0836</v>
          </cell>
          <cell r="B1082">
            <v>0</v>
          </cell>
          <cell r="C1082" t="str">
            <v xml:space="preserve">  ZAHID ENTERPRISES</v>
          </cell>
          <cell r="D1082">
            <v>0</v>
          </cell>
          <cell r="E1082">
            <v>0</v>
          </cell>
          <cell r="F1082">
            <v>0</v>
          </cell>
          <cell r="G1082">
            <v>0</v>
          </cell>
        </row>
        <row r="1083">
          <cell r="A1083" t="str">
            <v>23-01-01-0837</v>
          </cell>
          <cell r="B1083">
            <v>0</v>
          </cell>
          <cell r="C1083" t="str">
            <v xml:space="preserve">  ZAHID TRADERS</v>
          </cell>
          <cell r="D1083">
            <v>0</v>
          </cell>
          <cell r="E1083">
            <v>0</v>
          </cell>
          <cell r="F1083">
            <v>0</v>
          </cell>
          <cell r="G1083">
            <v>0</v>
          </cell>
        </row>
        <row r="1084">
          <cell r="A1084" t="str">
            <v>23-01-01-0838</v>
          </cell>
          <cell r="B1084">
            <v>0</v>
          </cell>
          <cell r="C1084" t="str">
            <v xml:space="preserve">  ZAHID TEXTILE CONCERNS</v>
          </cell>
          <cell r="D1084">
            <v>0</v>
          </cell>
          <cell r="E1084">
            <v>0</v>
          </cell>
          <cell r="F1084">
            <v>0</v>
          </cell>
          <cell r="G1084">
            <v>0</v>
          </cell>
        </row>
        <row r="1085">
          <cell r="A1085" t="str">
            <v>23-01-01-0839</v>
          </cell>
          <cell r="B1085">
            <v>0</v>
          </cell>
          <cell r="C1085" t="str">
            <v xml:space="preserve">  NAJAF CORPORATION</v>
          </cell>
          <cell r="D1085">
            <v>0</v>
          </cell>
          <cell r="E1085">
            <v>0</v>
          </cell>
          <cell r="F1085">
            <v>0</v>
          </cell>
          <cell r="G1085">
            <v>0</v>
          </cell>
        </row>
        <row r="1086">
          <cell r="A1086" t="str">
            <v>23-01-01-0840</v>
          </cell>
          <cell r="B1086">
            <v>0</v>
          </cell>
          <cell r="C1086" t="str">
            <v xml:space="preserve">  MUNIR ENGINEERING WORKS</v>
          </cell>
          <cell r="D1086">
            <v>0</v>
          </cell>
          <cell r="E1086">
            <v>0</v>
          </cell>
          <cell r="F1086">
            <v>0</v>
          </cell>
          <cell r="G1086">
            <v>0</v>
          </cell>
        </row>
        <row r="1087">
          <cell r="A1087" t="str">
            <v>23-01-01-0841</v>
          </cell>
          <cell r="B1087">
            <v>0</v>
          </cell>
          <cell r="C1087" t="str">
            <v xml:space="preserve">  SHAHEEN TRADERS</v>
          </cell>
          <cell r="D1087">
            <v>0</v>
          </cell>
          <cell r="E1087">
            <v>0</v>
          </cell>
          <cell r="F1087">
            <v>0</v>
          </cell>
          <cell r="G1087">
            <v>0</v>
          </cell>
        </row>
        <row r="1088">
          <cell r="A1088" t="str">
            <v>23-01-01-0842</v>
          </cell>
          <cell r="B1088">
            <v>0</v>
          </cell>
          <cell r="C1088" t="str">
            <v xml:space="preserve">  HAJI AKBAR MATERIAL SUPPLIERS</v>
          </cell>
          <cell r="D1088">
            <v>0</v>
          </cell>
          <cell r="E1088">
            <v>0</v>
          </cell>
          <cell r="F1088">
            <v>0</v>
          </cell>
          <cell r="G1088">
            <v>0</v>
          </cell>
        </row>
        <row r="1089">
          <cell r="A1089" t="str">
            <v>23-01-01-0843</v>
          </cell>
          <cell r="B1089">
            <v>0</v>
          </cell>
          <cell r="C1089" t="str">
            <v xml:space="preserve">  SYED ZAREEN SHAH MATERIAL SUPPLIERS</v>
          </cell>
          <cell r="D1089">
            <v>0</v>
          </cell>
          <cell r="E1089">
            <v>0</v>
          </cell>
          <cell r="F1089">
            <v>0</v>
          </cell>
          <cell r="G1089">
            <v>0</v>
          </cell>
        </row>
        <row r="1090">
          <cell r="A1090" t="str">
            <v>23-01-01-0844</v>
          </cell>
          <cell r="B1090">
            <v>0</v>
          </cell>
          <cell r="C1090" t="str">
            <v xml:space="preserve">  RAHAT ALI MATERIAL SUPPLIERS</v>
          </cell>
          <cell r="D1090">
            <v>0</v>
          </cell>
          <cell r="E1090">
            <v>0</v>
          </cell>
          <cell r="F1090">
            <v>0</v>
          </cell>
          <cell r="G1090">
            <v>0</v>
          </cell>
        </row>
        <row r="1091">
          <cell r="A1091" t="str">
            <v>23-01-01-0845</v>
          </cell>
          <cell r="B1091">
            <v>0</v>
          </cell>
          <cell r="C1091" t="str">
            <v xml:space="preserve">  UNIQUE ELECTRONICS</v>
          </cell>
          <cell r="D1091">
            <v>0</v>
          </cell>
          <cell r="E1091">
            <v>0</v>
          </cell>
          <cell r="F1091">
            <v>0</v>
          </cell>
          <cell r="G1091">
            <v>0</v>
          </cell>
        </row>
        <row r="1092">
          <cell r="A1092" t="str">
            <v>23-01-01-0846</v>
          </cell>
          <cell r="B1092">
            <v>0</v>
          </cell>
          <cell r="C1092" t="str">
            <v xml:space="preserve">  LAL MUHAMMED MATERIAL SUPPLIER</v>
          </cell>
          <cell r="D1092">
            <v>0</v>
          </cell>
          <cell r="E1092">
            <v>0</v>
          </cell>
          <cell r="F1092">
            <v>0</v>
          </cell>
          <cell r="G1092">
            <v>0</v>
          </cell>
        </row>
        <row r="1093">
          <cell r="A1093" t="str">
            <v>23-01-01-0847</v>
          </cell>
          <cell r="B1093">
            <v>0</v>
          </cell>
          <cell r="C1093" t="str">
            <v xml:space="preserve">  ZARIN SHAH MATERIAL SUPPLIER</v>
          </cell>
          <cell r="D1093">
            <v>0</v>
          </cell>
          <cell r="E1093">
            <v>0</v>
          </cell>
          <cell r="F1093">
            <v>0</v>
          </cell>
          <cell r="G1093">
            <v>0</v>
          </cell>
        </row>
        <row r="1094">
          <cell r="A1094" t="str">
            <v>23-01-01-0848</v>
          </cell>
          <cell r="B1094">
            <v>0</v>
          </cell>
          <cell r="C1094" t="str">
            <v xml:space="preserve">  QURESH KHAN  MATERIAL SUPPLIER</v>
          </cell>
          <cell r="D1094">
            <v>0</v>
          </cell>
          <cell r="E1094">
            <v>0</v>
          </cell>
          <cell r="F1094">
            <v>0</v>
          </cell>
          <cell r="G1094">
            <v>0</v>
          </cell>
        </row>
        <row r="1095">
          <cell r="A1095" t="str">
            <v>23-01-01-0849</v>
          </cell>
          <cell r="B1095">
            <v>0</v>
          </cell>
          <cell r="C1095" t="str">
            <v xml:space="preserve">  MUHAMMED YOUSAF KHAN</v>
          </cell>
          <cell r="D1095">
            <v>0</v>
          </cell>
          <cell r="E1095">
            <v>0</v>
          </cell>
          <cell r="F1095">
            <v>0</v>
          </cell>
          <cell r="G1095">
            <v>0</v>
          </cell>
        </row>
        <row r="1096">
          <cell r="A1096" t="str">
            <v>23-01-01-0850</v>
          </cell>
          <cell r="B1096">
            <v>0</v>
          </cell>
          <cell r="C1096" t="str">
            <v xml:space="preserve">  MUHAMMED MATERIAL SUPPLIER</v>
          </cell>
          <cell r="D1096">
            <v>0</v>
          </cell>
          <cell r="E1096">
            <v>0</v>
          </cell>
          <cell r="F1096">
            <v>0</v>
          </cell>
          <cell r="G1096">
            <v>0</v>
          </cell>
        </row>
        <row r="1097">
          <cell r="A1097" t="str">
            <v>23-01-01-0851</v>
          </cell>
          <cell r="B1097">
            <v>0</v>
          </cell>
          <cell r="C1097" t="str">
            <v xml:space="preserve">  AMIR MOHAMMED MATERIAL SUPPLIER</v>
          </cell>
          <cell r="D1097">
            <v>0</v>
          </cell>
          <cell r="E1097">
            <v>0</v>
          </cell>
          <cell r="F1097">
            <v>0</v>
          </cell>
          <cell r="G1097">
            <v>0</v>
          </cell>
        </row>
        <row r="1098">
          <cell r="A1098" t="str">
            <v>23-01-01-0852</v>
          </cell>
          <cell r="B1098">
            <v>0</v>
          </cell>
          <cell r="C1098" t="str">
            <v xml:space="preserve">  MUHAMMED FAYYAZ MATERIAL SUPPLIER</v>
          </cell>
          <cell r="D1098">
            <v>0</v>
          </cell>
          <cell r="E1098">
            <v>0</v>
          </cell>
          <cell r="F1098">
            <v>0</v>
          </cell>
          <cell r="G1098">
            <v>0</v>
          </cell>
        </row>
        <row r="1099">
          <cell r="A1099" t="str">
            <v>23-01-01-0853</v>
          </cell>
          <cell r="B1099">
            <v>0</v>
          </cell>
          <cell r="C1099" t="str">
            <v xml:space="preserve">  OLYMPIA &amp; CO.</v>
          </cell>
          <cell r="D1099">
            <v>0</v>
          </cell>
          <cell r="E1099">
            <v>0</v>
          </cell>
          <cell r="F1099">
            <v>0</v>
          </cell>
          <cell r="G1099">
            <v>0</v>
          </cell>
        </row>
        <row r="1100">
          <cell r="A1100" t="str">
            <v>23-01-01-0854</v>
          </cell>
          <cell r="B1100">
            <v>0</v>
          </cell>
          <cell r="C1100" t="str">
            <v xml:space="preserve">  ZAIN INTERNATIONAL</v>
          </cell>
          <cell r="D1100">
            <v>0</v>
          </cell>
          <cell r="E1100">
            <v>0</v>
          </cell>
          <cell r="F1100">
            <v>0</v>
          </cell>
          <cell r="G1100">
            <v>0</v>
          </cell>
        </row>
        <row r="1101">
          <cell r="A1101" t="str">
            <v>23-01-01-0855</v>
          </cell>
          <cell r="B1101">
            <v>0</v>
          </cell>
          <cell r="C1101" t="str">
            <v xml:space="preserve">  SEEMA PLASTIC</v>
          </cell>
          <cell r="D1101">
            <v>0</v>
          </cell>
          <cell r="E1101">
            <v>0</v>
          </cell>
          <cell r="F1101">
            <v>0</v>
          </cell>
          <cell r="G1101">
            <v>0</v>
          </cell>
        </row>
        <row r="1102">
          <cell r="A1102" t="str">
            <v>23-01-01-0856</v>
          </cell>
          <cell r="B1102">
            <v>0</v>
          </cell>
          <cell r="C1102" t="str">
            <v xml:space="preserve">  PAKISTAN STATE OIL-KARACHI.</v>
          </cell>
          <cell r="D1102">
            <v>0</v>
          </cell>
          <cell r="E1102">
            <v>0</v>
          </cell>
          <cell r="F1102">
            <v>0</v>
          </cell>
          <cell r="G1102">
            <v>0</v>
          </cell>
        </row>
        <row r="1103">
          <cell r="A1103" t="str">
            <v>23-01-01-0857</v>
          </cell>
          <cell r="B1103">
            <v>0</v>
          </cell>
          <cell r="C1103" t="str">
            <v xml:space="preserve">  KHAN TRADERS</v>
          </cell>
          <cell r="D1103">
            <v>0</v>
          </cell>
          <cell r="E1103">
            <v>142374</v>
          </cell>
          <cell r="F1103">
            <v>0</v>
          </cell>
          <cell r="G1103">
            <v>0</v>
          </cell>
        </row>
        <row r="1104">
          <cell r="A1104" t="str">
            <v>23-01-01-0858</v>
          </cell>
          <cell r="B1104">
            <v>0</v>
          </cell>
          <cell r="C1104" t="str">
            <v xml:space="preserve">  UMER KHAN MATERIAL SUPPLIER.</v>
          </cell>
          <cell r="D1104">
            <v>0</v>
          </cell>
          <cell r="E1104">
            <v>0</v>
          </cell>
          <cell r="F1104">
            <v>0</v>
          </cell>
          <cell r="G1104">
            <v>0</v>
          </cell>
        </row>
        <row r="1105">
          <cell r="A1105" t="str">
            <v>23-01-01-0859</v>
          </cell>
          <cell r="B1105">
            <v>0</v>
          </cell>
          <cell r="C1105" t="str">
            <v xml:space="preserve">  SAID AMIR MATERIAL SUPPLIER.</v>
          </cell>
          <cell r="D1105">
            <v>0</v>
          </cell>
          <cell r="E1105">
            <v>0</v>
          </cell>
          <cell r="F1105">
            <v>0</v>
          </cell>
          <cell r="G1105">
            <v>0</v>
          </cell>
        </row>
        <row r="1106">
          <cell r="A1106" t="str">
            <v>23-01-01-0860</v>
          </cell>
          <cell r="B1106">
            <v>0</v>
          </cell>
          <cell r="C1106" t="str">
            <v xml:space="preserve">  MUHAMMED AMIR MATERIAL SUPPLIER.</v>
          </cell>
          <cell r="D1106">
            <v>0</v>
          </cell>
          <cell r="E1106">
            <v>0</v>
          </cell>
          <cell r="F1106">
            <v>0</v>
          </cell>
          <cell r="G1106">
            <v>0</v>
          </cell>
        </row>
        <row r="1107">
          <cell r="A1107" t="str">
            <v>23-01-01-0861</v>
          </cell>
          <cell r="B1107">
            <v>0</v>
          </cell>
          <cell r="C1107" t="str">
            <v xml:space="preserve">  HASSAN GUL MATERIAL SUPPLIER.</v>
          </cell>
          <cell r="D1107">
            <v>0</v>
          </cell>
          <cell r="E1107">
            <v>0</v>
          </cell>
          <cell r="F1107">
            <v>0</v>
          </cell>
          <cell r="G1107">
            <v>0</v>
          </cell>
        </row>
        <row r="1108">
          <cell r="A1108" t="str">
            <v>23-01-01-0862</v>
          </cell>
          <cell r="B1108">
            <v>0</v>
          </cell>
          <cell r="C1108" t="str">
            <v xml:space="preserve">  KHURRUM ENTERPRISES</v>
          </cell>
          <cell r="D1108">
            <v>0</v>
          </cell>
          <cell r="E1108">
            <v>0</v>
          </cell>
          <cell r="F1108">
            <v>0</v>
          </cell>
          <cell r="G1108">
            <v>0</v>
          </cell>
        </row>
        <row r="1109">
          <cell r="A1109" t="str">
            <v>23-01-01-0863</v>
          </cell>
          <cell r="B1109">
            <v>0</v>
          </cell>
          <cell r="C1109" t="str">
            <v xml:space="preserve">  NEO PACE SERVICES</v>
          </cell>
          <cell r="D1109">
            <v>0</v>
          </cell>
          <cell r="E1109">
            <v>0</v>
          </cell>
          <cell r="F1109">
            <v>0</v>
          </cell>
          <cell r="G1109">
            <v>0</v>
          </cell>
        </row>
        <row r="1110">
          <cell r="A1110" t="str">
            <v>23-01-01-0864</v>
          </cell>
          <cell r="B1110">
            <v>0</v>
          </cell>
          <cell r="C1110" t="str">
            <v xml:space="preserve">  BASHIR AHMED IRON MERCHANTS-RAWALPINDI</v>
          </cell>
          <cell r="D1110">
            <v>0</v>
          </cell>
          <cell r="E1110">
            <v>0</v>
          </cell>
          <cell r="F1110">
            <v>0</v>
          </cell>
          <cell r="G1110">
            <v>0</v>
          </cell>
        </row>
        <row r="1111">
          <cell r="A1111" t="str">
            <v>23-01-01-0865</v>
          </cell>
          <cell r="B1111">
            <v>0</v>
          </cell>
          <cell r="C1111" t="str">
            <v xml:space="preserve">  A.N. ENTERPRISES</v>
          </cell>
          <cell r="D1111">
            <v>0</v>
          </cell>
          <cell r="E1111">
            <v>48065</v>
          </cell>
          <cell r="F1111">
            <v>0</v>
          </cell>
          <cell r="G1111">
            <v>0</v>
          </cell>
        </row>
        <row r="1112">
          <cell r="A1112" t="str">
            <v>23-01-01-0866</v>
          </cell>
          <cell r="B1112">
            <v>0</v>
          </cell>
          <cell r="C1112" t="str">
            <v xml:space="preserve">  TOHED ULLAH MATERIAL SUPPLIER</v>
          </cell>
          <cell r="D1112">
            <v>0</v>
          </cell>
          <cell r="E1112">
            <v>0</v>
          </cell>
          <cell r="F1112">
            <v>0</v>
          </cell>
          <cell r="G1112">
            <v>0</v>
          </cell>
        </row>
        <row r="1113">
          <cell r="A1113" t="str">
            <v>23-01-01-0867</v>
          </cell>
          <cell r="B1113">
            <v>0</v>
          </cell>
          <cell r="C1113" t="str">
            <v xml:space="preserve">  MUHAMMAD ARIF MATERIAL SUPPLIER</v>
          </cell>
          <cell r="D1113">
            <v>0</v>
          </cell>
          <cell r="E1113">
            <v>0</v>
          </cell>
          <cell r="F1113">
            <v>0</v>
          </cell>
          <cell r="G1113">
            <v>0</v>
          </cell>
        </row>
        <row r="1114">
          <cell r="A1114" t="str">
            <v>23-01-01-0868</v>
          </cell>
          <cell r="B1114">
            <v>0</v>
          </cell>
          <cell r="C1114" t="str">
            <v xml:space="preserve">  MUHAKMAL SHAH MATERIAL SUPPLIER</v>
          </cell>
          <cell r="D1114">
            <v>0</v>
          </cell>
          <cell r="E1114">
            <v>0</v>
          </cell>
          <cell r="F1114">
            <v>0</v>
          </cell>
          <cell r="G1114">
            <v>0</v>
          </cell>
        </row>
        <row r="1115">
          <cell r="A1115" t="str">
            <v>23-01-01-0869</v>
          </cell>
          <cell r="B1115">
            <v>0</v>
          </cell>
          <cell r="C1115" t="str">
            <v xml:space="preserve">  BAJAN KHAN MATERIAL SUPPLIER</v>
          </cell>
          <cell r="D1115">
            <v>0</v>
          </cell>
          <cell r="E1115">
            <v>0</v>
          </cell>
          <cell r="F1115">
            <v>0</v>
          </cell>
          <cell r="G1115">
            <v>0</v>
          </cell>
        </row>
        <row r="1116">
          <cell r="A1116" t="str">
            <v>23-01-01-0870</v>
          </cell>
          <cell r="B1116">
            <v>0</v>
          </cell>
          <cell r="C1116" t="str">
            <v xml:space="preserve">  AMBER FABRICS IMPORT &amp; EXPORT</v>
          </cell>
          <cell r="D1116">
            <v>0</v>
          </cell>
          <cell r="E1116">
            <v>0</v>
          </cell>
          <cell r="F1116">
            <v>0</v>
          </cell>
          <cell r="G1116">
            <v>0</v>
          </cell>
        </row>
        <row r="1117">
          <cell r="A1117" t="str">
            <v>23-01-01-0871</v>
          </cell>
          <cell r="B1117">
            <v>0</v>
          </cell>
          <cell r="C1117" t="str">
            <v xml:space="preserve">  ZAFAR CORPORATION</v>
          </cell>
          <cell r="D1117">
            <v>0</v>
          </cell>
          <cell r="E1117">
            <v>0</v>
          </cell>
          <cell r="F1117">
            <v>0</v>
          </cell>
          <cell r="G1117">
            <v>0</v>
          </cell>
        </row>
        <row r="1118">
          <cell r="A1118" t="str">
            <v>23-01-01-0872</v>
          </cell>
          <cell r="B1118">
            <v>0</v>
          </cell>
          <cell r="C1118" t="str">
            <v xml:space="preserve">  GHOSIA STATIONERS</v>
          </cell>
          <cell r="D1118">
            <v>0</v>
          </cell>
          <cell r="E1118">
            <v>0</v>
          </cell>
          <cell r="F1118">
            <v>0</v>
          </cell>
          <cell r="G1118">
            <v>0</v>
          </cell>
        </row>
        <row r="1119">
          <cell r="A1119" t="str">
            <v>23-01-01-0873</v>
          </cell>
          <cell r="B1119">
            <v>0</v>
          </cell>
          <cell r="C1119" t="str">
            <v xml:space="preserve">  AFZAL SHAH BRICKS SUPPLIER</v>
          </cell>
          <cell r="D1119">
            <v>0</v>
          </cell>
          <cell r="E1119">
            <v>0</v>
          </cell>
          <cell r="F1119">
            <v>0</v>
          </cell>
          <cell r="G1119">
            <v>0</v>
          </cell>
        </row>
        <row r="1120">
          <cell r="A1120" t="str">
            <v>23-01-01-0874</v>
          </cell>
          <cell r="B1120">
            <v>0</v>
          </cell>
          <cell r="C1120" t="str">
            <v xml:space="preserve">  NIAZ ALI MATERIAL SUPPLIER</v>
          </cell>
          <cell r="D1120">
            <v>0</v>
          </cell>
          <cell r="E1120">
            <v>0</v>
          </cell>
          <cell r="F1120">
            <v>0</v>
          </cell>
          <cell r="G1120">
            <v>0</v>
          </cell>
        </row>
        <row r="1121">
          <cell r="A1121" t="str">
            <v>23-01-01-0875</v>
          </cell>
          <cell r="B1121">
            <v>0</v>
          </cell>
          <cell r="C1121" t="str">
            <v xml:space="preserve">  MOHAMMED AYAZ MATERIAL SUPPLIER</v>
          </cell>
          <cell r="D1121">
            <v>0</v>
          </cell>
          <cell r="E1121">
            <v>0</v>
          </cell>
          <cell r="F1121">
            <v>0</v>
          </cell>
          <cell r="G1121">
            <v>0</v>
          </cell>
        </row>
        <row r="1122">
          <cell r="A1122" t="str">
            <v>23-01-01-0876</v>
          </cell>
          <cell r="B1122">
            <v>0</v>
          </cell>
          <cell r="C1122" t="str">
            <v xml:space="preserve">  SYED WALI SHAH MATERIAL SUPPLIER</v>
          </cell>
          <cell r="D1122">
            <v>0</v>
          </cell>
          <cell r="E1122">
            <v>0</v>
          </cell>
          <cell r="F1122">
            <v>0</v>
          </cell>
          <cell r="G1122">
            <v>0</v>
          </cell>
        </row>
        <row r="1123">
          <cell r="A1123" t="str">
            <v>23-01-01-0877</v>
          </cell>
          <cell r="B1123">
            <v>0</v>
          </cell>
          <cell r="C1123" t="str">
            <v xml:space="preserve">  NAZAR GULL TOPI</v>
          </cell>
          <cell r="D1123">
            <v>0</v>
          </cell>
          <cell r="E1123">
            <v>0</v>
          </cell>
          <cell r="F1123">
            <v>0</v>
          </cell>
          <cell r="G1123">
            <v>0</v>
          </cell>
        </row>
        <row r="1124">
          <cell r="A1124" t="str">
            <v>23-01-01-0878</v>
          </cell>
          <cell r="B1124">
            <v>0</v>
          </cell>
          <cell r="C1124" t="str">
            <v xml:space="preserve">  SHAHID AUTOS</v>
          </cell>
          <cell r="D1124">
            <v>0</v>
          </cell>
          <cell r="E1124">
            <v>0</v>
          </cell>
          <cell r="F1124">
            <v>0</v>
          </cell>
          <cell r="G1124">
            <v>0</v>
          </cell>
        </row>
        <row r="1125">
          <cell r="A1125" t="str">
            <v>23-01-01-0879</v>
          </cell>
          <cell r="B1125">
            <v>0</v>
          </cell>
          <cell r="C1125" t="str">
            <v xml:space="preserve">  ALAM ZAIB BRICKS SUPPLIER</v>
          </cell>
          <cell r="D1125">
            <v>0</v>
          </cell>
          <cell r="E1125">
            <v>0</v>
          </cell>
          <cell r="F1125">
            <v>0</v>
          </cell>
          <cell r="G1125">
            <v>0</v>
          </cell>
        </row>
        <row r="1126">
          <cell r="A1126" t="str">
            <v>23-01-01-0880</v>
          </cell>
          <cell r="B1126">
            <v>0</v>
          </cell>
          <cell r="C1126" t="str">
            <v xml:space="preserve">  GOHAR REHMAN BRICKS SUPPLIER</v>
          </cell>
          <cell r="D1126">
            <v>0</v>
          </cell>
          <cell r="E1126">
            <v>0</v>
          </cell>
          <cell r="F1126">
            <v>0</v>
          </cell>
          <cell r="G1126">
            <v>0</v>
          </cell>
        </row>
        <row r="1127">
          <cell r="A1127" t="str">
            <v>23-01-01-0881</v>
          </cell>
          <cell r="B1127">
            <v>0</v>
          </cell>
          <cell r="C1127" t="str">
            <v xml:space="preserve">  MASTER TRADERS</v>
          </cell>
          <cell r="D1127">
            <v>0</v>
          </cell>
          <cell r="E1127">
            <v>0</v>
          </cell>
          <cell r="F1127">
            <v>0</v>
          </cell>
          <cell r="G1127">
            <v>0</v>
          </cell>
        </row>
        <row r="1128">
          <cell r="A1128" t="str">
            <v>23-01-01-0882</v>
          </cell>
          <cell r="B1128">
            <v>0</v>
          </cell>
          <cell r="C1128" t="str">
            <v xml:space="preserve">  SAMAD KHAN</v>
          </cell>
          <cell r="D1128">
            <v>0</v>
          </cell>
          <cell r="E1128">
            <v>0</v>
          </cell>
          <cell r="F1128">
            <v>0</v>
          </cell>
          <cell r="G1128">
            <v>0</v>
          </cell>
        </row>
        <row r="1129">
          <cell r="A1129" t="str">
            <v>23-01-01-0883</v>
          </cell>
          <cell r="B1129">
            <v>0</v>
          </cell>
          <cell r="C1129" t="str">
            <v xml:space="preserve">  SHAH SAID</v>
          </cell>
          <cell r="D1129">
            <v>0</v>
          </cell>
          <cell r="E1129">
            <v>0</v>
          </cell>
          <cell r="F1129">
            <v>0</v>
          </cell>
          <cell r="G1129">
            <v>0</v>
          </cell>
        </row>
        <row r="1130">
          <cell r="A1130" t="str">
            <v>23-01-01-0884</v>
          </cell>
          <cell r="B1130">
            <v>0</v>
          </cell>
          <cell r="C1130" t="str">
            <v xml:space="preserve">  MEHAR BAN SHAH</v>
          </cell>
          <cell r="D1130">
            <v>0</v>
          </cell>
          <cell r="E1130">
            <v>0</v>
          </cell>
          <cell r="F1130">
            <v>0</v>
          </cell>
          <cell r="G1130">
            <v>0</v>
          </cell>
        </row>
        <row r="1131">
          <cell r="A1131" t="str">
            <v>23-01-01-0885</v>
          </cell>
          <cell r="B1131">
            <v>0</v>
          </cell>
          <cell r="C1131" t="str">
            <v xml:space="preserve">  MEHRAN ALI SHAH</v>
          </cell>
          <cell r="D1131">
            <v>0</v>
          </cell>
          <cell r="E1131">
            <v>0</v>
          </cell>
          <cell r="F1131">
            <v>0</v>
          </cell>
          <cell r="G1131">
            <v>0</v>
          </cell>
        </row>
        <row r="1132">
          <cell r="A1132" t="str">
            <v>23-01-01-0886</v>
          </cell>
          <cell r="B1132">
            <v>0</v>
          </cell>
          <cell r="C1132" t="str">
            <v xml:space="preserve">  NAVEED KHAN</v>
          </cell>
          <cell r="D1132">
            <v>0</v>
          </cell>
          <cell r="E1132">
            <v>0</v>
          </cell>
          <cell r="F1132">
            <v>0</v>
          </cell>
          <cell r="G1132">
            <v>0</v>
          </cell>
        </row>
        <row r="1133">
          <cell r="A1133" t="str">
            <v>23-01-01-0887</v>
          </cell>
          <cell r="B1133">
            <v>0</v>
          </cell>
          <cell r="C1133" t="str">
            <v xml:space="preserve">  NOORANI STATIONERY MART</v>
          </cell>
          <cell r="D1133">
            <v>0</v>
          </cell>
          <cell r="E1133">
            <v>0</v>
          </cell>
          <cell r="F1133">
            <v>0</v>
          </cell>
          <cell r="G1133">
            <v>0</v>
          </cell>
        </row>
        <row r="1134">
          <cell r="A1134" t="str">
            <v>23-01-01-0888</v>
          </cell>
          <cell r="B1134">
            <v>0</v>
          </cell>
          <cell r="C1134" t="str">
            <v xml:space="preserve">  ASHRAF WELDING HOUSE</v>
          </cell>
          <cell r="D1134">
            <v>0</v>
          </cell>
          <cell r="E1134">
            <v>0</v>
          </cell>
          <cell r="F1134">
            <v>0</v>
          </cell>
          <cell r="G1134">
            <v>0</v>
          </cell>
        </row>
        <row r="1135">
          <cell r="A1135" t="str">
            <v>23-01-01-0889</v>
          </cell>
          <cell r="B1135">
            <v>0</v>
          </cell>
          <cell r="C1135" t="str">
            <v xml:space="preserve">  MUHAMMAD QAYOUM MATERIAL SUPPLIER</v>
          </cell>
          <cell r="D1135">
            <v>0</v>
          </cell>
          <cell r="E1135">
            <v>0</v>
          </cell>
          <cell r="F1135">
            <v>0</v>
          </cell>
          <cell r="G1135">
            <v>0</v>
          </cell>
        </row>
        <row r="1136">
          <cell r="A1136" t="str">
            <v>23-01-01-0890</v>
          </cell>
          <cell r="B1136">
            <v>0</v>
          </cell>
          <cell r="C1136" t="str">
            <v xml:space="preserve">  ABDULLAH MATERIAL SUPPLIER</v>
          </cell>
          <cell r="D1136">
            <v>0</v>
          </cell>
          <cell r="E1136">
            <v>0</v>
          </cell>
          <cell r="F1136">
            <v>0</v>
          </cell>
          <cell r="G1136">
            <v>0</v>
          </cell>
        </row>
        <row r="1137">
          <cell r="A1137" t="str">
            <v>23-01-01-0891</v>
          </cell>
          <cell r="B1137">
            <v>0</v>
          </cell>
          <cell r="C1137" t="str">
            <v xml:space="preserve">  IQBAL TRADERS</v>
          </cell>
          <cell r="D1137">
            <v>0</v>
          </cell>
          <cell r="E1137">
            <v>0</v>
          </cell>
          <cell r="F1137">
            <v>0</v>
          </cell>
          <cell r="G1137">
            <v>0</v>
          </cell>
        </row>
        <row r="1138">
          <cell r="A1138" t="str">
            <v>23-01-01-0892</v>
          </cell>
          <cell r="B1138">
            <v>0</v>
          </cell>
          <cell r="C1138" t="str">
            <v xml:space="preserve">  AZIZ UL HAQ MATERIAL SUPPLIER</v>
          </cell>
          <cell r="D1138">
            <v>0</v>
          </cell>
          <cell r="E1138">
            <v>0</v>
          </cell>
          <cell r="F1138">
            <v>0</v>
          </cell>
          <cell r="G1138">
            <v>0</v>
          </cell>
        </row>
        <row r="1139">
          <cell r="A1139" t="str">
            <v>23-01-01-0893</v>
          </cell>
          <cell r="B1139">
            <v>0</v>
          </cell>
          <cell r="C1139" t="str">
            <v xml:space="preserve">  ATIQ REHMAN MATERIAL SUPPLIER</v>
          </cell>
          <cell r="D1139">
            <v>0</v>
          </cell>
          <cell r="E1139">
            <v>0</v>
          </cell>
          <cell r="F1139">
            <v>0</v>
          </cell>
          <cell r="G1139">
            <v>0</v>
          </cell>
        </row>
        <row r="1140">
          <cell r="A1140" t="str">
            <v>23-01-01-0894</v>
          </cell>
          <cell r="B1140">
            <v>0</v>
          </cell>
          <cell r="C1140" t="str">
            <v xml:space="preserve">  KAKOO KHAN MATERIAL SUPPLIER</v>
          </cell>
          <cell r="D1140">
            <v>0</v>
          </cell>
          <cell r="E1140">
            <v>0</v>
          </cell>
          <cell r="F1140">
            <v>0</v>
          </cell>
          <cell r="G1140">
            <v>0</v>
          </cell>
        </row>
        <row r="1141">
          <cell r="A1141" t="str">
            <v>23-01-01-0895</v>
          </cell>
          <cell r="B1141">
            <v>0</v>
          </cell>
          <cell r="C1141" t="str">
            <v xml:space="preserve">  ABDULLAH CONTRACTOR MATERIAL SUPPLIER</v>
          </cell>
          <cell r="D1141">
            <v>0</v>
          </cell>
          <cell r="E1141">
            <v>0</v>
          </cell>
          <cell r="F1141">
            <v>0</v>
          </cell>
          <cell r="G1141">
            <v>0</v>
          </cell>
        </row>
        <row r="1142">
          <cell r="A1142" t="str">
            <v>23-01-01-0896</v>
          </cell>
          <cell r="B1142">
            <v>0</v>
          </cell>
          <cell r="C1142" t="str">
            <v xml:space="preserve">  -</v>
          </cell>
          <cell r="D1142">
            <v>0</v>
          </cell>
          <cell r="E1142">
            <v>0</v>
          </cell>
          <cell r="F1142">
            <v>0</v>
          </cell>
          <cell r="G1142">
            <v>0</v>
          </cell>
        </row>
        <row r="1143">
          <cell r="A1143" t="str">
            <v>23-01-01-0897</v>
          </cell>
          <cell r="B1143">
            <v>0</v>
          </cell>
          <cell r="C1143" t="str">
            <v xml:space="preserve">  KAMAL KHAN MATERIAL SUPPLIER</v>
          </cell>
          <cell r="D1143">
            <v>0</v>
          </cell>
          <cell r="E1143">
            <v>0</v>
          </cell>
          <cell r="F1143">
            <v>0</v>
          </cell>
          <cell r="G1143">
            <v>0</v>
          </cell>
        </row>
        <row r="1144">
          <cell r="A1144" t="str">
            <v>23-01-01-0898</v>
          </cell>
          <cell r="B1144">
            <v>0</v>
          </cell>
          <cell r="C1144" t="str">
            <v xml:space="preserve">  -</v>
          </cell>
          <cell r="D1144">
            <v>0</v>
          </cell>
          <cell r="E1144">
            <v>0</v>
          </cell>
          <cell r="F1144">
            <v>0</v>
          </cell>
          <cell r="G1144">
            <v>0</v>
          </cell>
        </row>
        <row r="1145">
          <cell r="A1145" t="str">
            <v>23-01-01-0901</v>
          </cell>
          <cell r="B1145">
            <v>0</v>
          </cell>
          <cell r="C1145" t="str">
            <v xml:space="preserve">  AKHTAR ALI &amp; COMPANY</v>
          </cell>
          <cell r="D1145">
            <v>0</v>
          </cell>
          <cell r="E1145">
            <v>0</v>
          </cell>
          <cell r="F1145">
            <v>0</v>
          </cell>
          <cell r="G1145">
            <v>0</v>
          </cell>
        </row>
        <row r="1146">
          <cell r="A1146" t="str">
            <v>23-01-01-0902</v>
          </cell>
          <cell r="B1146">
            <v>0</v>
          </cell>
          <cell r="C1146" t="str">
            <v xml:space="preserve">  KHAIR MUHAMMED MATERIAL SUPPLIER.</v>
          </cell>
          <cell r="D1146">
            <v>0</v>
          </cell>
          <cell r="E1146">
            <v>0</v>
          </cell>
          <cell r="F1146">
            <v>0</v>
          </cell>
          <cell r="G1146">
            <v>0</v>
          </cell>
        </row>
        <row r="1147">
          <cell r="A1147" t="str">
            <v>23-01-01-0903</v>
          </cell>
          <cell r="B1147">
            <v>0</v>
          </cell>
          <cell r="C1147" t="str">
            <v xml:space="preserve">  UBAID UR REHMAN MATERIAL SUPPLIER</v>
          </cell>
          <cell r="D1147">
            <v>0</v>
          </cell>
          <cell r="E1147">
            <v>0</v>
          </cell>
          <cell r="F1147">
            <v>0</v>
          </cell>
          <cell r="G1147">
            <v>0</v>
          </cell>
        </row>
        <row r="1148">
          <cell r="A1148" t="str">
            <v>23-01-01-0904</v>
          </cell>
          <cell r="B1148">
            <v>0</v>
          </cell>
          <cell r="C1148" t="str">
            <v xml:space="preserve">  SHAUKAT ALI MATERIAL SUPPLIER</v>
          </cell>
          <cell r="D1148">
            <v>0</v>
          </cell>
          <cell r="E1148">
            <v>0</v>
          </cell>
          <cell r="F1148">
            <v>0</v>
          </cell>
          <cell r="G1148">
            <v>0</v>
          </cell>
        </row>
        <row r="1149">
          <cell r="A1149" t="str">
            <v>23-01-01-0905</v>
          </cell>
          <cell r="B1149">
            <v>0</v>
          </cell>
          <cell r="C1149" t="str">
            <v xml:space="preserve">  FAZAL MUHAMMAD MATERIAL SUPPLIER</v>
          </cell>
          <cell r="D1149">
            <v>0</v>
          </cell>
          <cell r="E1149">
            <v>0</v>
          </cell>
          <cell r="F1149">
            <v>0</v>
          </cell>
          <cell r="G1149">
            <v>0</v>
          </cell>
        </row>
        <row r="1150">
          <cell r="A1150" t="str">
            <v>23-01-01-0906</v>
          </cell>
          <cell r="B1150">
            <v>0</v>
          </cell>
          <cell r="C1150" t="str">
            <v xml:space="preserve">  FAIZ UR REHMAN MATERIAL SUPPLIER</v>
          </cell>
          <cell r="D1150">
            <v>0</v>
          </cell>
          <cell r="E1150">
            <v>0</v>
          </cell>
          <cell r="F1150">
            <v>0</v>
          </cell>
          <cell r="G1150">
            <v>0</v>
          </cell>
        </row>
        <row r="1151">
          <cell r="A1151" t="str">
            <v>23-01-01-0907</v>
          </cell>
          <cell r="B1151">
            <v>0</v>
          </cell>
          <cell r="C1151" t="str">
            <v xml:space="preserve">  AMIR REHMAN MATERIAL SUPPLIER</v>
          </cell>
          <cell r="D1151">
            <v>0</v>
          </cell>
          <cell r="E1151">
            <v>0</v>
          </cell>
          <cell r="F1151">
            <v>0</v>
          </cell>
          <cell r="G1151">
            <v>0</v>
          </cell>
        </row>
        <row r="1152">
          <cell r="A1152" t="str">
            <v>23-01-01-0908</v>
          </cell>
          <cell r="B1152">
            <v>0</v>
          </cell>
          <cell r="C1152" t="str">
            <v xml:space="preserve">  DIN MUHAMMAD MATERIAL SUPPLIER</v>
          </cell>
          <cell r="D1152">
            <v>0</v>
          </cell>
          <cell r="E1152">
            <v>0</v>
          </cell>
          <cell r="F1152">
            <v>0</v>
          </cell>
          <cell r="G1152">
            <v>0</v>
          </cell>
        </row>
        <row r="1153">
          <cell r="A1153" t="str">
            <v>23-01-01-0909</v>
          </cell>
          <cell r="B1153">
            <v>0</v>
          </cell>
          <cell r="C1153" t="str">
            <v xml:space="preserve">  SULTAN KHAN MATERIAL SUPPLIER</v>
          </cell>
          <cell r="D1153">
            <v>0</v>
          </cell>
          <cell r="E1153">
            <v>0</v>
          </cell>
          <cell r="F1153">
            <v>0</v>
          </cell>
          <cell r="G1153">
            <v>0</v>
          </cell>
        </row>
        <row r="1154">
          <cell r="A1154" t="str">
            <v>23-01-01-0910</v>
          </cell>
          <cell r="B1154">
            <v>0</v>
          </cell>
          <cell r="C1154" t="str">
            <v xml:space="preserve">  GUL ZAMAN MATERIAL SUPPLIER</v>
          </cell>
          <cell r="D1154">
            <v>0</v>
          </cell>
          <cell r="E1154">
            <v>0</v>
          </cell>
          <cell r="F1154">
            <v>0</v>
          </cell>
          <cell r="G1154">
            <v>0</v>
          </cell>
        </row>
        <row r="1155">
          <cell r="A1155" t="str">
            <v>23-01-01-0911</v>
          </cell>
          <cell r="B1155">
            <v>0</v>
          </cell>
          <cell r="C1155" t="str">
            <v xml:space="preserve">  ZAHOOR REHMAN MATERIAL SUPPLIER</v>
          </cell>
          <cell r="D1155">
            <v>0</v>
          </cell>
          <cell r="E1155">
            <v>0</v>
          </cell>
          <cell r="F1155">
            <v>0</v>
          </cell>
          <cell r="G1155">
            <v>0</v>
          </cell>
        </row>
        <row r="1156">
          <cell r="A1156" t="str">
            <v>23-01-01-0912</v>
          </cell>
          <cell r="B1156">
            <v>0</v>
          </cell>
          <cell r="C1156" t="str">
            <v xml:space="preserve">  HUKAM JAN MATERIAL SUPPLIER</v>
          </cell>
          <cell r="D1156">
            <v>0</v>
          </cell>
          <cell r="E1156">
            <v>0</v>
          </cell>
          <cell r="F1156">
            <v>0</v>
          </cell>
          <cell r="G1156">
            <v>0</v>
          </cell>
        </row>
        <row r="1157">
          <cell r="A1157" t="str">
            <v>23-01-01-0913</v>
          </cell>
          <cell r="B1157">
            <v>0</v>
          </cell>
          <cell r="C1157" t="str">
            <v xml:space="preserve">  BHUTTA ENGINEERING COMPANY</v>
          </cell>
          <cell r="D1157">
            <v>0</v>
          </cell>
          <cell r="E1157">
            <v>0</v>
          </cell>
          <cell r="F1157">
            <v>0</v>
          </cell>
          <cell r="G1157">
            <v>0</v>
          </cell>
        </row>
        <row r="1158">
          <cell r="A1158" t="str">
            <v>23-01-01-0914</v>
          </cell>
          <cell r="B1158">
            <v>0</v>
          </cell>
          <cell r="C1158" t="str">
            <v xml:space="preserve">  ORION SCIENTIFIC TRADERS</v>
          </cell>
          <cell r="D1158">
            <v>0</v>
          </cell>
          <cell r="E1158">
            <v>0</v>
          </cell>
          <cell r="F1158">
            <v>0</v>
          </cell>
          <cell r="G1158">
            <v>0</v>
          </cell>
        </row>
        <row r="1159">
          <cell r="A1159" t="str">
            <v>23-01-01-0915</v>
          </cell>
          <cell r="B1159">
            <v>0</v>
          </cell>
          <cell r="C1159" t="str">
            <v xml:space="preserve">  NAFEES TRADERS</v>
          </cell>
          <cell r="D1159">
            <v>0</v>
          </cell>
          <cell r="E1159">
            <v>0</v>
          </cell>
          <cell r="F1159">
            <v>0</v>
          </cell>
          <cell r="G1159">
            <v>0</v>
          </cell>
        </row>
        <row r="1160">
          <cell r="A1160" t="str">
            <v>23-01-01-0916</v>
          </cell>
          <cell r="B1160">
            <v>0</v>
          </cell>
          <cell r="C1160" t="str">
            <v xml:space="preserve">  U.S. OIL TRADERS</v>
          </cell>
          <cell r="D1160">
            <v>0</v>
          </cell>
          <cell r="E1160">
            <v>0</v>
          </cell>
          <cell r="F1160">
            <v>0</v>
          </cell>
          <cell r="G1160">
            <v>0</v>
          </cell>
        </row>
        <row r="1161">
          <cell r="A1161" t="str">
            <v>23-01-01-0917</v>
          </cell>
          <cell r="B1161">
            <v>0</v>
          </cell>
          <cell r="C1161" t="str">
            <v xml:space="preserve">  HAMZA OIL TRADERS</v>
          </cell>
          <cell r="D1161">
            <v>0</v>
          </cell>
          <cell r="E1161">
            <v>0</v>
          </cell>
          <cell r="F1161">
            <v>0</v>
          </cell>
          <cell r="G1161">
            <v>0</v>
          </cell>
        </row>
        <row r="1162">
          <cell r="A1162" t="str">
            <v>23-01-01-0918</v>
          </cell>
          <cell r="B1162">
            <v>0</v>
          </cell>
          <cell r="C1162" t="str">
            <v xml:space="preserve">  GHELLI TRADING CORPORATION.</v>
          </cell>
          <cell r="D1162">
            <v>0</v>
          </cell>
          <cell r="E1162">
            <v>0</v>
          </cell>
          <cell r="F1162">
            <v>0</v>
          </cell>
          <cell r="G1162">
            <v>0</v>
          </cell>
        </row>
        <row r="1163">
          <cell r="A1163" t="str">
            <v>23-01-01-0919</v>
          </cell>
          <cell r="B1163">
            <v>0</v>
          </cell>
          <cell r="C1163" t="str">
            <v xml:space="preserve">  RAFIQUE TRADING COMPANY KARACHI.</v>
          </cell>
          <cell r="D1163">
            <v>0</v>
          </cell>
          <cell r="E1163">
            <v>0</v>
          </cell>
          <cell r="F1163">
            <v>0</v>
          </cell>
          <cell r="G1163">
            <v>0</v>
          </cell>
        </row>
        <row r="1164">
          <cell r="A1164" t="str">
            <v>23-01-01-0920</v>
          </cell>
          <cell r="B1164">
            <v>0</v>
          </cell>
          <cell r="C1164" t="str">
            <v xml:space="preserve">  SADAM HUSSAIN MATERIAL SUPPLIER.</v>
          </cell>
          <cell r="D1164">
            <v>0</v>
          </cell>
          <cell r="E1164">
            <v>0</v>
          </cell>
          <cell r="F1164">
            <v>0</v>
          </cell>
          <cell r="G1164">
            <v>0</v>
          </cell>
        </row>
        <row r="1165">
          <cell r="A1165" t="str">
            <v>23-01-01-0921</v>
          </cell>
          <cell r="B1165">
            <v>0</v>
          </cell>
          <cell r="C1165" t="str">
            <v xml:space="preserve">  ANZR GUL MATERIAL SUPPLIER</v>
          </cell>
          <cell r="D1165">
            <v>0</v>
          </cell>
          <cell r="E1165">
            <v>0</v>
          </cell>
          <cell r="F1165">
            <v>0</v>
          </cell>
          <cell r="G1165">
            <v>0</v>
          </cell>
        </row>
        <row r="1166">
          <cell r="A1166" t="str">
            <v>23-01-01-0922</v>
          </cell>
          <cell r="B1166">
            <v>0</v>
          </cell>
          <cell r="C1166" t="str">
            <v xml:space="preserve">  JEHAN ZEB ALI MATERIAL SUPPLIER</v>
          </cell>
          <cell r="D1166">
            <v>0</v>
          </cell>
          <cell r="E1166">
            <v>0</v>
          </cell>
          <cell r="F1166">
            <v>0</v>
          </cell>
          <cell r="G1166">
            <v>0</v>
          </cell>
        </row>
        <row r="1167">
          <cell r="A1167" t="str">
            <v>23-01-01-0923</v>
          </cell>
          <cell r="B1167">
            <v>0</v>
          </cell>
          <cell r="C1167" t="str">
            <v xml:space="preserve">  M.NAEEM MATERIAL SUPPLIER</v>
          </cell>
          <cell r="D1167">
            <v>0</v>
          </cell>
          <cell r="E1167">
            <v>0</v>
          </cell>
          <cell r="F1167">
            <v>0</v>
          </cell>
          <cell r="G1167">
            <v>0</v>
          </cell>
        </row>
        <row r="1168">
          <cell r="A1168" t="str">
            <v>23-01-01-0924</v>
          </cell>
          <cell r="B1168">
            <v>0</v>
          </cell>
          <cell r="C1168" t="str">
            <v xml:space="preserve">  FAQIR GUL MATERIAL SUPPLIER</v>
          </cell>
          <cell r="D1168">
            <v>0</v>
          </cell>
          <cell r="E1168">
            <v>0</v>
          </cell>
          <cell r="F1168">
            <v>0</v>
          </cell>
          <cell r="G1168">
            <v>0</v>
          </cell>
        </row>
        <row r="1169">
          <cell r="A1169" t="str">
            <v>23-01-01-0925</v>
          </cell>
          <cell r="B1169">
            <v>0</v>
          </cell>
          <cell r="C1169" t="str">
            <v xml:space="preserve">  MEHAR ALI MATERIAL SUPPLIER</v>
          </cell>
          <cell r="D1169">
            <v>0</v>
          </cell>
          <cell r="E1169">
            <v>0</v>
          </cell>
          <cell r="F1169">
            <v>0</v>
          </cell>
          <cell r="G1169">
            <v>0</v>
          </cell>
        </row>
        <row r="1170">
          <cell r="A1170" t="str">
            <v>23-01-01-0926</v>
          </cell>
          <cell r="B1170">
            <v>0</v>
          </cell>
          <cell r="C1170" t="str">
            <v xml:space="preserve">  -\</v>
          </cell>
          <cell r="D1170">
            <v>0</v>
          </cell>
          <cell r="E1170">
            <v>0</v>
          </cell>
          <cell r="F1170">
            <v>0</v>
          </cell>
          <cell r="G1170">
            <v>0</v>
          </cell>
        </row>
        <row r="1171">
          <cell r="A1171" t="str">
            <v>23-01-01-0927</v>
          </cell>
          <cell r="B1171">
            <v>0</v>
          </cell>
          <cell r="C1171" t="str">
            <v xml:space="preserve">  ZUBAIR REHMAN MATERIAL SUPPLIER</v>
          </cell>
          <cell r="D1171">
            <v>0</v>
          </cell>
          <cell r="E1171">
            <v>0</v>
          </cell>
          <cell r="F1171">
            <v>0</v>
          </cell>
          <cell r="G1171">
            <v>0</v>
          </cell>
        </row>
        <row r="1172">
          <cell r="A1172" t="str">
            <v>23-01-01-0928</v>
          </cell>
          <cell r="B1172">
            <v>0</v>
          </cell>
          <cell r="C1172" t="str">
            <v xml:space="preserve">  TAUFEEQ UR REHMAN MATERIAL SUPPLIER</v>
          </cell>
          <cell r="D1172">
            <v>0</v>
          </cell>
          <cell r="E1172">
            <v>0</v>
          </cell>
          <cell r="F1172">
            <v>0</v>
          </cell>
          <cell r="G1172">
            <v>0</v>
          </cell>
        </row>
        <row r="1173">
          <cell r="A1173" t="str">
            <v>23-01-01-0929</v>
          </cell>
          <cell r="B1173">
            <v>0</v>
          </cell>
          <cell r="C1173" t="str">
            <v xml:space="preserve">  WAHEED GUL MATERIAL SUPPLIER</v>
          </cell>
          <cell r="D1173">
            <v>0</v>
          </cell>
          <cell r="E1173">
            <v>0</v>
          </cell>
          <cell r="F1173">
            <v>0</v>
          </cell>
          <cell r="G1173">
            <v>0</v>
          </cell>
        </row>
        <row r="1174">
          <cell r="A1174" t="str">
            <v>23-01-01-0930</v>
          </cell>
          <cell r="B1174">
            <v>0</v>
          </cell>
          <cell r="C1174" t="str">
            <v xml:space="preserve">  SHER REHMAN MATERIAL SUPPLIER</v>
          </cell>
          <cell r="D1174">
            <v>0</v>
          </cell>
          <cell r="E1174">
            <v>0</v>
          </cell>
          <cell r="F1174">
            <v>0</v>
          </cell>
          <cell r="G1174">
            <v>0</v>
          </cell>
        </row>
        <row r="1175">
          <cell r="A1175" t="str">
            <v>23-01-01-0931</v>
          </cell>
          <cell r="B1175">
            <v>0</v>
          </cell>
          <cell r="C1175" t="str">
            <v xml:space="preserve">  HAMID ALI MATERIAL SUPPLIER</v>
          </cell>
          <cell r="D1175">
            <v>0</v>
          </cell>
          <cell r="E1175">
            <v>0</v>
          </cell>
          <cell r="F1175">
            <v>0</v>
          </cell>
          <cell r="G1175">
            <v>0</v>
          </cell>
        </row>
        <row r="1176">
          <cell r="A1176" t="str">
            <v>23-01-01-0932</v>
          </cell>
          <cell r="B1176">
            <v>0</v>
          </cell>
          <cell r="C1176" t="str">
            <v xml:space="preserve">  MAZHAR ALI MATERIAL SUPPLIER.</v>
          </cell>
          <cell r="D1176">
            <v>0</v>
          </cell>
          <cell r="E1176">
            <v>0</v>
          </cell>
          <cell r="F1176">
            <v>0</v>
          </cell>
          <cell r="G1176">
            <v>0</v>
          </cell>
        </row>
        <row r="1177">
          <cell r="A1177" t="str">
            <v>23-01-01-0933</v>
          </cell>
          <cell r="B1177">
            <v>0</v>
          </cell>
          <cell r="C1177" t="str">
            <v xml:space="preserve">  SALEEM ZADA MATERIAL SUPPLIER</v>
          </cell>
          <cell r="D1177">
            <v>0</v>
          </cell>
          <cell r="E1177">
            <v>0</v>
          </cell>
          <cell r="F1177">
            <v>0</v>
          </cell>
          <cell r="G1177">
            <v>0</v>
          </cell>
        </row>
        <row r="1178">
          <cell r="A1178" t="str">
            <v>23-01-01-0934</v>
          </cell>
          <cell r="B1178">
            <v>0</v>
          </cell>
          <cell r="C1178" t="str">
            <v xml:space="preserve">  FAWAD BROTHERS MATERIAL SUPPLIER</v>
          </cell>
          <cell r="D1178">
            <v>0</v>
          </cell>
          <cell r="E1178">
            <v>0</v>
          </cell>
          <cell r="F1178">
            <v>0</v>
          </cell>
          <cell r="G1178">
            <v>0</v>
          </cell>
        </row>
        <row r="1179">
          <cell r="A1179" t="str">
            <v>23-01-01-0935</v>
          </cell>
          <cell r="B1179">
            <v>0</v>
          </cell>
          <cell r="C1179" t="str">
            <v xml:space="preserve">  FAROOQ ALAM MATERIAL SUPPLIER</v>
          </cell>
          <cell r="D1179">
            <v>0</v>
          </cell>
          <cell r="E1179">
            <v>0</v>
          </cell>
          <cell r="F1179">
            <v>0</v>
          </cell>
          <cell r="G1179">
            <v>0</v>
          </cell>
        </row>
        <row r="1180">
          <cell r="A1180" t="str">
            <v>23-01-01-0936</v>
          </cell>
          <cell r="B1180">
            <v>0</v>
          </cell>
          <cell r="C1180" t="str">
            <v xml:space="preserve">  MUHAMMAD ALI MATERIAL SUPPLIER</v>
          </cell>
          <cell r="D1180">
            <v>0</v>
          </cell>
          <cell r="E1180">
            <v>0</v>
          </cell>
          <cell r="F1180">
            <v>0</v>
          </cell>
          <cell r="G1180">
            <v>0</v>
          </cell>
        </row>
        <row r="1181">
          <cell r="A1181" t="str">
            <v>23-01-01-0937</v>
          </cell>
          <cell r="B1181">
            <v>0</v>
          </cell>
          <cell r="C1181" t="str">
            <v xml:space="preserve">  ASAD ALI MATERIAL SUPPLIER</v>
          </cell>
          <cell r="D1181">
            <v>0</v>
          </cell>
          <cell r="E1181">
            <v>0</v>
          </cell>
          <cell r="F1181">
            <v>0</v>
          </cell>
          <cell r="G1181">
            <v>0</v>
          </cell>
        </row>
        <row r="1182">
          <cell r="A1182" t="str">
            <v>23-01-01-0938</v>
          </cell>
          <cell r="B1182">
            <v>0</v>
          </cell>
          <cell r="C1182" t="str">
            <v xml:space="preserve">  ZAFAR ALI MATERIAL SUPPLIER</v>
          </cell>
          <cell r="D1182">
            <v>0</v>
          </cell>
          <cell r="E1182">
            <v>0</v>
          </cell>
          <cell r="F1182">
            <v>0</v>
          </cell>
          <cell r="G1182">
            <v>0</v>
          </cell>
        </row>
        <row r="1183">
          <cell r="A1183" t="str">
            <v>23-01-01-0939</v>
          </cell>
          <cell r="B1183">
            <v>0</v>
          </cell>
          <cell r="C1183" t="str">
            <v xml:space="preserve">  ISHFAQ ALI MATERIAL SUPPLIER</v>
          </cell>
          <cell r="D1183">
            <v>0</v>
          </cell>
          <cell r="E1183">
            <v>0</v>
          </cell>
          <cell r="F1183">
            <v>0</v>
          </cell>
          <cell r="G1183">
            <v>0</v>
          </cell>
        </row>
        <row r="1184">
          <cell r="A1184" t="str">
            <v>23-01-01-0940</v>
          </cell>
          <cell r="B1184">
            <v>0</v>
          </cell>
          <cell r="C1184" t="str">
            <v xml:space="preserve">  ABRAR ALI MATERIAL SUPPLIER</v>
          </cell>
          <cell r="D1184">
            <v>0</v>
          </cell>
          <cell r="E1184">
            <v>0</v>
          </cell>
          <cell r="F1184">
            <v>0</v>
          </cell>
          <cell r="G1184">
            <v>0</v>
          </cell>
        </row>
        <row r="1185">
          <cell r="A1185" t="str">
            <v>23-01-01-0941</v>
          </cell>
          <cell r="B1185">
            <v>0</v>
          </cell>
          <cell r="C1185" t="str">
            <v xml:space="preserve">  FARMAN ALI MATERIAL SUPPLIER</v>
          </cell>
          <cell r="D1185">
            <v>0</v>
          </cell>
          <cell r="E1185">
            <v>0</v>
          </cell>
          <cell r="F1185">
            <v>0</v>
          </cell>
          <cell r="G1185">
            <v>0</v>
          </cell>
        </row>
        <row r="1186">
          <cell r="A1186" t="str">
            <v>23-01-01-0942</v>
          </cell>
          <cell r="B1186">
            <v>0</v>
          </cell>
          <cell r="C1186" t="str">
            <v xml:space="preserve">  FARMAN ULLAH MATERIAL SUPPLIER</v>
          </cell>
          <cell r="D1186">
            <v>0</v>
          </cell>
          <cell r="E1186">
            <v>0</v>
          </cell>
          <cell r="F1186">
            <v>0</v>
          </cell>
          <cell r="G1186">
            <v>0</v>
          </cell>
        </row>
        <row r="1187">
          <cell r="A1187" t="str">
            <v>23-01-01-0945</v>
          </cell>
          <cell r="B1187">
            <v>0</v>
          </cell>
          <cell r="C1187" t="str">
            <v xml:space="preserve">  ABC</v>
          </cell>
          <cell r="D1187">
            <v>0</v>
          </cell>
          <cell r="E1187">
            <v>0</v>
          </cell>
          <cell r="F1187">
            <v>0</v>
          </cell>
          <cell r="G1187">
            <v>0</v>
          </cell>
        </row>
        <row r="1188">
          <cell r="A1188" t="str">
            <v>23-01-01-0946</v>
          </cell>
          <cell r="B1188">
            <v>0</v>
          </cell>
          <cell r="C1188" t="str">
            <v xml:space="preserve">  X</v>
          </cell>
          <cell r="D1188">
            <v>0</v>
          </cell>
          <cell r="E1188">
            <v>0</v>
          </cell>
          <cell r="F1188">
            <v>0</v>
          </cell>
          <cell r="G1188">
            <v>0</v>
          </cell>
        </row>
        <row r="1189">
          <cell r="A1189" t="str">
            <v>23-01-01-0947</v>
          </cell>
          <cell r="B1189">
            <v>0</v>
          </cell>
          <cell r="C1189" t="str">
            <v xml:space="preserve">  MACHINE TOOLS CO</v>
          </cell>
          <cell r="D1189">
            <v>0</v>
          </cell>
          <cell r="E1189">
            <v>0</v>
          </cell>
          <cell r="F1189">
            <v>0</v>
          </cell>
          <cell r="G1189">
            <v>0</v>
          </cell>
        </row>
        <row r="1190">
          <cell r="A1190" t="str">
            <v>23-01-01-0948</v>
          </cell>
          <cell r="B1190">
            <v>0</v>
          </cell>
          <cell r="C1190" t="str">
            <v xml:space="preserve">  MALANG MATERIAL SUPPLIER</v>
          </cell>
          <cell r="D1190">
            <v>0</v>
          </cell>
          <cell r="E1190">
            <v>0</v>
          </cell>
          <cell r="F1190">
            <v>0</v>
          </cell>
          <cell r="G1190">
            <v>0</v>
          </cell>
        </row>
        <row r="1191">
          <cell r="A1191" t="str">
            <v>23-01-01-0949</v>
          </cell>
          <cell r="B1191">
            <v>0</v>
          </cell>
          <cell r="C1191" t="str">
            <v xml:space="preserve">  HAKIM ULLAH MATERIAL SUPPLIER</v>
          </cell>
          <cell r="D1191">
            <v>0</v>
          </cell>
          <cell r="E1191">
            <v>0</v>
          </cell>
          <cell r="F1191">
            <v>0</v>
          </cell>
          <cell r="G1191">
            <v>0</v>
          </cell>
        </row>
        <row r="1192">
          <cell r="A1192" t="str">
            <v>23-01-01-0950</v>
          </cell>
          <cell r="B1192">
            <v>0</v>
          </cell>
          <cell r="C1192" t="str">
            <v xml:space="preserve">  SABAZ ALI MATERIAL SUPPLIER</v>
          </cell>
          <cell r="D1192">
            <v>0</v>
          </cell>
          <cell r="E1192">
            <v>0</v>
          </cell>
          <cell r="F1192">
            <v>0</v>
          </cell>
          <cell r="G1192">
            <v>0</v>
          </cell>
        </row>
        <row r="1193">
          <cell r="A1193" t="str">
            <v>23-01-01-0951</v>
          </cell>
          <cell r="B1193">
            <v>0</v>
          </cell>
          <cell r="C1193" t="str">
            <v xml:space="preserve">  AMJAD ALI MATERIAL SUPPLIER</v>
          </cell>
          <cell r="D1193">
            <v>0</v>
          </cell>
          <cell r="E1193">
            <v>0</v>
          </cell>
          <cell r="F1193">
            <v>0</v>
          </cell>
          <cell r="G1193">
            <v>0</v>
          </cell>
        </row>
        <row r="1194">
          <cell r="A1194" t="str">
            <v>23-01-01-0952</v>
          </cell>
          <cell r="B1194">
            <v>0</v>
          </cell>
          <cell r="C1194" t="str">
            <v xml:space="preserve">  BILAL AHMED MATERIAL SUPPLIER</v>
          </cell>
          <cell r="D1194">
            <v>0</v>
          </cell>
          <cell r="E1194">
            <v>0</v>
          </cell>
          <cell r="F1194">
            <v>0</v>
          </cell>
          <cell r="G1194">
            <v>0</v>
          </cell>
        </row>
        <row r="1195">
          <cell r="A1195" t="str">
            <v>23-01-01-0953</v>
          </cell>
          <cell r="B1195">
            <v>0</v>
          </cell>
          <cell r="C1195" t="str">
            <v xml:space="preserve">  M.SADIQ MATERIAL SUPPLIER</v>
          </cell>
          <cell r="D1195">
            <v>0</v>
          </cell>
          <cell r="E1195">
            <v>0</v>
          </cell>
          <cell r="F1195">
            <v>0</v>
          </cell>
          <cell r="G1195">
            <v>0</v>
          </cell>
        </row>
        <row r="1196">
          <cell r="A1196" t="str">
            <v>23-01-01-0954</v>
          </cell>
          <cell r="B1196">
            <v>0</v>
          </cell>
          <cell r="C1196" t="str">
            <v xml:space="preserve">  KHAYAL MUHAMMED MATERIAL SUPPLIER</v>
          </cell>
          <cell r="D1196">
            <v>0</v>
          </cell>
          <cell r="E1196">
            <v>0</v>
          </cell>
          <cell r="F1196">
            <v>0</v>
          </cell>
          <cell r="G1196">
            <v>0</v>
          </cell>
        </row>
        <row r="1197">
          <cell r="A1197" t="str">
            <v>23-01-01-0955</v>
          </cell>
          <cell r="B1197">
            <v>0</v>
          </cell>
          <cell r="C1197" t="str">
            <v xml:space="preserve">  MUHAMMED SAER</v>
          </cell>
          <cell r="D1197">
            <v>0</v>
          </cell>
          <cell r="E1197">
            <v>0</v>
          </cell>
          <cell r="F1197">
            <v>0</v>
          </cell>
          <cell r="G1197">
            <v>0</v>
          </cell>
        </row>
        <row r="1198">
          <cell r="A1198" t="str">
            <v>23-01-01-0956</v>
          </cell>
          <cell r="B1198">
            <v>0</v>
          </cell>
          <cell r="C1198" t="str">
            <v xml:space="preserve">  MUHAMMED TAHIR MATER</v>
          </cell>
          <cell r="D1198">
            <v>0</v>
          </cell>
          <cell r="E1198">
            <v>0</v>
          </cell>
          <cell r="F1198">
            <v>0</v>
          </cell>
          <cell r="G1198">
            <v>0</v>
          </cell>
        </row>
        <row r="1199">
          <cell r="A1199" t="str">
            <v>23-01-01-0957</v>
          </cell>
          <cell r="B1199">
            <v>0</v>
          </cell>
          <cell r="C1199" t="str">
            <v xml:space="preserve">  ARIF BROTHERS MATERIAL SUPPLIER</v>
          </cell>
          <cell r="D1199">
            <v>0</v>
          </cell>
          <cell r="E1199">
            <v>0</v>
          </cell>
          <cell r="F1199">
            <v>0</v>
          </cell>
          <cell r="G1199">
            <v>0</v>
          </cell>
        </row>
        <row r="1200">
          <cell r="A1200" t="str">
            <v>23-01-01-0958</v>
          </cell>
          <cell r="B1200">
            <v>0</v>
          </cell>
          <cell r="C1200" t="str">
            <v xml:space="preserve">  SHAMAS UR REHMAN MATERIAL SUPPLIER</v>
          </cell>
          <cell r="D1200">
            <v>0</v>
          </cell>
          <cell r="E1200">
            <v>0</v>
          </cell>
          <cell r="F1200">
            <v>0</v>
          </cell>
          <cell r="G1200">
            <v>0</v>
          </cell>
        </row>
        <row r="1201">
          <cell r="A1201" t="str">
            <v>23-01-01-0959</v>
          </cell>
          <cell r="B1201">
            <v>0</v>
          </cell>
          <cell r="C1201" t="str">
            <v xml:space="preserve">  GUL ANWAR KHAN MATERIAL SUPPLIER</v>
          </cell>
          <cell r="D1201">
            <v>0</v>
          </cell>
          <cell r="E1201">
            <v>0</v>
          </cell>
          <cell r="F1201">
            <v>0</v>
          </cell>
          <cell r="G1201">
            <v>0</v>
          </cell>
        </row>
        <row r="1202">
          <cell r="A1202" t="str">
            <v>23-01-01-0960</v>
          </cell>
          <cell r="B1202">
            <v>0</v>
          </cell>
          <cell r="C1202" t="str">
            <v xml:space="preserve">  AMIR NAWAB MATERIAL SUPPLIER</v>
          </cell>
          <cell r="D1202">
            <v>0</v>
          </cell>
          <cell r="E1202">
            <v>0</v>
          </cell>
          <cell r="F1202">
            <v>0</v>
          </cell>
          <cell r="G1202">
            <v>0</v>
          </cell>
        </row>
        <row r="1203">
          <cell r="A1203" t="str">
            <v>23-01-01-0961</v>
          </cell>
          <cell r="B1203">
            <v>0</v>
          </cell>
          <cell r="C1203" t="str">
            <v xml:space="preserve">  NOOR ALI MATERIAL SUPPLIER</v>
          </cell>
          <cell r="D1203">
            <v>0</v>
          </cell>
          <cell r="E1203">
            <v>0</v>
          </cell>
          <cell r="F1203">
            <v>0</v>
          </cell>
          <cell r="G1203">
            <v>0</v>
          </cell>
        </row>
        <row r="1204">
          <cell r="A1204" t="str">
            <v>23-01-01-0962</v>
          </cell>
          <cell r="B1204">
            <v>0</v>
          </cell>
          <cell r="C1204" t="str">
            <v xml:space="preserve">  MUHAMMAD HUMAYUN MATERIAL SUPPLIER</v>
          </cell>
          <cell r="D1204">
            <v>0</v>
          </cell>
          <cell r="E1204">
            <v>0</v>
          </cell>
          <cell r="F1204">
            <v>0</v>
          </cell>
          <cell r="G1204">
            <v>0</v>
          </cell>
        </row>
        <row r="1205">
          <cell r="A1205" t="str">
            <v>23-01-01-0963</v>
          </cell>
          <cell r="B1205">
            <v>0</v>
          </cell>
          <cell r="C1205" t="str">
            <v xml:space="preserve">  NISAR MUHAMMAD MATERIAL SUPPLIER</v>
          </cell>
          <cell r="D1205">
            <v>0</v>
          </cell>
          <cell r="E1205">
            <v>0</v>
          </cell>
          <cell r="F1205">
            <v>0</v>
          </cell>
          <cell r="G1205">
            <v>0</v>
          </cell>
        </row>
        <row r="1206">
          <cell r="A1206" t="str">
            <v>23-01-01-0964</v>
          </cell>
          <cell r="B1206">
            <v>0</v>
          </cell>
          <cell r="C1206" t="str">
            <v xml:space="preserve">  MUHAMMAD IMRAN MATERIAL SUPPLIER</v>
          </cell>
          <cell r="D1206">
            <v>0</v>
          </cell>
          <cell r="E1206">
            <v>0</v>
          </cell>
          <cell r="F1206">
            <v>0</v>
          </cell>
          <cell r="G1206">
            <v>0</v>
          </cell>
        </row>
        <row r="1207">
          <cell r="A1207" t="str">
            <v>23-01-01-0965</v>
          </cell>
          <cell r="B1207">
            <v>0</v>
          </cell>
          <cell r="C1207" t="str">
            <v xml:space="preserve">  MIR ZADA MATERIAL SUPPLIER</v>
          </cell>
          <cell r="D1207">
            <v>0</v>
          </cell>
          <cell r="E1207">
            <v>0</v>
          </cell>
          <cell r="F1207">
            <v>0</v>
          </cell>
          <cell r="G1207">
            <v>0</v>
          </cell>
        </row>
        <row r="1208">
          <cell r="A1208" t="str">
            <v>23-01-01-0966</v>
          </cell>
          <cell r="B1208">
            <v>0</v>
          </cell>
          <cell r="C1208" t="str">
            <v xml:space="preserve">  REHMAN MATERAIL SUPPLIER</v>
          </cell>
          <cell r="D1208">
            <v>0</v>
          </cell>
          <cell r="E1208">
            <v>0</v>
          </cell>
          <cell r="F1208">
            <v>0</v>
          </cell>
          <cell r="G1208">
            <v>0</v>
          </cell>
        </row>
        <row r="1209">
          <cell r="A1209" t="str">
            <v>23-01-01-0967</v>
          </cell>
          <cell r="B1209">
            <v>0</v>
          </cell>
          <cell r="C1209" t="str">
            <v xml:space="preserve">  MUHAMMED RAQEEB MATERAIL SUPPLIER</v>
          </cell>
          <cell r="D1209">
            <v>0</v>
          </cell>
          <cell r="E1209">
            <v>0</v>
          </cell>
          <cell r="F1209">
            <v>0</v>
          </cell>
          <cell r="G1209">
            <v>0</v>
          </cell>
        </row>
        <row r="1210">
          <cell r="A1210" t="str">
            <v>23-01-01-0968</v>
          </cell>
          <cell r="B1210">
            <v>0</v>
          </cell>
          <cell r="C1210" t="str">
            <v xml:space="preserve">  MISAL KHAN MATERIAL SUPPLIER</v>
          </cell>
          <cell r="D1210">
            <v>0</v>
          </cell>
          <cell r="E1210">
            <v>0</v>
          </cell>
          <cell r="F1210">
            <v>0</v>
          </cell>
          <cell r="G1210">
            <v>0</v>
          </cell>
        </row>
        <row r="1211">
          <cell r="A1211" t="str">
            <v>23-01-01-0969</v>
          </cell>
          <cell r="B1211">
            <v>0</v>
          </cell>
          <cell r="C1211" t="str">
            <v xml:space="preserve">  KHAN BADSHAH MATERIAL SUPPLIER</v>
          </cell>
          <cell r="D1211">
            <v>0</v>
          </cell>
          <cell r="E1211">
            <v>0</v>
          </cell>
          <cell r="F1211">
            <v>0</v>
          </cell>
          <cell r="G1211">
            <v>0</v>
          </cell>
        </row>
        <row r="1212">
          <cell r="A1212" t="str">
            <v>23-01-01-0970</v>
          </cell>
          <cell r="B1212">
            <v>0</v>
          </cell>
          <cell r="C1212" t="str">
            <v xml:space="preserve">  MUHAMMAD ARSHAD MATERIAL SUPPLIER</v>
          </cell>
          <cell r="D1212">
            <v>0</v>
          </cell>
          <cell r="E1212">
            <v>0</v>
          </cell>
          <cell r="F1212">
            <v>0</v>
          </cell>
          <cell r="G1212">
            <v>0</v>
          </cell>
        </row>
        <row r="1213">
          <cell r="A1213" t="str">
            <v>23-01-01-0971</v>
          </cell>
          <cell r="B1213">
            <v>0</v>
          </cell>
          <cell r="C1213" t="str">
            <v xml:space="preserve">  SADIQ &amp; BROTHERS MATERIAL SUPPLIER</v>
          </cell>
          <cell r="D1213">
            <v>0</v>
          </cell>
          <cell r="E1213">
            <v>0</v>
          </cell>
          <cell r="F1213">
            <v>0</v>
          </cell>
          <cell r="G1213">
            <v>0</v>
          </cell>
        </row>
        <row r="1214">
          <cell r="A1214" t="str">
            <v>23-01-01-0972</v>
          </cell>
          <cell r="B1214">
            <v>0</v>
          </cell>
          <cell r="C1214" t="str">
            <v xml:space="preserve">  KHYAL BADEER  MATERIAL SUPPLIER</v>
          </cell>
          <cell r="D1214">
            <v>0</v>
          </cell>
          <cell r="E1214">
            <v>0</v>
          </cell>
          <cell r="F1214">
            <v>0</v>
          </cell>
          <cell r="G1214">
            <v>0</v>
          </cell>
        </row>
        <row r="1215">
          <cell r="A1215" t="str">
            <v>23-01-01-0973</v>
          </cell>
          <cell r="B1215">
            <v>0</v>
          </cell>
          <cell r="C1215" t="str">
            <v xml:space="preserve">  GUL BADSHAH MATERIAL SUPPLIER</v>
          </cell>
          <cell r="D1215">
            <v>0</v>
          </cell>
          <cell r="E1215">
            <v>0</v>
          </cell>
          <cell r="F1215">
            <v>0</v>
          </cell>
          <cell r="G1215">
            <v>0</v>
          </cell>
        </row>
        <row r="1216">
          <cell r="A1216" t="str">
            <v>23-01-01-0974</v>
          </cell>
          <cell r="B1216">
            <v>0</v>
          </cell>
          <cell r="C1216" t="str">
            <v xml:space="preserve">  M.UMAR LUBRICANT</v>
          </cell>
          <cell r="D1216">
            <v>0</v>
          </cell>
          <cell r="E1216">
            <v>0</v>
          </cell>
          <cell r="F1216">
            <v>0</v>
          </cell>
          <cell r="G1216">
            <v>0</v>
          </cell>
        </row>
        <row r="1217">
          <cell r="A1217" t="str">
            <v>23-01-01-0975</v>
          </cell>
          <cell r="B1217">
            <v>0</v>
          </cell>
          <cell r="C1217" t="str">
            <v xml:space="preserve">  ADNAN HARDWARE &amp; MILLS STORE</v>
          </cell>
          <cell r="D1217">
            <v>0</v>
          </cell>
          <cell r="E1217">
            <v>0</v>
          </cell>
          <cell r="F1217">
            <v>0</v>
          </cell>
          <cell r="G1217">
            <v>0</v>
          </cell>
        </row>
        <row r="1218">
          <cell r="A1218" t="str">
            <v>23-01-01-0976</v>
          </cell>
          <cell r="B1218">
            <v>0</v>
          </cell>
          <cell r="C1218" t="str">
            <v xml:space="preserve">  HAROON KHAN MATERIAL SUPPLIER.</v>
          </cell>
          <cell r="D1218">
            <v>0</v>
          </cell>
          <cell r="E1218">
            <v>0</v>
          </cell>
          <cell r="F1218">
            <v>0</v>
          </cell>
          <cell r="G1218">
            <v>0</v>
          </cell>
        </row>
        <row r="1219">
          <cell r="A1219" t="str">
            <v>23-01-01-0977</v>
          </cell>
          <cell r="B1219">
            <v>0</v>
          </cell>
          <cell r="C1219" t="str">
            <v xml:space="preserve">  JUNAID KHAN MATERAIL SUPPLIER.</v>
          </cell>
          <cell r="D1219">
            <v>0</v>
          </cell>
          <cell r="E1219">
            <v>0</v>
          </cell>
          <cell r="F1219">
            <v>0</v>
          </cell>
          <cell r="G1219">
            <v>0</v>
          </cell>
        </row>
        <row r="1220">
          <cell r="A1220" t="str">
            <v>23-01-01-0978</v>
          </cell>
          <cell r="B1220">
            <v>0</v>
          </cell>
          <cell r="C1220" t="str">
            <v xml:space="preserve">  MUHAMMAD IQBAL MATERAIL SUPPLIER.</v>
          </cell>
          <cell r="D1220">
            <v>0</v>
          </cell>
          <cell r="E1220">
            <v>0</v>
          </cell>
          <cell r="F1220">
            <v>0</v>
          </cell>
          <cell r="G1220">
            <v>0</v>
          </cell>
        </row>
        <row r="1221">
          <cell r="A1221" t="str">
            <v>23-01-01-0979</v>
          </cell>
          <cell r="B1221">
            <v>0</v>
          </cell>
          <cell r="C1221" t="str">
            <v xml:space="preserve">  UMAR SAID MATERAIL SUPPLIER.</v>
          </cell>
          <cell r="D1221">
            <v>0</v>
          </cell>
          <cell r="E1221">
            <v>0</v>
          </cell>
          <cell r="F1221">
            <v>0</v>
          </cell>
          <cell r="G1221">
            <v>0</v>
          </cell>
        </row>
        <row r="1222">
          <cell r="A1222" t="str">
            <v>23-01-01-0980</v>
          </cell>
          <cell r="B1222">
            <v>0</v>
          </cell>
          <cell r="C1222" t="str">
            <v xml:space="preserve">  JAMSHAID ALI MATERAIL SUPPLIER</v>
          </cell>
          <cell r="D1222">
            <v>0</v>
          </cell>
          <cell r="E1222">
            <v>0</v>
          </cell>
          <cell r="F1222">
            <v>0</v>
          </cell>
          <cell r="G1222">
            <v>0</v>
          </cell>
        </row>
        <row r="1223">
          <cell r="A1223" t="str">
            <v>23-01-01-0981</v>
          </cell>
          <cell r="B1223">
            <v>0</v>
          </cell>
          <cell r="C1223" t="str">
            <v xml:space="preserve">  LAIQ MATERAIL SUPPLIER.</v>
          </cell>
          <cell r="D1223">
            <v>0</v>
          </cell>
          <cell r="E1223">
            <v>0</v>
          </cell>
          <cell r="F1223">
            <v>0</v>
          </cell>
          <cell r="G1223">
            <v>0</v>
          </cell>
        </row>
        <row r="1224">
          <cell r="A1224" t="str">
            <v>23-01-01-0982</v>
          </cell>
          <cell r="B1224">
            <v>0</v>
          </cell>
          <cell r="C1224" t="str">
            <v xml:space="preserve">  HABIB GUL MATERAIL SUPPLIER.</v>
          </cell>
          <cell r="D1224">
            <v>0</v>
          </cell>
          <cell r="E1224">
            <v>0</v>
          </cell>
          <cell r="F1224">
            <v>0</v>
          </cell>
          <cell r="G1224">
            <v>0</v>
          </cell>
        </row>
        <row r="1225">
          <cell r="A1225" t="str">
            <v>23-01-01-0983</v>
          </cell>
          <cell r="B1225">
            <v>0</v>
          </cell>
          <cell r="C1225" t="str">
            <v xml:space="preserve">  YOUNUS UR REHAMAN MATERAIL SUPPLIER.</v>
          </cell>
          <cell r="D1225">
            <v>0</v>
          </cell>
          <cell r="E1225">
            <v>0</v>
          </cell>
          <cell r="F1225">
            <v>0</v>
          </cell>
          <cell r="G1225">
            <v>0</v>
          </cell>
        </row>
        <row r="1226">
          <cell r="A1226" t="str">
            <v>23-01-01-0984</v>
          </cell>
          <cell r="B1226">
            <v>0</v>
          </cell>
          <cell r="C1226" t="str">
            <v xml:space="preserve">  MUHAMMAD AYUB MATERAIL SUPPLIER.</v>
          </cell>
          <cell r="D1226">
            <v>0</v>
          </cell>
          <cell r="E1226">
            <v>0</v>
          </cell>
          <cell r="F1226">
            <v>0</v>
          </cell>
          <cell r="G1226">
            <v>0</v>
          </cell>
        </row>
        <row r="1227">
          <cell r="A1227" t="str">
            <v>23-01-01-0985</v>
          </cell>
          <cell r="B1227">
            <v>0</v>
          </cell>
          <cell r="C1227" t="str">
            <v xml:space="preserve">  RAZEE KHAN MATERIAL SUPPLIER.</v>
          </cell>
          <cell r="D1227">
            <v>0</v>
          </cell>
          <cell r="E1227">
            <v>0</v>
          </cell>
          <cell r="F1227">
            <v>0</v>
          </cell>
          <cell r="G1227">
            <v>0</v>
          </cell>
        </row>
        <row r="1228">
          <cell r="A1228" t="str">
            <v>23-01-01-0986</v>
          </cell>
          <cell r="B1228">
            <v>0</v>
          </cell>
          <cell r="C1228" t="str">
            <v xml:space="preserve">  MUHAMMAD YOUNUS MATERAIL SUPPLIER.</v>
          </cell>
          <cell r="D1228">
            <v>0</v>
          </cell>
          <cell r="E1228">
            <v>0</v>
          </cell>
          <cell r="F1228">
            <v>0</v>
          </cell>
          <cell r="G1228">
            <v>0</v>
          </cell>
        </row>
        <row r="1229">
          <cell r="A1229" t="str">
            <v>23-01-01-0987</v>
          </cell>
          <cell r="B1229">
            <v>0</v>
          </cell>
          <cell r="C1229" t="str">
            <v xml:space="preserve">  WASIM KHAN MATERAIL SUPPLIER.</v>
          </cell>
          <cell r="D1229">
            <v>0</v>
          </cell>
          <cell r="E1229">
            <v>0</v>
          </cell>
          <cell r="F1229">
            <v>0</v>
          </cell>
          <cell r="G1229">
            <v>0</v>
          </cell>
        </row>
        <row r="1230">
          <cell r="A1230" t="str">
            <v>23-01-01-0988</v>
          </cell>
          <cell r="B1230">
            <v>0</v>
          </cell>
          <cell r="C1230" t="str">
            <v xml:space="preserve">  MUHAMMAD ANWAR MATERAIL SUPPLIER.</v>
          </cell>
          <cell r="D1230">
            <v>0</v>
          </cell>
          <cell r="E1230">
            <v>0</v>
          </cell>
          <cell r="F1230">
            <v>0</v>
          </cell>
          <cell r="G1230">
            <v>0</v>
          </cell>
        </row>
        <row r="1231">
          <cell r="A1231" t="str">
            <v>23-01-01-0989</v>
          </cell>
          <cell r="B1231">
            <v>0</v>
          </cell>
          <cell r="C1231" t="str">
            <v xml:space="preserve">  MOHAMMAD EJAZ MATERAIL SUPPLIER.</v>
          </cell>
          <cell r="D1231">
            <v>0</v>
          </cell>
          <cell r="E1231">
            <v>0</v>
          </cell>
          <cell r="F1231">
            <v>0</v>
          </cell>
          <cell r="G1231">
            <v>0</v>
          </cell>
        </row>
        <row r="1232">
          <cell r="A1232" t="str">
            <v>23-01-01-0990</v>
          </cell>
          <cell r="B1232">
            <v>0</v>
          </cell>
          <cell r="C1232" t="str">
            <v xml:space="preserve">  MOHAMMAD YAQOOB MATERIAL SUPPLIER</v>
          </cell>
          <cell r="D1232">
            <v>0</v>
          </cell>
          <cell r="E1232">
            <v>0</v>
          </cell>
          <cell r="F1232">
            <v>0</v>
          </cell>
          <cell r="G1232">
            <v>0</v>
          </cell>
        </row>
        <row r="1233">
          <cell r="A1233" t="str">
            <v>23-01-01-0991</v>
          </cell>
          <cell r="B1233">
            <v>0</v>
          </cell>
          <cell r="C1233" t="str">
            <v xml:space="preserve">  YASIR KHAN MATERAIL SUPPLIER</v>
          </cell>
          <cell r="D1233">
            <v>0</v>
          </cell>
          <cell r="E1233">
            <v>0</v>
          </cell>
          <cell r="F1233">
            <v>0</v>
          </cell>
          <cell r="G1233">
            <v>0</v>
          </cell>
        </row>
        <row r="1234">
          <cell r="A1234" t="str">
            <v>23-01-01-0992</v>
          </cell>
          <cell r="B1234">
            <v>0</v>
          </cell>
          <cell r="C1234" t="str">
            <v xml:space="preserve">  LATIF ULLAH MATERIAL SUPPLIER</v>
          </cell>
          <cell r="D1234">
            <v>0</v>
          </cell>
          <cell r="E1234">
            <v>0</v>
          </cell>
          <cell r="F1234">
            <v>0</v>
          </cell>
          <cell r="G1234">
            <v>0</v>
          </cell>
        </row>
        <row r="1235">
          <cell r="A1235" t="str">
            <v>23-01-01-0993</v>
          </cell>
          <cell r="B1235">
            <v>0</v>
          </cell>
          <cell r="C1235" t="str">
            <v xml:space="preserve">  MUTABAR KHAN MATERAIL SUPPLIER</v>
          </cell>
          <cell r="D1235">
            <v>0</v>
          </cell>
          <cell r="E1235">
            <v>0</v>
          </cell>
          <cell r="F1235">
            <v>0</v>
          </cell>
          <cell r="G1235">
            <v>0</v>
          </cell>
        </row>
        <row r="1236">
          <cell r="A1236" t="str">
            <v>23-01-01-0994</v>
          </cell>
          <cell r="B1236">
            <v>0</v>
          </cell>
          <cell r="C1236" t="str">
            <v xml:space="preserve">  ZUBAIR AHMED MATERAIL SUPPLIER.</v>
          </cell>
          <cell r="D1236">
            <v>0</v>
          </cell>
          <cell r="E1236">
            <v>0</v>
          </cell>
          <cell r="F1236">
            <v>0</v>
          </cell>
          <cell r="G1236">
            <v>0</v>
          </cell>
        </row>
        <row r="1237">
          <cell r="A1237" t="str">
            <v>23-01-01-0995</v>
          </cell>
          <cell r="B1237">
            <v>0</v>
          </cell>
          <cell r="C1237" t="str">
            <v xml:space="preserve">  ZAFAR AHMED MATERIAL SUPPLIER.</v>
          </cell>
          <cell r="D1237">
            <v>0</v>
          </cell>
          <cell r="E1237">
            <v>0</v>
          </cell>
          <cell r="F1237">
            <v>0</v>
          </cell>
          <cell r="G1237">
            <v>0</v>
          </cell>
        </row>
        <row r="1238">
          <cell r="A1238" t="str">
            <v>23-01-01-0996</v>
          </cell>
          <cell r="B1238">
            <v>0</v>
          </cell>
          <cell r="C1238" t="str">
            <v xml:space="preserve">  SHAUKAT ZAMAN</v>
          </cell>
          <cell r="D1238">
            <v>0</v>
          </cell>
          <cell r="E1238">
            <v>0</v>
          </cell>
          <cell r="F1238">
            <v>0</v>
          </cell>
          <cell r="G1238">
            <v>0</v>
          </cell>
        </row>
        <row r="1239">
          <cell r="A1239" t="str">
            <v>23-01-01-0997</v>
          </cell>
          <cell r="B1239">
            <v>0</v>
          </cell>
          <cell r="C1239" t="str">
            <v xml:space="preserve">  JAPAN MACHINERY STORE.</v>
          </cell>
          <cell r="D1239">
            <v>0</v>
          </cell>
          <cell r="E1239">
            <v>0</v>
          </cell>
          <cell r="F1239">
            <v>0</v>
          </cell>
          <cell r="G1239">
            <v>0</v>
          </cell>
        </row>
        <row r="1240">
          <cell r="A1240" t="str">
            <v>23-01-01-0998</v>
          </cell>
          <cell r="B1240">
            <v>0</v>
          </cell>
          <cell r="C1240" t="str">
            <v xml:space="preserve">  LAHORE CENTRAL IRON &amp; HARDWARE MACHINE</v>
          </cell>
          <cell r="D1240">
            <v>0</v>
          </cell>
          <cell r="E1240">
            <v>27620</v>
          </cell>
          <cell r="F1240">
            <v>0</v>
          </cell>
          <cell r="G1240">
            <v>0</v>
          </cell>
        </row>
        <row r="1241">
          <cell r="A1241" t="str">
            <v>23-01-01-0999</v>
          </cell>
          <cell r="B1241">
            <v>0</v>
          </cell>
          <cell r="C1241" t="str">
            <v xml:space="preserve">  MUQSIT INTERNATIONAL</v>
          </cell>
          <cell r="D1241">
            <v>0</v>
          </cell>
          <cell r="E1241">
            <v>0</v>
          </cell>
          <cell r="F1241">
            <v>0</v>
          </cell>
          <cell r="G1241">
            <v>0</v>
          </cell>
        </row>
        <row r="1242">
          <cell r="A1242" t="str">
            <v>23-01-01-1000</v>
          </cell>
          <cell r="B1242">
            <v>0</v>
          </cell>
          <cell r="C1242" t="str">
            <v xml:space="preserve">  STAR TEXTILE TRADERS</v>
          </cell>
          <cell r="D1242">
            <v>0</v>
          </cell>
          <cell r="E1242">
            <v>0</v>
          </cell>
          <cell r="F1242">
            <v>0</v>
          </cell>
          <cell r="G1242">
            <v>0</v>
          </cell>
        </row>
        <row r="1243">
          <cell r="A1243" t="str">
            <v>23-01-01-1001</v>
          </cell>
          <cell r="B1243">
            <v>0</v>
          </cell>
          <cell r="C1243" t="str">
            <v xml:space="preserve">  SALEEM TRADING CORPORATION.</v>
          </cell>
          <cell r="D1243">
            <v>0</v>
          </cell>
          <cell r="E1243">
            <v>0</v>
          </cell>
          <cell r="F1243">
            <v>0</v>
          </cell>
          <cell r="G1243">
            <v>0</v>
          </cell>
        </row>
        <row r="1244">
          <cell r="A1244" t="str">
            <v>23-01-01-1002</v>
          </cell>
          <cell r="B1244">
            <v>0</v>
          </cell>
          <cell r="C1244" t="str">
            <v xml:space="preserve">  IMTIAZ ELECTRIC STORE</v>
          </cell>
          <cell r="D1244">
            <v>0</v>
          </cell>
          <cell r="E1244">
            <v>0</v>
          </cell>
          <cell r="F1244">
            <v>0</v>
          </cell>
          <cell r="G1244">
            <v>0</v>
          </cell>
        </row>
        <row r="1245">
          <cell r="A1245" t="str">
            <v>23-01-01-1003</v>
          </cell>
          <cell r="B1245">
            <v>0</v>
          </cell>
          <cell r="C1245" t="str">
            <v xml:space="preserve">  PAKISTAN ENGG DESIGN &amp; FABRICATION</v>
          </cell>
          <cell r="D1245">
            <v>0</v>
          </cell>
          <cell r="E1245">
            <v>0</v>
          </cell>
          <cell r="F1245">
            <v>0</v>
          </cell>
          <cell r="G1245">
            <v>0</v>
          </cell>
        </row>
        <row r="1246">
          <cell r="A1246" t="str">
            <v>23-01-01-1004</v>
          </cell>
          <cell r="B1246">
            <v>0</v>
          </cell>
          <cell r="C1246" t="str">
            <v xml:space="preserve">  JAFOM ENTERPRISES</v>
          </cell>
          <cell r="D1246">
            <v>0</v>
          </cell>
          <cell r="E1246">
            <v>0</v>
          </cell>
          <cell r="F1246">
            <v>0</v>
          </cell>
          <cell r="G1246">
            <v>0</v>
          </cell>
        </row>
        <row r="1247">
          <cell r="A1247" t="str">
            <v>23-01-01-1005</v>
          </cell>
          <cell r="B1247">
            <v>0</v>
          </cell>
          <cell r="C1247" t="str">
            <v xml:space="preserve">  MUBARIK TRADERS</v>
          </cell>
          <cell r="D1247">
            <v>0</v>
          </cell>
          <cell r="E1247">
            <v>0</v>
          </cell>
          <cell r="F1247">
            <v>0</v>
          </cell>
          <cell r="G1247">
            <v>0</v>
          </cell>
        </row>
        <row r="1248">
          <cell r="A1248" t="str">
            <v>23-01-01-1006</v>
          </cell>
          <cell r="B1248">
            <v>0</v>
          </cell>
          <cell r="C1248" t="str">
            <v xml:space="preserve">  UNI TRADER KARACHI.</v>
          </cell>
          <cell r="D1248">
            <v>0</v>
          </cell>
          <cell r="E1248">
            <v>0</v>
          </cell>
          <cell r="F1248">
            <v>0</v>
          </cell>
          <cell r="G1248">
            <v>0</v>
          </cell>
        </row>
        <row r="1249">
          <cell r="A1249" t="str">
            <v>23-01-01-1007</v>
          </cell>
          <cell r="B1249">
            <v>0</v>
          </cell>
          <cell r="C1249" t="str">
            <v xml:space="preserve">  OCCAN ENTERPRISES</v>
          </cell>
          <cell r="D1249">
            <v>0</v>
          </cell>
          <cell r="E1249">
            <v>0</v>
          </cell>
          <cell r="F1249">
            <v>0</v>
          </cell>
          <cell r="G1249">
            <v>0</v>
          </cell>
        </row>
        <row r="1250">
          <cell r="A1250" t="str">
            <v>23-01-01-1008</v>
          </cell>
          <cell r="B1250">
            <v>0</v>
          </cell>
          <cell r="C1250" t="str">
            <v xml:space="preserve">  SHELL PAKISTAN LIMITED-KARACHI.</v>
          </cell>
          <cell r="D1250">
            <v>0</v>
          </cell>
          <cell r="E1250">
            <v>206635.71</v>
          </cell>
          <cell r="F1250">
            <v>0</v>
          </cell>
          <cell r="G1250">
            <v>0</v>
          </cell>
        </row>
        <row r="1251">
          <cell r="A1251" t="str">
            <v>23-01-01-1009</v>
          </cell>
          <cell r="B1251">
            <v>0</v>
          </cell>
          <cell r="C1251" t="str">
            <v xml:space="preserve">  SUFI MUHAMMAD YOUNUS CHARPAI CENTRE</v>
          </cell>
          <cell r="D1251">
            <v>0</v>
          </cell>
          <cell r="E1251">
            <v>39650</v>
          </cell>
          <cell r="F1251">
            <v>0</v>
          </cell>
          <cell r="G1251">
            <v>0</v>
          </cell>
        </row>
        <row r="1252">
          <cell r="A1252" t="str">
            <v>23-01-01-1010</v>
          </cell>
          <cell r="B1252">
            <v>0</v>
          </cell>
          <cell r="C1252" t="str">
            <v xml:space="preserve">  ITTIFAQ TRADERS</v>
          </cell>
          <cell r="D1252">
            <v>0</v>
          </cell>
          <cell r="E1252">
            <v>0</v>
          </cell>
          <cell r="F1252">
            <v>0</v>
          </cell>
          <cell r="G1252">
            <v>0</v>
          </cell>
        </row>
        <row r="1253">
          <cell r="A1253" t="str">
            <v>23-01-01-1011</v>
          </cell>
          <cell r="B1253">
            <v>0</v>
          </cell>
          <cell r="C1253" t="str">
            <v xml:space="preserve">  QAMARCO</v>
          </cell>
          <cell r="D1253">
            <v>0</v>
          </cell>
          <cell r="E1253">
            <v>0</v>
          </cell>
          <cell r="F1253">
            <v>0</v>
          </cell>
          <cell r="G1253">
            <v>0</v>
          </cell>
        </row>
        <row r="1254">
          <cell r="A1254" t="str">
            <v>23-01-01-1012</v>
          </cell>
          <cell r="B1254">
            <v>0</v>
          </cell>
          <cell r="C1254" t="str">
            <v xml:space="preserve">  PERFECT SCIENTIFIC TRADERS</v>
          </cell>
          <cell r="D1254">
            <v>0</v>
          </cell>
          <cell r="E1254">
            <v>0</v>
          </cell>
          <cell r="F1254">
            <v>0</v>
          </cell>
          <cell r="G1254">
            <v>0</v>
          </cell>
        </row>
        <row r="1255">
          <cell r="A1255" t="str">
            <v>23-01-01-1013</v>
          </cell>
          <cell r="B1255">
            <v>0</v>
          </cell>
          <cell r="C1255" t="str">
            <v xml:space="preserve">  HAFIZ ABDUL WAHEED &amp; BROTHERS (PVT) LT</v>
          </cell>
          <cell r="D1255">
            <v>0</v>
          </cell>
          <cell r="E1255">
            <v>0</v>
          </cell>
          <cell r="F1255">
            <v>0</v>
          </cell>
          <cell r="G1255">
            <v>0</v>
          </cell>
        </row>
        <row r="1256">
          <cell r="A1256" t="str">
            <v>23-01-01-1014</v>
          </cell>
          <cell r="B1256">
            <v>0</v>
          </cell>
          <cell r="C1256" t="str">
            <v xml:space="preserve">  JAVAID ENGINEERING COMPANY</v>
          </cell>
          <cell r="D1256">
            <v>0</v>
          </cell>
          <cell r="E1256">
            <v>0</v>
          </cell>
          <cell r="F1256">
            <v>0</v>
          </cell>
          <cell r="G1256">
            <v>0</v>
          </cell>
        </row>
        <row r="1257">
          <cell r="A1257" t="str">
            <v>23-01-01-1015</v>
          </cell>
          <cell r="B1257">
            <v>0</v>
          </cell>
          <cell r="C1257" t="str">
            <v xml:space="preserve">  TAHIR MACHINERY STORE</v>
          </cell>
          <cell r="D1257">
            <v>0</v>
          </cell>
          <cell r="E1257">
            <v>0</v>
          </cell>
          <cell r="F1257">
            <v>0</v>
          </cell>
          <cell r="G1257">
            <v>0</v>
          </cell>
        </row>
        <row r="1258">
          <cell r="A1258" t="str">
            <v>23-01-01-1016</v>
          </cell>
          <cell r="B1258">
            <v>0</v>
          </cell>
          <cell r="C1258" t="str">
            <v xml:space="preserve">  GOLDEN ELECTRIC STORE</v>
          </cell>
          <cell r="D1258">
            <v>0</v>
          </cell>
          <cell r="E1258">
            <v>0</v>
          </cell>
          <cell r="F1258">
            <v>0</v>
          </cell>
          <cell r="G1258">
            <v>0</v>
          </cell>
        </row>
        <row r="1259">
          <cell r="A1259" t="str">
            <v>23-01-01-1017</v>
          </cell>
          <cell r="B1259">
            <v>0</v>
          </cell>
          <cell r="C1259" t="str">
            <v xml:space="preserve">  ABASEEN FILLING STATION</v>
          </cell>
          <cell r="D1259">
            <v>0</v>
          </cell>
          <cell r="E1259">
            <v>0</v>
          </cell>
          <cell r="F1259">
            <v>0</v>
          </cell>
          <cell r="G1259">
            <v>0</v>
          </cell>
        </row>
        <row r="1260">
          <cell r="A1260" t="str">
            <v>23-01-01-1018</v>
          </cell>
          <cell r="B1260">
            <v>0</v>
          </cell>
          <cell r="C1260" t="str">
            <v xml:space="preserve">  SYED BROTHER FILLING STATION</v>
          </cell>
          <cell r="D1260">
            <v>0</v>
          </cell>
          <cell r="E1260">
            <v>0</v>
          </cell>
          <cell r="F1260">
            <v>0</v>
          </cell>
          <cell r="G1260">
            <v>0</v>
          </cell>
        </row>
        <row r="1261">
          <cell r="A1261" t="str">
            <v>23-01-01-1019</v>
          </cell>
          <cell r="B1261">
            <v>0</v>
          </cell>
          <cell r="C1261" t="str">
            <v xml:space="preserve">  NEW DELITE INDUSTRIES</v>
          </cell>
          <cell r="D1261">
            <v>0</v>
          </cell>
          <cell r="E1261">
            <v>92797.04</v>
          </cell>
          <cell r="F1261">
            <v>0</v>
          </cell>
          <cell r="G1261">
            <v>0</v>
          </cell>
        </row>
        <row r="1262">
          <cell r="A1262" t="str">
            <v>23-01-01-1020</v>
          </cell>
          <cell r="B1262">
            <v>0</v>
          </cell>
          <cell r="C1262" t="str">
            <v xml:space="preserve">  SEVEN STAR CORPORATION.</v>
          </cell>
          <cell r="D1262">
            <v>0</v>
          </cell>
          <cell r="E1262">
            <v>0</v>
          </cell>
          <cell r="F1262">
            <v>0</v>
          </cell>
          <cell r="G1262">
            <v>0</v>
          </cell>
        </row>
        <row r="1263">
          <cell r="A1263" t="str">
            <v>23-01-01-1021</v>
          </cell>
          <cell r="B1263">
            <v>0</v>
          </cell>
          <cell r="C1263" t="str">
            <v xml:space="preserve">  JADOON TRADERS &amp; INDUSTRIAL PARTS MATE</v>
          </cell>
          <cell r="D1263">
            <v>0</v>
          </cell>
          <cell r="E1263">
            <v>0</v>
          </cell>
          <cell r="F1263">
            <v>0</v>
          </cell>
          <cell r="G1263">
            <v>0</v>
          </cell>
        </row>
        <row r="1264">
          <cell r="A1264" t="str">
            <v>23-01-01-1022</v>
          </cell>
          <cell r="B1264">
            <v>0</v>
          </cell>
          <cell r="C1264" t="str">
            <v xml:space="preserve">  ADVANCE ELECTRICAL COMPANY</v>
          </cell>
          <cell r="D1264">
            <v>0</v>
          </cell>
          <cell r="E1264">
            <v>0</v>
          </cell>
          <cell r="F1264">
            <v>0</v>
          </cell>
          <cell r="G1264">
            <v>0</v>
          </cell>
        </row>
        <row r="1265">
          <cell r="A1265" t="str">
            <v>23-01-01-1023</v>
          </cell>
          <cell r="B1265">
            <v>0</v>
          </cell>
          <cell r="C1265" t="str">
            <v xml:space="preserve">  MANDVIWALLA MAUSER PLASTIC INDUST.LTD.</v>
          </cell>
          <cell r="D1265">
            <v>0</v>
          </cell>
          <cell r="E1265">
            <v>0</v>
          </cell>
          <cell r="F1265">
            <v>0</v>
          </cell>
          <cell r="G1265">
            <v>0</v>
          </cell>
        </row>
        <row r="1266">
          <cell r="A1266" t="str">
            <v>23-01-01-1024</v>
          </cell>
          <cell r="B1266">
            <v>0</v>
          </cell>
          <cell r="C1266" t="str">
            <v xml:space="preserve">  ALMAS IMPEX</v>
          </cell>
          <cell r="D1266">
            <v>0</v>
          </cell>
          <cell r="E1266">
            <v>0</v>
          </cell>
          <cell r="F1266">
            <v>0</v>
          </cell>
          <cell r="G1266">
            <v>0</v>
          </cell>
        </row>
        <row r="1267">
          <cell r="A1267" t="str">
            <v>23-01-01-1025</v>
          </cell>
          <cell r="B1267">
            <v>0</v>
          </cell>
          <cell r="C1267" t="str">
            <v xml:space="preserve">  SADDAT ELECTRICAL ENGINEERING SERVICE</v>
          </cell>
          <cell r="D1267">
            <v>0</v>
          </cell>
          <cell r="E1267">
            <v>0</v>
          </cell>
          <cell r="F1267">
            <v>0</v>
          </cell>
          <cell r="G1267">
            <v>0</v>
          </cell>
        </row>
        <row r="1268">
          <cell r="A1268" t="str">
            <v>23-01-01-1026</v>
          </cell>
          <cell r="B1268">
            <v>0</v>
          </cell>
          <cell r="C1268" t="str">
            <v xml:space="preserve">  JAVED MANSOORI</v>
          </cell>
          <cell r="D1268">
            <v>0</v>
          </cell>
          <cell r="E1268">
            <v>0</v>
          </cell>
          <cell r="F1268">
            <v>0</v>
          </cell>
          <cell r="G1268">
            <v>0</v>
          </cell>
        </row>
        <row r="1269">
          <cell r="A1269" t="str">
            <v>23-01-01-1027</v>
          </cell>
          <cell r="B1269">
            <v>0</v>
          </cell>
          <cell r="C1269" t="str">
            <v xml:space="preserve">  A.A.K.TRADERS</v>
          </cell>
          <cell r="D1269">
            <v>0</v>
          </cell>
          <cell r="E1269">
            <v>0</v>
          </cell>
          <cell r="F1269">
            <v>0</v>
          </cell>
          <cell r="G1269">
            <v>0</v>
          </cell>
        </row>
        <row r="1270">
          <cell r="A1270" t="str">
            <v>23-01-01-1028</v>
          </cell>
          <cell r="B1270">
            <v>0</v>
          </cell>
          <cell r="C1270" t="str">
            <v xml:space="preserve">  CALTEX OIL PAKISTAN LIMITED-KARACHI.</v>
          </cell>
          <cell r="D1270">
            <v>104832.78</v>
          </cell>
          <cell r="E1270">
            <v>0</v>
          </cell>
          <cell r="F1270">
            <v>0</v>
          </cell>
          <cell r="G1270">
            <v>0</v>
          </cell>
        </row>
        <row r="1271">
          <cell r="A1271" t="str">
            <v>23-01-01-1029</v>
          </cell>
          <cell r="B1271">
            <v>0</v>
          </cell>
          <cell r="C1271" t="str">
            <v xml:space="preserve">  TEXTILE SPARE &amp; SERVICES</v>
          </cell>
          <cell r="D1271">
            <v>0</v>
          </cell>
          <cell r="E1271">
            <v>0</v>
          </cell>
          <cell r="F1271">
            <v>0</v>
          </cell>
          <cell r="G1271">
            <v>0</v>
          </cell>
        </row>
        <row r="1272">
          <cell r="A1272" t="str">
            <v>23-01-01-1030</v>
          </cell>
          <cell r="B1272">
            <v>0</v>
          </cell>
          <cell r="C1272" t="str">
            <v xml:space="preserve">  SHARIQ  &amp; BROTHERS</v>
          </cell>
          <cell r="D1272">
            <v>0</v>
          </cell>
          <cell r="E1272">
            <v>0</v>
          </cell>
          <cell r="F1272">
            <v>0</v>
          </cell>
          <cell r="G1272">
            <v>0</v>
          </cell>
        </row>
        <row r="1273">
          <cell r="A1273" t="str">
            <v>23-01-01-1031</v>
          </cell>
          <cell r="B1273">
            <v>0</v>
          </cell>
          <cell r="C1273" t="str">
            <v xml:space="preserve">  AMTEX</v>
          </cell>
          <cell r="D1273">
            <v>0</v>
          </cell>
          <cell r="E1273">
            <v>0</v>
          </cell>
          <cell r="F1273">
            <v>0</v>
          </cell>
          <cell r="G1273">
            <v>0</v>
          </cell>
        </row>
        <row r="1274">
          <cell r="A1274" t="str">
            <v>23-01-01-1032</v>
          </cell>
          <cell r="B1274">
            <v>0</v>
          </cell>
          <cell r="C1274" t="str">
            <v xml:space="preserve">  IKRAM &amp; CO.</v>
          </cell>
          <cell r="D1274">
            <v>0</v>
          </cell>
          <cell r="E1274">
            <v>0</v>
          </cell>
          <cell r="F1274">
            <v>0</v>
          </cell>
          <cell r="G1274">
            <v>0</v>
          </cell>
        </row>
        <row r="1275">
          <cell r="A1275" t="str">
            <v>23-01-01-1033</v>
          </cell>
          <cell r="B1275">
            <v>0</v>
          </cell>
          <cell r="C1275" t="str">
            <v xml:space="preserve">  FALAQ CO.</v>
          </cell>
          <cell r="D1275">
            <v>0</v>
          </cell>
          <cell r="E1275">
            <v>0</v>
          </cell>
          <cell r="F1275">
            <v>0</v>
          </cell>
          <cell r="G1275">
            <v>0</v>
          </cell>
        </row>
        <row r="1276">
          <cell r="A1276" t="str">
            <v>23-01-01-1034</v>
          </cell>
          <cell r="B1276">
            <v>0</v>
          </cell>
          <cell r="C1276" t="str">
            <v xml:space="preserve">  NADEEM ENTERPRISES.</v>
          </cell>
          <cell r="D1276">
            <v>0</v>
          </cell>
          <cell r="E1276">
            <v>0</v>
          </cell>
          <cell r="F1276">
            <v>0</v>
          </cell>
          <cell r="G1276">
            <v>0</v>
          </cell>
        </row>
        <row r="1277">
          <cell r="A1277" t="str">
            <v>23-01-01-1035</v>
          </cell>
          <cell r="B1277">
            <v>0</v>
          </cell>
          <cell r="C1277" t="str">
            <v xml:space="preserve">  AASIM CORPORATION</v>
          </cell>
          <cell r="D1277">
            <v>0</v>
          </cell>
          <cell r="E1277">
            <v>0</v>
          </cell>
          <cell r="F1277">
            <v>0</v>
          </cell>
          <cell r="G1277">
            <v>0</v>
          </cell>
        </row>
        <row r="1278">
          <cell r="A1278" t="str">
            <v>23-01-01-1036</v>
          </cell>
          <cell r="B1278">
            <v>0</v>
          </cell>
          <cell r="C1278" t="str">
            <v xml:space="preserve">  ALLAH BUKSH &amp; A.AZIZ RANGWALAY.</v>
          </cell>
          <cell r="D1278">
            <v>0</v>
          </cell>
          <cell r="E1278">
            <v>0</v>
          </cell>
          <cell r="F1278">
            <v>0</v>
          </cell>
          <cell r="G1278">
            <v>0</v>
          </cell>
        </row>
        <row r="1279">
          <cell r="A1279" t="str">
            <v>23-01-01-1037</v>
          </cell>
          <cell r="B1279">
            <v>0</v>
          </cell>
          <cell r="C1279" t="str">
            <v xml:space="preserve">  COMPUSUPPORT CORPORATION.</v>
          </cell>
          <cell r="D1279">
            <v>0</v>
          </cell>
          <cell r="E1279">
            <v>0</v>
          </cell>
          <cell r="F1279">
            <v>0</v>
          </cell>
          <cell r="G1279">
            <v>0</v>
          </cell>
        </row>
        <row r="1280">
          <cell r="A1280" t="str">
            <v>23-01-01-1038</v>
          </cell>
          <cell r="B1280">
            <v>0</v>
          </cell>
          <cell r="C1280" t="str">
            <v xml:space="preserve">  A.A.ENGINEERING WORKS</v>
          </cell>
          <cell r="D1280">
            <v>0</v>
          </cell>
          <cell r="E1280">
            <v>13800</v>
          </cell>
          <cell r="F1280">
            <v>0</v>
          </cell>
          <cell r="G1280">
            <v>0</v>
          </cell>
        </row>
        <row r="1281">
          <cell r="A1281" t="str">
            <v>23-01-01-1039</v>
          </cell>
          <cell r="B1281">
            <v>0</v>
          </cell>
          <cell r="C1281" t="str">
            <v xml:space="preserve">  S.S.INTERNATIONAL.</v>
          </cell>
          <cell r="D1281">
            <v>0</v>
          </cell>
          <cell r="E1281">
            <v>0</v>
          </cell>
          <cell r="F1281">
            <v>0</v>
          </cell>
          <cell r="G1281">
            <v>0</v>
          </cell>
        </row>
        <row r="1282">
          <cell r="A1282" t="str">
            <v>23-01-01-1040</v>
          </cell>
          <cell r="B1282">
            <v>0</v>
          </cell>
          <cell r="C1282" t="str">
            <v xml:space="preserve">  MAZHARCO</v>
          </cell>
          <cell r="D1282">
            <v>0</v>
          </cell>
          <cell r="E1282">
            <v>0</v>
          </cell>
          <cell r="F1282">
            <v>0</v>
          </cell>
          <cell r="G1282">
            <v>0</v>
          </cell>
        </row>
        <row r="1283">
          <cell r="A1283" t="str">
            <v>23-01-01-1041</v>
          </cell>
          <cell r="B1283">
            <v>0</v>
          </cell>
          <cell r="C1283" t="str">
            <v xml:space="preserve">  SAPHIRE MILLS STORE</v>
          </cell>
          <cell r="D1283">
            <v>0</v>
          </cell>
          <cell r="E1283">
            <v>0</v>
          </cell>
          <cell r="F1283">
            <v>0</v>
          </cell>
          <cell r="G1283">
            <v>0</v>
          </cell>
        </row>
        <row r="1284">
          <cell r="A1284" t="str">
            <v>23-01-01-1042</v>
          </cell>
          <cell r="B1284">
            <v>0</v>
          </cell>
          <cell r="C1284" t="str">
            <v xml:space="preserve">  NAYYAB TRADING COMPANY.</v>
          </cell>
          <cell r="D1284">
            <v>0</v>
          </cell>
          <cell r="E1284">
            <v>0</v>
          </cell>
          <cell r="F1284">
            <v>0</v>
          </cell>
          <cell r="G1284">
            <v>0</v>
          </cell>
        </row>
        <row r="1285">
          <cell r="A1285" t="str">
            <v>23-01-01-1043</v>
          </cell>
          <cell r="B1285">
            <v>0</v>
          </cell>
          <cell r="C1285" t="str">
            <v xml:space="preserve">  CLASSIC ENTERPRISE</v>
          </cell>
          <cell r="D1285">
            <v>0</v>
          </cell>
          <cell r="E1285">
            <v>0</v>
          </cell>
          <cell r="F1285">
            <v>0</v>
          </cell>
          <cell r="G1285">
            <v>0</v>
          </cell>
        </row>
        <row r="1286">
          <cell r="A1286" t="str">
            <v>23-01-01-1044</v>
          </cell>
          <cell r="B1286">
            <v>0</v>
          </cell>
          <cell r="C1286" t="str">
            <v xml:space="preserve">  I.Q. PRINTERS</v>
          </cell>
          <cell r="D1286">
            <v>0</v>
          </cell>
          <cell r="E1286">
            <v>0</v>
          </cell>
          <cell r="F1286">
            <v>0</v>
          </cell>
          <cell r="G1286">
            <v>0</v>
          </cell>
        </row>
        <row r="1287">
          <cell r="A1287" t="str">
            <v>23-01-01-1045</v>
          </cell>
          <cell r="B1287">
            <v>0</v>
          </cell>
          <cell r="C1287" t="str">
            <v xml:space="preserve">  A.JABBAR IRON STEEL MART</v>
          </cell>
          <cell r="D1287">
            <v>0</v>
          </cell>
          <cell r="E1287">
            <v>86046</v>
          </cell>
          <cell r="F1287">
            <v>0</v>
          </cell>
          <cell r="G1287">
            <v>0</v>
          </cell>
        </row>
        <row r="1288">
          <cell r="A1288" t="str">
            <v>23-01-01-1046</v>
          </cell>
          <cell r="B1288">
            <v>0</v>
          </cell>
          <cell r="C1288" t="str">
            <v xml:space="preserve">  KHURSHID &amp; COMPANY</v>
          </cell>
          <cell r="D1288">
            <v>0</v>
          </cell>
          <cell r="E1288">
            <v>0</v>
          </cell>
          <cell r="F1288">
            <v>0</v>
          </cell>
          <cell r="G1288">
            <v>0</v>
          </cell>
        </row>
        <row r="1289">
          <cell r="A1289" t="str">
            <v>23-01-01-1047</v>
          </cell>
          <cell r="B1289">
            <v>0</v>
          </cell>
          <cell r="C1289" t="str">
            <v xml:space="preserve">  SANA ENTERPRISES</v>
          </cell>
          <cell r="D1289">
            <v>0</v>
          </cell>
          <cell r="E1289">
            <v>0</v>
          </cell>
          <cell r="F1289">
            <v>0</v>
          </cell>
          <cell r="G1289">
            <v>0</v>
          </cell>
        </row>
        <row r="1290">
          <cell r="A1290" t="str">
            <v>23-01-01-1048</v>
          </cell>
          <cell r="B1290">
            <v>0</v>
          </cell>
          <cell r="C1290" t="str">
            <v xml:space="preserve">  FAISAL PAPER CONE FATORY</v>
          </cell>
          <cell r="D1290">
            <v>0</v>
          </cell>
          <cell r="E1290">
            <v>0</v>
          </cell>
          <cell r="F1290">
            <v>0</v>
          </cell>
          <cell r="G1290">
            <v>0</v>
          </cell>
        </row>
        <row r="1291">
          <cell r="A1291" t="str">
            <v>23-01-01-1049</v>
          </cell>
          <cell r="B1291">
            <v>0</v>
          </cell>
          <cell r="C1291" t="str">
            <v xml:space="preserve">  RASTGAR &amp; COMPANY (PVT) LIMITED.</v>
          </cell>
          <cell r="D1291">
            <v>0</v>
          </cell>
          <cell r="E1291">
            <v>0</v>
          </cell>
          <cell r="F1291">
            <v>0</v>
          </cell>
          <cell r="G1291">
            <v>0</v>
          </cell>
        </row>
        <row r="1292">
          <cell r="A1292" t="str">
            <v>23-01-01-1050</v>
          </cell>
          <cell r="B1292">
            <v>0</v>
          </cell>
          <cell r="C1292" t="str">
            <v xml:space="preserve">  NOVA SYNPAC (PVT) LTD.</v>
          </cell>
          <cell r="D1292">
            <v>0</v>
          </cell>
          <cell r="E1292">
            <v>0</v>
          </cell>
          <cell r="F1292">
            <v>0</v>
          </cell>
          <cell r="G1292">
            <v>0</v>
          </cell>
        </row>
        <row r="1293">
          <cell r="A1293" t="str">
            <v>23-01-01-1051</v>
          </cell>
          <cell r="B1293">
            <v>0</v>
          </cell>
          <cell r="C1293" t="str">
            <v xml:space="preserve">  ABCO TECHNICAL (PVT) LTD.</v>
          </cell>
          <cell r="D1293">
            <v>0</v>
          </cell>
          <cell r="E1293">
            <v>471552.85</v>
          </cell>
          <cell r="F1293">
            <v>0</v>
          </cell>
          <cell r="G1293">
            <v>0</v>
          </cell>
        </row>
        <row r="1294">
          <cell r="A1294" t="str">
            <v>23-01-01-1052</v>
          </cell>
          <cell r="B1294">
            <v>0</v>
          </cell>
          <cell r="C1294" t="str">
            <v xml:space="preserve">  WAQAS FABRICS</v>
          </cell>
          <cell r="D1294">
            <v>0</v>
          </cell>
          <cell r="E1294">
            <v>0</v>
          </cell>
          <cell r="F1294">
            <v>0</v>
          </cell>
          <cell r="G1294">
            <v>0</v>
          </cell>
        </row>
        <row r="1295">
          <cell r="A1295" t="str">
            <v>23-01-01-1053</v>
          </cell>
          <cell r="B1295">
            <v>0</v>
          </cell>
          <cell r="C1295" t="str">
            <v xml:space="preserve">  ELECTRONIC OFFICE EQUIPMENT'S</v>
          </cell>
          <cell r="D1295">
            <v>0</v>
          </cell>
          <cell r="E1295">
            <v>0</v>
          </cell>
          <cell r="F1295">
            <v>0</v>
          </cell>
          <cell r="G1295">
            <v>0</v>
          </cell>
        </row>
        <row r="1296">
          <cell r="A1296" t="str">
            <v>23-01-01-1054</v>
          </cell>
          <cell r="B1296">
            <v>0</v>
          </cell>
          <cell r="C1296" t="str">
            <v xml:space="preserve">  WALI CORPORATION</v>
          </cell>
          <cell r="D1296">
            <v>0</v>
          </cell>
          <cell r="E1296">
            <v>0</v>
          </cell>
          <cell r="F1296">
            <v>0</v>
          </cell>
          <cell r="G1296">
            <v>0</v>
          </cell>
        </row>
        <row r="1297">
          <cell r="A1297" t="str">
            <v>23-01-01-1055</v>
          </cell>
          <cell r="B1297">
            <v>0</v>
          </cell>
          <cell r="C1297" t="str">
            <v xml:space="preserve">  FILTER WORLD</v>
          </cell>
          <cell r="D1297">
            <v>0</v>
          </cell>
          <cell r="E1297">
            <v>0</v>
          </cell>
          <cell r="F1297">
            <v>0</v>
          </cell>
          <cell r="G1297">
            <v>0</v>
          </cell>
        </row>
        <row r="1298">
          <cell r="A1298" t="str">
            <v>23-01-01-1056</v>
          </cell>
          <cell r="B1298">
            <v>0</v>
          </cell>
          <cell r="C1298" t="str">
            <v xml:space="preserve">  A.K.ENTERPRISES</v>
          </cell>
          <cell r="D1298">
            <v>0</v>
          </cell>
          <cell r="E1298">
            <v>0</v>
          </cell>
          <cell r="F1298">
            <v>0</v>
          </cell>
          <cell r="G1298">
            <v>0</v>
          </cell>
        </row>
        <row r="1299">
          <cell r="A1299" t="str">
            <v>23-01-01-1057</v>
          </cell>
          <cell r="B1299">
            <v>0</v>
          </cell>
          <cell r="C1299" t="str">
            <v xml:space="preserve">  MOHIB ENTERPRISES</v>
          </cell>
          <cell r="D1299">
            <v>0</v>
          </cell>
          <cell r="E1299">
            <v>0</v>
          </cell>
          <cell r="F1299">
            <v>0</v>
          </cell>
          <cell r="G1299">
            <v>0</v>
          </cell>
        </row>
        <row r="1300">
          <cell r="A1300" t="str">
            <v>23-01-01-1058</v>
          </cell>
          <cell r="B1300">
            <v>0</v>
          </cell>
          <cell r="C1300" t="str">
            <v xml:space="preserve">  UMRAN TRADERS</v>
          </cell>
          <cell r="D1300">
            <v>0</v>
          </cell>
          <cell r="E1300">
            <v>0</v>
          </cell>
          <cell r="F1300">
            <v>0</v>
          </cell>
          <cell r="G1300">
            <v>0</v>
          </cell>
        </row>
        <row r="1301">
          <cell r="A1301" t="str">
            <v>23-01-01-1059</v>
          </cell>
          <cell r="B1301">
            <v>0</v>
          </cell>
          <cell r="C1301" t="str">
            <v xml:space="preserve">  ATIQUE MILL STORE LAHORE.</v>
          </cell>
          <cell r="D1301">
            <v>0</v>
          </cell>
          <cell r="E1301">
            <v>0</v>
          </cell>
          <cell r="F1301">
            <v>0</v>
          </cell>
          <cell r="G1301">
            <v>0</v>
          </cell>
        </row>
        <row r="1302">
          <cell r="A1302" t="str">
            <v>23-01-01-1060</v>
          </cell>
          <cell r="B1302">
            <v>0</v>
          </cell>
          <cell r="C1302" t="str">
            <v xml:space="preserve">  STANDARD SILK INDUSTRY</v>
          </cell>
          <cell r="D1302">
            <v>0</v>
          </cell>
          <cell r="E1302">
            <v>0</v>
          </cell>
          <cell r="F1302">
            <v>0</v>
          </cell>
          <cell r="G1302">
            <v>0</v>
          </cell>
        </row>
        <row r="1303">
          <cell r="A1303" t="str">
            <v>23-01-01-1061</v>
          </cell>
          <cell r="B1303">
            <v>0</v>
          </cell>
          <cell r="C1303" t="str">
            <v xml:space="preserve">  SIDDIQUI PACKAGES</v>
          </cell>
          <cell r="D1303">
            <v>0</v>
          </cell>
          <cell r="E1303">
            <v>0</v>
          </cell>
          <cell r="F1303">
            <v>0</v>
          </cell>
          <cell r="G1303">
            <v>0</v>
          </cell>
        </row>
        <row r="1304">
          <cell r="A1304" t="str">
            <v>23-01-01-1062</v>
          </cell>
          <cell r="B1304">
            <v>0</v>
          </cell>
          <cell r="C1304" t="str">
            <v xml:space="preserve">  ESQUIRE ENTERPRISES</v>
          </cell>
          <cell r="D1304">
            <v>0</v>
          </cell>
          <cell r="E1304">
            <v>0</v>
          </cell>
          <cell r="F1304">
            <v>0</v>
          </cell>
          <cell r="G1304">
            <v>0</v>
          </cell>
        </row>
        <row r="1305">
          <cell r="A1305" t="str">
            <v>23-01-01-1063</v>
          </cell>
          <cell r="B1305">
            <v>0</v>
          </cell>
          <cell r="C1305" t="str">
            <v xml:space="preserve">  VERITEX INDUSTRIAL</v>
          </cell>
          <cell r="D1305">
            <v>0</v>
          </cell>
          <cell r="E1305">
            <v>0</v>
          </cell>
          <cell r="F1305">
            <v>0</v>
          </cell>
          <cell r="G1305">
            <v>0</v>
          </cell>
        </row>
        <row r="1306">
          <cell r="A1306" t="str">
            <v>23-01-01-1064</v>
          </cell>
          <cell r="B1306">
            <v>0</v>
          </cell>
          <cell r="C1306" t="str">
            <v xml:space="preserve">  MOON ENGINEERING WORKS</v>
          </cell>
          <cell r="D1306">
            <v>0</v>
          </cell>
          <cell r="E1306">
            <v>0</v>
          </cell>
          <cell r="F1306">
            <v>0</v>
          </cell>
          <cell r="G1306">
            <v>0</v>
          </cell>
        </row>
        <row r="1307">
          <cell r="A1307" t="str">
            <v>23-01-01-1065</v>
          </cell>
          <cell r="B1307">
            <v>0</v>
          </cell>
          <cell r="C1307" t="str">
            <v xml:space="preserve">  ABDUL WAHEED DYES MERCHANTS</v>
          </cell>
          <cell r="D1307">
            <v>0</v>
          </cell>
          <cell r="E1307">
            <v>0</v>
          </cell>
          <cell r="F1307">
            <v>0</v>
          </cell>
          <cell r="G1307">
            <v>0</v>
          </cell>
        </row>
        <row r="1308">
          <cell r="A1308" t="str">
            <v>23-01-01-1066</v>
          </cell>
          <cell r="B1308">
            <v>0</v>
          </cell>
          <cell r="C1308" t="str">
            <v xml:space="preserve">  RASID TRADING CO.</v>
          </cell>
          <cell r="D1308">
            <v>0</v>
          </cell>
          <cell r="E1308">
            <v>0</v>
          </cell>
          <cell r="F1308">
            <v>0</v>
          </cell>
          <cell r="G1308">
            <v>0</v>
          </cell>
        </row>
        <row r="1309">
          <cell r="A1309" t="str">
            <v>23-01-01-1067</v>
          </cell>
          <cell r="B1309">
            <v>0</v>
          </cell>
          <cell r="C1309" t="str">
            <v xml:space="preserve">  MKKAYS</v>
          </cell>
          <cell r="D1309">
            <v>0</v>
          </cell>
          <cell r="E1309">
            <v>0</v>
          </cell>
          <cell r="F1309">
            <v>0</v>
          </cell>
          <cell r="G1309">
            <v>0</v>
          </cell>
        </row>
        <row r="1310">
          <cell r="A1310" t="str">
            <v>23-01-01-1068</v>
          </cell>
          <cell r="B1310">
            <v>0</v>
          </cell>
          <cell r="C1310" t="str">
            <v xml:space="preserve">  JAWED BROS.</v>
          </cell>
          <cell r="D1310">
            <v>0</v>
          </cell>
          <cell r="E1310">
            <v>0</v>
          </cell>
          <cell r="F1310">
            <v>0</v>
          </cell>
          <cell r="G1310">
            <v>0</v>
          </cell>
        </row>
        <row r="1311">
          <cell r="A1311" t="str">
            <v>23-01-01-1069</v>
          </cell>
          <cell r="B1311">
            <v>0</v>
          </cell>
          <cell r="C1311" t="str">
            <v xml:space="preserve">  UMAR TRADING COMPANY</v>
          </cell>
          <cell r="D1311">
            <v>0</v>
          </cell>
          <cell r="E1311">
            <v>0</v>
          </cell>
          <cell r="F1311">
            <v>0</v>
          </cell>
          <cell r="G1311">
            <v>0</v>
          </cell>
        </row>
        <row r="1312">
          <cell r="A1312" t="str">
            <v>23-01-01-1070</v>
          </cell>
          <cell r="B1312">
            <v>0</v>
          </cell>
          <cell r="C1312" t="str">
            <v xml:space="preserve">  RANA TOOLS</v>
          </cell>
          <cell r="D1312">
            <v>0</v>
          </cell>
          <cell r="E1312">
            <v>0</v>
          </cell>
          <cell r="F1312">
            <v>0</v>
          </cell>
          <cell r="G1312">
            <v>0</v>
          </cell>
        </row>
        <row r="1313">
          <cell r="A1313" t="str">
            <v>23-01-01-1071</v>
          </cell>
          <cell r="B1313">
            <v>0</v>
          </cell>
          <cell r="C1313" t="str">
            <v xml:space="preserve">  SHAHRAYAR TRADING</v>
          </cell>
          <cell r="D1313">
            <v>0</v>
          </cell>
          <cell r="E1313">
            <v>0</v>
          </cell>
          <cell r="F1313">
            <v>0</v>
          </cell>
          <cell r="G1313">
            <v>0</v>
          </cell>
        </row>
        <row r="1314">
          <cell r="A1314" t="str">
            <v>23-01-01-1072</v>
          </cell>
          <cell r="B1314">
            <v>0</v>
          </cell>
          <cell r="C1314" t="str">
            <v xml:space="preserve">  M.A.BROTHERS</v>
          </cell>
          <cell r="D1314">
            <v>0</v>
          </cell>
          <cell r="E1314">
            <v>0</v>
          </cell>
          <cell r="F1314">
            <v>0</v>
          </cell>
          <cell r="G1314">
            <v>0</v>
          </cell>
        </row>
        <row r="1315">
          <cell r="A1315" t="str">
            <v>23-01-01-1073</v>
          </cell>
          <cell r="B1315">
            <v>0</v>
          </cell>
          <cell r="C1315" t="str">
            <v xml:space="preserve">  R.K.SILKS</v>
          </cell>
          <cell r="D1315">
            <v>0</v>
          </cell>
          <cell r="E1315">
            <v>0</v>
          </cell>
          <cell r="F1315">
            <v>0</v>
          </cell>
          <cell r="G1315">
            <v>0</v>
          </cell>
        </row>
        <row r="1316">
          <cell r="A1316" t="str">
            <v>23-01-01-1074</v>
          </cell>
          <cell r="B1316">
            <v>0</v>
          </cell>
          <cell r="C1316" t="str">
            <v xml:space="preserve">  SOLID STEEL (PVT) LIMITED.</v>
          </cell>
          <cell r="D1316">
            <v>0</v>
          </cell>
          <cell r="E1316">
            <v>0</v>
          </cell>
          <cell r="F1316">
            <v>0</v>
          </cell>
          <cell r="G1316">
            <v>0</v>
          </cell>
        </row>
        <row r="1317">
          <cell r="A1317" t="str">
            <v>23-01-01-1075</v>
          </cell>
          <cell r="B1317">
            <v>0</v>
          </cell>
          <cell r="C1317" t="str">
            <v xml:space="preserve">  KENLUBES INTERNATIONAL</v>
          </cell>
          <cell r="D1317">
            <v>0</v>
          </cell>
          <cell r="E1317">
            <v>0</v>
          </cell>
          <cell r="F1317">
            <v>0</v>
          </cell>
          <cell r="G1317">
            <v>0</v>
          </cell>
        </row>
        <row r="1318">
          <cell r="A1318" t="str">
            <v>23-01-01-1076</v>
          </cell>
          <cell r="B1318">
            <v>0</v>
          </cell>
          <cell r="C1318" t="str">
            <v xml:space="preserve">  MOHAMMAD IQBAL ABDUL RAHMAN</v>
          </cell>
          <cell r="D1318">
            <v>0</v>
          </cell>
          <cell r="E1318">
            <v>0</v>
          </cell>
          <cell r="F1318">
            <v>0</v>
          </cell>
          <cell r="G1318">
            <v>0</v>
          </cell>
        </row>
        <row r="1319">
          <cell r="A1319" t="str">
            <v>23-01-01-1077</v>
          </cell>
          <cell r="B1319">
            <v>0</v>
          </cell>
          <cell r="C1319" t="str">
            <v xml:space="preserve">  EJAZ ELECTRIC STORE</v>
          </cell>
          <cell r="D1319">
            <v>0</v>
          </cell>
          <cell r="E1319">
            <v>0</v>
          </cell>
          <cell r="F1319">
            <v>0</v>
          </cell>
          <cell r="G1319">
            <v>0</v>
          </cell>
        </row>
        <row r="1320">
          <cell r="A1320" t="str">
            <v>23-01-01-1078</v>
          </cell>
          <cell r="B1320">
            <v>0</v>
          </cell>
          <cell r="C1320" t="str">
            <v xml:space="preserve">  LUCKY TEXTILE TRADERS</v>
          </cell>
          <cell r="D1320">
            <v>0</v>
          </cell>
          <cell r="E1320">
            <v>0</v>
          </cell>
          <cell r="F1320">
            <v>0</v>
          </cell>
          <cell r="G1320">
            <v>0</v>
          </cell>
        </row>
        <row r="1321">
          <cell r="A1321" t="str">
            <v>23-01-01-1079</v>
          </cell>
          <cell r="B1321">
            <v>0</v>
          </cell>
          <cell r="C1321" t="str">
            <v xml:space="preserve">  ATTOCK PETROLLEUM LIMITED</v>
          </cell>
          <cell r="D1321">
            <v>0</v>
          </cell>
          <cell r="E1321">
            <v>0</v>
          </cell>
          <cell r="F1321">
            <v>0</v>
          </cell>
          <cell r="G1321">
            <v>0</v>
          </cell>
        </row>
        <row r="1322">
          <cell r="A1322" t="str">
            <v>23-01-01-1080</v>
          </cell>
          <cell r="B1322">
            <v>0</v>
          </cell>
          <cell r="C1322" t="str">
            <v xml:space="preserve">  MEHRAN TEXTILE TRADERS</v>
          </cell>
          <cell r="D1322">
            <v>0</v>
          </cell>
          <cell r="E1322">
            <v>0</v>
          </cell>
          <cell r="F1322">
            <v>0</v>
          </cell>
          <cell r="G1322">
            <v>0</v>
          </cell>
        </row>
        <row r="1323">
          <cell r="A1323" t="str">
            <v>23-01-01-1081</v>
          </cell>
          <cell r="B1323">
            <v>0</v>
          </cell>
          <cell r="C1323" t="str">
            <v xml:space="preserve">  HAIDER ZAMAN &amp; CO.</v>
          </cell>
          <cell r="D1323">
            <v>0</v>
          </cell>
          <cell r="E1323">
            <v>7816</v>
          </cell>
          <cell r="F1323">
            <v>0</v>
          </cell>
          <cell r="G1323">
            <v>0</v>
          </cell>
        </row>
        <row r="1324">
          <cell r="A1324" t="str">
            <v>23-01-01-1082</v>
          </cell>
          <cell r="B1324">
            <v>0</v>
          </cell>
          <cell r="C1324" t="str">
            <v xml:space="preserve">  GENERAL SERVICES CORPORATION</v>
          </cell>
          <cell r="D1324">
            <v>0</v>
          </cell>
          <cell r="E1324">
            <v>0</v>
          </cell>
          <cell r="F1324">
            <v>0</v>
          </cell>
          <cell r="G1324">
            <v>0</v>
          </cell>
        </row>
        <row r="1325">
          <cell r="A1325" t="str">
            <v>23-01-01-1083</v>
          </cell>
          <cell r="B1325">
            <v>0</v>
          </cell>
          <cell r="C1325" t="str">
            <v xml:space="preserve">  MOBIN TRADERS</v>
          </cell>
          <cell r="D1325">
            <v>0</v>
          </cell>
          <cell r="E1325">
            <v>0</v>
          </cell>
          <cell r="F1325">
            <v>0</v>
          </cell>
          <cell r="G1325">
            <v>0</v>
          </cell>
        </row>
        <row r="1326">
          <cell r="A1326" t="str">
            <v>23-01-01-1084</v>
          </cell>
          <cell r="B1326">
            <v>0</v>
          </cell>
          <cell r="C1326" t="str">
            <v xml:space="preserve">  AL-HANIF &amp; SONS</v>
          </cell>
          <cell r="D1326">
            <v>0</v>
          </cell>
          <cell r="E1326">
            <v>0</v>
          </cell>
          <cell r="F1326">
            <v>0</v>
          </cell>
          <cell r="G1326">
            <v>0</v>
          </cell>
        </row>
        <row r="1327">
          <cell r="A1327" t="str">
            <v>23-01-01-1085</v>
          </cell>
          <cell r="B1327">
            <v>0</v>
          </cell>
          <cell r="C1327" t="str">
            <v xml:space="preserve">  KASHEEF BROTHERS</v>
          </cell>
          <cell r="D1327">
            <v>0</v>
          </cell>
          <cell r="E1327">
            <v>0</v>
          </cell>
          <cell r="F1327">
            <v>0</v>
          </cell>
          <cell r="G1327">
            <v>0</v>
          </cell>
        </row>
        <row r="1328">
          <cell r="A1328" t="str">
            <v>23-01-01-1086</v>
          </cell>
          <cell r="B1328">
            <v>0</v>
          </cell>
          <cell r="C1328" t="str">
            <v xml:space="preserve">  MANA MARKETING</v>
          </cell>
          <cell r="D1328">
            <v>0</v>
          </cell>
          <cell r="E1328">
            <v>0</v>
          </cell>
          <cell r="F1328">
            <v>0</v>
          </cell>
          <cell r="G1328">
            <v>0</v>
          </cell>
        </row>
        <row r="1329">
          <cell r="A1329" t="str">
            <v>23-01-01-1087</v>
          </cell>
          <cell r="B1329">
            <v>0</v>
          </cell>
          <cell r="C1329" t="str">
            <v xml:space="preserve">  H. REHMAN TEXTILE TRADERS</v>
          </cell>
          <cell r="D1329">
            <v>0</v>
          </cell>
          <cell r="E1329">
            <v>0</v>
          </cell>
          <cell r="F1329">
            <v>0</v>
          </cell>
          <cell r="G1329">
            <v>0</v>
          </cell>
        </row>
        <row r="1330">
          <cell r="A1330" t="str">
            <v>23-01-01-1088</v>
          </cell>
          <cell r="B1330">
            <v>0</v>
          </cell>
          <cell r="C1330" t="str">
            <v xml:space="preserve">  QAZI BROTHERS</v>
          </cell>
          <cell r="D1330">
            <v>0</v>
          </cell>
          <cell r="E1330">
            <v>0</v>
          </cell>
          <cell r="F1330">
            <v>0</v>
          </cell>
          <cell r="G1330">
            <v>0</v>
          </cell>
        </row>
        <row r="1331">
          <cell r="A1331" t="str">
            <v>23-01-01-1089</v>
          </cell>
          <cell r="B1331">
            <v>0</v>
          </cell>
          <cell r="C1331" t="str">
            <v xml:space="preserve">  MAHMOOD BROTHERS</v>
          </cell>
          <cell r="D1331">
            <v>0</v>
          </cell>
          <cell r="E1331">
            <v>0</v>
          </cell>
          <cell r="F1331">
            <v>0</v>
          </cell>
          <cell r="G1331">
            <v>0</v>
          </cell>
        </row>
        <row r="1332">
          <cell r="A1332" t="str">
            <v>23-01-01-1090</v>
          </cell>
          <cell r="B1332">
            <v>0</v>
          </cell>
          <cell r="C1332" t="str">
            <v xml:space="preserve">  HAFEEZ ENTERPRISES</v>
          </cell>
          <cell r="D1332">
            <v>0</v>
          </cell>
          <cell r="E1332">
            <v>0</v>
          </cell>
          <cell r="F1332">
            <v>0</v>
          </cell>
          <cell r="G1332">
            <v>0</v>
          </cell>
        </row>
        <row r="1333">
          <cell r="A1333" t="str">
            <v>23-01-01-1091</v>
          </cell>
          <cell r="B1333">
            <v>0</v>
          </cell>
          <cell r="C1333" t="str">
            <v xml:space="preserve">  BISHMILAH ELECTRIC STORE</v>
          </cell>
          <cell r="D1333">
            <v>0</v>
          </cell>
          <cell r="E1333">
            <v>0</v>
          </cell>
          <cell r="F1333">
            <v>0</v>
          </cell>
          <cell r="G1333">
            <v>0</v>
          </cell>
        </row>
        <row r="1334">
          <cell r="A1334" t="str">
            <v>23-01-01-1092</v>
          </cell>
          <cell r="B1334">
            <v>0</v>
          </cell>
          <cell r="C1334" t="str">
            <v xml:space="preserve">  BRIGHT ELECTRIC COMPANY</v>
          </cell>
          <cell r="D1334">
            <v>0</v>
          </cell>
          <cell r="E1334">
            <v>0</v>
          </cell>
          <cell r="F1334">
            <v>0</v>
          </cell>
          <cell r="G1334">
            <v>0</v>
          </cell>
        </row>
        <row r="1335">
          <cell r="A1335" t="str">
            <v>23-01-01-1093</v>
          </cell>
          <cell r="B1335">
            <v>0</v>
          </cell>
          <cell r="C1335" t="str">
            <v xml:space="preserve">  LAHORE ELECTRIC CORPORATION</v>
          </cell>
          <cell r="D1335">
            <v>0</v>
          </cell>
          <cell r="E1335">
            <v>0</v>
          </cell>
          <cell r="F1335">
            <v>0</v>
          </cell>
          <cell r="G1335">
            <v>0</v>
          </cell>
        </row>
        <row r="1336">
          <cell r="A1336" t="str">
            <v>23-01-01-1094</v>
          </cell>
          <cell r="B1336">
            <v>0</v>
          </cell>
          <cell r="C1336" t="str">
            <v xml:space="preserve">  FAHAD KHAN &amp; CO.</v>
          </cell>
          <cell r="D1336">
            <v>0</v>
          </cell>
          <cell r="E1336">
            <v>0</v>
          </cell>
          <cell r="F1336">
            <v>0</v>
          </cell>
          <cell r="G1336">
            <v>0</v>
          </cell>
        </row>
        <row r="1337">
          <cell r="A1337" t="str">
            <v>23-01-01-1095</v>
          </cell>
          <cell r="B1337">
            <v>0</v>
          </cell>
          <cell r="C1337" t="str">
            <v xml:space="preserve">  AL-MARKAZ ENGINEERING WORKS</v>
          </cell>
          <cell r="D1337">
            <v>0</v>
          </cell>
          <cell r="E1337">
            <v>0</v>
          </cell>
          <cell r="F1337">
            <v>0</v>
          </cell>
          <cell r="G1337">
            <v>0</v>
          </cell>
        </row>
        <row r="1338">
          <cell r="A1338" t="str">
            <v>23-01-01-1096</v>
          </cell>
          <cell r="B1338">
            <v>0</v>
          </cell>
          <cell r="C1338" t="str">
            <v xml:space="preserve">  DECENT MILLS STORE</v>
          </cell>
          <cell r="D1338">
            <v>0</v>
          </cell>
          <cell r="E1338">
            <v>18445</v>
          </cell>
          <cell r="F1338">
            <v>0</v>
          </cell>
          <cell r="G1338">
            <v>0</v>
          </cell>
        </row>
        <row r="1339">
          <cell r="A1339" t="str">
            <v>23-01-01-1097</v>
          </cell>
          <cell r="B1339">
            <v>0</v>
          </cell>
          <cell r="C1339" t="str">
            <v xml:space="preserve">  ALIBABA PRINTERS</v>
          </cell>
          <cell r="D1339">
            <v>0</v>
          </cell>
          <cell r="E1339">
            <v>0</v>
          </cell>
          <cell r="F1339">
            <v>0</v>
          </cell>
          <cell r="G1339">
            <v>0</v>
          </cell>
        </row>
        <row r="1340">
          <cell r="A1340" t="str">
            <v>23-01-01-1098</v>
          </cell>
          <cell r="B1340">
            <v>0</v>
          </cell>
          <cell r="C1340" t="str">
            <v xml:space="preserve">  JUBILEE CORPORATION</v>
          </cell>
          <cell r="D1340">
            <v>0</v>
          </cell>
          <cell r="E1340">
            <v>8891</v>
          </cell>
          <cell r="F1340">
            <v>0</v>
          </cell>
          <cell r="G1340">
            <v>0</v>
          </cell>
        </row>
        <row r="1341">
          <cell r="A1341" t="str">
            <v>23-01-01-1099</v>
          </cell>
          <cell r="B1341">
            <v>0</v>
          </cell>
          <cell r="C1341" t="str">
            <v xml:space="preserve">  PACKAGES LIMITED</v>
          </cell>
          <cell r="D1341">
            <v>0</v>
          </cell>
          <cell r="E1341">
            <v>4003012.53</v>
          </cell>
          <cell r="F1341">
            <v>0</v>
          </cell>
          <cell r="G1341">
            <v>0</v>
          </cell>
        </row>
        <row r="1342">
          <cell r="A1342" t="str">
            <v>23-01-01-1100</v>
          </cell>
          <cell r="B1342">
            <v>0</v>
          </cell>
          <cell r="C1342" t="str">
            <v xml:space="preserve">  SAADAT PRINTERS</v>
          </cell>
          <cell r="D1342">
            <v>0</v>
          </cell>
          <cell r="E1342">
            <v>0</v>
          </cell>
          <cell r="F1342">
            <v>0</v>
          </cell>
          <cell r="G1342">
            <v>0</v>
          </cell>
        </row>
        <row r="1343">
          <cell r="A1343" t="str">
            <v>23-01-01-1101</v>
          </cell>
          <cell r="B1343">
            <v>0</v>
          </cell>
          <cell r="C1343" t="str">
            <v xml:space="preserve">  DANISH IQBAL ENTERPRISES</v>
          </cell>
          <cell r="D1343">
            <v>0</v>
          </cell>
          <cell r="E1343">
            <v>0</v>
          </cell>
          <cell r="F1343">
            <v>0</v>
          </cell>
          <cell r="G1343">
            <v>0</v>
          </cell>
        </row>
        <row r="1344">
          <cell r="A1344" t="str">
            <v>23-01-01-1102</v>
          </cell>
          <cell r="B1344">
            <v>0</v>
          </cell>
          <cell r="C1344" t="str">
            <v xml:space="preserve">  PEGASUS TEXTILE ACCESSORIES PAK.CO. (P</v>
          </cell>
          <cell r="D1344">
            <v>0</v>
          </cell>
          <cell r="E1344">
            <v>0</v>
          </cell>
          <cell r="F1344">
            <v>0</v>
          </cell>
          <cell r="G1344">
            <v>0</v>
          </cell>
        </row>
        <row r="1345">
          <cell r="A1345" t="str">
            <v>23-01-01-1103</v>
          </cell>
          <cell r="B1345">
            <v>0</v>
          </cell>
          <cell r="C1345" t="str">
            <v xml:space="preserve">  UNITED ENTERPRISES KARACHI</v>
          </cell>
          <cell r="D1345">
            <v>0</v>
          </cell>
          <cell r="E1345">
            <v>0</v>
          </cell>
          <cell r="F1345">
            <v>0</v>
          </cell>
          <cell r="G1345">
            <v>0</v>
          </cell>
        </row>
        <row r="1346">
          <cell r="A1346" t="str">
            <v>23-01-01-1104</v>
          </cell>
          <cell r="B1346">
            <v>0</v>
          </cell>
          <cell r="C1346" t="str">
            <v xml:space="preserve">  RAJAB ALI</v>
          </cell>
          <cell r="D1346">
            <v>0</v>
          </cell>
          <cell r="E1346">
            <v>0</v>
          </cell>
          <cell r="F1346">
            <v>0</v>
          </cell>
          <cell r="G1346">
            <v>0</v>
          </cell>
        </row>
        <row r="1347">
          <cell r="A1347" t="str">
            <v>23-01-01-1106</v>
          </cell>
          <cell r="B1347">
            <v>0</v>
          </cell>
          <cell r="C1347" t="str">
            <v xml:space="preserve">  MOBIL ASKARI LUBRICANT</v>
          </cell>
          <cell r="D1347">
            <v>124173.5</v>
          </cell>
          <cell r="E1347">
            <v>0</v>
          </cell>
          <cell r="F1347">
            <v>0</v>
          </cell>
          <cell r="G1347">
            <v>0</v>
          </cell>
        </row>
        <row r="1348">
          <cell r="A1348" t="str">
            <v>23-01-01-1107</v>
          </cell>
          <cell r="B1348">
            <v>0</v>
          </cell>
          <cell r="C1348" t="str">
            <v xml:space="preserve">  ABDULLAH BROTHERS</v>
          </cell>
          <cell r="D1348">
            <v>0</v>
          </cell>
          <cell r="E1348">
            <v>0</v>
          </cell>
          <cell r="F1348">
            <v>0</v>
          </cell>
          <cell r="G1348">
            <v>0</v>
          </cell>
        </row>
        <row r="1349">
          <cell r="A1349" t="str">
            <v>23-01-01-1108</v>
          </cell>
          <cell r="B1349">
            <v>0</v>
          </cell>
          <cell r="C1349" t="str">
            <v xml:space="preserve">  DYNATEX</v>
          </cell>
          <cell r="D1349">
            <v>0</v>
          </cell>
          <cell r="E1349">
            <v>0</v>
          </cell>
          <cell r="F1349">
            <v>0</v>
          </cell>
          <cell r="G1349">
            <v>0</v>
          </cell>
        </row>
        <row r="1350">
          <cell r="A1350" t="str">
            <v>23-01-01-1109</v>
          </cell>
          <cell r="B1350">
            <v>0</v>
          </cell>
          <cell r="C1350" t="str">
            <v xml:space="preserve">  REHAN TRADERS</v>
          </cell>
          <cell r="D1350">
            <v>0</v>
          </cell>
          <cell r="E1350">
            <v>0</v>
          </cell>
          <cell r="F1350">
            <v>0</v>
          </cell>
          <cell r="G1350">
            <v>0</v>
          </cell>
        </row>
        <row r="1351">
          <cell r="A1351" t="str">
            <v>23-01-01-1110</v>
          </cell>
          <cell r="B1351">
            <v>0</v>
          </cell>
          <cell r="C1351" t="str">
            <v xml:space="preserve">  FAIZ ENTERPRISES</v>
          </cell>
          <cell r="D1351">
            <v>0</v>
          </cell>
          <cell r="E1351">
            <v>0</v>
          </cell>
          <cell r="F1351">
            <v>0</v>
          </cell>
          <cell r="G1351">
            <v>0</v>
          </cell>
        </row>
        <row r="1352">
          <cell r="A1352" t="str">
            <v>23-01-01-1111</v>
          </cell>
          <cell r="B1352">
            <v>0</v>
          </cell>
          <cell r="C1352" t="str">
            <v xml:space="preserve">  MARINE &amp; COMMERCIAL SERVICES (PVT)LTD</v>
          </cell>
          <cell r="D1352">
            <v>0</v>
          </cell>
          <cell r="E1352">
            <v>0</v>
          </cell>
          <cell r="F1352">
            <v>0</v>
          </cell>
          <cell r="G1352">
            <v>0</v>
          </cell>
        </row>
        <row r="1353">
          <cell r="A1353" t="str">
            <v>23-01-01-1112</v>
          </cell>
          <cell r="B1353">
            <v>0</v>
          </cell>
          <cell r="C1353" t="str">
            <v xml:space="preserve">  SHAHID ENTERPRISES</v>
          </cell>
          <cell r="D1353">
            <v>0</v>
          </cell>
          <cell r="E1353">
            <v>0</v>
          </cell>
          <cell r="F1353">
            <v>0</v>
          </cell>
          <cell r="G1353">
            <v>0</v>
          </cell>
        </row>
        <row r="1354">
          <cell r="A1354" t="str">
            <v>23-01-01-1113</v>
          </cell>
          <cell r="B1354">
            <v>0</v>
          </cell>
          <cell r="C1354" t="str">
            <v xml:space="preserve">  UNITOR MARINE CHEMICALS</v>
          </cell>
          <cell r="D1354">
            <v>0</v>
          </cell>
          <cell r="E1354">
            <v>0</v>
          </cell>
          <cell r="F1354">
            <v>0</v>
          </cell>
          <cell r="G1354">
            <v>0</v>
          </cell>
        </row>
        <row r="1355">
          <cell r="A1355" t="str">
            <v>23-01-01-1114</v>
          </cell>
          <cell r="B1355">
            <v>0</v>
          </cell>
          <cell r="C1355" t="str">
            <v xml:space="preserve">  IRFAN ALI &amp; SONS</v>
          </cell>
          <cell r="D1355">
            <v>0</v>
          </cell>
          <cell r="E1355">
            <v>0</v>
          </cell>
          <cell r="F1355">
            <v>0</v>
          </cell>
          <cell r="G1355">
            <v>0</v>
          </cell>
        </row>
        <row r="1356">
          <cell r="A1356" t="str">
            <v>23-01-01-1115</v>
          </cell>
          <cell r="B1356">
            <v>0</v>
          </cell>
          <cell r="C1356" t="str">
            <v xml:space="preserve">  MILLAT TRADERS</v>
          </cell>
          <cell r="D1356">
            <v>0</v>
          </cell>
          <cell r="E1356">
            <v>29400</v>
          </cell>
          <cell r="F1356">
            <v>0</v>
          </cell>
          <cell r="G1356">
            <v>0</v>
          </cell>
        </row>
        <row r="1357">
          <cell r="A1357" t="str">
            <v>23-01-01-1116</v>
          </cell>
          <cell r="B1357">
            <v>0</v>
          </cell>
          <cell r="C1357" t="str">
            <v xml:space="preserve">  AL-RASHEED BROTHERS</v>
          </cell>
          <cell r="D1357">
            <v>0</v>
          </cell>
          <cell r="E1357">
            <v>0</v>
          </cell>
          <cell r="F1357">
            <v>0</v>
          </cell>
          <cell r="G1357">
            <v>0</v>
          </cell>
        </row>
        <row r="1358">
          <cell r="A1358" t="str">
            <v>23-01-01-1117</v>
          </cell>
          <cell r="B1358">
            <v>0</v>
          </cell>
          <cell r="C1358" t="str">
            <v xml:space="preserve">  QUALITY ENTERPRISES</v>
          </cell>
          <cell r="D1358">
            <v>0</v>
          </cell>
          <cell r="E1358">
            <v>0</v>
          </cell>
          <cell r="F1358">
            <v>0</v>
          </cell>
          <cell r="G1358">
            <v>0</v>
          </cell>
        </row>
        <row r="1359">
          <cell r="A1359" t="str">
            <v>23-01-01-1118</v>
          </cell>
          <cell r="B1359">
            <v>0</v>
          </cell>
          <cell r="C1359" t="str">
            <v xml:space="preserve">  INTERNATIONAL TEXTILE ASSOCIATES</v>
          </cell>
          <cell r="D1359">
            <v>0</v>
          </cell>
          <cell r="E1359">
            <v>0</v>
          </cell>
          <cell r="F1359">
            <v>0</v>
          </cell>
          <cell r="G1359">
            <v>0</v>
          </cell>
        </row>
        <row r="1360">
          <cell r="A1360" t="str">
            <v>23-01-01-1119</v>
          </cell>
          <cell r="B1360">
            <v>0</v>
          </cell>
          <cell r="C1360" t="str">
            <v xml:space="preserve">  SUN RUBBER TRADERS</v>
          </cell>
          <cell r="D1360">
            <v>0</v>
          </cell>
          <cell r="E1360">
            <v>0</v>
          </cell>
          <cell r="F1360">
            <v>0</v>
          </cell>
          <cell r="G1360">
            <v>0</v>
          </cell>
        </row>
        <row r="1361">
          <cell r="A1361" t="str">
            <v>23-01-01-1120</v>
          </cell>
          <cell r="B1361">
            <v>0</v>
          </cell>
          <cell r="C1361" t="str">
            <v xml:space="preserve">  WASEEM PAINT HOUSE AND GENERAL ORDER S</v>
          </cell>
          <cell r="D1361">
            <v>0</v>
          </cell>
          <cell r="E1361">
            <v>0</v>
          </cell>
          <cell r="F1361">
            <v>0</v>
          </cell>
          <cell r="G1361">
            <v>0</v>
          </cell>
        </row>
        <row r="1362">
          <cell r="A1362" t="str">
            <v>23-01-01-1121</v>
          </cell>
          <cell r="B1362">
            <v>0</v>
          </cell>
          <cell r="C1362" t="str">
            <v xml:space="preserve">  BUSHRA TRADERS</v>
          </cell>
          <cell r="D1362">
            <v>0</v>
          </cell>
          <cell r="E1362">
            <v>0</v>
          </cell>
          <cell r="F1362">
            <v>0</v>
          </cell>
          <cell r="G1362">
            <v>0</v>
          </cell>
        </row>
        <row r="1363">
          <cell r="A1363" t="str">
            <v>23-01-01-1122</v>
          </cell>
          <cell r="B1363">
            <v>0</v>
          </cell>
          <cell r="C1363" t="str">
            <v xml:space="preserve">  DIAMOND  HARDWARE STORE</v>
          </cell>
          <cell r="D1363">
            <v>0</v>
          </cell>
          <cell r="E1363">
            <v>0</v>
          </cell>
          <cell r="F1363">
            <v>0</v>
          </cell>
          <cell r="G1363">
            <v>0</v>
          </cell>
        </row>
        <row r="1364">
          <cell r="A1364" t="str">
            <v>23-01-01-1123</v>
          </cell>
          <cell r="B1364">
            <v>0</v>
          </cell>
          <cell r="C1364" t="str">
            <v xml:space="preserve">  IMPERIAL TRADERS</v>
          </cell>
          <cell r="D1364">
            <v>0</v>
          </cell>
          <cell r="E1364">
            <v>0</v>
          </cell>
          <cell r="F1364">
            <v>0</v>
          </cell>
          <cell r="G1364">
            <v>0</v>
          </cell>
        </row>
        <row r="1365">
          <cell r="A1365" t="str">
            <v>23-01-01-1124</v>
          </cell>
          <cell r="B1365">
            <v>0</v>
          </cell>
          <cell r="C1365" t="str">
            <v xml:space="preserve">  ANJUM CORPORATIOM</v>
          </cell>
          <cell r="D1365">
            <v>0</v>
          </cell>
          <cell r="E1365">
            <v>0</v>
          </cell>
          <cell r="F1365">
            <v>0</v>
          </cell>
          <cell r="G1365">
            <v>0</v>
          </cell>
        </row>
        <row r="1366">
          <cell r="A1366" t="str">
            <v>23-01-01-1125</v>
          </cell>
          <cell r="B1366">
            <v>0</v>
          </cell>
          <cell r="C1366" t="str">
            <v xml:space="preserve">  AFZAL CORPORATION.</v>
          </cell>
          <cell r="D1366">
            <v>0</v>
          </cell>
          <cell r="E1366">
            <v>25495</v>
          </cell>
          <cell r="F1366">
            <v>0</v>
          </cell>
          <cell r="G1366">
            <v>0</v>
          </cell>
        </row>
        <row r="1367">
          <cell r="A1367" t="str">
            <v>23-01-01-1126</v>
          </cell>
          <cell r="B1367">
            <v>0</v>
          </cell>
          <cell r="C1367" t="str">
            <v xml:space="preserve">  TANVIR MILL STORE</v>
          </cell>
          <cell r="D1367">
            <v>0</v>
          </cell>
          <cell r="E1367">
            <v>0</v>
          </cell>
          <cell r="F1367">
            <v>0</v>
          </cell>
          <cell r="G1367">
            <v>0</v>
          </cell>
        </row>
        <row r="1368">
          <cell r="A1368" t="str">
            <v>23-01-01-1127</v>
          </cell>
          <cell r="B1368">
            <v>0</v>
          </cell>
          <cell r="C1368" t="str">
            <v xml:space="preserve">  HAMZA ASSOCIATES</v>
          </cell>
          <cell r="D1368">
            <v>9800</v>
          </cell>
          <cell r="E1368">
            <v>0</v>
          </cell>
          <cell r="F1368">
            <v>0</v>
          </cell>
          <cell r="G1368">
            <v>0</v>
          </cell>
        </row>
        <row r="1369">
          <cell r="A1369" t="str">
            <v>23-01-01-1128</v>
          </cell>
          <cell r="B1369">
            <v>0</v>
          </cell>
          <cell r="C1369" t="str">
            <v xml:space="preserve">  JAMIL &amp; BROTHERS</v>
          </cell>
          <cell r="D1369">
            <v>0</v>
          </cell>
          <cell r="E1369">
            <v>0</v>
          </cell>
          <cell r="F1369">
            <v>0</v>
          </cell>
          <cell r="G1369">
            <v>0</v>
          </cell>
        </row>
        <row r="1370">
          <cell r="A1370" t="str">
            <v>23-01-01-1129</v>
          </cell>
          <cell r="B1370">
            <v>0</v>
          </cell>
          <cell r="C1370" t="str">
            <v xml:space="preserve">  IMTIAZ STEEL IMPEX</v>
          </cell>
          <cell r="D1370">
            <v>0</v>
          </cell>
          <cell r="E1370">
            <v>0</v>
          </cell>
          <cell r="F1370">
            <v>0</v>
          </cell>
          <cell r="G1370">
            <v>0</v>
          </cell>
        </row>
        <row r="1371">
          <cell r="A1371" t="str">
            <v>23-01-01-1130</v>
          </cell>
          <cell r="B1371">
            <v>0</v>
          </cell>
          <cell r="C1371" t="str">
            <v xml:space="preserve">  METALEX CORPORATION (PVT) LTD.</v>
          </cell>
          <cell r="D1371">
            <v>0</v>
          </cell>
          <cell r="E1371">
            <v>0</v>
          </cell>
          <cell r="F1371">
            <v>0</v>
          </cell>
          <cell r="G1371">
            <v>0</v>
          </cell>
        </row>
        <row r="1372">
          <cell r="A1372" t="str">
            <v>23-01-01-1131</v>
          </cell>
          <cell r="B1372">
            <v>0</v>
          </cell>
          <cell r="C1372" t="str">
            <v xml:space="preserve">  BERGER PAINT PAKISTAN LTD PAKISTAN</v>
          </cell>
          <cell r="D1372">
            <v>0</v>
          </cell>
          <cell r="E1372">
            <v>53443.29</v>
          </cell>
          <cell r="F1372">
            <v>0</v>
          </cell>
          <cell r="G1372">
            <v>0</v>
          </cell>
        </row>
        <row r="1373">
          <cell r="A1373" t="str">
            <v>23-01-01-1132</v>
          </cell>
          <cell r="B1373">
            <v>0</v>
          </cell>
          <cell r="C1373" t="str">
            <v xml:space="preserve">  KHURSHID TRADING CO.</v>
          </cell>
          <cell r="D1373">
            <v>0</v>
          </cell>
          <cell r="E1373">
            <v>0</v>
          </cell>
          <cell r="F1373">
            <v>0</v>
          </cell>
          <cell r="G1373">
            <v>0</v>
          </cell>
        </row>
        <row r="1374">
          <cell r="A1374" t="str">
            <v>23-01-01-1133</v>
          </cell>
          <cell r="B1374">
            <v>0</v>
          </cell>
          <cell r="C1374" t="str">
            <v xml:space="preserve">  KOHINOOR TRADERS</v>
          </cell>
          <cell r="D1374">
            <v>0</v>
          </cell>
          <cell r="E1374">
            <v>0</v>
          </cell>
          <cell r="F1374">
            <v>0</v>
          </cell>
          <cell r="G1374">
            <v>0</v>
          </cell>
        </row>
        <row r="1375">
          <cell r="A1375" t="str">
            <v>23-01-01-1134</v>
          </cell>
          <cell r="B1375">
            <v>0</v>
          </cell>
          <cell r="C1375" t="str">
            <v xml:space="preserve">  MEHRAN TRADING CO</v>
          </cell>
          <cell r="D1375">
            <v>0</v>
          </cell>
          <cell r="E1375">
            <v>0</v>
          </cell>
          <cell r="F1375">
            <v>0</v>
          </cell>
          <cell r="G1375">
            <v>0</v>
          </cell>
        </row>
        <row r="1376">
          <cell r="A1376" t="str">
            <v>23-01-01-1135</v>
          </cell>
          <cell r="B1376">
            <v>0</v>
          </cell>
          <cell r="C1376" t="str">
            <v xml:space="preserve">  BILAL ELECTRIC STORE</v>
          </cell>
          <cell r="D1376">
            <v>0</v>
          </cell>
          <cell r="E1376">
            <v>0</v>
          </cell>
          <cell r="F1376">
            <v>0</v>
          </cell>
          <cell r="G1376">
            <v>0</v>
          </cell>
        </row>
        <row r="1377">
          <cell r="A1377" t="str">
            <v>23-01-01-1136</v>
          </cell>
          <cell r="B1377">
            <v>0</v>
          </cell>
          <cell r="C1377" t="str">
            <v xml:space="preserve">  MOHAMMAD ALI KHAN JHAROO MERCHANT</v>
          </cell>
          <cell r="D1377">
            <v>0</v>
          </cell>
          <cell r="E1377">
            <v>0</v>
          </cell>
          <cell r="F1377">
            <v>0</v>
          </cell>
          <cell r="G1377">
            <v>0</v>
          </cell>
        </row>
        <row r="1378">
          <cell r="A1378" t="str">
            <v>23-01-01-1137</v>
          </cell>
          <cell r="B1378">
            <v>0</v>
          </cell>
          <cell r="C1378" t="str">
            <v xml:space="preserve">  SAFEWAY RECYLING INDUSTRIES</v>
          </cell>
          <cell r="D1378">
            <v>0</v>
          </cell>
          <cell r="E1378">
            <v>0</v>
          </cell>
          <cell r="F1378">
            <v>0</v>
          </cell>
          <cell r="G1378">
            <v>0</v>
          </cell>
        </row>
        <row r="1379">
          <cell r="A1379" t="str">
            <v>23-01-01-1138</v>
          </cell>
          <cell r="B1379">
            <v>0</v>
          </cell>
          <cell r="C1379" t="str">
            <v xml:space="preserve">  FAROOQ GENERAL MERCHANT</v>
          </cell>
          <cell r="D1379">
            <v>0</v>
          </cell>
          <cell r="E1379">
            <v>0</v>
          </cell>
          <cell r="F1379">
            <v>0</v>
          </cell>
          <cell r="G1379">
            <v>0</v>
          </cell>
        </row>
        <row r="1380">
          <cell r="A1380" t="str">
            <v>23-01-01-1139</v>
          </cell>
          <cell r="B1380">
            <v>0</v>
          </cell>
          <cell r="C1380" t="str">
            <v xml:space="preserve">  AMER MILL STORE</v>
          </cell>
          <cell r="D1380">
            <v>0</v>
          </cell>
          <cell r="E1380">
            <v>0</v>
          </cell>
          <cell r="F1380">
            <v>0</v>
          </cell>
          <cell r="G1380">
            <v>0</v>
          </cell>
        </row>
        <row r="1381">
          <cell r="A1381" t="str">
            <v>23-01-01-1140</v>
          </cell>
          <cell r="B1381">
            <v>0</v>
          </cell>
          <cell r="C1381" t="str">
            <v xml:space="preserve">  NICHITEX</v>
          </cell>
          <cell r="D1381">
            <v>0</v>
          </cell>
          <cell r="E1381">
            <v>0</v>
          </cell>
          <cell r="F1381">
            <v>0</v>
          </cell>
          <cell r="G1381">
            <v>0</v>
          </cell>
        </row>
        <row r="1382">
          <cell r="A1382" t="str">
            <v>23-01-01-1141</v>
          </cell>
          <cell r="B1382">
            <v>0</v>
          </cell>
          <cell r="C1382" t="str">
            <v xml:space="preserve">  ELECTRO WORLD</v>
          </cell>
          <cell r="D1382">
            <v>0</v>
          </cell>
          <cell r="E1382">
            <v>0</v>
          </cell>
          <cell r="F1382">
            <v>0</v>
          </cell>
          <cell r="G1382">
            <v>0</v>
          </cell>
        </row>
        <row r="1383">
          <cell r="A1383" t="str">
            <v>23-01-01-1142</v>
          </cell>
          <cell r="B1383">
            <v>0</v>
          </cell>
          <cell r="C1383" t="str">
            <v xml:space="preserve">  SAFINA MACHINERY CENTRE</v>
          </cell>
          <cell r="D1383">
            <v>0</v>
          </cell>
          <cell r="E1383">
            <v>0</v>
          </cell>
          <cell r="F1383">
            <v>0</v>
          </cell>
          <cell r="G1383">
            <v>0</v>
          </cell>
        </row>
        <row r="1384">
          <cell r="A1384" t="str">
            <v>23-01-01-1143</v>
          </cell>
          <cell r="B1384">
            <v>0</v>
          </cell>
          <cell r="C1384" t="str">
            <v xml:space="preserve">  MEHMOOD &amp; SONS</v>
          </cell>
          <cell r="D1384">
            <v>0</v>
          </cell>
          <cell r="E1384">
            <v>0</v>
          </cell>
          <cell r="F1384">
            <v>0</v>
          </cell>
          <cell r="G1384">
            <v>0</v>
          </cell>
        </row>
        <row r="1385">
          <cell r="A1385" t="str">
            <v>23-01-01-1144</v>
          </cell>
          <cell r="B1385">
            <v>0</v>
          </cell>
          <cell r="C1385" t="str">
            <v xml:space="preserve">  PROGRESSIVE HARDWARE STORE</v>
          </cell>
          <cell r="D1385">
            <v>0</v>
          </cell>
          <cell r="E1385">
            <v>0</v>
          </cell>
          <cell r="F1385">
            <v>0</v>
          </cell>
          <cell r="G1385">
            <v>0</v>
          </cell>
        </row>
        <row r="1386">
          <cell r="A1386" t="str">
            <v>23-01-01-1145</v>
          </cell>
          <cell r="B1386">
            <v>0</v>
          </cell>
          <cell r="C1386" t="str">
            <v xml:space="preserve">  IMPORIENT CHEMICALS (PVT) LTD</v>
          </cell>
          <cell r="D1386">
            <v>0</v>
          </cell>
          <cell r="E1386">
            <v>0</v>
          </cell>
          <cell r="F1386">
            <v>0</v>
          </cell>
          <cell r="G1386">
            <v>0</v>
          </cell>
        </row>
        <row r="1387">
          <cell r="A1387" t="str">
            <v>23-01-01-1146</v>
          </cell>
          <cell r="B1387">
            <v>0</v>
          </cell>
          <cell r="C1387" t="str">
            <v xml:space="preserve">  M.H. TRADERS</v>
          </cell>
          <cell r="D1387">
            <v>0</v>
          </cell>
          <cell r="E1387">
            <v>0</v>
          </cell>
          <cell r="F1387">
            <v>0</v>
          </cell>
          <cell r="G1387">
            <v>0</v>
          </cell>
        </row>
        <row r="1388">
          <cell r="A1388" t="str">
            <v>23-01-01-1147</v>
          </cell>
          <cell r="B1388">
            <v>0</v>
          </cell>
          <cell r="C1388" t="str">
            <v xml:space="preserve">  IQBAL ENTERPRISER</v>
          </cell>
          <cell r="D1388">
            <v>0</v>
          </cell>
          <cell r="E1388">
            <v>0</v>
          </cell>
          <cell r="F1388">
            <v>0</v>
          </cell>
          <cell r="G1388">
            <v>0</v>
          </cell>
        </row>
        <row r="1389">
          <cell r="A1389" t="str">
            <v>23-01-01-1148</v>
          </cell>
          <cell r="B1389">
            <v>0</v>
          </cell>
          <cell r="C1389" t="str">
            <v xml:space="preserve">  PLASTOCHEM</v>
          </cell>
          <cell r="D1389">
            <v>0</v>
          </cell>
          <cell r="E1389">
            <v>0</v>
          </cell>
          <cell r="F1389">
            <v>0</v>
          </cell>
          <cell r="G1389">
            <v>0</v>
          </cell>
        </row>
        <row r="1390">
          <cell r="A1390" t="str">
            <v>23-01-01-1149</v>
          </cell>
          <cell r="B1390">
            <v>0</v>
          </cell>
          <cell r="C1390" t="str">
            <v xml:space="preserve">  ORION ENGINEERING COMPANY</v>
          </cell>
          <cell r="D1390">
            <v>0</v>
          </cell>
          <cell r="E1390">
            <v>0</v>
          </cell>
          <cell r="F1390">
            <v>0</v>
          </cell>
          <cell r="G1390">
            <v>0</v>
          </cell>
        </row>
        <row r="1391">
          <cell r="A1391" t="str">
            <v>23-01-01-1150</v>
          </cell>
          <cell r="B1391">
            <v>0</v>
          </cell>
          <cell r="C1391" t="str">
            <v xml:space="preserve">  SHELL PAKISTAN LIMITED GUJ.(FURNACE)</v>
          </cell>
          <cell r="D1391">
            <v>0</v>
          </cell>
          <cell r="E1391">
            <v>0</v>
          </cell>
          <cell r="F1391">
            <v>0</v>
          </cell>
          <cell r="G1391">
            <v>0</v>
          </cell>
        </row>
        <row r="1392">
          <cell r="A1392" t="str">
            <v>23-01-01-1151</v>
          </cell>
          <cell r="B1392">
            <v>0</v>
          </cell>
          <cell r="C1392" t="str">
            <v xml:space="preserve">  METRO ELECTRIC STORE</v>
          </cell>
          <cell r="D1392">
            <v>0</v>
          </cell>
          <cell r="E1392">
            <v>0</v>
          </cell>
          <cell r="F1392">
            <v>0</v>
          </cell>
          <cell r="G1392">
            <v>0</v>
          </cell>
        </row>
        <row r="1393">
          <cell r="A1393" t="str">
            <v>23-01-01-1152</v>
          </cell>
          <cell r="B1393">
            <v>0</v>
          </cell>
          <cell r="C1393" t="str">
            <v xml:space="preserve">  ADIL POLYPROPYLENE PRODUCTS LTD</v>
          </cell>
          <cell r="D1393">
            <v>0</v>
          </cell>
          <cell r="E1393">
            <v>0</v>
          </cell>
          <cell r="F1393">
            <v>0</v>
          </cell>
          <cell r="G1393">
            <v>0</v>
          </cell>
        </row>
        <row r="1394">
          <cell r="A1394" t="str">
            <v>23-01-01-1153</v>
          </cell>
          <cell r="B1394">
            <v>0</v>
          </cell>
          <cell r="C1394" t="str">
            <v xml:space="preserve">  CALTEX OIL (PAKISTAN) LTD. KARACHI</v>
          </cell>
          <cell r="D1394">
            <v>0</v>
          </cell>
          <cell r="E1394">
            <v>0</v>
          </cell>
          <cell r="F1394">
            <v>0</v>
          </cell>
          <cell r="G1394">
            <v>0</v>
          </cell>
        </row>
        <row r="1395">
          <cell r="A1395" t="str">
            <v>23-01-01-1154</v>
          </cell>
          <cell r="B1395">
            <v>0</v>
          </cell>
          <cell r="C1395" t="str">
            <v xml:space="preserve">  WARTSILA NSD PAKISTAN (PVT) LTD</v>
          </cell>
          <cell r="D1395">
            <v>0</v>
          </cell>
          <cell r="E1395">
            <v>250200</v>
          </cell>
          <cell r="F1395">
            <v>0</v>
          </cell>
          <cell r="G1395">
            <v>0</v>
          </cell>
        </row>
        <row r="1396">
          <cell r="A1396" t="str">
            <v>23-01-01-1155</v>
          </cell>
          <cell r="B1396">
            <v>0</v>
          </cell>
          <cell r="C1396" t="str">
            <v xml:space="preserve">  SHALIMAR ELECTRIC CORNER</v>
          </cell>
          <cell r="D1396">
            <v>0</v>
          </cell>
          <cell r="E1396">
            <v>0</v>
          </cell>
          <cell r="F1396">
            <v>0</v>
          </cell>
          <cell r="G1396">
            <v>0</v>
          </cell>
        </row>
        <row r="1397">
          <cell r="A1397" t="str">
            <v>23-01-01-1156</v>
          </cell>
          <cell r="B1397">
            <v>0</v>
          </cell>
          <cell r="C1397" t="str">
            <v xml:space="preserve">  KASHIF ELECTRONIC</v>
          </cell>
          <cell r="D1397">
            <v>0</v>
          </cell>
          <cell r="E1397">
            <v>0</v>
          </cell>
          <cell r="F1397">
            <v>0</v>
          </cell>
          <cell r="G1397">
            <v>0</v>
          </cell>
        </row>
        <row r="1398">
          <cell r="A1398" t="str">
            <v>23-01-01-1157</v>
          </cell>
          <cell r="B1398">
            <v>0</v>
          </cell>
          <cell r="C1398" t="str">
            <v xml:space="preserve">  REHAN CORPORATION</v>
          </cell>
          <cell r="D1398">
            <v>0</v>
          </cell>
          <cell r="E1398">
            <v>0</v>
          </cell>
          <cell r="F1398">
            <v>0</v>
          </cell>
          <cell r="G1398">
            <v>0</v>
          </cell>
        </row>
        <row r="1399">
          <cell r="A1399" t="str">
            <v>23-01-01-1158</v>
          </cell>
          <cell r="B1399">
            <v>0</v>
          </cell>
          <cell r="C1399" t="str">
            <v xml:space="preserve">  CHAND ELECTRIC COMPANY</v>
          </cell>
          <cell r="D1399">
            <v>0</v>
          </cell>
          <cell r="E1399">
            <v>0</v>
          </cell>
          <cell r="F1399">
            <v>0</v>
          </cell>
          <cell r="G1399">
            <v>0</v>
          </cell>
        </row>
        <row r="1400">
          <cell r="A1400" t="str">
            <v>23-01-01-1159</v>
          </cell>
          <cell r="B1400">
            <v>0</v>
          </cell>
          <cell r="C1400" t="str">
            <v xml:space="preserve">  CHEEN JAPAN MACHINERY STORE</v>
          </cell>
          <cell r="D1400">
            <v>0</v>
          </cell>
          <cell r="E1400">
            <v>0</v>
          </cell>
          <cell r="F1400">
            <v>0</v>
          </cell>
          <cell r="G1400">
            <v>0</v>
          </cell>
        </row>
        <row r="1401">
          <cell r="A1401" t="str">
            <v>23-01-01-1160</v>
          </cell>
          <cell r="B1401">
            <v>0</v>
          </cell>
          <cell r="C1401" t="str">
            <v xml:space="preserve">  TAJAMUL HUSSIAN</v>
          </cell>
          <cell r="D1401">
            <v>0</v>
          </cell>
          <cell r="E1401">
            <v>0</v>
          </cell>
          <cell r="F1401">
            <v>0</v>
          </cell>
          <cell r="G1401">
            <v>0</v>
          </cell>
        </row>
        <row r="1402">
          <cell r="A1402" t="str">
            <v>23-01-01-1161</v>
          </cell>
          <cell r="B1402">
            <v>0</v>
          </cell>
          <cell r="C1402" t="str">
            <v xml:space="preserve">  BELLE TRADE IMPEX</v>
          </cell>
          <cell r="D1402">
            <v>0</v>
          </cell>
          <cell r="E1402">
            <v>0</v>
          </cell>
          <cell r="F1402">
            <v>0</v>
          </cell>
          <cell r="G1402">
            <v>0</v>
          </cell>
        </row>
        <row r="1403">
          <cell r="A1403" t="str">
            <v>23-01-01-1162</v>
          </cell>
          <cell r="B1403">
            <v>0</v>
          </cell>
          <cell r="C1403" t="str">
            <v xml:space="preserve">  .</v>
          </cell>
          <cell r="D1403">
            <v>0</v>
          </cell>
          <cell r="E1403">
            <v>0</v>
          </cell>
          <cell r="F1403">
            <v>0</v>
          </cell>
          <cell r="G1403">
            <v>0</v>
          </cell>
        </row>
        <row r="1404">
          <cell r="A1404" t="str">
            <v>23-01-01-1163</v>
          </cell>
          <cell r="B1404">
            <v>0</v>
          </cell>
          <cell r="C1404" t="str">
            <v xml:space="preserve">  KHURSHID CYCLE &amp; FAN DEALER</v>
          </cell>
          <cell r="D1404">
            <v>0</v>
          </cell>
          <cell r="E1404">
            <v>0</v>
          </cell>
          <cell r="F1404">
            <v>0</v>
          </cell>
          <cell r="G1404">
            <v>0</v>
          </cell>
        </row>
        <row r="1405">
          <cell r="A1405" t="str">
            <v>23-01-01-1164</v>
          </cell>
          <cell r="B1405">
            <v>0</v>
          </cell>
          <cell r="C1405" t="str">
            <v xml:space="preserve">  ZAIN ENTERPRISES</v>
          </cell>
          <cell r="D1405">
            <v>0</v>
          </cell>
          <cell r="E1405">
            <v>0</v>
          </cell>
          <cell r="F1405">
            <v>0</v>
          </cell>
          <cell r="G1405">
            <v>0</v>
          </cell>
        </row>
        <row r="1406">
          <cell r="A1406" t="str">
            <v>23-01-01-1165</v>
          </cell>
          <cell r="B1406">
            <v>0</v>
          </cell>
          <cell r="C1406" t="str">
            <v xml:space="preserve">  SGWI ASSOCIATES</v>
          </cell>
          <cell r="D1406">
            <v>0</v>
          </cell>
          <cell r="E1406">
            <v>20552.8</v>
          </cell>
          <cell r="F1406">
            <v>0</v>
          </cell>
          <cell r="G1406">
            <v>0</v>
          </cell>
        </row>
        <row r="1407">
          <cell r="A1407" t="str">
            <v>23-01-01-1166</v>
          </cell>
          <cell r="B1407">
            <v>0</v>
          </cell>
          <cell r="C1407" t="str">
            <v xml:space="preserve">  TAHIR &amp; CO.</v>
          </cell>
          <cell r="D1407">
            <v>0</v>
          </cell>
          <cell r="E1407">
            <v>0</v>
          </cell>
          <cell r="F1407">
            <v>0</v>
          </cell>
          <cell r="G1407">
            <v>0</v>
          </cell>
        </row>
        <row r="1408">
          <cell r="A1408" t="str">
            <v>23-01-01-1167</v>
          </cell>
          <cell r="B1408">
            <v>0</v>
          </cell>
          <cell r="C1408" t="str">
            <v xml:space="preserve">  ALLIED PAINT HOUSE</v>
          </cell>
          <cell r="D1408">
            <v>0</v>
          </cell>
          <cell r="E1408">
            <v>0</v>
          </cell>
          <cell r="F1408">
            <v>0</v>
          </cell>
          <cell r="G1408">
            <v>0</v>
          </cell>
        </row>
        <row r="1409">
          <cell r="A1409" t="str">
            <v>23-01-01-1168</v>
          </cell>
          <cell r="B1409">
            <v>0</v>
          </cell>
          <cell r="C1409" t="str">
            <v xml:space="preserve">  ASGHAR TRADERS</v>
          </cell>
          <cell r="D1409">
            <v>0</v>
          </cell>
          <cell r="E1409">
            <v>0</v>
          </cell>
          <cell r="F1409">
            <v>0</v>
          </cell>
          <cell r="G1409">
            <v>0</v>
          </cell>
        </row>
        <row r="1410">
          <cell r="A1410" t="str">
            <v>23-01-01-1169</v>
          </cell>
          <cell r="B1410">
            <v>0</v>
          </cell>
          <cell r="C1410" t="str">
            <v xml:space="preserve">  SHAHEEN TRADING CO.</v>
          </cell>
          <cell r="D1410">
            <v>0</v>
          </cell>
          <cell r="E1410">
            <v>0</v>
          </cell>
          <cell r="F1410">
            <v>0</v>
          </cell>
          <cell r="G1410">
            <v>0</v>
          </cell>
        </row>
        <row r="1411">
          <cell r="A1411" t="str">
            <v>23-01-01-1170</v>
          </cell>
          <cell r="B1411">
            <v>0</v>
          </cell>
          <cell r="C1411" t="str">
            <v xml:space="preserve">  AL-ASIF SONS</v>
          </cell>
          <cell r="D1411">
            <v>0</v>
          </cell>
          <cell r="E1411">
            <v>0</v>
          </cell>
          <cell r="F1411">
            <v>0</v>
          </cell>
          <cell r="G1411">
            <v>0</v>
          </cell>
        </row>
        <row r="1412">
          <cell r="A1412" t="str">
            <v>23-01-01-1171</v>
          </cell>
          <cell r="B1412">
            <v>0</v>
          </cell>
          <cell r="C1412" t="str">
            <v xml:space="preserve">  SIDRA ENTERPRISES</v>
          </cell>
          <cell r="D1412">
            <v>0</v>
          </cell>
          <cell r="E1412">
            <v>0</v>
          </cell>
          <cell r="F1412">
            <v>0</v>
          </cell>
          <cell r="G1412">
            <v>0</v>
          </cell>
        </row>
        <row r="1413">
          <cell r="A1413" t="str">
            <v>23-01-01-1172</v>
          </cell>
          <cell r="B1413">
            <v>0</v>
          </cell>
          <cell r="C1413" t="str">
            <v xml:space="preserve">  KHALID YUSUF &amp; CO.</v>
          </cell>
          <cell r="D1413">
            <v>0</v>
          </cell>
          <cell r="E1413">
            <v>0</v>
          </cell>
          <cell r="F1413">
            <v>0</v>
          </cell>
          <cell r="G1413">
            <v>0</v>
          </cell>
        </row>
        <row r="1414">
          <cell r="A1414" t="str">
            <v>23-01-01-1173</v>
          </cell>
          <cell r="B1414">
            <v>0</v>
          </cell>
          <cell r="C1414" t="str">
            <v xml:space="preserve">  UZAIR IMPEX</v>
          </cell>
          <cell r="D1414">
            <v>0</v>
          </cell>
          <cell r="E1414">
            <v>0</v>
          </cell>
          <cell r="F1414">
            <v>0</v>
          </cell>
          <cell r="G1414">
            <v>0</v>
          </cell>
        </row>
        <row r="1415">
          <cell r="A1415" t="str">
            <v>23-01-01-1174</v>
          </cell>
          <cell r="B1415">
            <v>0</v>
          </cell>
          <cell r="C1415" t="str">
            <v xml:space="preserve">  RASHEED TRADERS</v>
          </cell>
          <cell r="D1415">
            <v>0</v>
          </cell>
          <cell r="E1415">
            <v>0</v>
          </cell>
          <cell r="F1415">
            <v>0</v>
          </cell>
          <cell r="G1415">
            <v>0</v>
          </cell>
        </row>
        <row r="1416">
          <cell r="A1416" t="str">
            <v>23-01-01-1175</v>
          </cell>
          <cell r="B1416">
            <v>0</v>
          </cell>
          <cell r="C1416" t="str">
            <v xml:space="preserve">  AKHTAR &amp; SONS</v>
          </cell>
          <cell r="D1416">
            <v>0</v>
          </cell>
          <cell r="E1416">
            <v>0</v>
          </cell>
          <cell r="F1416">
            <v>0</v>
          </cell>
          <cell r="G1416">
            <v>0</v>
          </cell>
        </row>
        <row r="1417">
          <cell r="A1417" t="str">
            <v>23-01-01-1176</v>
          </cell>
          <cell r="B1417">
            <v>0</v>
          </cell>
          <cell r="C1417" t="str">
            <v xml:space="preserve">  UNION TEXTILE CONSULTANT</v>
          </cell>
          <cell r="D1417">
            <v>0</v>
          </cell>
          <cell r="E1417">
            <v>0</v>
          </cell>
          <cell r="F1417">
            <v>0</v>
          </cell>
          <cell r="G1417">
            <v>0</v>
          </cell>
        </row>
        <row r="1418">
          <cell r="A1418" t="str">
            <v>23-01-01-1177</v>
          </cell>
          <cell r="B1418">
            <v>0</v>
          </cell>
          <cell r="C1418" t="str">
            <v xml:space="preserve">  ALTAF HUSSAIN SIRAJ DIN &amp; BROTHERS</v>
          </cell>
          <cell r="D1418">
            <v>0</v>
          </cell>
          <cell r="E1418">
            <v>0</v>
          </cell>
          <cell r="F1418">
            <v>0</v>
          </cell>
          <cell r="G1418">
            <v>0</v>
          </cell>
        </row>
        <row r="1419">
          <cell r="A1419" t="str">
            <v>23-01-01-1178</v>
          </cell>
          <cell r="B1419">
            <v>0</v>
          </cell>
          <cell r="C1419" t="str">
            <v xml:space="preserve">  ELECTRICAL EQUIPMENT &amp; ENGINEERING LTD</v>
          </cell>
          <cell r="D1419">
            <v>0</v>
          </cell>
          <cell r="E1419">
            <v>0</v>
          </cell>
          <cell r="F1419">
            <v>0</v>
          </cell>
          <cell r="G1419">
            <v>0</v>
          </cell>
        </row>
        <row r="1420">
          <cell r="A1420" t="str">
            <v>23-01-01-1179</v>
          </cell>
          <cell r="B1420">
            <v>0</v>
          </cell>
          <cell r="C1420" t="str">
            <v xml:space="preserve">  SUMARA TRADERS</v>
          </cell>
          <cell r="D1420">
            <v>0</v>
          </cell>
          <cell r="E1420">
            <v>0</v>
          </cell>
          <cell r="F1420">
            <v>0</v>
          </cell>
          <cell r="G1420">
            <v>0</v>
          </cell>
        </row>
        <row r="1421">
          <cell r="A1421" t="str">
            <v>23-01-01-1180</v>
          </cell>
          <cell r="B1421">
            <v>0</v>
          </cell>
          <cell r="C1421" t="str">
            <v xml:space="preserve">  PRODEISEL SERVICES PVT LTD.</v>
          </cell>
          <cell r="D1421">
            <v>0</v>
          </cell>
          <cell r="E1421">
            <v>0</v>
          </cell>
          <cell r="F1421">
            <v>0</v>
          </cell>
          <cell r="G1421">
            <v>0</v>
          </cell>
        </row>
        <row r="1422">
          <cell r="A1422" t="str">
            <v>23-01-01-1181</v>
          </cell>
          <cell r="B1422">
            <v>0</v>
          </cell>
          <cell r="C1422" t="str">
            <v xml:space="preserve">  MOHAMMAD ARSHAD IBRAHIM</v>
          </cell>
          <cell r="D1422">
            <v>0</v>
          </cell>
          <cell r="E1422">
            <v>0</v>
          </cell>
          <cell r="F1422">
            <v>0</v>
          </cell>
          <cell r="G1422">
            <v>0</v>
          </cell>
        </row>
        <row r="1423">
          <cell r="A1423" t="str">
            <v>23-01-01-1182</v>
          </cell>
          <cell r="B1423">
            <v>0</v>
          </cell>
          <cell r="C1423" t="str">
            <v xml:space="preserve">  ZAMAN ENTERPRISES</v>
          </cell>
          <cell r="D1423">
            <v>0</v>
          </cell>
          <cell r="E1423">
            <v>0</v>
          </cell>
          <cell r="F1423">
            <v>0</v>
          </cell>
          <cell r="G1423">
            <v>0</v>
          </cell>
        </row>
        <row r="1424">
          <cell r="A1424" t="str">
            <v>23-01-01-1183</v>
          </cell>
          <cell r="B1424">
            <v>0</v>
          </cell>
          <cell r="C1424" t="str">
            <v xml:space="preserve">  INDUSTRIAL EQUIPMENTS</v>
          </cell>
          <cell r="D1424">
            <v>0</v>
          </cell>
          <cell r="E1424">
            <v>10580</v>
          </cell>
          <cell r="F1424">
            <v>0</v>
          </cell>
          <cell r="G1424">
            <v>0</v>
          </cell>
        </row>
        <row r="1425">
          <cell r="A1425" t="str">
            <v>23-01-01-1184</v>
          </cell>
          <cell r="B1425">
            <v>0</v>
          </cell>
          <cell r="C1425" t="str">
            <v xml:space="preserve">  ALAMGIR TRADING COMPANY</v>
          </cell>
          <cell r="D1425">
            <v>0</v>
          </cell>
          <cell r="E1425">
            <v>0</v>
          </cell>
          <cell r="F1425">
            <v>0</v>
          </cell>
          <cell r="G1425">
            <v>0</v>
          </cell>
        </row>
        <row r="1426">
          <cell r="A1426" t="str">
            <v>23-01-01-1185</v>
          </cell>
          <cell r="B1426">
            <v>0</v>
          </cell>
          <cell r="C1426" t="str">
            <v xml:space="preserve">  NASEEM BRUSH WARE.</v>
          </cell>
          <cell r="D1426">
            <v>0</v>
          </cell>
          <cell r="E1426">
            <v>0</v>
          </cell>
          <cell r="F1426">
            <v>0</v>
          </cell>
          <cell r="G1426">
            <v>0</v>
          </cell>
        </row>
        <row r="1427">
          <cell r="A1427" t="str">
            <v>23-01-01-1186</v>
          </cell>
          <cell r="B1427">
            <v>0</v>
          </cell>
          <cell r="C1427" t="str">
            <v xml:space="preserve">  DATA TOOLS &amp; ELECTRONICS STORE</v>
          </cell>
          <cell r="D1427">
            <v>0</v>
          </cell>
          <cell r="E1427">
            <v>0</v>
          </cell>
          <cell r="F1427">
            <v>0</v>
          </cell>
          <cell r="G1427">
            <v>0</v>
          </cell>
        </row>
        <row r="1428">
          <cell r="A1428" t="str">
            <v>23-01-01-1187</v>
          </cell>
          <cell r="B1428">
            <v>0</v>
          </cell>
          <cell r="C1428" t="str">
            <v xml:space="preserve">  FATIMA TRADERS</v>
          </cell>
          <cell r="D1428">
            <v>0</v>
          </cell>
          <cell r="E1428">
            <v>0</v>
          </cell>
          <cell r="F1428">
            <v>0</v>
          </cell>
          <cell r="G1428">
            <v>0</v>
          </cell>
        </row>
        <row r="1429">
          <cell r="A1429" t="str">
            <v>23-01-01-1188</v>
          </cell>
          <cell r="B1429">
            <v>0</v>
          </cell>
          <cell r="C1429" t="str">
            <v xml:space="preserve">  I.S BROTHERS</v>
          </cell>
          <cell r="D1429">
            <v>0</v>
          </cell>
          <cell r="E1429">
            <v>0</v>
          </cell>
          <cell r="F1429">
            <v>0</v>
          </cell>
          <cell r="G1429">
            <v>0</v>
          </cell>
        </row>
        <row r="1430">
          <cell r="A1430" t="str">
            <v>23-01-01-1189</v>
          </cell>
          <cell r="B1430">
            <v>0</v>
          </cell>
          <cell r="C1430" t="str">
            <v xml:space="preserve">  TEXTILE SALES &amp; SERVICES</v>
          </cell>
          <cell r="D1430">
            <v>0</v>
          </cell>
          <cell r="E1430">
            <v>3220</v>
          </cell>
          <cell r="F1430">
            <v>0</v>
          </cell>
          <cell r="G1430">
            <v>0</v>
          </cell>
        </row>
        <row r="1431">
          <cell r="A1431" t="str">
            <v>23-01-01-1190</v>
          </cell>
          <cell r="B1431">
            <v>0</v>
          </cell>
          <cell r="C1431" t="str">
            <v xml:space="preserve">  RABI-UL-NOOR ENTERPRISES</v>
          </cell>
          <cell r="D1431">
            <v>0</v>
          </cell>
          <cell r="E1431">
            <v>0</v>
          </cell>
          <cell r="F1431">
            <v>0</v>
          </cell>
          <cell r="G1431">
            <v>0</v>
          </cell>
        </row>
        <row r="1432">
          <cell r="A1432" t="str">
            <v>23-01-01-1191</v>
          </cell>
          <cell r="B1432">
            <v>0</v>
          </cell>
          <cell r="C1432" t="str">
            <v xml:space="preserve">  AL-ARSHAD ENGINEERING WORKS</v>
          </cell>
          <cell r="D1432">
            <v>0</v>
          </cell>
          <cell r="E1432">
            <v>0</v>
          </cell>
          <cell r="F1432">
            <v>0</v>
          </cell>
          <cell r="G1432">
            <v>0</v>
          </cell>
        </row>
        <row r="1433">
          <cell r="A1433" t="str">
            <v>23-01-01-1192</v>
          </cell>
          <cell r="B1433">
            <v>0</v>
          </cell>
          <cell r="C1433" t="str">
            <v xml:space="preserve">  DECENT PLASTIC WORKS</v>
          </cell>
          <cell r="D1433">
            <v>0</v>
          </cell>
          <cell r="E1433">
            <v>0</v>
          </cell>
          <cell r="F1433">
            <v>0</v>
          </cell>
          <cell r="G1433">
            <v>0</v>
          </cell>
        </row>
        <row r="1434">
          <cell r="A1434" t="str">
            <v>23-01-01-1193</v>
          </cell>
          <cell r="B1434">
            <v>0</v>
          </cell>
          <cell r="C1434" t="str">
            <v xml:space="preserve">  DELTA TRADING CORPORATION</v>
          </cell>
          <cell r="D1434">
            <v>0</v>
          </cell>
          <cell r="E1434">
            <v>0</v>
          </cell>
          <cell r="F1434">
            <v>0</v>
          </cell>
          <cell r="G1434">
            <v>0</v>
          </cell>
        </row>
        <row r="1435">
          <cell r="A1435" t="str">
            <v>23-01-01-1194</v>
          </cell>
          <cell r="B1435">
            <v>0</v>
          </cell>
          <cell r="C1435" t="str">
            <v xml:space="preserve">  MEIJI TRADING COMPANY</v>
          </cell>
          <cell r="D1435">
            <v>0</v>
          </cell>
          <cell r="E1435">
            <v>0</v>
          </cell>
          <cell r="F1435">
            <v>0</v>
          </cell>
          <cell r="G1435">
            <v>0</v>
          </cell>
        </row>
        <row r="1436">
          <cell r="A1436" t="str">
            <v>23-01-01-1195</v>
          </cell>
          <cell r="B1436">
            <v>0</v>
          </cell>
          <cell r="C1436" t="str">
            <v xml:space="preserve">  MAJEED MUNIR LTD.</v>
          </cell>
          <cell r="D1436">
            <v>0</v>
          </cell>
          <cell r="E1436">
            <v>0</v>
          </cell>
          <cell r="F1436">
            <v>0</v>
          </cell>
          <cell r="G1436">
            <v>0</v>
          </cell>
        </row>
        <row r="1437">
          <cell r="A1437" t="str">
            <v>23-01-01-1196</v>
          </cell>
          <cell r="B1437">
            <v>0</v>
          </cell>
          <cell r="C1437" t="str">
            <v xml:space="preserve">  S.S ENTERPRISES</v>
          </cell>
          <cell r="D1437">
            <v>0</v>
          </cell>
          <cell r="E1437">
            <v>0</v>
          </cell>
          <cell r="F1437">
            <v>0</v>
          </cell>
          <cell r="G1437">
            <v>0</v>
          </cell>
        </row>
        <row r="1438">
          <cell r="A1438" t="str">
            <v>23-01-01-1197</v>
          </cell>
          <cell r="B1438">
            <v>0</v>
          </cell>
          <cell r="C1438" t="str">
            <v xml:space="preserve">  SHAH ENTERPRISE</v>
          </cell>
          <cell r="D1438">
            <v>0</v>
          </cell>
          <cell r="E1438">
            <v>0</v>
          </cell>
          <cell r="F1438">
            <v>0</v>
          </cell>
          <cell r="G1438">
            <v>0</v>
          </cell>
        </row>
        <row r="1439">
          <cell r="A1439" t="str">
            <v>23-01-01-1198</v>
          </cell>
          <cell r="B1439">
            <v>0</v>
          </cell>
          <cell r="C1439" t="str">
            <v xml:space="preserve">  CHALLENGE STATIONERS</v>
          </cell>
          <cell r="D1439">
            <v>0</v>
          </cell>
          <cell r="E1439">
            <v>0</v>
          </cell>
          <cell r="F1439">
            <v>0</v>
          </cell>
          <cell r="G1439">
            <v>0</v>
          </cell>
        </row>
        <row r="1440">
          <cell r="A1440" t="str">
            <v>23-01-01-1199</v>
          </cell>
          <cell r="B1440">
            <v>0</v>
          </cell>
          <cell r="C1440" t="str">
            <v xml:space="preserve">  INTER TRADE DISTRIBUTOR'S (PVT) LTD.</v>
          </cell>
          <cell r="D1440">
            <v>0</v>
          </cell>
          <cell r="E1440">
            <v>29900</v>
          </cell>
          <cell r="F1440">
            <v>0</v>
          </cell>
          <cell r="G1440">
            <v>0</v>
          </cell>
        </row>
        <row r="1441">
          <cell r="A1441" t="str">
            <v>23-01-01-1200</v>
          </cell>
          <cell r="B1441">
            <v>0</v>
          </cell>
          <cell r="C1441" t="str">
            <v xml:space="preserve">  PARCO INTERNATIONAL</v>
          </cell>
          <cell r="D1441">
            <v>0</v>
          </cell>
          <cell r="E1441">
            <v>0</v>
          </cell>
          <cell r="F1441">
            <v>0</v>
          </cell>
          <cell r="G1441">
            <v>0</v>
          </cell>
        </row>
        <row r="1442">
          <cell r="A1442" t="str">
            <v>23-01-01-1201</v>
          </cell>
          <cell r="B1442">
            <v>0</v>
          </cell>
          <cell r="C1442" t="str">
            <v xml:space="preserve">  KHALID ENTERPRISES</v>
          </cell>
          <cell r="D1442">
            <v>0</v>
          </cell>
          <cell r="E1442">
            <v>0</v>
          </cell>
          <cell r="F1442">
            <v>0</v>
          </cell>
          <cell r="G1442">
            <v>0</v>
          </cell>
        </row>
        <row r="1443">
          <cell r="A1443" t="str">
            <v>23-01-01-1202</v>
          </cell>
          <cell r="B1443">
            <v>0</v>
          </cell>
          <cell r="C1443" t="str">
            <v xml:space="preserve">  HAKIM &amp; CO.</v>
          </cell>
          <cell r="D1443">
            <v>0</v>
          </cell>
          <cell r="E1443">
            <v>0</v>
          </cell>
          <cell r="F1443">
            <v>0</v>
          </cell>
          <cell r="G1443">
            <v>0</v>
          </cell>
        </row>
        <row r="1444">
          <cell r="A1444" t="str">
            <v>23-01-01-1203</v>
          </cell>
          <cell r="B1444">
            <v>0</v>
          </cell>
          <cell r="C1444" t="str">
            <v xml:space="preserve">  JAWAD INDUSTRIAL SERVICE.</v>
          </cell>
          <cell r="D1444">
            <v>0</v>
          </cell>
          <cell r="E1444">
            <v>0</v>
          </cell>
          <cell r="F1444">
            <v>0</v>
          </cell>
          <cell r="G1444">
            <v>0</v>
          </cell>
        </row>
        <row r="1445">
          <cell r="A1445" t="str">
            <v>23-01-01-1204</v>
          </cell>
          <cell r="B1445">
            <v>0</v>
          </cell>
          <cell r="C1445" t="str">
            <v xml:space="preserve">  SOHAIL &amp; BROTHERS</v>
          </cell>
          <cell r="D1445">
            <v>0</v>
          </cell>
          <cell r="E1445">
            <v>0</v>
          </cell>
          <cell r="F1445">
            <v>0</v>
          </cell>
          <cell r="G1445">
            <v>0</v>
          </cell>
        </row>
        <row r="1446">
          <cell r="A1446" t="str">
            <v>23-01-01-1205</v>
          </cell>
          <cell r="B1446">
            <v>0</v>
          </cell>
          <cell r="C1446" t="str">
            <v xml:space="preserve">  AL RAZA ENTERPRISE</v>
          </cell>
          <cell r="D1446">
            <v>0</v>
          </cell>
          <cell r="E1446">
            <v>0</v>
          </cell>
          <cell r="F1446">
            <v>0</v>
          </cell>
          <cell r="G1446">
            <v>0</v>
          </cell>
        </row>
        <row r="1447">
          <cell r="A1447" t="str">
            <v>23-01-01-1206</v>
          </cell>
          <cell r="B1447">
            <v>0</v>
          </cell>
          <cell r="C1447" t="str">
            <v xml:space="preserve">  AFTAB &amp; BROTHERS</v>
          </cell>
          <cell r="D1447">
            <v>0</v>
          </cell>
          <cell r="E1447">
            <v>0</v>
          </cell>
          <cell r="F1447">
            <v>0</v>
          </cell>
          <cell r="G1447">
            <v>0</v>
          </cell>
        </row>
        <row r="1448">
          <cell r="A1448" t="str">
            <v>23-01-01-1207</v>
          </cell>
          <cell r="B1448">
            <v>0</v>
          </cell>
          <cell r="C1448" t="str">
            <v xml:space="preserve">  ASIF &amp; SONS</v>
          </cell>
          <cell r="D1448">
            <v>0</v>
          </cell>
          <cell r="E1448">
            <v>0</v>
          </cell>
          <cell r="F1448">
            <v>0</v>
          </cell>
          <cell r="G1448">
            <v>0</v>
          </cell>
        </row>
        <row r="1449">
          <cell r="A1449" t="str">
            <v>23-01-01-1208</v>
          </cell>
          <cell r="B1449">
            <v>0</v>
          </cell>
          <cell r="C1449" t="str">
            <v xml:space="preserve">  NASIR &amp; SONS</v>
          </cell>
          <cell r="D1449">
            <v>0</v>
          </cell>
          <cell r="E1449">
            <v>0</v>
          </cell>
          <cell r="F1449">
            <v>0</v>
          </cell>
          <cell r="G1449">
            <v>0</v>
          </cell>
        </row>
        <row r="1450">
          <cell r="A1450" t="str">
            <v>23-01-01-1209</v>
          </cell>
          <cell r="B1450">
            <v>0</v>
          </cell>
          <cell r="C1450" t="str">
            <v xml:space="preserve">  AIJAZ &amp; CO.</v>
          </cell>
          <cell r="D1450">
            <v>0</v>
          </cell>
          <cell r="E1450">
            <v>0</v>
          </cell>
          <cell r="F1450">
            <v>0</v>
          </cell>
          <cell r="G1450">
            <v>0</v>
          </cell>
        </row>
        <row r="1451">
          <cell r="A1451" t="str">
            <v>23-01-01-1210</v>
          </cell>
          <cell r="B1451">
            <v>0</v>
          </cell>
          <cell r="C1451" t="str">
            <v xml:space="preserve">  AL-NOOR ENTERPRISE</v>
          </cell>
          <cell r="D1451">
            <v>0</v>
          </cell>
          <cell r="E1451">
            <v>0</v>
          </cell>
          <cell r="F1451">
            <v>0</v>
          </cell>
          <cell r="G1451">
            <v>0</v>
          </cell>
        </row>
        <row r="1452">
          <cell r="A1452" t="str">
            <v>23-01-01-1211</v>
          </cell>
          <cell r="B1452">
            <v>0</v>
          </cell>
          <cell r="C1452" t="str">
            <v xml:space="preserve">  JAWAID INDUSTRIAL TRADERS</v>
          </cell>
          <cell r="D1452">
            <v>0</v>
          </cell>
          <cell r="E1452">
            <v>0</v>
          </cell>
          <cell r="F1452">
            <v>0</v>
          </cell>
          <cell r="G1452">
            <v>0</v>
          </cell>
        </row>
        <row r="1453">
          <cell r="A1453" t="str">
            <v>23-01-01-1212</v>
          </cell>
          <cell r="B1453">
            <v>0</v>
          </cell>
          <cell r="C1453" t="str">
            <v xml:space="preserve">  FARID ENTERPRISE</v>
          </cell>
          <cell r="D1453">
            <v>0</v>
          </cell>
          <cell r="E1453">
            <v>0</v>
          </cell>
          <cell r="F1453">
            <v>0</v>
          </cell>
          <cell r="G1453">
            <v>0</v>
          </cell>
        </row>
        <row r="1454">
          <cell r="A1454" t="str">
            <v>23-01-01-1213</v>
          </cell>
          <cell r="B1454">
            <v>0</v>
          </cell>
          <cell r="C1454" t="str">
            <v xml:space="preserve">  AAMIR ENTERPRISE</v>
          </cell>
          <cell r="D1454">
            <v>0</v>
          </cell>
          <cell r="E1454">
            <v>0</v>
          </cell>
          <cell r="F1454">
            <v>0</v>
          </cell>
          <cell r="G1454">
            <v>0</v>
          </cell>
        </row>
        <row r="1455">
          <cell r="A1455" t="str">
            <v>23-01-01-1214</v>
          </cell>
          <cell r="B1455">
            <v>0</v>
          </cell>
          <cell r="C1455" t="str">
            <v xml:space="preserve">  TANVEER &amp; BROTHERS</v>
          </cell>
          <cell r="D1455">
            <v>0</v>
          </cell>
          <cell r="E1455">
            <v>0</v>
          </cell>
          <cell r="F1455">
            <v>0</v>
          </cell>
          <cell r="G1455">
            <v>0</v>
          </cell>
        </row>
        <row r="1456">
          <cell r="A1456" t="str">
            <v>23-01-01-1215</v>
          </cell>
          <cell r="B1456">
            <v>0</v>
          </cell>
          <cell r="C1456" t="str">
            <v xml:space="preserve">  SAEED &amp; SONS</v>
          </cell>
          <cell r="D1456">
            <v>0</v>
          </cell>
          <cell r="E1456">
            <v>0</v>
          </cell>
          <cell r="F1456">
            <v>0</v>
          </cell>
          <cell r="G1456">
            <v>0</v>
          </cell>
        </row>
        <row r="1457">
          <cell r="A1457" t="str">
            <v>23-01-01-1216</v>
          </cell>
          <cell r="B1457">
            <v>0</v>
          </cell>
          <cell r="C1457" t="str">
            <v xml:space="preserve">  AFTAB INDUSTRIAL SERVICE</v>
          </cell>
          <cell r="D1457">
            <v>0</v>
          </cell>
          <cell r="E1457">
            <v>0</v>
          </cell>
          <cell r="F1457">
            <v>0</v>
          </cell>
          <cell r="G1457">
            <v>0</v>
          </cell>
        </row>
        <row r="1458">
          <cell r="A1458" t="str">
            <v>23-01-01-1217</v>
          </cell>
          <cell r="B1458">
            <v>0</v>
          </cell>
          <cell r="C1458" t="str">
            <v xml:space="preserve">  WASEEM &amp; SONS</v>
          </cell>
          <cell r="D1458">
            <v>0</v>
          </cell>
          <cell r="E1458">
            <v>0</v>
          </cell>
          <cell r="F1458">
            <v>0</v>
          </cell>
          <cell r="G1458">
            <v>0</v>
          </cell>
        </row>
        <row r="1459">
          <cell r="A1459" t="str">
            <v>23-01-01-1218</v>
          </cell>
          <cell r="B1459">
            <v>0</v>
          </cell>
          <cell r="C1459" t="str">
            <v xml:space="preserve">  KHURRAM ENTERPRISE</v>
          </cell>
          <cell r="D1459">
            <v>0</v>
          </cell>
          <cell r="E1459">
            <v>0</v>
          </cell>
          <cell r="F1459">
            <v>0</v>
          </cell>
          <cell r="G1459">
            <v>0</v>
          </cell>
        </row>
        <row r="1460">
          <cell r="A1460" t="str">
            <v>23-01-01-1219</v>
          </cell>
          <cell r="B1460">
            <v>0</v>
          </cell>
          <cell r="C1460" t="str">
            <v xml:space="preserve">  OMAR ENTERPRISE</v>
          </cell>
          <cell r="D1460">
            <v>0</v>
          </cell>
          <cell r="E1460">
            <v>0</v>
          </cell>
          <cell r="F1460">
            <v>0</v>
          </cell>
          <cell r="G1460">
            <v>0</v>
          </cell>
        </row>
        <row r="1461">
          <cell r="A1461" t="str">
            <v>23-01-01-1220</v>
          </cell>
          <cell r="B1461">
            <v>0</v>
          </cell>
          <cell r="C1461" t="str">
            <v xml:space="preserve">  ALLAH WALA &amp; CO.</v>
          </cell>
          <cell r="D1461">
            <v>0</v>
          </cell>
          <cell r="E1461">
            <v>0</v>
          </cell>
          <cell r="F1461">
            <v>0</v>
          </cell>
          <cell r="G1461">
            <v>0</v>
          </cell>
        </row>
        <row r="1462">
          <cell r="A1462" t="str">
            <v>23-01-01-1221</v>
          </cell>
          <cell r="B1462">
            <v>0</v>
          </cell>
          <cell r="C1462" t="str">
            <v xml:space="preserve">  SALEEM &amp; SONS</v>
          </cell>
          <cell r="D1462">
            <v>0</v>
          </cell>
          <cell r="E1462">
            <v>0</v>
          </cell>
          <cell r="F1462">
            <v>0</v>
          </cell>
          <cell r="G1462">
            <v>0</v>
          </cell>
        </row>
        <row r="1463">
          <cell r="A1463" t="str">
            <v>23-01-01-1223</v>
          </cell>
          <cell r="B1463">
            <v>0</v>
          </cell>
          <cell r="C1463" t="str">
            <v xml:space="preserve">  COMTEL ISLAMABAD</v>
          </cell>
          <cell r="D1463">
            <v>0</v>
          </cell>
          <cell r="E1463">
            <v>0</v>
          </cell>
          <cell r="F1463">
            <v>0</v>
          </cell>
          <cell r="G1463">
            <v>0</v>
          </cell>
        </row>
        <row r="1464">
          <cell r="A1464" t="str">
            <v>23-01-01-1224</v>
          </cell>
          <cell r="B1464">
            <v>0</v>
          </cell>
          <cell r="C1464" t="str">
            <v xml:space="preserve">  KASHEEF TEXTILE</v>
          </cell>
          <cell r="D1464">
            <v>0</v>
          </cell>
          <cell r="E1464">
            <v>0</v>
          </cell>
          <cell r="F1464">
            <v>0</v>
          </cell>
          <cell r="G1464">
            <v>0</v>
          </cell>
        </row>
        <row r="1465">
          <cell r="A1465" t="str">
            <v>23-01-01-1225</v>
          </cell>
          <cell r="B1465">
            <v>0</v>
          </cell>
          <cell r="C1465" t="str">
            <v xml:space="preserve">  ZAHID TRADERS KARCACHI.</v>
          </cell>
          <cell r="D1465">
            <v>0</v>
          </cell>
          <cell r="E1465">
            <v>0</v>
          </cell>
          <cell r="F1465">
            <v>0</v>
          </cell>
          <cell r="G1465">
            <v>0</v>
          </cell>
        </row>
        <row r="1466">
          <cell r="A1466" t="str">
            <v>23-01-01-1226</v>
          </cell>
          <cell r="B1466">
            <v>0</v>
          </cell>
          <cell r="C1466" t="str">
            <v xml:space="preserve">  RAMZAN ENTERPRISES</v>
          </cell>
          <cell r="D1466">
            <v>0</v>
          </cell>
          <cell r="E1466">
            <v>0</v>
          </cell>
          <cell r="F1466">
            <v>0</v>
          </cell>
          <cell r="G1466">
            <v>0</v>
          </cell>
        </row>
        <row r="1467">
          <cell r="A1467" t="str">
            <v>23-01-01-1227</v>
          </cell>
          <cell r="B1467">
            <v>0</v>
          </cell>
          <cell r="C1467" t="str">
            <v xml:space="preserve">  ABRAR BROTHERS</v>
          </cell>
          <cell r="D1467">
            <v>0</v>
          </cell>
          <cell r="E1467">
            <v>0</v>
          </cell>
          <cell r="F1467">
            <v>0</v>
          </cell>
          <cell r="G1467">
            <v>0</v>
          </cell>
        </row>
        <row r="1468">
          <cell r="A1468" t="str">
            <v>23-01-01-1228</v>
          </cell>
          <cell r="B1468">
            <v>0</v>
          </cell>
          <cell r="C1468" t="str">
            <v xml:space="preserve">  ASHAN TRADING CO.</v>
          </cell>
          <cell r="D1468">
            <v>0</v>
          </cell>
          <cell r="E1468">
            <v>0</v>
          </cell>
          <cell r="F1468">
            <v>0</v>
          </cell>
          <cell r="G1468">
            <v>0</v>
          </cell>
        </row>
        <row r="1469">
          <cell r="A1469" t="str">
            <v>23-01-01-1229</v>
          </cell>
          <cell r="B1469">
            <v>0</v>
          </cell>
          <cell r="C1469" t="str">
            <v xml:space="preserve">  NATIONAL MILL STORE</v>
          </cell>
          <cell r="D1469">
            <v>0</v>
          </cell>
          <cell r="E1469">
            <v>0</v>
          </cell>
          <cell r="F1469">
            <v>0</v>
          </cell>
          <cell r="G1469">
            <v>0</v>
          </cell>
        </row>
        <row r="1470">
          <cell r="A1470" t="str">
            <v>23-01-01-1230</v>
          </cell>
          <cell r="B1470">
            <v>0</v>
          </cell>
          <cell r="C1470" t="str">
            <v xml:space="preserve">  SAAD ENTERPRISES</v>
          </cell>
          <cell r="D1470">
            <v>0</v>
          </cell>
          <cell r="E1470">
            <v>0</v>
          </cell>
          <cell r="F1470">
            <v>0</v>
          </cell>
          <cell r="G1470">
            <v>0</v>
          </cell>
        </row>
        <row r="1471">
          <cell r="A1471" t="str">
            <v>23-01-01-1231</v>
          </cell>
          <cell r="B1471">
            <v>0</v>
          </cell>
          <cell r="C1471" t="str">
            <v xml:space="preserve">  MUNIR BROTHERS</v>
          </cell>
          <cell r="D1471">
            <v>0</v>
          </cell>
          <cell r="E1471">
            <v>0</v>
          </cell>
          <cell r="F1471">
            <v>0</v>
          </cell>
          <cell r="G1471">
            <v>0</v>
          </cell>
        </row>
        <row r="1472">
          <cell r="A1472" t="str">
            <v>23-01-01-1232</v>
          </cell>
          <cell r="B1472">
            <v>0</v>
          </cell>
          <cell r="C1472" t="str">
            <v xml:space="preserve">  ZAIN IMPEX</v>
          </cell>
          <cell r="D1472">
            <v>0</v>
          </cell>
          <cell r="E1472">
            <v>0</v>
          </cell>
          <cell r="F1472">
            <v>0</v>
          </cell>
          <cell r="G1472">
            <v>0</v>
          </cell>
        </row>
        <row r="1473">
          <cell r="A1473" t="str">
            <v>23-01-01-1233</v>
          </cell>
          <cell r="B1473">
            <v>0</v>
          </cell>
          <cell r="C1473" t="str">
            <v xml:space="preserve">  BLUE HEAVEN ENTERPRISES</v>
          </cell>
          <cell r="D1473">
            <v>0</v>
          </cell>
          <cell r="E1473">
            <v>0</v>
          </cell>
          <cell r="F1473">
            <v>0</v>
          </cell>
          <cell r="G1473">
            <v>0</v>
          </cell>
        </row>
        <row r="1474">
          <cell r="A1474" t="str">
            <v>23-01-01-1234</v>
          </cell>
          <cell r="B1474">
            <v>0</v>
          </cell>
          <cell r="C1474" t="str">
            <v xml:space="preserve">  C.T.C INTERNATIONAL</v>
          </cell>
          <cell r="D1474">
            <v>0</v>
          </cell>
          <cell r="E1474">
            <v>0</v>
          </cell>
          <cell r="F1474">
            <v>0</v>
          </cell>
          <cell r="G1474">
            <v>0</v>
          </cell>
        </row>
        <row r="1475">
          <cell r="A1475" t="str">
            <v>23-01-01-1235</v>
          </cell>
          <cell r="B1475">
            <v>0</v>
          </cell>
          <cell r="C1475" t="str">
            <v xml:space="preserve">  DIAMOND SERVICE</v>
          </cell>
          <cell r="D1475">
            <v>0</v>
          </cell>
          <cell r="E1475">
            <v>0</v>
          </cell>
          <cell r="F1475">
            <v>0</v>
          </cell>
          <cell r="G1475">
            <v>0</v>
          </cell>
        </row>
        <row r="1476">
          <cell r="A1476" t="str">
            <v>23-01-01-1236</v>
          </cell>
          <cell r="B1476">
            <v>0</v>
          </cell>
          <cell r="C1476" t="str">
            <v xml:space="preserve">  H.M. &amp; SONS.</v>
          </cell>
          <cell r="D1476">
            <v>0</v>
          </cell>
          <cell r="E1476">
            <v>0</v>
          </cell>
          <cell r="F1476">
            <v>0</v>
          </cell>
          <cell r="G1476">
            <v>0</v>
          </cell>
        </row>
        <row r="1477">
          <cell r="A1477" t="str">
            <v>23-01-01-1237</v>
          </cell>
          <cell r="B1477">
            <v>0</v>
          </cell>
          <cell r="C1477" t="str">
            <v xml:space="preserve">  AL AMIN STATIONERS</v>
          </cell>
          <cell r="D1477">
            <v>0</v>
          </cell>
          <cell r="E1477">
            <v>0</v>
          </cell>
          <cell r="F1477">
            <v>0</v>
          </cell>
          <cell r="G1477">
            <v>0</v>
          </cell>
        </row>
        <row r="1478">
          <cell r="A1478" t="str">
            <v>23-01-01-1238</v>
          </cell>
          <cell r="B1478">
            <v>0</v>
          </cell>
          <cell r="C1478" t="str">
            <v xml:space="preserve">  MOHAMMAD RIAZ &amp; SONS</v>
          </cell>
          <cell r="D1478">
            <v>0</v>
          </cell>
          <cell r="E1478">
            <v>0</v>
          </cell>
          <cell r="F1478">
            <v>0</v>
          </cell>
          <cell r="G1478">
            <v>0</v>
          </cell>
        </row>
        <row r="1479">
          <cell r="A1479" t="str">
            <v>23-01-01-1239</v>
          </cell>
          <cell r="B1479">
            <v>0</v>
          </cell>
          <cell r="C1479" t="str">
            <v xml:space="preserve">  AFSHAN TRADERS</v>
          </cell>
          <cell r="D1479">
            <v>0</v>
          </cell>
          <cell r="E1479">
            <v>0</v>
          </cell>
          <cell r="F1479">
            <v>0</v>
          </cell>
          <cell r="G1479">
            <v>0</v>
          </cell>
        </row>
        <row r="1480">
          <cell r="A1480" t="str">
            <v>23-01-01-1240</v>
          </cell>
          <cell r="B1480">
            <v>0</v>
          </cell>
          <cell r="C1480" t="str">
            <v xml:space="preserve">  SIKANDAR TRADING CO.</v>
          </cell>
          <cell r="D1480">
            <v>0</v>
          </cell>
          <cell r="E1480">
            <v>0</v>
          </cell>
          <cell r="F1480">
            <v>0</v>
          </cell>
          <cell r="G1480">
            <v>0</v>
          </cell>
        </row>
        <row r="1481">
          <cell r="A1481" t="str">
            <v>23-01-01-1241</v>
          </cell>
          <cell r="B1481">
            <v>0</v>
          </cell>
          <cell r="C1481" t="str">
            <v xml:space="preserve">  FANTASTIC MILL STORES</v>
          </cell>
          <cell r="D1481">
            <v>0</v>
          </cell>
          <cell r="E1481">
            <v>0</v>
          </cell>
          <cell r="F1481">
            <v>0</v>
          </cell>
          <cell r="G1481">
            <v>0</v>
          </cell>
        </row>
        <row r="1482">
          <cell r="A1482" t="str">
            <v>23-01-01-1242</v>
          </cell>
          <cell r="B1482">
            <v>0</v>
          </cell>
          <cell r="C1482" t="str">
            <v xml:space="preserve">  FAZILA ENTERPRISES.</v>
          </cell>
          <cell r="D1482">
            <v>0</v>
          </cell>
          <cell r="E1482">
            <v>0</v>
          </cell>
          <cell r="F1482">
            <v>0</v>
          </cell>
          <cell r="G1482">
            <v>0</v>
          </cell>
        </row>
        <row r="1483">
          <cell r="A1483" t="str">
            <v>23-01-01-1243</v>
          </cell>
          <cell r="B1483">
            <v>0</v>
          </cell>
          <cell r="C1483" t="str">
            <v xml:space="preserve">  FAKHRUDDIN &amp; BROS.</v>
          </cell>
          <cell r="D1483">
            <v>0</v>
          </cell>
          <cell r="E1483">
            <v>0</v>
          </cell>
          <cell r="F1483">
            <v>0</v>
          </cell>
          <cell r="G1483">
            <v>0</v>
          </cell>
        </row>
        <row r="1484">
          <cell r="A1484" t="str">
            <v>23-01-01-1244</v>
          </cell>
          <cell r="B1484">
            <v>0</v>
          </cell>
          <cell r="C1484" t="str">
            <v xml:space="preserve">  SADDIQ TRADERS</v>
          </cell>
          <cell r="D1484">
            <v>0</v>
          </cell>
          <cell r="E1484">
            <v>0</v>
          </cell>
          <cell r="F1484">
            <v>0</v>
          </cell>
          <cell r="G1484">
            <v>0</v>
          </cell>
        </row>
        <row r="1485">
          <cell r="A1485" t="str">
            <v>23-01-01-1245</v>
          </cell>
          <cell r="B1485">
            <v>0</v>
          </cell>
          <cell r="C1485" t="str">
            <v xml:space="preserve">  MAJESTIC TRADING CO.</v>
          </cell>
          <cell r="D1485">
            <v>0</v>
          </cell>
          <cell r="E1485">
            <v>0</v>
          </cell>
          <cell r="F1485">
            <v>0</v>
          </cell>
          <cell r="G1485">
            <v>0</v>
          </cell>
        </row>
        <row r="1486">
          <cell r="A1486" t="str">
            <v>23-01-01-1246</v>
          </cell>
          <cell r="B1486">
            <v>0</v>
          </cell>
          <cell r="C1486" t="str">
            <v xml:space="preserve">  MICO TRADERS</v>
          </cell>
          <cell r="D1486">
            <v>0</v>
          </cell>
          <cell r="E1486">
            <v>0</v>
          </cell>
          <cell r="F1486">
            <v>0</v>
          </cell>
          <cell r="G1486">
            <v>0</v>
          </cell>
        </row>
        <row r="1487">
          <cell r="A1487" t="str">
            <v>23-01-01-1247</v>
          </cell>
          <cell r="B1487">
            <v>0</v>
          </cell>
          <cell r="C1487" t="str">
            <v xml:space="preserve">  FIVE STAR STATIONERS</v>
          </cell>
          <cell r="D1487">
            <v>0</v>
          </cell>
          <cell r="E1487">
            <v>0</v>
          </cell>
          <cell r="F1487">
            <v>0</v>
          </cell>
          <cell r="G1487">
            <v>0</v>
          </cell>
        </row>
        <row r="1488">
          <cell r="A1488" t="str">
            <v>23-01-01-1248</v>
          </cell>
          <cell r="B1488">
            <v>0</v>
          </cell>
          <cell r="C1488" t="str">
            <v xml:space="preserve">  ANILA ENTERPRISES</v>
          </cell>
          <cell r="D1488">
            <v>0</v>
          </cell>
          <cell r="E1488">
            <v>0</v>
          </cell>
          <cell r="F1488">
            <v>0</v>
          </cell>
          <cell r="G1488">
            <v>0</v>
          </cell>
        </row>
        <row r="1489">
          <cell r="A1489" t="str">
            <v>23-01-01-1249</v>
          </cell>
          <cell r="B1489">
            <v>0</v>
          </cell>
          <cell r="C1489" t="str">
            <v xml:space="preserve">  HAMZA ENTERPRISES</v>
          </cell>
          <cell r="D1489">
            <v>0</v>
          </cell>
          <cell r="E1489">
            <v>177442.5</v>
          </cell>
          <cell r="F1489">
            <v>0</v>
          </cell>
          <cell r="G1489">
            <v>0</v>
          </cell>
        </row>
        <row r="1490">
          <cell r="A1490" t="str">
            <v>23-01-01-1250</v>
          </cell>
          <cell r="B1490">
            <v>0</v>
          </cell>
          <cell r="C1490" t="str">
            <v xml:space="preserve">  MAQBOOL TRADERS</v>
          </cell>
          <cell r="D1490">
            <v>0</v>
          </cell>
          <cell r="E1490">
            <v>0</v>
          </cell>
          <cell r="F1490">
            <v>0</v>
          </cell>
          <cell r="G1490">
            <v>0</v>
          </cell>
        </row>
        <row r="1491">
          <cell r="A1491" t="str">
            <v>23-01-01-1251</v>
          </cell>
          <cell r="B1491">
            <v>0</v>
          </cell>
          <cell r="C1491" t="str">
            <v xml:space="preserve">  HOUSE HOLD PRODUCTS PAKISTAN (PVT) LTD</v>
          </cell>
          <cell r="D1491">
            <v>0</v>
          </cell>
          <cell r="E1491">
            <v>19176.25</v>
          </cell>
          <cell r="F1491">
            <v>0</v>
          </cell>
          <cell r="G1491">
            <v>0</v>
          </cell>
        </row>
        <row r="1492">
          <cell r="A1492" t="str">
            <v>23-01-01-1252</v>
          </cell>
          <cell r="B1492">
            <v>0</v>
          </cell>
          <cell r="C1492" t="str">
            <v xml:space="preserve">  SAUDAGAR THERMOPOLE</v>
          </cell>
          <cell r="D1492">
            <v>0</v>
          </cell>
          <cell r="E1492">
            <v>0</v>
          </cell>
          <cell r="F1492">
            <v>0</v>
          </cell>
          <cell r="G1492">
            <v>0</v>
          </cell>
        </row>
        <row r="1493">
          <cell r="A1493" t="str">
            <v>23-01-01-1253</v>
          </cell>
          <cell r="B1493">
            <v>0</v>
          </cell>
          <cell r="C1493" t="str">
            <v xml:space="preserve">  JAMAL ENGINEERING</v>
          </cell>
          <cell r="D1493">
            <v>0</v>
          </cell>
          <cell r="E1493">
            <v>0</v>
          </cell>
          <cell r="F1493">
            <v>0</v>
          </cell>
          <cell r="G1493">
            <v>0</v>
          </cell>
        </row>
        <row r="1494">
          <cell r="A1494" t="str">
            <v>23-01-01-1254</v>
          </cell>
          <cell r="B1494">
            <v>0</v>
          </cell>
          <cell r="C1494" t="str">
            <v xml:space="preserve">  CIRCLE INTERNATIONAL TRADING COMPANY</v>
          </cell>
          <cell r="D1494">
            <v>0</v>
          </cell>
          <cell r="E1494">
            <v>0</v>
          </cell>
          <cell r="F1494">
            <v>0</v>
          </cell>
          <cell r="G1494">
            <v>0</v>
          </cell>
        </row>
        <row r="1495">
          <cell r="A1495" t="str">
            <v>23-01-01-1255</v>
          </cell>
          <cell r="B1495">
            <v>0</v>
          </cell>
          <cell r="C1495" t="str">
            <v xml:space="preserve">  EPS PROCESSING INDUSTRIES</v>
          </cell>
          <cell r="D1495">
            <v>0</v>
          </cell>
          <cell r="E1495">
            <v>0</v>
          </cell>
          <cell r="F1495">
            <v>0</v>
          </cell>
          <cell r="G1495">
            <v>0</v>
          </cell>
        </row>
        <row r="1496">
          <cell r="A1496" t="str">
            <v>23-01-01-1256</v>
          </cell>
          <cell r="B1496">
            <v>0</v>
          </cell>
          <cell r="C1496" t="str">
            <v xml:space="preserve">  ORIENT ENGINEERING &amp; SERVICES CONSULTA</v>
          </cell>
          <cell r="D1496">
            <v>0</v>
          </cell>
          <cell r="E1496">
            <v>0</v>
          </cell>
          <cell r="F1496">
            <v>0</v>
          </cell>
          <cell r="G1496">
            <v>0</v>
          </cell>
        </row>
        <row r="1497">
          <cell r="A1497" t="str">
            <v>23-01-01-1257</v>
          </cell>
          <cell r="B1497">
            <v>0</v>
          </cell>
          <cell r="C1497" t="str">
            <v xml:space="preserve">  ICI PAKISTAN LIMITED</v>
          </cell>
          <cell r="D1497">
            <v>0</v>
          </cell>
          <cell r="E1497">
            <v>0</v>
          </cell>
          <cell r="F1497">
            <v>0</v>
          </cell>
          <cell r="G1497">
            <v>0</v>
          </cell>
        </row>
        <row r="1498">
          <cell r="A1498" t="str">
            <v>23-01-01-1258</v>
          </cell>
          <cell r="B1498">
            <v>0</v>
          </cell>
          <cell r="C1498" t="str">
            <v xml:space="preserve">  BASHIR ENTERPRISES</v>
          </cell>
          <cell r="D1498">
            <v>0</v>
          </cell>
          <cell r="E1498">
            <v>0</v>
          </cell>
          <cell r="F1498">
            <v>0</v>
          </cell>
          <cell r="G1498">
            <v>0</v>
          </cell>
        </row>
        <row r="1499">
          <cell r="A1499" t="str">
            <v>23-01-01-1259</v>
          </cell>
          <cell r="B1499">
            <v>0</v>
          </cell>
          <cell r="C1499" t="str">
            <v xml:space="preserve">  FARRAKH TRADERS</v>
          </cell>
          <cell r="D1499">
            <v>0</v>
          </cell>
          <cell r="E1499">
            <v>0</v>
          </cell>
          <cell r="F1499">
            <v>0</v>
          </cell>
          <cell r="G1499">
            <v>0</v>
          </cell>
        </row>
        <row r="1500">
          <cell r="A1500" t="str">
            <v>23-01-01-1260</v>
          </cell>
          <cell r="B1500">
            <v>0</v>
          </cell>
          <cell r="C1500" t="str">
            <v xml:space="preserve">  MARVI TRADING CO.</v>
          </cell>
          <cell r="D1500">
            <v>0</v>
          </cell>
          <cell r="E1500">
            <v>0</v>
          </cell>
          <cell r="F1500">
            <v>0</v>
          </cell>
          <cell r="G1500">
            <v>0</v>
          </cell>
        </row>
        <row r="1501">
          <cell r="A1501" t="str">
            <v>23-01-01-1261</v>
          </cell>
          <cell r="B1501">
            <v>0</v>
          </cell>
          <cell r="C1501" t="str">
            <v xml:space="preserve">  YOUSUF CORPORATION</v>
          </cell>
          <cell r="D1501">
            <v>0</v>
          </cell>
          <cell r="E1501">
            <v>0</v>
          </cell>
          <cell r="F1501">
            <v>0</v>
          </cell>
          <cell r="G1501">
            <v>0</v>
          </cell>
        </row>
        <row r="1502">
          <cell r="A1502" t="str">
            <v>23-01-01-1262</v>
          </cell>
          <cell r="B1502">
            <v>0</v>
          </cell>
          <cell r="C1502" t="str">
            <v xml:space="preserve">  TRADWAY INTERNATIONAL</v>
          </cell>
          <cell r="D1502">
            <v>0</v>
          </cell>
          <cell r="E1502">
            <v>0</v>
          </cell>
          <cell r="F1502">
            <v>0</v>
          </cell>
          <cell r="G1502">
            <v>0</v>
          </cell>
        </row>
        <row r="1503">
          <cell r="A1503" t="str">
            <v>23-01-01-1263</v>
          </cell>
          <cell r="B1503">
            <v>0</v>
          </cell>
          <cell r="C1503" t="str">
            <v xml:space="preserve">  SUFI CHARPAI CENTRE.</v>
          </cell>
          <cell r="D1503">
            <v>0</v>
          </cell>
          <cell r="E1503">
            <v>0</v>
          </cell>
          <cell r="F1503">
            <v>0</v>
          </cell>
          <cell r="G1503">
            <v>0</v>
          </cell>
        </row>
        <row r="1504">
          <cell r="A1504" t="str">
            <v>23-01-01-1264</v>
          </cell>
          <cell r="B1504">
            <v>0</v>
          </cell>
          <cell r="C1504" t="str">
            <v xml:space="preserve">  CENTRITEK INTL. (PVT) LTD.</v>
          </cell>
          <cell r="D1504">
            <v>0</v>
          </cell>
          <cell r="E1504">
            <v>0</v>
          </cell>
          <cell r="F1504">
            <v>0</v>
          </cell>
          <cell r="G1504">
            <v>0</v>
          </cell>
        </row>
        <row r="1505">
          <cell r="A1505" t="str">
            <v>23-01-01-1265</v>
          </cell>
          <cell r="B1505">
            <v>0</v>
          </cell>
          <cell r="C1505" t="str">
            <v xml:space="preserve">  POLYCON PAKISTAN PVT LIMITED</v>
          </cell>
          <cell r="D1505">
            <v>0</v>
          </cell>
          <cell r="E1505">
            <v>0</v>
          </cell>
          <cell r="F1505">
            <v>0</v>
          </cell>
          <cell r="G1505">
            <v>0</v>
          </cell>
        </row>
        <row r="1506">
          <cell r="A1506" t="str">
            <v>23-01-01-1266</v>
          </cell>
          <cell r="B1506">
            <v>0</v>
          </cell>
          <cell r="C1506" t="str">
            <v xml:space="preserve">  PACIFIC TRADE INTERNATIONAL</v>
          </cell>
          <cell r="D1506">
            <v>0</v>
          </cell>
          <cell r="E1506">
            <v>0</v>
          </cell>
          <cell r="F1506">
            <v>0</v>
          </cell>
          <cell r="G1506">
            <v>0</v>
          </cell>
        </row>
        <row r="1507">
          <cell r="A1507" t="str">
            <v>23-01-01-1267</v>
          </cell>
          <cell r="B1507">
            <v>0</v>
          </cell>
          <cell r="C1507" t="str">
            <v xml:space="preserve">  SITARA TEXTILE CO.</v>
          </cell>
          <cell r="D1507">
            <v>0</v>
          </cell>
          <cell r="E1507">
            <v>0</v>
          </cell>
          <cell r="F1507">
            <v>0</v>
          </cell>
          <cell r="G1507">
            <v>0</v>
          </cell>
        </row>
        <row r="1508">
          <cell r="A1508" t="str">
            <v>23-01-01-1268</v>
          </cell>
          <cell r="B1508">
            <v>0</v>
          </cell>
          <cell r="C1508" t="str">
            <v xml:space="preserve">  UZIM ENTERPRISES</v>
          </cell>
          <cell r="D1508">
            <v>0</v>
          </cell>
          <cell r="E1508">
            <v>0</v>
          </cell>
          <cell r="F1508">
            <v>0</v>
          </cell>
          <cell r="G1508">
            <v>0</v>
          </cell>
        </row>
        <row r="1509">
          <cell r="A1509" t="str">
            <v>23-01-01-1269</v>
          </cell>
          <cell r="B1509">
            <v>0</v>
          </cell>
          <cell r="C1509" t="str">
            <v xml:space="preserve">  PAKISTAN TEXTILE JOURNAL</v>
          </cell>
          <cell r="D1509">
            <v>0</v>
          </cell>
          <cell r="E1509">
            <v>0</v>
          </cell>
          <cell r="F1509">
            <v>0</v>
          </cell>
          <cell r="G1509">
            <v>0</v>
          </cell>
        </row>
        <row r="1510">
          <cell r="A1510" t="str">
            <v>23-01-01-1270</v>
          </cell>
          <cell r="B1510">
            <v>0</v>
          </cell>
          <cell r="C1510" t="str">
            <v xml:space="preserve">  SOHAIL JUTE MILL</v>
          </cell>
          <cell r="D1510">
            <v>0</v>
          </cell>
          <cell r="E1510">
            <v>0</v>
          </cell>
          <cell r="F1510">
            <v>0</v>
          </cell>
          <cell r="G1510">
            <v>0</v>
          </cell>
        </row>
        <row r="1511">
          <cell r="A1511" t="str">
            <v>23-01-01-1271</v>
          </cell>
          <cell r="B1511">
            <v>0</v>
          </cell>
          <cell r="C1511" t="str">
            <v xml:space="preserve">  HAMID ALI &amp; SONS</v>
          </cell>
          <cell r="D1511">
            <v>0</v>
          </cell>
          <cell r="E1511">
            <v>0</v>
          </cell>
          <cell r="F1511">
            <v>0</v>
          </cell>
          <cell r="G1511">
            <v>0</v>
          </cell>
        </row>
        <row r="1512">
          <cell r="A1512" t="str">
            <v>23-01-01-1272</v>
          </cell>
          <cell r="B1512">
            <v>0</v>
          </cell>
          <cell r="C1512" t="str">
            <v xml:space="preserve">  AKBAR SONS</v>
          </cell>
          <cell r="D1512">
            <v>0</v>
          </cell>
          <cell r="E1512">
            <v>0</v>
          </cell>
          <cell r="F1512">
            <v>0</v>
          </cell>
          <cell r="G1512">
            <v>0</v>
          </cell>
        </row>
        <row r="1513">
          <cell r="A1513" t="str">
            <v>23-01-01-1273</v>
          </cell>
          <cell r="B1513">
            <v>0</v>
          </cell>
          <cell r="C1513" t="str">
            <v xml:space="preserve">  ORIENT WATER SERVICES (PVT) LTD.</v>
          </cell>
          <cell r="D1513">
            <v>0</v>
          </cell>
          <cell r="E1513">
            <v>362608</v>
          </cell>
          <cell r="F1513">
            <v>0</v>
          </cell>
          <cell r="G1513">
            <v>0</v>
          </cell>
        </row>
        <row r="1514">
          <cell r="A1514" t="str">
            <v>23-01-01-1274</v>
          </cell>
          <cell r="B1514">
            <v>0</v>
          </cell>
          <cell r="C1514" t="str">
            <v xml:space="preserve">  SHEIKH ABDUL MAJID</v>
          </cell>
          <cell r="D1514">
            <v>0</v>
          </cell>
          <cell r="E1514">
            <v>0</v>
          </cell>
          <cell r="F1514">
            <v>0</v>
          </cell>
          <cell r="G1514">
            <v>0</v>
          </cell>
        </row>
        <row r="1515">
          <cell r="A1515" t="str">
            <v>23-01-01-1275</v>
          </cell>
          <cell r="B1515">
            <v>0</v>
          </cell>
          <cell r="C1515" t="str">
            <v xml:space="preserve">  AAMIR TRADERS MILLS STORE</v>
          </cell>
          <cell r="D1515">
            <v>0</v>
          </cell>
          <cell r="E1515">
            <v>0</v>
          </cell>
          <cell r="F1515">
            <v>0</v>
          </cell>
          <cell r="G1515">
            <v>0</v>
          </cell>
        </row>
        <row r="1516">
          <cell r="A1516" t="str">
            <v>23-01-01-1276</v>
          </cell>
          <cell r="B1516">
            <v>0</v>
          </cell>
          <cell r="C1516" t="str">
            <v xml:space="preserve">  MOOSACO SANITARY WARES</v>
          </cell>
          <cell r="D1516">
            <v>0</v>
          </cell>
          <cell r="E1516">
            <v>0</v>
          </cell>
          <cell r="F1516">
            <v>0</v>
          </cell>
          <cell r="G1516">
            <v>0</v>
          </cell>
        </row>
        <row r="1517">
          <cell r="A1517" t="str">
            <v>23-01-01-1277</v>
          </cell>
          <cell r="B1517">
            <v>0</v>
          </cell>
          <cell r="C1517" t="str">
            <v xml:space="preserve">  PAKISTAN BATTERY SERVICE</v>
          </cell>
          <cell r="D1517">
            <v>0</v>
          </cell>
          <cell r="E1517">
            <v>0</v>
          </cell>
          <cell r="F1517">
            <v>0</v>
          </cell>
          <cell r="G1517">
            <v>0</v>
          </cell>
        </row>
        <row r="1518">
          <cell r="A1518" t="str">
            <v>23-01-01-1278</v>
          </cell>
          <cell r="B1518">
            <v>0</v>
          </cell>
          <cell r="C1518" t="str">
            <v xml:space="preserve">  PEL APPLIANCES LIMITED</v>
          </cell>
          <cell r="D1518">
            <v>0</v>
          </cell>
          <cell r="E1518">
            <v>0</v>
          </cell>
          <cell r="F1518">
            <v>0</v>
          </cell>
          <cell r="G1518">
            <v>0</v>
          </cell>
        </row>
        <row r="1519">
          <cell r="A1519" t="str">
            <v>23-01-01-1279</v>
          </cell>
          <cell r="B1519">
            <v>0</v>
          </cell>
          <cell r="C1519" t="str">
            <v xml:space="preserve">  SCALESMEN</v>
          </cell>
          <cell r="D1519">
            <v>0</v>
          </cell>
          <cell r="E1519">
            <v>0</v>
          </cell>
          <cell r="F1519">
            <v>0</v>
          </cell>
          <cell r="G1519">
            <v>0</v>
          </cell>
        </row>
        <row r="1520">
          <cell r="A1520" t="str">
            <v>23-01-01-1280</v>
          </cell>
          <cell r="B1520">
            <v>0</v>
          </cell>
          <cell r="C1520" t="str">
            <v xml:space="preserve">  FIZAN ENTERPRISES</v>
          </cell>
          <cell r="D1520">
            <v>0</v>
          </cell>
          <cell r="E1520">
            <v>0</v>
          </cell>
          <cell r="F1520">
            <v>0</v>
          </cell>
          <cell r="G1520">
            <v>0</v>
          </cell>
        </row>
        <row r="1521">
          <cell r="A1521" t="str">
            <v>23-01-01-1281</v>
          </cell>
          <cell r="B1521">
            <v>0</v>
          </cell>
          <cell r="C1521" t="str">
            <v xml:space="preserve">  TANWEER TRADERS</v>
          </cell>
          <cell r="D1521">
            <v>0</v>
          </cell>
          <cell r="E1521">
            <v>0</v>
          </cell>
          <cell r="F1521">
            <v>0</v>
          </cell>
          <cell r="G1521">
            <v>0</v>
          </cell>
        </row>
        <row r="1522">
          <cell r="A1522" t="str">
            <v>23-01-01-1282</v>
          </cell>
          <cell r="B1522">
            <v>0</v>
          </cell>
          <cell r="C1522" t="str">
            <v xml:space="preserve">  ORIENT ENGINEERING.</v>
          </cell>
          <cell r="D1522">
            <v>0</v>
          </cell>
          <cell r="E1522">
            <v>0</v>
          </cell>
          <cell r="F1522">
            <v>0</v>
          </cell>
          <cell r="G1522">
            <v>0</v>
          </cell>
        </row>
        <row r="1523">
          <cell r="A1523" t="str">
            <v>23-01-01-1283</v>
          </cell>
          <cell r="B1523">
            <v>0</v>
          </cell>
          <cell r="C1523" t="str">
            <v xml:space="preserve">  MUNIR ENTERPRISES</v>
          </cell>
          <cell r="D1523">
            <v>0</v>
          </cell>
          <cell r="E1523">
            <v>11200</v>
          </cell>
          <cell r="F1523">
            <v>0</v>
          </cell>
          <cell r="G1523">
            <v>0</v>
          </cell>
        </row>
        <row r="1524">
          <cell r="A1524" t="str">
            <v>23-01-01-1284</v>
          </cell>
          <cell r="B1524">
            <v>0</v>
          </cell>
          <cell r="C1524" t="str">
            <v xml:space="preserve">  IRFAN &amp; SONS STORE</v>
          </cell>
          <cell r="D1524">
            <v>0</v>
          </cell>
          <cell r="E1524">
            <v>0</v>
          </cell>
          <cell r="F1524">
            <v>0</v>
          </cell>
          <cell r="G1524">
            <v>0</v>
          </cell>
        </row>
        <row r="1525">
          <cell r="A1525" t="str">
            <v>23-01-01-1285</v>
          </cell>
          <cell r="B1525">
            <v>0</v>
          </cell>
          <cell r="C1525" t="str">
            <v xml:space="preserve">  KASHIF TEXTILE STORE</v>
          </cell>
          <cell r="D1525">
            <v>0</v>
          </cell>
          <cell r="E1525">
            <v>0</v>
          </cell>
          <cell r="F1525">
            <v>0</v>
          </cell>
          <cell r="G1525">
            <v>0</v>
          </cell>
        </row>
        <row r="1526">
          <cell r="A1526" t="str">
            <v>23-01-01-1286</v>
          </cell>
          <cell r="B1526">
            <v>0</v>
          </cell>
          <cell r="C1526" t="str">
            <v xml:space="preserve">  MOHAMMAD ALI &amp; SONS</v>
          </cell>
          <cell r="D1526">
            <v>0</v>
          </cell>
          <cell r="E1526">
            <v>0</v>
          </cell>
          <cell r="F1526">
            <v>0</v>
          </cell>
          <cell r="G1526">
            <v>0</v>
          </cell>
        </row>
        <row r="1527">
          <cell r="A1527" t="str">
            <v>23-01-01-1287</v>
          </cell>
          <cell r="B1527">
            <v>0</v>
          </cell>
          <cell r="C1527" t="str">
            <v xml:space="preserve">  FAROOQ &amp; BROTHERS TEXTILE SUPPLIER</v>
          </cell>
          <cell r="D1527">
            <v>0</v>
          </cell>
          <cell r="E1527">
            <v>0</v>
          </cell>
          <cell r="F1527">
            <v>0</v>
          </cell>
          <cell r="G1527">
            <v>0</v>
          </cell>
        </row>
        <row r="1528">
          <cell r="A1528" t="str">
            <v>23-01-01-1288</v>
          </cell>
          <cell r="B1528">
            <v>0</v>
          </cell>
          <cell r="C1528" t="str">
            <v xml:space="preserve">  ARIF MILLS STORE</v>
          </cell>
          <cell r="D1528">
            <v>0</v>
          </cell>
          <cell r="E1528">
            <v>0</v>
          </cell>
          <cell r="F1528">
            <v>0</v>
          </cell>
          <cell r="G1528">
            <v>0</v>
          </cell>
        </row>
        <row r="1529">
          <cell r="A1529" t="str">
            <v>23-01-01-1289</v>
          </cell>
          <cell r="B1529">
            <v>0</v>
          </cell>
          <cell r="C1529" t="str">
            <v xml:space="preserve">  ABBAS &amp; BROTHERS TEXTILE SUPPLIERS</v>
          </cell>
          <cell r="D1529">
            <v>0</v>
          </cell>
          <cell r="E1529">
            <v>0</v>
          </cell>
          <cell r="F1529">
            <v>0</v>
          </cell>
          <cell r="G1529">
            <v>0</v>
          </cell>
        </row>
        <row r="1530">
          <cell r="A1530" t="str">
            <v>23-01-01-1290</v>
          </cell>
          <cell r="B1530">
            <v>0</v>
          </cell>
          <cell r="C1530" t="str">
            <v xml:space="preserve">  FAG BEARING CENTRE</v>
          </cell>
          <cell r="D1530">
            <v>0</v>
          </cell>
          <cell r="E1530">
            <v>2691</v>
          </cell>
          <cell r="F1530">
            <v>0</v>
          </cell>
          <cell r="G1530">
            <v>0</v>
          </cell>
        </row>
        <row r="1531">
          <cell r="A1531" t="str">
            <v>23-01-01-1291</v>
          </cell>
          <cell r="B1531">
            <v>0</v>
          </cell>
          <cell r="C1531" t="str">
            <v xml:space="preserve">  ASIA PIPE INDUSTRY</v>
          </cell>
          <cell r="D1531">
            <v>0</v>
          </cell>
          <cell r="E1531">
            <v>0</v>
          </cell>
          <cell r="F1531">
            <v>0</v>
          </cell>
          <cell r="G1531">
            <v>0</v>
          </cell>
        </row>
        <row r="1532">
          <cell r="A1532" t="str">
            <v>23-01-01-1292</v>
          </cell>
          <cell r="B1532">
            <v>0</v>
          </cell>
          <cell r="C1532" t="str">
            <v xml:space="preserve">  CHINA BAKELITTE STORE</v>
          </cell>
          <cell r="D1532">
            <v>0</v>
          </cell>
          <cell r="E1532">
            <v>9908.5</v>
          </cell>
          <cell r="F1532">
            <v>0</v>
          </cell>
          <cell r="G1532">
            <v>0</v>
          </cell>
        </row>
        <row r="1533">
          <cell r="A1533" t="str">
            <v>23-01-01-1293</v>
          </cell>
          <cell r="B1533">
            <v>0</v>
          </cell>
          <cell r="C1533" t="str">
            <v xml:space="preserve">  N &amp; Y TRADING CO.</v>
          </cell>
          <cell r="D1533">
            <v>0</v>
          </cell>
          <cell r="E1533">
            <v>0</v>
          </cell>
          <cell r="F1533">
            <v>0</v>
          </cell>
          <cell r="G1533">
            <v>0</v>
          </cell>
        </row>
        <row r="1534">
          <cell r="A1534" t="str">
            <v>23-01-01-1294</v>
          </cell>
          <cell r="B1534">
            <v>0</v>
          </cell>
          <cell r="C1534" t="str">
            <v xml:space="preserve">  ATAR ENTERPRISES</v>
          </cell>
          <cell r="D1534">
            <v>0</v>
          </cell>
          <cell r="E1534">
            <v>0</v>
          </cell>
          <cell r="F1534">
            <v>0</v>
          </cell>
          <cell r="G1534">
            <v>0</v>
          </cell>
        </row>
        <row r="1535">
          <cell r="A1535" t="str">
            <v>23-01-01-1295</v>
          </cell>
          <cell r="B1535">
            <v>0</v>
          </cell>
          <cell r="C1535" t="str">
            <v xml:space="preserve">  KHYBER ENTERPRISES</v>
          </cell>
          <cell r="D1535">
            <v>0</v>
          </cell>
          <cell r="E1535">
            <v>0</v>
          </cell>
          <cell r="F1535">
            <v>0</v>
          </cell>
          <cell r="G1535">
            <v>0</v>
          </cell>
        </row>
        <row r="1536">
          <cell r="A1536" t="str">
            <v>23-01-01-1296</v>
          </cell>
          <cell r="B1536">
            <v>0</v>
          </cell>
          <cell r="C1536" t="str">
            <v xml:space="preserve">  M.A AZHAR &amp; CO.</v>
          </cell>
          <cell r="D1536">
            <v>0</v>
          </cell>
          <cell r="E1536">
            <v>0</v>
          </cell>
          <cell r="F1536">
            <v>0</v>
          </cell>
          <cell r="G1536">
            <v>0</v>
          </cell>
        </row>
        <row r="1537">
          <cell r="A1537" t="str">
            <v>23-01-01-1297</v>
          </cell>
          <cell r="B1537">
            <v>0</v>
          </cell>
          <cell r="C1537" t="str">
            <v xml:space="preserve">  CHAMAN AUTO STORE</v>
          </cell>
          <cell r="D1537">
            <v>0</v>
          </cell>
          <cell r="E1537">
            <v>0</v>
          </cell>
          <cell r="F1537">
            <v>0</v>
          </cell>
          <cell r="G1537">
            <v>0</v>
          </cell>
        </row>
        <row r="1538">
          <cell r="A1538" t="str">
            <v>23-01-01-1298</v>
          </cell>
          <cell r="B1538">
            <v>0</v>
          </cell>
          <cell r="C1538" t="str">
            <v xml:space="preserve">  QAISER BROTHERS</v>
          </cell>
          <cell r="D1538">
            <v>0</v>
          </cell>
          <cell r="E1538">
            <v>59800</v>
          </cell>
          <cell r="F1538">
            <v>0</v>
          </cell>
          <cell r="G1538">
            <v>0</v>
          </cell>
        </row>
        <row r="1539">
          <cell r="A1539" t="str">
            <v>23-01-01-1299</v>
          </cell>
          <cell r="B1539">
            <v>0</v>
          </cell>
          <cell r="C1539" t="str">
            <v xml:space="preserve">  SHALIMAR ENTERPRISES</v>
          </cell>
          <cell r="D1539">
            <v>0</v>
          </cell>
          <cell r="E1539">
            <v>0</v>
          </cell>
          <cell r="F1539">
            <v>0</v>
          </cell>
          <cell r="G1539">
            <v>0</v>
          </cell>
        </row>
        <row r="1540">
          <cell r="A1540" t="str">
            <v>23-01-01-1300</v>
          </cell>
          <cell r="B1540">
            <v>0</v>
          </cell>
          <cell r="C1540" t="str">
            <v xml:space="preserve">  REHAN ENTERPRISES(STORE)</v>
          </cell>
          <cell r="D1540">
            <v>0</v>
          </cell>
          <cell r="E1540">
            <v>0</v>
          </cell>
          <cell r="F1540">
            <v>0</v>
          </cell>
          <cell r="G1540">
            <v>0</v>
          </cell>
        </row>
        <row r="1541">
          <cell r="A1541" t="str">
            <v>23-01-01-1301</v>
          </cell>
          <cell r="B1541">
            <v>0</v>
          </cell>
          <cell r="C1541" t="str">
            <v xml:space="preserve">  KSB PUMP COMPANY LTD.</v>
          </cell>
          <cell r="D1541">
            <v>262500</v>
          </cell>
          <cell r="E1541">
            <v>0</v>
          </cell>
          <cell r="F1541">
            <v>0</v>
          </cell>
          <cell r="G1541">
            <v>0</v>
          </cell>
        </row>
        <row r="1542">
          <cell r="A1542" t="str">
            <v>23-01-01-1302</v>
          </cell>
          <cell r="B1542">
            <v>0</v>
          </cell>
          <cell r="C1542" t="str">
            <v xml:space="preserve">  BILAL INTERNATIONAL</v>
          </cell>
          <cell r="D1542">
            <v>0</v>
          </cell>
          <cell r="E1542">
            <v>0</v>
          </cell>
          <cell r="F1542">
            <v>0</v>
          </cell>
          <cell r="G1542">
            <v>0</v>
          </cell>
        </row>
        <row r="1543">
          <cell r="A1543" t="str">
            <v>23-01-01-1303</v>
          </cell>
          <cell r="B1543">
            <v>0</v>
          </cell>
          <cell r="C1543" t="str">
            <v xml:space="preserve">  ADENWALA &amp; SONS</v>
          </cell>
          <cell r="D1543">
            <v>0</v>
          </cell>
          <cell r="E1543">
            <v>0</v>
          </cell>
          <cell r="F1543">
            <v>0</v>
          </cell>
          <cell r="G1543">
            <v>0</v>
          </cell>
        </row>
        <row r="1544">
          <cell r="A1544" t="str">
            <v>23-01-01-1305</v>
          </cell>
          <cell r="B1544">
            <v>0</v>
          </cell>
          <cell r="C1544" t="str">
            <v xml:space="preserve">  SHAIKH KHAJOOBHAI &amp; CO.</v>
          </cell>
          <cell r="D1544">
            <v>0</v>
          </cell>
          <cell r="E1544">
            <v>113165.25</v>
          </cell>
          <cell r="F1544">
            <v>0</v>
          </cell>
          <cell r="G1544">
            <v>0</v>
          </cell>
        </row>
        <row r="1545">
          <cell r="A1545" t="str">
            <v>23-01-01-1306</v>
          </cell>
          <cell r="B1545">
            <v>0</v>
          </cell>
          <cell r="C1545" t="str">
            <v xml:space="preserve">  SAJID TYRE CORPORATION</v>
          </cell>
          <cell r="D1545">
            <v>0</v>
          </cell>
          <cell r="E1545">
            <v>0</v>
          </cell>
          <cell r="F1545">
            <v>0</v>
          </cell>
          <cell r="G1545">
            <v>0</v>
          </cell>
        </row>
        <row r="1546">
          <cell r="A1546" t="str">
            <v>23-01-01-1307</v>
          </cell>
          <cell r="B1546">
            <v>0</v>
          </cell>
          <cell r="C1546" t="str">
            <v xml:space="preserve">  M. IQBAL</v>
          </cell>
          <cell r="D1546">
            <v>0</v>
          </cell>
          <cell r="E1546">
            <v>0</v>
          </cell>
          <cell r="F1546">
            <v>0</v>
          </cell>
          <cell r="G1546">
            <v>0</v>
          </cell>
        </row>
        <row r="1547">
          <cell r="A1547" t="str">
            <v>23-01-01-1308</v>
          </cell>
          <cell r="B1547">
            <v>0</v>
          </cell>
          <cell r="C1547" t="str">
            <v xml:space="preserve">  DELTA TRADERS</v>
          </cell>
          <cell r="D1547">
            <v>0</v>
          </cell>
          <cell r="E1547">
            <v>0</v>
          </cell>
          <cell r="F1547">
            <v>0</v>
          </cell>
          <cell r="G1547">
            <v>0</v>
          </cell>
        </row>
        <row r="1548">
          <cell r="A1548" t="str">
            <v>23-01-01-1309</v>
          </cell>
          <cell r="B1548">
            <v>0</v>
          </cell>
          <cell r="C1548" t="str">
            <v xml:space="preserve">  EVERGREEN ENTERPRISES</v>
          </cell>
          <cell r="D1548">
            <v>0</v>
          </cell>
          <cell r="E1548">
            <v>0</v>
          </cell>
          <cell r="F1548">
            <v>0</v>
          </cell>
          <cell r="G1548">
            <v>0</v>
          </cell>
        </row>
        <row r="1549">
          <cell r="A1549" t="str">
            <v>23-01-01-1310</v>
          </cell>
          <cell r="B1549">
            <v>0</v>
          </cell>
          <cell r="C1549" t="str">
            <v xml:space="preserve">  AL-BROTHERS TEXTILE ENGINEERING</v>
          </cell>
          <cell r="D1549">
            <v>0</v>
          </cell>
          <cell r="E1549">
            <v>0</v>
          </cell>
          <cell r="F1549">
            <v>0</v>
          </cell>
          <cell r="G1549">
            <v>0</v>
          </cell>
        </row>
        <row r="1550">
          <cell r="A1550" t="str">
            <v>23-01-01-1311</v>
          </cell>
          <cell r="B1550">
            <v>0</v>
          </cell>
          <cell r="C1550" t="str">
            <v xml:space="preserve">  HAMEED ELECTRIC COMPANY</v>
          </cell>
          <cell r="D1550">
            <v>0</v>
          </cell>
          <cell r="E1550">
            <v>0</v>
          </cell>
          <cell r="F1550">
            <v>0</v>
          </cell>
          <cell r="G1550">
            <v>0</v>
          </cell>
        </row>
        <row r="1551">
          <cell r="A1551" t="str">
            <v>23-01-01-1312</v>
          </cell>
          <cell r="B1551">
            <v>0</v>
          </cell>
          <cell r="C1551" t="str">
            <v xml:space="preserve">  AL-YOUSAF ENGINEERING WORKS</v>
          </cell>
          <cell r="D1551">
            <v>0</v>
          </cell>
          <cell r="E1551">
            <v>0</v>
          </cell>
          <cell r="F1551">
            <v>0</v>
          </cell>
          <cell r="G1551">
            <v>0</v>
          </cell>
        </row>
        <row r="1552">
          <cell r="A1552" t="str">
            <v>23-01-01-1313</v>
          </cell>
          <cell r="B1552">
            <v>0</v>
          </cell>
          <cell r="C1552" t="str">
            <v xml:space="preserve">  YASEEN AUTOS</v>
          </cell>
          <cell r="D1552">
            <v>0</v>
          </cell>
          <cell r="E1552">
            <v>0</v>
          </cell>
          <cell r="F1552">
            <v>0</v>
          </cell>
          <cell r="G1552">
            <v>0</v>
          </cell>
        </row>
        <row r="1553">
          <cell r="A1553" t="str">
            <v>23-01-01-1314</v>
          </cell>
          <cell r="B1553">
            <v>0</v>
          </cell>
          <cell r="C1553" t="str">
            <v xml:space="preserve">  ORIENT CARE SERVICES</v>
          </cell>
          <cell r="D1553">
            <v>0</v>
          </cell>
          <cell r="E1553">
            <v>0</v>
          </cell>
          <cell r="F1553">
            <v>0</v>
          </cell>
          <cell r="G1553">
            <v>0</v>
          </cell>
        </row>
        <row r="1554">
          <cell r="A1554" t="str">
            <v>23-01-01-1315</v>
          </cell>
          <cell r="B1554">
            <v>0</v>
          </cell>
          <cell r="C1554" t="str">
            <v xml:space="preserve">  MAGOON TRADERS LAHORE.</v>
          </cell>
          <cell r="D1554">
            <v>0</v>
          </cell>
          <cell r="E1554">
            <v>0</v>
          </cell>
          <cell r="F1554">
            <v>0</v>
          </cell>
          <cell r="G1554">
            <v>0</v>
          </cell>
        </row>
        <row r="1555">
          <cell r="A1555" t="str">
            <v>23-01-01-1316</v>
          </cell>
          <cell r="B1555">
            <v>0</v>
          </cell>
          <cell r="C1555" t="str">
            <v xml:space="preserve">  RUBY TRADERS</v>
          </cell>
          <cell r="D1555">
            <v>0</v>
          </cell>
          <cell r="E1555">
            <v>535437</v>
          </cell>
          <cell r="F1555">
            <v>0</v>
          </cell>
          <cell r="G1555">
            <v>0</v>
          </cell>
        </row>
        <row r="1556">
          <cell r="A1556" t="str">
            <v>23-01-01-1317</v>
          </cell>
          <cell r="B1556">
            <v>0</v>
          </cell>
          <cell r="C1556" t="str">
            <v xml:space="preserve">  ALL PAKISTAN RUBBER STORE RAWALPINDI.</v>
          </cell>
          <cell r="D1556">
            <v>0</v>
          </cell>
          <cell r="E1556">
            <v>0</v>
          </cell>
          <cell r="F1556">
            <v>0</v>
          </cell>
          <cell r="G1556">
            <v>0</v>
          </cell>
        </row>
        <row r="1557">
          <cell r="A1557" t="str">
            <v>23-01-01-1318</v>
          </cell>
          <cell r="B1557">
            <v>0</v>
          </cell>
          <cell r="C1557" t="str">
            <v xml:space="preserve">  SAMI &amp; BROTHERS</v>
          </cell>
          <cell r="D1557">
            <v>0</v>
          </cell>
          <cell r="E1557">
            <v>0</v>
          </cell>
          <cell r="F1557">
            <v>0</v>
          </cell>
          <cell r="G1557">
            <v>0</v>
          </cell>
        </row>
        <row r="1558">
          <cell r="A1558" t="str">
            <v>23-01-01-1319</v>
          </cell>
          <cell r="B1558">
            <v>0</v>
          </cell>
          <cell r="C1558" t="str">
            <v xml:space="preserve">  SUMERA ENTERPRISES</v>
          </cell>
          <cell r="D1558">
            <v>0</v>
          </cell>
          <cell r="E1558">
            <v>0</v>
          </cell>
          <cell r="F1558">
            <v>0</v>
          </cell>
          <cell r="G1558">
            <v>0</v>
          </cell>
        </row>
        <row r="1559">
          <cell r="A1559" t="str">
            <v>23-01-01-1320</v>
          </cell>
          <cell r="B1559">
            <v>0</v>
          </cell>
          <cell r="C1559" t="str">
            <v xml:space="preserve">  PLASTICO INDUSTRIES</v>
          </cell>
          <cell r="D1559">
            <v>0</v>
          </cell>
          <cell r="E1559">
            <v>446970</v>
          </cell>
          <cell r="F1559">
            <v>0</v>
          </cell>
          <cell r="G1559">
            <v>0</v>
          </cell>
        </row>
        <row r="1560">
          <cell r="A1560" t="str">
            <v>23-01-01-1321</v>
          </cell>
          <cell r="B1560">
            <v>0</v>
          </cell>
          <cell r="C1560" t="str">
            <v xml:space="preserve">  RUBINA RIAZ V-BELT HOUSE</v>
          </cell>
          <cell r="D1560">
            <v>0</v>
          </cell>
          <cell r="E1560">
            <v>0</v>
          </cell>
          <cell r="F1560">
            <v>0</v>
          </cell>
          <cell r="G1560">
            <v>0</v>
          </cell>
        </row>
        <row r="1561">
          <cell r="A1561" t="str">
            <v>23-01-01-1322</v>
          </cell>
          <cell r="B1561">
            <v>0</v>
          </cell>
          <cell r="C1561" t="str">
            <v xml:space="preserve">  WATER CARE SERVICES</v>
          </cell>
          <cell r="D1561">
            <v>0</v>
          </cell>
          <cell r="E1561">
            <v>0</v>
          </cell>
          <cell r="F1561">
            <v>0</v>
          </cell>
          <cell r="G1561">
            <v>0</v>
          </cell>
        </row>
        <row r="1562">
          <cell r="A1562" t="str">
            <v>23-01-01-1323</v>
          </cell>
          <cell r="B1562">
            <v>0</v>
          </cell>
          <cell r="C1562" t="str">
            <v xml:space="preserve">  CHAUDHARY STATIONERS</v>
          </cell>
          <cell r="D1562">
            <v>0</v>
          </cell>
          <cell r="E1562">
            <v>0</v>
          </cell>
          <cell r="F1562">
            <v>0</v>
          </cell>
          <cell r="G1562">
            <v>0</v>
          </cell>
        </row>
        <row r="1563">
          <cell r="A1563" t="str">
            <v>23-01-01-1324</v>
          </cell>
          <cell r="B1563">
            <v>0</v>
          </cell>
          <cell r="C1563" t="str">
            <v xml:space="preserve">  MATCHLESS INDUSTRIES</v>
          </cell>
          <cell r="D1563">
            <v>0</v>
          </cell>
          <cell r="E1563">
            <v>0</v>
          </cell>
          <cell r="F1563">
            <v>0</v>
          </cell>
          <cell r="G1563">
            <v>0</v>
          </cell>
        </row>
        <row r="1564">
          <cell r="A1564" t="str">
            <v>23-01-01-1325</v>
          </cell>
          <cell r="B1564">
            <v>0</v>
          </cell>
          <cell r="C1564" t="str">
            <v xml:space="preserve">  FIAZ SYNDICATE (PVT) LIMITED</v>
          </cell>
          <cell r="D1564">
            <v>0</v>
          </cell>
          <cell r="E1564">
            <v>0</v>
          </cell>
          <cell r="F1564">
            <v>0</v>
          </cell>
          <cell r="G1564">
            <v>0</v>
          </cell>
        </row>
        <row r="1565">
          <cell r="A1565" t="str">
            <v>23-01-01-1326</v>
          </cell>
          <cell r="B1565">
            <v>0</v>
          </cell>
          <cell r="C1565" t="str">
            <v xml:space="preserve">  ANUM CORPORATION</v>
          </cell>
          <cell r="D1565">
            <v>0</v>
          </cell>
          <cell r="E1565">
            <v>0</v>
          </cell>
          <cell r="F1565">
            <v>0</v>
          </cell>
          <cell r="G1565">
            <v>0</v>
          </cell>
        </row>
        <row r="1566">
          <cell r="A1566" t="str">
            <v>23-01-01-1327</v>
          </cell>
          <cell r="B1566">
            <v>0</v>
          </cell>
          <cell r="C1566" t="str">
            <v xml:space="preserve">  JAWWAD ENTERPRISES</v>
          </cell>
          <cell r="D1566">
            <v>0</v>
          </cell>
          <cell r="E1566">
            <v>0</v>
          </cell>
          <cell r="F1566">
            <v>0</v>
          </cell>
          <cell r="G1566">
            <v>0</v>
          </cell>
        </row>
        <row r="1567">
          <cell r="A1567" t="str">
            <v>23-01-01-1328</v>
          </cell>
          <cell r="B1567">
            <v>0</v>
          </cell>
          <cell r="C1567" t="str">
            <v xml:space="preserve">  N.N ASSOCIATES</v>
          </cell>
          <cell r="D1567">
            <v>0</v>
          </cell>
          <cell r="E1567">
            <v>0</v>
          </cell>
          <cell r="F1567">
            <v>0</v>
          </cell>
          <cell r="G1567">
            <v>0</v>
          </cell>
        </row>
        <row r="1568">
          <cell r="A1568" t="str">
            <v>23-01-01-1329</v>
          </cell>
          <cell r="B1568">
            <v>0</v>
          </cell>
          <cell r="C1568" t="str">
            <v xml:space="preserve">  TRADIMPEX (PVT) LTD.</v>
          </cell>
          <cell r="D1568">
            <v>0</v>
          </cell>
          <cell r="E1568">
            <v>0</v>
          </cell>
          <cell r="F1568">
            <v>0</v>
          </cell>
          <cell r="G1568">
            <v>0</v>
          </cell>
        </row>
        <row r="1569">
          <cell r="A1569" t="str">
            <v>23-01-01-1330</v>
          </cell>
          <cell r="B1569">
            <v>0</v>
          </cell>
          <cell r="C1569" t="str">
            <v xml:space="preserve">  AZIZ BROTHERS</v>
          </cell>
          <cell r="D1569">
            <v>0</v>
          </cell>
          <cell r="E1569">
            <v>0</v>
          </cell>
          <cell r="F1569">
            <v>0</v>
          </cell>
          <cell r="G1569">
            <v>0</v>
          </cell>
        </row>
        <row r="1570">
          <cell r="A1570" t="str">
            <v>23-01-01-1331</v>
          </cell>
          <cell r="B1570">
            <v>0</v>
          </cell>
          <cell r="C1570" t="str">
            <v xml:space="preserve">  WEIGHING EXPERT COMPANY</v>
          </cell>
          <cell r="D1570">
            <v>0</v>
          </cell>
          <cell r="E1570">
            <v>0</v>
          </cell>
          <cell r="F1570">
            <v>0</v>
          </cell>
          <cell r="G1570">
            <v>0</v>
          </cell>
        </row>
        <row r="1571">
          <cell r="A1571" t="str">
            <v>23-01-01-1332</v>
          </cell>
          <cell r="B1571">
            <v>0</v>
          </cell>
          <cell r="C1571" t="str">
            <v xml:space="preserve">  MUHAMMAD SULEMAN</v>
          </cell>
          <cell r="D1571">
            <v>0</v>
          </cell>
          <cell r="E1571">
            <v>0</v>
          </cell>
          <cell r="F1571">
            <v>0</v>
          </cell>
          <cell r="G1571">
            <v>0</v>
          </cell>
        </row>
        <row r="1572">
          <cell r="A1572" t="str">
            <v>23-01-01-1333</v>
          </cell>
          <cell r="B1572">
            <v>0</v>
          </cell>
          <cell r="C1572" t="str">
            <v xml:space="preserve">  IQBAL SAEED &amp; CO.</v>
          </cell>
          <cell r="D1572">
            <v>0</v>
          </cell>
          <cell r="E1572">
            <v>0</v>
          </cell>
          <cell r="F1572">
            <v>0</v>
          </cell>
          <cell r="G1572">
            <v>0</v>
          </cell>
        </row>
        <row r="1573">
          <cell r="A1573" t="str">
            <v>23-01-01-1334</v>
          </cell>
          <cell r="B1573">
            <v>0</v>
          </cell>
          <cell r="C1573" t="str">
            <v xml:space="preserve">  MALIK TRADERS</v>
          </cell>
          <cell r="D1573">
            <v>0</v>
          </cell>
          <cell r="E1573">
            <v>0</v>
          </cell>
          <cell r="F1573">
            <v>0</v>
          </cell>
          <cell r="G1573">
            <v>0</v>
          </cell>
        </row>
        <row r="1574">
          <cell r="A1574" t="str">
            <v>23-01-01-1335</v>
          </cell>
          <cell r="B1574">
            <v>0</v>
          </cell>
          <cell r="C1574" t="str">
            <v xml:space="preserve">  GENERAL OFFICE PRODUCTS</v>
          </cell>
          <cell r="D1574">
            <v>0</v>
          </cell>
          <cell r="E1574">
            <v>0</v>
          </cell>
          <cell r="F1574">
            <v>0</v>
          </cell>
          <cell r="G1574">
            <v>0</v>
          </cell>
        </row>
        <row r="1575">
          <cell r="A1575" t="str">
            <v>23-01-01-1336</v>
          </cell>
          <cell r="B1575">
            <v>0</v>
          </cell>
          <cell r="C1575" t="str">
            <v xml:space="preserve">  TAJ ELECTRIC STORE</v>
          </cell>
          <cell r="D1575">
            <v>0</v>
          </cell>
          <cell r="E1575">
            <v>0</v>
          </cell>
          <cell r="F1575">
            <v>0</v>
          </cell>
          <cell r="G1575">
            <v>0</v>
          </cell>
        </row>
        <row r="1576">
          <cell r="A1576" t="str">
            <v>23-01-01-1337</v>
          </cell>
          <cell r="B1576">
            <v>0</v>
          </cell>
          <cell r="C1576" t="str">
            <v xml:space="preserve">  AL-RAHIM TRADING CO.(PRIVATE) LIMITED</v>
          </cell>
          <cell r="D1576">
            <v>0</v>
          </cell>
          <cell r="E1576">
            <v>0</v>
          </cell>
          <cell r="F1576">
            <v>0</v>
          </cell>
          <cell r="G1576">
            <v>0</v>
          </cell>
        </row>
        <row r="1577">
          <cell r="A1577" t="str">
            <v>23-01-01-1338</v>
          </cell>
          <cell r="B1577">
            <v>0</v>
          </cell>
          <cell r="C1577" t="str">
            <v xml:space="preserve">  SO SAFE</v>
          </cell>
          <cell r="D1577">
            <v>0</v>
          </cell>
          <cell r="E1577">
            <v>0</v>
          </cell>
          <cell r="F1577">
            <v>0</v>
          </cell>
          <cell r="G1577">
            <v>0</v>
          </cell>
        </row>
        <row r="1578">
          <cell r="A1578" t="str">
            <v>23-01-01-1339</v>
          </cell>
          <cell r="B1578">
            <v>0</v>
          </cell>
          <cell r="C1578" t="str">
            <v xml:space="preserve">  COSMOS TRADING COMPANY</v>
          </cell>
          <cell r="D1578">
            <v>0</v>
          </cell>
          <cell r="E1578">
            <v>0</v>
          </cell>
          <cell r="F1578">
            <v>0</v>
          </cell>
          <cell r="G1578">
            <v>0</v>
          </cell>
        </row>
        <row r="1579">
          <cell r="A1579" t="str">
            <v>23-01-01-1340</v>
          </cell>
          <cell r="B1579">
            <v>0</v>
          </cell>
          <cell r="C1579" t="str">
            <v xml:space="preserve">  KAMRAN &amp; SONS</v>
          </cell>
          <cell r="D1579">
            <v>0</v>
          </cell>
          <cell r="E1579">
            <v>0</v>
          </cell>
          <cell r="F1579">
            <v>0</v>
          </cell>
          <cell r="G1579">
            <v>0</v>
          </cell>
        </row>
        <row r="1580">
          <cell r="A1580" t="str">
            <v>23-01-01-1341</v>
          </cell>
          <cell r="B1580">
            <v>0</v>
          </cell>
          <cell r="C1580" t="str">
            <v xml:space="preserve">  NOBLE MACHINERY HOUSE</v>
          </cell>
          <cell r="D1580">
            <v>0</v>
          </cell>
          <cell r="E1580">
            <v>0</v>
          </cell>
          <cell r="F1580">
            <v>0</v>
          </cell>
          <cell r="G1580">
            <v>0</v>
          </cell>
        </row>
        <row r="1581">
          <cell r="A1581" t="str">
            <v>23-01-01-1342</v>
          </cell>
          <cell r="B1581">
            <v>0</v>
          </cell>
          <cell r="C1581" t="str">
            <v xml:space="preserve">  SAEED SONS CORP.</v>
          </cell>
          <cell r="D1581">
            <v>0</v>
          </cell>
          <cell r="E1581">
            <v>0</v>
          </cell>
          <cell r="F1581">
            <v>0</v>
          </cell>
          <cell r="G1581">
            <v>0</v>
          </cell>
        </row>
        <row r="1582">
          <cell r="A1582" t="str">
            <v>23-01-01-1343</v>
          </cell>
          <cell r="B1582">
            <v>0</v>
          </cell>
          <cell r="C1582" t="str">
            <v xml:space="preserve">  ELECTRICH</v>
          </cell>
          <cell r="D1582">
            <v>0</v>
          </cell>
          <cell r="E1582">
            <v>12075</v>
          </cell>
          <cell r="F1582">
            <v>0</v>
          </cell>
          <cell r="G1582">
            <v>0</v>
          </cell>
        </row>
        <row r="1583">
          <cell r="A1583" t="str">
            <v>23-01-01-1344</v>
          </cell>
          <cell r="B1583">
            <v>0</v>
          </cell>
          <cell r="C1583" t="str">
            <v xml:space="preserve">  GHULAM HUSSAN NOORBHYFUS</v>
          </cell>
          <cell r="D1583">
            <v>0</v>
          </cell>
          <cell r="E1583">
            <v>0</v>
          </cell>
          <cell r="F1583">
            <v>0</v>
          </cell>
          <cell r="G1583">
            <v>0</v>
          </cell>
        </row>
        <row r="1584">
          <cell r="A1584" t="str">
            <v>23-01-01-1345</v>
          </cell>
          <cell r="B1584">
            <v>0</v>
          </cell>
          <cell r="C1584" t="str">
            <v xml:space="preserve">  MATCO (PVT) LTD.</v>
          </cell>
          <cell r="D1584">
            <v>0</v>
          </cell>
          <cell r="E1584">
            <v>99525</v>
          </cell>
          <cell r="F1584">
            <v>0</v>
          </cell>
          <cell r="G1584">
            <v>0</v>
          </cell>
        </row>
        <row r="1585">
          <cell r="A1585" t="str">
            <v>23-01-01-1346</v>
          </cell>
          <cell r="B1585">
            <v>0</v>
          </cell>
          <cell r="C1585" t="str">
            <v xml:space="preserve">  SHELL PAKISTAN LIMITED KHI (FURNACE)</v>
          </cell>
          <cell r="D1585">
            <v>0</v>
          </cell>
          <cell r="E1585">
            <v>43455.34</v>
          </cell>
          <cell r="F1585">
            <v>0</v>
          </cell>
          <cell r="G1585">
            <v>0</v>
          </cell>
        </row>
        <row r="1586">
          <cell r="A1586" t="str">
            <v>23-01-01-1347</v>
          </cell>
          <cell r="B1586">
            <v>0</v>
          </cell>
          <cell r="C1586" t="str">
            <v xml:space="preserve">  SH. WILAYAT AHMED &amp; SONS</v>
          </cell>
          <cell r="D1586">
            <v>0</v>
          </cell>
          <cell r="E1586">
            <v>0</v>
          </cell>
          <cell r="F1586">
            <v>0</v>
          </cell>
          <cell r="G1586">
            <v>0</v>
          </cell>
        </row>
        <row r="1587">
          <cell r="A1587" t="str">
            <v>23-01-01-1348</v>
          </cell>
          <cell r="B1587">
            <v>0</v>
          </cell>
          <cell r="C1587" t="str">
            <v xml:space="preserve">  WORLD WIDE OFFICE EQUIPMENT</v>
          </cell>
          <cell r="D1587">
            <v>0</v>
          </cell>
          <cell r="E1587">
            <v>0</v>
          </cell>
          <cell r="F1587">
            <v>0</v>
          </cell>
          <cell r="G1587">
            <v>0</v>
          </cell>
        </row>
        <row r="1588">
          <cell r="A1588" t="str">
            <v>23-01-01-1349</v>
          </cell>
          <cell r="B1588">
            <v>0</v>
          </cell>
          <cell r="C1588" t="str">
            <v xml:space="preserve">  KHAN TRADE CENTRE</v>
          </cell>
          <cell r="D1588">
            <v>0</v>
          </cell>
          <cell r="E1588">
            <v>370581</v>
          </cell>
          <cell r="F1588">
            <v>0</v>
          </cell>
          <cell r="G1588">
            <v>0</v>
          </cell>
        </row>
        <row r="1589">
          <cell r="A1589" t="str">
            <v>23-01-01-1350</v>
          </cell>
          <cell r="B1589">
            <v>0</v>
          </cell>
          <cell r="C1589" t="str">
            <v xml:space="preserve">  MATEEN &amp; BROS.</v>
          </cell>
          <cell r="D1589">
            <v>0</v>
          </cell>
          <cell r="E1589">
            <v>0</v>
          </cell>
          <cell r="F1589">
            <v>0</v>
          </cell>
          <cell r="G1589">
            <v>0</v>
          </cell>
        </row>
        <row r="1590">
          <cell r="A1590" t="str">
            <v>23-01-01-1351</v>
          </cell>
          <cell r="B1590">
            <v>0</v>
          </cell>
          <cell r="C1590" t="str">
            <v xml:space="preserve">  NEW SHAHID AUTOS</v>
          </cell>
          <cell r="D1590">
            <v>0</v>
          </cell>
          <cell r="E1590">
            <v>0</v>
          </cell>
          <cell r="F1590">
            <v>0</v>
          </cell>
          <cell r="G1590">
            <v>0</v>
          </cell>
        </row>
        <row r="1591">
          <cell r="A1591" t="str">
            <v>23-01-01-1352</v>
          </cell>
          <cell r="B1591">
            <v>0</v>
          </cell>
          <cell r="C1591" t="str">
            <v xml:space="preserve">  MAPLE LEAF CEMENT</v>
          </cell>
          <cell r="D1591">
            <v>0</v>
          </cell>
          <cell r="E1591">
            <v>0</v>
          </cell>
          <cell r="F1591">
            <v>0</v>
          </cell>
          <cell r="G1591">
            <v>0</v>
          </cell>
        </row>
        <row r="1592">
          <cell r="A1592" t="str">
            <v>23-01-01-1353</v>
          </cell>
          <cell r="B1592">
            <v>0</v>
          </cell>
          <cell r="C1592" t="str">
            <v xml:space="preserve">  BABAR ELECTRIC COMPANY</v>
          </cell>
          <cell r="D1592">
            <v>0</v>
          </cell>
          <cell r="E1592">
            <v>0</v>
          </cell>
          <cell r="F1592">
            <v>0</v>
          </cell>
          <cell r="G1592">
            <v>0</v>
          </cell>
        </row>
        <row r="1593">
          <cell r="A1593" t="str">
            <v>23-01-01-1354</v>
          </cell>
          <cell r="B1593">
            <v>0</v>
          </cell>
          <cell r="C1593" t="str">
            <v xml:space="preserve">  ROYAL ANGRO CHEMICAL</v>
          </cell>
          <cell r="D1593">
            <v>0</v>
          </cell>
          <cell r="E1593">
            <v>0</v>
          </cell>
          <cell r="F1593">
            <v>0</v>
          </cell>
          <cell r="G1593">
            <v>0</v>
          </cell>
        </row>
        <row r="1594">
          <cell r="A1594" t="str">
            <v>23-01-01-1355</v>
          </cell>
          <cell r="B1594">
            <v>0</v>
          </cell>
          <cell r="C1594" t="str">
            <v xml:space="preserve">  AL- RAZA ENGINEERING</v>
          </cell>
          <cell r="D1594">
            <v>0</v>
          </cell>
          <cell r="E1594">
            <v>0</v>
          </cell>
          <cell r="F1594">
            <v>0</v>
          </cell>
          <cell r="G1594">
            <v>0</v>
          </cell>
        </row>
        <row r="1595">
          <cell r="A1595" t="str">
            <v>23-01-01-1356</v>
          </cell>
          <cell r="B1595">
            <v>0</v>
          </cell>
          <cell r="C1595" t="str">
            <v xml:space="preserve">  CLASSIC BELTING &amp; MILL STORE</v>
          </cell>
          <cell r="D1595">
            <v>0</v>
          </cell>
          <cell r="E1595">
            <v>0</v>
          </cell>
          <cell r="F1595">
            <v>0</v>
          </cell>
          <cell r="G1595">
            <v>0</v>
          </cell>
        </row>
        <row r="1596">
          <cell r="A1596" t="str">
            <v>23-01-01-1357</v>
          </cell>
          <cell r="B1596">
            <v>0</v>
          </cell>
          <cell r="C1596" t="str">
            <v xml:space="preserve">  JAWED TRADERS</v>
          </cell>
          <cell r="D1596">
            <v>0</v>
          </cell>
          <cell r="E1596">
            <v>0</v>
          </cell>
          <cell r="F1596">
            <v>0</v>
          </cell>
          <cell r="G1596">
            <v>0</v>
          </cell>
        </row>
        <row r="1597">
          <cell r="A1597" t="str">
            <v>23-01-01-1358</v>
          </cell>
          <cell r="B1597">
            <v>0</v>
          </cell>
          <cell r="C1597" t="str">
            <v xml:space="preserve">  PAK TRADING CORPORATION</v>
          </cell>
          <cell r="D1597">
            <v>0</v>
          </cell>
          <cell r="E1597">
            <v>0</v>
          </cell>
          <cell r="F1597">
            <v>0</v>
          </cell>
          <cell r="G1597">
            <v>0</v>
          </cell>
        </row>
        <row r="1598">
          <cell r="A1598" t="str">
            <v>23-01-01-1359</v>
          </cell>
          <cell r="B1598">
            <v>0</v>
          </cell>
          <cell r="C1598" t="str">
            <v xml:space="preserve">  TECHNO TEXTILE INDUSTRIAL SUPPLIES</v>
          </cell>
          <cell r="D1598">
            <v>0</v>
          </cell>
          <cell r="E1598">
            <v>0</v>
          </cell>
          <cell r="F1598">
            <v>0</v>
          </cell>
          <cell r="G1598">
            <v>0</v>
          </cell>
        </row>
        <row r="1599">
          <cell r="A1599" t="str">
            <v>23-01-01-1360</v>
          </cell>
          <cell r="B1599">
            <v>0</v>
          </cell>
          <cell r="C1599" t="str">
            <v xml:space="preserve">  COMBINED ENGINEERING SERVICES</v>
          </cell>
          <cell r="D1599">
            <v>0</v>
          </cell>
          <cell r="E1599">
            <v>0</v>
          </cell>
          <cell r="F1599">
            <v>0</v>
          </cell>
          <cell r="G1599">
            <v>0</v>
          </cell>
        </row>
        <row r="1600">
          <cell r="A1600" t="str">
            <v>23-01-01-1361</v>
          </cell>
          <cell r="B1600">
            <v>0</v>
          </cell>
          <cell r="C1600" t="str">
            <v xml:space="preserve">  RANGEEN TYRES</v>
          </cell>
          <cell r="D1600">
            <v>0</v>
          </cell>
          <cell r="E1600">
            <v>0</v>
          </cell>
          <cell r="F1600">
            <v>0</v>
          </cell>
          <cell r="G1600">
            <v>0</v>
          </cell>
        </row>
        <row r="1601">
          <cell r="A1601" t="str">
            <v>23-01-01-1362</v>
          </cell>
          <cell r="B1601">
            <v>0</v>
          </cell>
          <cell r="C1601" t="str">
            <v xml:space="preserve">  FARHAT ENTERPRISES</v>
          </cell>
          <cell r="D1601">
            <v>0</v>
          </cell>
          <cell r="E1601">
            <v>0</v>
          </cell>
          <cell r="F1601">
            <v>0</v>
          </cell>
          <cell r="G1601">
            <v>0</v>
          </cell>
        </row>
        <row r="1602">
          <cell r="A1602" t="str">
            <v>23-01-01-1363</v>
          </cell>
          <cell r="B1602">
            <v>0</v>
          </cell>
          <cell r="C1602" t="str">
            <v xml:space="preserve">  ENTEC SERVICES</v>
          </cell>
          <cell r="D1602">
            <v>0</v>
          </cell>
          <cell r="E1602">
            <v>0</v>
          </cell>
          <cell r="F1602">
            <v>0</v>
          </cell>
          <cell r="G1602">
            <v>0</v>
          </cell>
        </row>
        <row r="1603">
          <cell r="A1603" t="str">
            <v>23-01-01-1364</v>
          </cell>
          <cell r="B1603">
            <v>0</v>
          </cell>
          <cell r="C1603" t="str">
            <v xml:space="preserve">  THE SUPPLIERS</v>
          </cell>
          <cell r="D1603">
            <v>0</v>
          </cell>
          <cell r="E1603">
            <v>0</v>
          </cell>
          <cell r="F1603">
            <v>0</v>
          </cell>
          <cell r="G1603">
            <v>0</v>
          </cell>
        </row>
        <row r="1604">
          <cell r="A1604" t="str">
            <v>23-01-01-1365</v>
          </cell>
          <cell r="B1604">
            <v>0</v>
          </cell>
          <cell r="C1604" t="str">
            <v xml:space="preserve">  PANJWANI BROTHERS CORPORATIO</v>
          </cell>
          <cell r="D1604">
            <v>0</v>
          </cell>
          <cell r="E1604">
            <v>0</v>
          </cell>
          <cell r="F1604">
            <v>0</v>
          </cell>
          <cell r="G1604">
            <v>0</v>
          </cell>
        </row>
        <row r="1605">
          <cell r="A1605" t="str">
            <v>23-01-01-1366</v>
          </cell>
          <cell r="B1605">
            <v>0</v>
          </cell>
          <cell r="C1605" t="str">
            <v xml:space="preserve">  DAW LIMSONS SERVICES</v>
          </cell>
          <cell r="D1605">
            <v>0</v>
          </cell>
          <cell r="E1605">
            <v>0</v>
          </cell>
          <cell r="F1605">
            <v>0</v>
          </cell>
          <cell r="G1605">
            <v>0</v>
          </cell>
        </row>
        <row r="1606">
          <cell r="A1606" t="str">
            <v>23-01-01-1367</v>
          </cell>
          <cell r="B1606">
            <v>0</v>
          </cell>
          <cell r="C1606" t="str">
            <v xml:space="preserve">  RIZWAN BROTHERS ENGINEERING</v>
          </cell>
          <cell r="D1606">
            <v>0</v>
          </cell>
          <cell r="E1606">
            <v>0</v>
          </cell>
          <cell r="F1606">
            <v>0</v>
          </cell>
          <cell r="G1606">
            <v>0</v>
          </cell>
        </row>
        <row r="1607">
          <cell r="A1607" t="str">
            <v>23-01-01-1368</v>
          </cell>
          <cell r="B1607">
            <v>0</v>
          </cell>
          <cell r="C1607" t="str">
            <v xml:space="preserve">  A.ABBAS BROS</v>
          </cell>
          <cell r="D1607">
            <v>0</v>
          </cell>
          <cell r="E1607">
            <v>0</v>
          </cell>
          <cell r="F1607">
            <v>0</v>
          </cell>
          <cell r="G1607">
            <v>0</v>
          </cell>
        </row>
        <row r="1608">
          <cell r="A1608" t="str">
            <v>23-01-01-1369</v>
          </cell>
          <cell r="B1608">
            <v>0</v>
          </cell>
          <cell r="C1608" t="str">
            <v xml:space="preserve">  AIMTEX CORPORATION</v>
          </cell>
          <cell r="D1608">
            <v>0</v>
          </cell>
          <cell r="E1608">
            <v>19294</v>
          </cell>
          <cell r="F1608">
            <v>0</v>
          </cell>
          <cell r="G1608">
            <v>0</v>
          </cell>
        </row>
        <row r="1609">
          <cell r="A1609" t="str">
            <v>23-01-01-1370</v>
          </cell>
          <cell r="B1609">
            <v>0</v>
          </cell>
          <cell r="C1609" t="str">
            <v xml:space="preserve">  RAFIQUE MILL STORE.</v>
          </cell>
          <cell r="D1609">
            <v>0</v>
          </cell>
          <cell r="E1609">
            <v>0</v>
          </cell>
          <cell r="F1609">
            <v>0</v>
          </cell>
          <cell r="G1609">
            <v>0</v>
          </cell>
        </row>
        <row r="1610">
          <cell r="A1610" t="str">
            <v>23-01-01-1371</v>
          </cell>
          <cell r="B1610">
            <v>0</v>
          </cell>
          <cell r="C1610" t="str">
            <v xml:space="preserve">  MACH PART</v>
          </cell>
          <cell r="D1610">
            <v>0</v>
          </cell>
          <cell r="E1610">
            <v>0</v>
          </cell>
          <cell r="F1610">
            <v>0</v>
          </cell>
          <cell r="G1610">
            <v>0</v>
          </cell>
        </row>
        <row r="1611">
          <cell r="A1611" t="str">
            <v>23-01-01-1372</v>
          </cell>
          <cell r="B1611">
            <v>0</v>
          </cell>
          <cell r="C1611" t="str">
            <v xml:space="preserve">  M.AZAM</v>
          </cell>
          <cell r="D1611">
            <v>0</v>
          </cell>
          <cell r="E1611">
            <v>0</v>
          </cell>
          <cell r="F1611">
            <v>0</v>
          </cell>
          <cell r="G1611">
            <v>0</v>
          </cell>
        </row>
        <row r="1612">
          <cell r="A1612" t="str">
            <v>23-01-01-1373</v>
          </cell>
          <cell r="B1612">
            <v>0</v>
          </cell>
          <cell r="C1612" t="str">
            <v xml:space="preserve">  A.A.STATIONERY CENTRE</v>
          </cell>
          <cell r="D1612">
            <v>0</v>
          </cell>
          <cell r="E1612">
            <v>0</v>
          </cell>
          <cell r="F1612">
            <v>0</v>
          </cell>
          <cell r="G1612">
            <v>0</v>
          </cell>
        </row>
        <row r="1613">
          <cell r="A1613" t="str">
            <v>23-01-01-1374</v>
          </cell>
          <cell r="B1613">
            <v>0</v>
          </cell>
          <cell r="C1613" t="str">
            <v xml:space="preserve">  ZAHIR SHAH AND SONS</v>
          </cell>
          <cell r="D1613">
            <v>0</v>
          </cell>
          <cell r="E1613">
            <v>0</v>
          </cell>
          <cell r="F1613">
            <v>0</v>
          </cell>
          <cell r="G1613">
            <v>0</v>
          </cell>
        </row>
        <row r="1614">
          <cell r="A1614" t="str">
            <v>23-01-01-1375</v>
          </cell>
          <cell r="B1614">
            <v>0</v>
          </cell>
          <cell r="C1614" t="str">
            <v xml:space="preserve">  A.R TRADERS</v>
          </cell>
          <cell r="D1614">
            <v>0</v>
          </cell>
          <cell r="E1614">
            <v>0</v>
          </cell>
          <cell r="F1614">
            <v>0</v>
          </cell>
          <cell r="G1614">
            <v>0</v>
          </cell>
        </row>
        <row r="1615">
          <cell r="A1615" t="str">
            <v>23-01-01-1376</v>
          </cell>
          <cell r="B1615">
            <v>0</v>
          </cell>
          <cell r="C1615" t="str">
            <v xml:space="preserve">  DIAMOND PARTS</v>
          </cell>
          <cell r="D1615">
            <v>0</v>
          </cell>
          <cell r="E1615">
            <v>0</v>
          </cell>
          <cell r="F1615">
            <v>0</v>
          </cell>
          <cell r="G1615">
            <v>0</v>
          </cell>
        </row>
        <row r="1616">
          <cell r="A1616" t="str">
            <v>23-01-01-1377</v>
          </cell>
          <cell r="B1616">
            <v>0</v>
          </cell>
          <cell r="C1616" t="str">
            <v xml:space="preserve">  AHSAN ENTERPRISES</v>
          </cell>
          <cell r="D1616">
            <v>0</v>
          </cell>
          <cell r="E1616">
            <v>0</v>
          </cell>
          <cell r="F1616">
            <v>0</v>
          </cell>
          <cell r="G1616">
            <v>0</v>
          </cell>
        </row>
        <row r="1617">
          <cell r="A1617" t="str">
            <v>23-01-01-1378</v>
          </cell>
          <cell r="B1617">
            <v>0</v>
          </cell>
          <cell r="C1617" t="str">
            <v xml:space="preserve">  FAROOQ TRADERS</v>
          </cell>
          <cell r="D1617">
            <v>0</v>
          </cell>
          <cell r="E1617">
            <v>0</v>
          </cell>
          <cell r="F1617">
            <v>0</v>
          </cell>
          <cell r="G1617">
            <v>0</v>
          </cell>
        </row>
        <row r="1618">
          <cell r="A1618" t="str">
            <v>23-01-01-1379</v>
          </cell>
          <cell r="B1618">
            <v>0</v>
          </cell>
          <cell r="C1618" t="str">
            <v xml:space="preserve">  PAK TRADING COMPANY</v>
          </cell>
          <cell r="D1618">
            <v>0</v>
          </cell>
          <cell r="E1618">
            <v>0</v>
          </cell>
          <cell r="F1618">
            <v>0</v>
          </cell>
          <cell r="G1618">
            <v>0</v>
          </cell>
        </row>
        <row r="1619">
          <cell r="A1619" t="str">
            <v>23-01-01-1380</v>
          </cell>
          <cell r="B1619">
            <v>0</v>
          </cell>
          <cell r="C1619" t="str">
            <v xml:space="preserve">  N.Y TRADERS</v>
          </cell>
          <cell r="D1619">
            <v>0</v>
          </cell>
          <cell r="E1619">
            <v>0</v>
          </cell>
          <cell r="F1619">
            <v>0</v>
          </cell>
          <cell r="G1619">
            <v>0</v>
          </cell>
        </row>
        <row r="1620">
          <cell r="A1620" t="str">
            <v>23-01-01-1381</v>
          </cell>
          <cell r="B1620">
            <v>0</v>
          </cell>
          <cell r="C1620" t="str">
            <v xml:space="preserve">  MITCHELL &amp; CO.</v>
          </cell>
          <cell r="D1620">
            <v>0</v>
          </cell>
          <cell r="E1620">
            <v>0</v>
          </cell>
          <cell r="F1620">
            <v>0</v>
          </cell>
          <cell r="G1620">
            <v>0</v>
          </cell>
        </row>
        <row r="1621">
          <cell r="A1621" t="str">
            <v>23-01-01-1382</v>
          </cell>
          <cell r="B1621">
            <v>0</v>
          </cell>
          <cell r="C1621" t="str">
            <v xml:space="preserve">  PANATECH</v>
          </cell>
          <cell r="D1621">
            <v>0</v>
          </cell>
          <cell r="E1621">
            <v>0</v>
          </cell>
          <cell r="F1621">
            <v>0</v>
          </cell>
          <cell r="G1621">
            <v>0</v>
          </cell>
        </row>
        <row r="1622">
          <cell r="A1622" t="str">
            <v>23-01-01-1383</v>
          </cell>
          <cell r="B1622">
            <v>0</v>
          </cell>
          <cell r="C1622" t="str">
            <v xml:space="preserve">  AL-PAK ENTERPRISES CO.</v>
          </cell>
          <cell r="D1622">
            <v>0</v>
          </cell>
          <cell r="E1622">
            <v>0</v>
          </cell>
          <cell r="F1622">
            <v>0</v>
          </cell>
          <cell r="G1622">
            <v>0</v>
          </cell>
        </row>
        <row r="1623">
          <cell r="A1623" t="str">
            <v>23-01-01-1384</v>
          </cell>
          <cell r="B1623">
            <v>0</v>
          </cell>
          <cell r="C1623" t="str">
            <v xml:space="preserve">  PAPER INK</v>
          </cell>
          <cell r="D1623">
            <v>0</v>
          </cell>
          <cell r="E1623">
            <v>0</v>
          </cell>
          <cell r="F1623">
            <v>0</v>
          </cell>
          <cell r="G1623">
            <v>0</v>
          </cell>
        </row>
        <row r="1624">
          <cell r="A1624" t="str">
            <v>23-01-01-1385</v>
          </cell>
          <cell r="B1624">
            <v>0</v>
          </cell>
          <cell r="C1624" t="str">
            <v xml:space="preserve">  SEE ENTERPRISES</v>
          </cell>
          <cell r="D1624">
            <v>0</v>
          </cell>
          <cell r="E1624">
            <v>0</v>
          </cell>
          <cell r="F1624">
            <v>0</v>
          </cell>
          <cell r="G1624">
            <v>0</v>
          </cell>
        </row>
        <row r="1625">
          <cell r="A1625" t="str">
            <v>23-01-01-1386</v>
          </cell>
          <cell r="B1625">
            <v>0</v>
          </cell>
          <cell r="C1625" t="str">
            <v xml:space="preserve">  AL-RAZA ENGINEERING</v>
          </cell>
          <cell r="D1625">
            <v>0</v>
          </cell>
          <cell r="E1625">
            <v>0</v>
          </cell>
          <cell r="F1625">
            <v>0</v>
          </cell>
          <cell r="G1625">
            <v>0</v>
          </cell>
        </row>
        <row r="1626">
          <cell r="A1626" t="str">
            <v>23-01-01-1387</v>
          </cell>
          <cell r="B1626">
            <v>0</v>
          </cell>
          <cell r="C1626" t="str">
            <v xml:space="preserve">  LUCKY STATIONERY</v>
          </cell>
          <cell r="D1626">
            <v>0</v>
          </cell>
          <cell r="E1626">
            <v>0</v>
          </cell>
          <cell r="F1626">
            <v>0</v>
          </cell>
          <cell r="G1626">
            <v>0</v>
          </cell>
        </row>
        <row r="1627">
          <cell r="A1627" t="str">
            <v>23-01-01-1388</v>
          </cell>
          <cell r="B1627">
            <v>0</v>
          </cell>
          <cell r="C1627" t="str">
            <v xml:space="preserve">  WAFA ENTERPRISES</v>
          </cell>
          <cell r="D1627">
            <v>0</v>
          </cell>
          <cell r="E1627">
            <v>0</v>
          </cell>
          <cell r="F1627">
            <v>0</v>
          </cell>
          <cell r="G1627">
            <v>0</v>
          </cell>
        </row>
        <row r="1628">
          <cell r="A1628" t="str">
            <v>23-01-01-1389</v>
          </cell>
          <cell r="B1628">
            <v>0</v>
          </cell>
          <cell r="C1628" t="str">
            <v xml:space="preserve">  UNITED STEEL MERCHANTS</v>
          </cell>
          <cell r="D1628">
            <v>0</v>
          </cell>
          <cell r="E1628">
            <v>0</v>
          </cell>
          <cell r="F1628">
            <v>0</v>
          </cell>
          <cell r="G1628">
            <v>0</v>
          </cell>
        </row>
        <row r="1629">
          <cell r="A1629" t="str">
            <v>23-01-01-1390</v>
          </cell>
          <cell r="B1629">
            <v>0</v>
          </cell>
          <cell r="C1629" t="str">
            <v xml:space="preserve">  FS TRADERS</v>
          </cell>
          <cell r="D1629">
            <v>0</v>
          </cell>
          <cell r="E1629">
            <v>0</v>
          </cell>
          <cell r="F1629">
            <v>0</v>
          </cell>
          <cell r="G1629">
            <v>0</v>
          </cell>
        </row>
        <row r="1630">
          <cell r="A1630" t="str">
            <v>23-01-01-1391</v>
          </cell>
          <cell r="B1630">
            <v>0</v>
          </cell>
          <cell r="C1630" t="str">
            <v xml:space="preserve">  SAMANA CORPORATION</v>
          </cell>
          <cell r="D1630">
            <v>0</v>
          </cell>
          <cell r="E1630">
            <v>0</v>
          </cell>
          <cell r="F1630">
            <v>0</v>
          </cell>
          <cell r="G1630">
            <v>0</v>
          </cell>
        </row>
        <row r="1631">
          <cell r="A1631" t="str">
            <v>23-01-01-1392</v>
          </cell>
          <cell r="B1631">
            <v>0</v>
          </cell>
          <cell r="C1631" t="str">
            <v xml:space="preserve">  TECHNO WELD CORPORATION</v>
          </cell>
          <cell r="D1631">
            <v>0</v>
          </cell>
          <cell r="E1631">
            <v>0</v>
          </cell>
          <cell r="F1631">
            <v>0</v>
          </cell>
          <cell r="G1631">
            <v>0</v>
          </cell>
        </row>
        <row r="1632">
          <cell r="A1632" t="str">
            <v>23-01-01-1393</v>
          </cell>
          <cell r="B1632">
            <v>0</v>
          </cell>
          <cell r="C1632" t="str">
            <v xml:space="preserve">  M.A POLYMERS</v>
          </cell>
          <cell r="D1632">
            <v>0</v>
          </cell>
          <cell r="E1632">
            <v>871412</v>
          </cell>
          <cell r="F1632">
            <v>0</v>
          </cell>
          <cell r="G1632">
            <v>0</v>
          </cell>
        </row>
        <row r="1633">
          <cell r="A1633" t="str">
            <v>23-01-01-1394</v>
          </cell>
          <cell r="B1633">
            <v>0</v>
          </cell>
          <cell r="C1633" t="str">
            <v xml:space="preserve">  AVERY SCALES (PVT) LTD.</v>
          </cell>
          <cell r="D1633">
            <v>0</v>
          </cell>
          <cell r="E1633">
            <v>0</v>
          </cell>
          <cell r="F1633">
            <v>0</v>
          </cell>
          <cell r="G1633">
            <v>0</v>
          </cell>
        </row>
        <row r="1634">
          <cell r="A1634" t="str">
            <v>23-01-01-1395</v>
          </cell>
          <cell r="B1634">
            <v>0</v>
          </cell>
          <cell r="C1634" t="str">
            <v xml:space="preserve">  F.G. INTERNATIONAL (PVT) LTD.</v>
          </cell>
          <cell r="D1634">
            <v>0</v>
          </cell>
          <cell r="E1634">
            <v>0</v>
          </cell>
          <cell r="F1634">
            <v>0</v>
          </cell>
          <cell r="G1634">
            <v>0</v>
          </cell>
        </row>
        <row r="1635">
          <cell r="A1635" t="str">
            <v>23-01-01-1396</v>
          </cell>
          <cell r="B1635">
            <v>0</v>
          </cell>
          <cell r="C1635" t="str">
            <v xml:space="preserve">  PANORAMA COMPUTERS</v>
          </cell>
          <cell r="D1635">
            <v>0</v>
          </cell>
          <cell r="E1635">
            <v>0</v>
          </cell>
          <cell r="F1635">
            <v>0</v>
          </cell>
          <cell r="G1635">
            <v>0</v>
          </cell>
        </row>
        <row r="1636">
          <cell r="A1636" t="str">
            <v>23-01-01-1397</v>
          </cell>
          <cell r="B1636">
            <v>0</v>
          </cell>
          <cell r="C1636" t="str">
            <v xml:space="preserve">  GOOD LUCK TRADERS</v>
          </cell>
          <cell r="D1636">
            <v>0</v>
          </cell>
          <cell r="E1636">
            <v>0</v>
          </cell>
          <cell r="F1636">
            <v>0</v>
          </cell>
          <cell r="G1636">
            <v>0</v>
          </cell>
        </row>
        <row r="1637">
          <cell r="A1637" t="str">
            <v>23-01-01-1398</v>
          </cell>
          <cell r="B1637">
            <v>0</v>
          </cell>
          <cell r="C1637" t="str">
            <v xml:space="preserve">  MADHANI ASSOCIATES</v>
          </cell>
          <cell r="D1637">
            <v>0</v>
          </cell>
          <cell r="E1637">
            <v>0</v>
          </cell>
          <cell r="F1637">
            <v>0</v>
          </cell>
          <cell r="G1637">
            <v>0</v>
          </cell>
        </row>
        <row r="1638">
          <cell r="A1638" t="str">
            <v>23-01-01-1399</v>
          </cell>
          <cell r="B1638">
            <v>0</v>
          </cell>
          <cell r="C1638" t="str">
            <v xml:space="preserve">  ROSHAN BROTHERS</v>
          </cell>
          <cell r="D1638">
            <v>0</v>
          </cell>
          <cell r="E1638">
            <v>0</v>
          </cell>
          <cell r="F1638">
            <v>0</v>
          </cell>
          <cell r="G1638">
            <v>0</v>
          </cell>
        </row>
        <row r="1639">
          <cell r="A1639" t="str">
            <v>23-01-01-1400</v>
          </cell>
          <cell r="B1639">
            <v>0</v>
          </cell>
          <cell r="C1639" t="str">
            <v xml:space="preserve">  AHMED ENTERPRISES</v>
          </cell>
          <cell r="D1639">
            <v>0</v>
          </cell>
          <cell r="E1639">
            <v>0</v>
          </cell>
          <cell r="F1639">
            <v>0</v>
          </cell>
          <cell r="G1639">
            <v>0</v>
          </cell>
        </row>
        <row r="1640">
          <cell r="A1640" t="str">
            <v>23-01-01-1401</v>
          </cell>
          <cell r="B1640">
            <v>0</v>
          </cell>
          <cell r="C1640" t="str">
            <v xml:space="preserve">  MULTI COMPUTERS FORMS</v>
          </cell>
          <cell r="D1640">
            <v>0</v>
          </cell>
          <cell r="E1640">
            <v>0</v>
          </cell>
          <cell r="F1640">
            <v>0</v>
          </cell>
          <cell r="G1640">
            <v>0</v>
          </cell>
        </row>
        <row r="1641">
          <cell r="A1641" t="str">
            <v>23-01-01-1402</v>
          </cell>
          <cell r="B1641">
            <v>0</v>
          </cell>
          <cell r="C1641" t="str">
            <v xml:space="preserve">  ALMAS ENGINEERING CORPORATION.</v>
          </cell>
          <cell r="D1641">
            <v>0</v>
          </cell>
          <cell r="E1641">
            <v>0</v>
          </cell>
          <cell r="F1641">
            <v>0</v>
          </cell>
          <cell r="G1641">
            <v>0</v>
          </cell>
        </row>
        <row r="1642">
          <cell r="A1642" t="str">
            <v>23-01-01-1403</v>
          </cell>
          <cell r="B1642">
            <v>0</v>
          </cell>
          <cell r="C1642" t="str">
            <v xml:space="preserve">  EXCEL ENTERPRISES</v>
          </cell>
          <cell r="D1642">
            <v>0</v>
          </cell>
          <cell r="E1642">
            <v>0</v>
          </cell>
          <cell r="F1642">
            <v>0</v>
          </cell>
          <cell r="G1642">
            <v>0</v>
          </cell>
        </row>
        <row r="1643">
          <cell r="A1643" t="str">
            <v>23-01-01-1404</v>
          </cell>
          <cell r="B1643">
            <v>0</v>
          </cell>
          <cell r="C1643" t="str">
            <v xml:space="preserve">  MANSHA TRADING CO.</v>
          </cell>
          <cell r="D1643">
            <v>0</v>
          </cell>
          <cell r="E1643">
            <v>0</v>
          </cell>
          <cell r="F1643">
            <v>0</v>
          </cell>
          <cell r="G1643">
            <v>0</v>
          </cell>
        </row>
        <row r="1644">
          <cell r="A1644" t="str">
            <v>23-01-01-1405</v>
          </cell>
          <cell r="B1644">
            <v>0</v>
          </cell>
          <cell r="C1644" t="str">
            <v xml:space="preserve">  SOLAR ENTERPRISES</v>
          </cell>
          <cell r="D1644">
            <v>0</v>
          </cell>
          <cell r="E1644">
            <v>0</v>
          </cell>
          <cell r="F1644">
            <v>0</v>
          </cell>
          <cell r="G1644">
            <v>0</v>
          </cell>
        </row>
        <row r="1645">
          <cell r="A1645" t="str">
            <v>23-01-01-1406</v>
          </cell>
          <cell r="B1645">
            <v>0</v>
          </cell>
          <cell r="C1645" t="str">
            <v xml:space="preserve">  I.S INTERNATIONAL</v>
          </cell>
          <cell r="D1645">
            <v>0</v>
          </cell>
          <cell r="E1645">
            <v>0</v>
          </cell>
          <cell r="F1645">
            <v>0</v>
          </cell>
          <cell r="G1645">
            <v>0</v>
          </cell>
        </row>
        <row r="1646">
          <cell r="A1646" t="str">
            <v>23-01-01-1407</v>
          </cell>
          <cell r="B1646">
            <v>0</v>
          </cell>
          <cell r="C1646" t="str">
            <v xml:space="preserve">  BEST TRADERS</v>
          </cell>
          <cell r="D1646">
            <v>0</v>
          </cell>
          <cell r="E1646">
            <v>0</v>
          </cell>
          <cell r="F1646">
            <v>0</v>
          </cell>
          <cell r="G1646">
            <v>0</v>
          </cell>
        </row>
        <row r="1647">
          <cell r="A1647" t="str">
            <v>23-01-01-1408</v>
          </cell>
          <cell r="B1647">
            <v>0</v>
          </cell>
          <cell r="C1647" t="str">
            <v xml:space="preserve">  QAMAR TRADERS</v>
          </cell>
          <cell r="D1647">
            <v>0</v>
          </cell>
          <cell r="E1647">
            <v>0</v>
          </cell>
          <cell r="F1647">
            <v>0</v>
          </cell>
          <cell r="G1647">
            <v>0</v>
          </cell>
        </row>
        <row r="1648">
          <cell r="A1648" t="str">
            <v>23-01-01-1409</v>
          </cell>
          <cell r="B1648">
            <v>0</v>
          </cell>
          <cell r="C1648" t="str">
            <v xml:space="preserve">  JUNAID MILL STORES</v>
          </cell>
          <cell r="D1648">
            <v>0</v>
          </cell>
          <cell r="E1648">
            <v>0</v>
          </cell>
          <cell r="F1648">
            <v>0</v>
          </cell>
          <cell r="G1648">
            <v>0</v>
          </cell>
        </row>
        <row r="1649">
          <cell r="A1649" t="str">
            <v>23-01-01-1410</v>
          </cell>
          <cell r="B1649">
            <v>0</v>
          </cell>
          <cell r="C1649" t="str">
            <v xml:space="preserve">  ABDULLAH ENTERPRISES</v>
          </cell>
          <cell r="D1649">
            <v>0</v>
          </cell>
          <cell r="E1649">
            <v>0</v>
          </cell>
          <cell r="F1649">
            <v>0</v>
          </cell>
          <cell r="G1649">
            <v>0</v>
          </cell>
        </row>
        <row r="1650">
          <cell r="A1650" t="str">
            <v>23-01-01-1411</v>
          </cell>
          <cell r="B1650">
            <v>0</v>
          </cell>
          <cell r="C1650" t="str">
            <v xml:space="preserve">  F.Z CORPORATION</v>
          </cell>
          <cell r="D1650">
            <v>0</v>
          </cell>
          <cell r="E1650">
            <v>0</v>
          </cell>
          <cell r="F1650">
            <v>0</v>
          </cell>
          <cell r="G1650">
            <v>0</v>
          </cell>
        </row>
        <row r="1651">
          <cell r="A1651" t="str">
            <v>23-01-01-1412</v>
          </cell>
          <cell r="B1651">
            <v>0</v>
          </cell>
          <cell r="C1651" t="str">
            <v xml:space="preserve">  SYED BROTHER FOAM DEALER TOPI</v>
          </cell>
          <cell r="D1651">
            <v>0</v>
          </cell>
          <cell r="E1651">
            <v>0</v>
          </cell>
          <cell r="F1651">
            <v>0</v>
          </cell>
          <cell r="G1651">
            <v>0</v>
          </cell>
        </row>
        <row r="1652">
          <cell r="A1652" t="str">
            <v>23-01-01-1413</v>
          </cell>
          <cell r="B1652">
            <v>0</v>
          </cell>
          <cell r="C1652" t="str">
            <v xml:space="preserve">  FAZAL STEEL (PVT) LIMITED</v>
          </cell>
          <cell r="D1652">
            <v>0</v>
          </cell>
          <cell r="E1652">
            <v>0</v>
          </cell>
          <cell r="F1652">
            <v>0</v>
          </cell>
          <cell r="G1652">
            <v>0</v>
          </cell>
        </row>
        <row r="1653">
          <cell r="A1653" t="str">
            <v>23-01-01-1414</v>
          </cell>
          <cell r="B1653">
            <v>0</v>
          </cell>
          <cell r="C1653" t="str">
            <v xml:space="preserve">  ZAKARIA MILL STORE</v>
          </cell>
          <cell r="D1653">
            <v>0</v>
          </cell>
          <cell r="E1653">
            <v>0</v>
          </cell>
          <cell r="F1653">
            <v>0</v>
          </cell>
          <cell r="G1653">
            <v>0</v>
          </cell>
        </row>
        <row r="1654">
          <cell r="A1654" t="str">
            <v>23-01-01-1415</v>
          </cell>
          <cell r="B1654">
            <v>0</v>
          </cell>
          <cell r="C1654" t="str">
            <v xml:space="preserve">  KURDISTAN TRADING COMPANY</v>
          </cell>
          <cell r="D1654">
            <v>0</v>
          </cell>
          <cell r="E1654">
            <v>0</v>
          </cell>
          <cell r="F1654">
            <v>0</v>
          </cell>
          <cell r="G1654">
            <v>0</v>
          </cell>
        </row>
        <row r="1655">
          <cell r="A1655" t="str">
            <v>23-01-01-1416</v>
          </cell>
          <cell r="B1655">
            <v>0</v>
          </cell>
          <cell r="C1655" t="str">
            <v xml:space="preserve">  QUICK TRADERS</v>
          </cell>
          <cell r="D1655">
            <v>0</v>
          </cell>
          <cell r="E1655">
            <v>0</v>
          </cell>
          <cell r="F1655">
            <v>0</v>
          </cell>
          <cell r="G1655">
            <v>0</v>
          </cell>
        </row>
        <row r="1656">
          <cell r="A1656" t="str">
            <v>23-01-01-1417</v>
          </cell>
          <cell r="B1656">
            <v>0</v>
          </cell>
          <cell r="C1656" t="str">
            <v xml:space="preserve">  AL-FAROOQ TRADING CORPORATION</v>
          </cell>
          <cell r="D1656">
            <v>0</v>
          </cell>
          <cell r="E1656">
            <v>26090</v>
          </cell>
          <cell r="F1656">
            <v>0</v>
          </cell>
          <cell r="G1656">
            <v>0</v>
          </cell>
        </row>
        <row r="1657">
          <cell r="A1657" t="str">
            <v>23-01-01-1418</v>
          </cell>
          <cell r="B1657">
            <v>0</v>
          </cell>
          <cell r="C1657" t="str">
            <v xml:space="preserve">  UNIVERSAL OFFICE PRODUCTS</v>
          </cell>
          <cell r="D1657">
            <v>0</v>
          </cell>
          <cell r="E1657">
            <v>0</v>
          </cell>
          <cell r="F1657">
            <v>0</v>
          </cell>
          <cell r="G1657">
            <v>0</v>
          </cell>
        </row>
        <row r="1658">
          <cell r="A1658" t="str">
            <v>23-01-01-1419</v>
          </cell>
          <cell r="B1658">
            <v>0</v>
          </cell>
          <cell r="C1658" t="str">
            <v xml:space="preserve">  BEST SUPPLY AGENCY</v>
          </cell>
          <cell r="D1658">
            <v>0</v>
          </cell>
          <cell r="E1658">
            <v>0</v>
          </cell>
          <cell r="F1658">
            <v>0</v>
          </cell>
          <cell r="G1658">
            <v>0</v>
          </cell>
        </row>
        <row r="1659">
          <cell r="A1659" t="str">
            <v>23-01-01-1420</v>
          </cell>
          <cell r="B1659">
            <v>0</v>
          </cell>
          <cell r="C1659" t="str">
            <v xml:space="preserve">  A.A ENTERPRISES</v>
          </cell>
          <cell r="D1659">
            <v>0</v>
          </cell>
          <cell r="E1659">
            <v>0</v>
          </cell>
          <cell r="F1659">
            <v>0</v>
          </cell>
          <cell r="G1659">
            <v>0</v>
          </cell>
        </row>
        <row r="1660">
          <cell r="A1660" t="str">
            <v>23-01-01-1421</v>
          </cell>
          <cell r="B1660">
            <v>0</v>
          </cell>
          <cell r="C1660" t="str">
            <v xml:space="preserve">  AMIR TRADERS</v>
          </cell>
          <cell r="D1660">
            <v>0</v>
          </cell>
          <cell r="E1660">
            <v>0</v>
          </cell>
          <cell r="F1660">
            <v>0</v>
          </cell>
          <cell r="G1660">
            <v>0</v>
          </cell>
        </row>
        <row r="1661">
          <cell r="A1661" t="str">
            <v>23-01-01-1422</v>
          </cell>
          <cell r="B1661">
            <v>0</v>
          </cell>
          <cell r="C1661" t="str">
            <v xml:space="preserve">  SAYYED WRITING INSTRUMENTS (PVT) LTD.</v>
          </cell>
          <cell r="D1661">
            <v>0</v>
          </cell>
          <cell r="E1661">
            <v>151027</v>
          </cell>
          <cell r="F1661">
            <v>0</v>
          </cell>
          <cell r="G1661">
            <v>0</v>
          </cell>
        </row>
        <row r="1662">
          <cell r="A1662" t="str">
            <v>23-01-01-1423</v>
          </cell>
          <cell r="B1662">
            <v>0</v>
          </cell>
          <cell r="C1662" t="str">
            <v xml:space="preserve">  ZEESHAN CORPORATION</v>
          </cell>
          <cell r="D1662">
            <v>0</v>
          </cell>
          <cell r="E1662">
            <v>0</v>
          </cell>
          <cell r="F1662">
            <v>0</v>
          </cell>
          <cell r="G1662">
            <v>0</v>
          </cell>
        </row>
        <row r="1663">
          <cell r="A1663" t="str">
            <v>23-01-01-1424</v>
          </cell>
          <cell r="B1663">
            <v>0</v>
          </cell>
          <cell r="C1663" t="str">
            <v xml:space="preserve">  MIRAGE REBUILD FACTORY</v>
          </cell>
          <cell r="D1663">
            <v>0</v>
          </cell>
          <cell r="E1663">
            <v>0</v>
          </cell>
          <cell r="F1663">
            <v>0</v>
          </cell>
          <cell r="G1663">
            <v>0</v>
          </cell>
        </row>
        <row r="1664">
          <cell r="A1664" t="str">
            <v>23-01-01-1425</v>
          </cell>
          <cell r="B1664">
            <v>0</v>
          </cell>
          <cell r="C1664" t="str">
            <v xml:space="preserve">  ITAFAQ PLASTIC &amp; TEXTILE ENGG. WORKS</v>
          </cell>
          <cell r="D1664">
            <v>0</v>
          </cell>
          <cell r="E1664">
            <v>0</v>
          </cell>
          <cell r="F1664">
            <v>0</v>
          </cell>
          <cell r="G1664">
            <v>0</v>
          </cell>
        </row>
        <row r="1665">
          <cell r="A1665" t="str">
            <v>23-01-01-1426</v>
          </cell>
          <cell r="B1665">
            <v>0</v>
          </cell>
          <cell r="C1665" t="str">
            <v xml:space="preserve">  PAKISTAN GLASS</v>
          </cell>
          <cell r="D1665">
            <v>0</v>
          </cell>
          <cell r="E1665">
            <v>0</v>
          </cell>
          <cell r="F1665">
            <v>0</v>
          </cell>
          <cell r="G1665">
            <v>0</v>
          </cell>
        </row>
        <row r="1666">
          <cell r="A1666" t="str">
            <v>23-01-01-1427</v>
          </cell>
          <cell r="B1666">
            <v>0</v>
          </cell>
          <cell r="C1666" t="str">
            <v xml:space="preserve">  MIRZA AKHTAR &amp; SONS</v>
          </cell>
          <cell r="D1666">
            <v>0</v>
          </cell>
          <cell r="E1666">
            <v>0</v>
          </cell>
          <cell r="F1666">
            <v>0</v>
          </cell>
          <cell r="G1666">
            <v>0</v>
          </cell>
        </row>
        <row r="1667">
          <cell r="A1667" t="str">
            <v>23-01-01-1428</v>
          </cell>
          <cell r="B1667">
            <v>0</v>
          </cell>
          <cell r="C1667" t="str">
            <v xml:space="preserve">  FREINDS ENGINEERING SERVICES</v>
          </cell>
          <cell r="D1667">
            <v>0</v>
          </cell>
          <cell r="E1667">
            <v>0</v>
          </cell>
          <cell r="F1667">
            <v>0</v>
          </cell>
          <cell r="G1667">
            <v>0</v>
          </cell>
        </row>
        <row r="1668">
          <cell r="A1668" t="str">
            <v>23-01-01-1429</v>
          </cell>
          <cell r="B1668">
            <v>0</v>
          </cell>
          <cell r="C1668" t="str">
            <v xml:space="preserve">  GLOBAL TECHNOLOGIES</v>
          </cell>
          <cell r="D1668">
            <v>0</v>
          </cell>
          <cell r="E1668">
            <v>80500</v>
          </cell>
          <cell r="F1668">
            <v>0</v>
          </cell>
          <cell r="G1668">
            <v>0</v>
          </cell>
        </row>
        <row r="1669">
          <cell r="A1669" t="str">
            <v>23-01-01-1430</v>
          </cell>
          <cell r="B1669">
            <v>0</v>
          </cell>
          <cell r="C1669" t="str">
            <v xml:space="preserve">  K.A INDUSTRIES</v>
          </cell>
          <cell r="D1669">
            <v>0</v>
          </cell>
          <cell r="E1669">
            <v>784530</v>
          </cell>
          <cell r="F1669">
            <v>0</v>
          </cell>
          <cell r="G1669">
            <v>0</v>
          </cell>
        </row>
        <row r="1670">
          <cell r="A1670" t="str">
            <v>23-01-01-1431</v>
          </cell>
          <cell r="B1670">
            <v>0</v>
          </cell>
          <cell r="C1670" t="str">
            <v xml:space="preserve">  TANVEER CORPORATION</v>
          </cell>
          <cell r="D1670">
            <v>0</v>
          </cell>
          <cell r="E1670">
            <v>0</v>
          </cell>
          <cell r="F1670">
            <v>0</v>
          </cell>
          <cell r="G1670">
            <v>0</v>
          </cell>
        </row>
        <row r="1671">
          <cell r="A1671" t="str">
            <v>23-01-01-1432</v>
          </cell>
          <cell r="B1671">
            <v>0</v>
          </cell>
          <cell r="C1671" t="str">
            <v xml:space="preserve">  SAMPACKS</v>
          </cell>
          <cell r="D1671">
            <v>0</v>
          </cell>
          <cell r="E1671">
            <v>10925</v>
          </cell>
          <cell r="F1671">
            <v>0</v>
          </cell>
          <cell r="G1671">
            <v>0</v>
          </cell>
        </row>
        <row r="1672">
          <cell r="A1672" t="str">
            <v>23-01-01-1433</v>
          </cell>
          <cell r="B1672">
            <v>0</v>
          </cell>
          <cell r="C1672" t="str">
            <v xml:space="preserve">  ASIA SCIENTIFIC TRADERS</v>
          </cell>
          <cell r="D1672">
            <v>0</v>
          </cell>
          <cell r="E1672">
            <v>34120</v>
          </cell>
          <cell r="F1672">
            <v>0</v>
          </cell>
          <cell r="G1672">
            <v>0</v>
          </cell>
        </row>
        <row r="1673">
          <cell r="A1673" t="str">
            <v>23-01-01-1434</v>
          </cell>
          <cell r="B1673">
            <v>0</v>
          </cell>
          <cell r="C1673" t="str">
            <v xml:space="preserve">  KOHINOOR MILL STORE</v>
          </cell>
          <cell r="D1673">
            <v>0</v>
          </cell>
          <cell r="E1673">
            <v>0</v>
          </cell>
          <cell r="F1673">
            <v>0</v>
          </cell>
          <cell r="G1673">
            <v>0</v>
          </cell>
        </row>
        <row r="1674">
          <cell r="A1674" t="str">
            <v>23-01-01-1435</v>
          </cell>
          <cell r="B1674">
            <v>0</v>
          </cell>
          <cell r="C1674" t="str">
            <v xml:space="preserve">  M.SHARIF &amp; CO.</v>
          </cell>
          <cell r="D1674">
            <v>0</v>
          </cell>
          <cell r="E1674">
            <v>166</v>
          </cell>
          <cell r="F1674">
            <v>0</v>
          </cell>
          <cell r="G1674">
            <v>0</v>
          </cell>
        </row>
        <row r="1675">
          <cell r="A1675" t="str">
            <v>23-01-01-1436</v>
          </cell>
          <cell r="B1675">
            <v>0</v>
          </cell>
          <cell r="C1675" t="str">
            <v xml:space="preserve">  TEXTILE SCAN &amp; SERVICES</v>
          </cell>
          <cell r="D1675">
            <v>0</v>
          </cell>
          <cell r="E1675">
            <v>0</v>
          </cell>
          <cell r="F1675">
            <v>0</v>
          </cell>
          <cell r="G1675">
            <v>0</v>
          </cell>
        </row>
        <row r="1676">
          <cell r="A1676" t="str">
            <v>23-01-01-1437</v>
          </cell>
          <cell r="B1676">
            <v>0</v>
          </cell>
          <cell r="C1676" t="str">
            <v xml:space="preserve">  SHELL PAKISTAN LIMITED KHI (FURNACE)-2</v>
          </cell>
          <cell r="D1676">
            <v>0</v>
          </cell>
          <cell r="E1676">
            <v>0</v>
          </cell>
          <cell r="F1676">
            <v>0</v>
          </cell>
          <cell r="G1676">
            <v>0</v>
          </cell>
        </row>
        <row r="1677">
          <cell r="A1677" t="str">
            <v>23-01-01-1438</v>
          </cell>
          <cell r="B1677">
            <v>0</v>
          </cell>
          <cell r="C1677" t="str">
            <v xml:space="preserve">  ONE STAR ALUMINIUM &amp; GLASS WORKS</v>
          </cell>
          <cell r="D1677">
            <v>0</v>
          </cell>
          <cell r="E1677">
            <v>0</v>
          </cell>
          <cell r="F1677">
            <v>0</v>
          </cell>
          <cell r="G1677">
            <v>0</v>
          </cell>
        </row>
        <row r="1678">
          <cell r="A1678" t="str">
            <v>23-01-01-1439</v>
          </cell>
          <cell r="B1678">
            <v>0</v>
          </cell>
          <cell r="C1678" t="str">
            <v xml:space="preserve">  AL-HIRA PRINTERS</v>
          </cell>
          <cell r="D1678">
            <v>0</v>
          </cell>
          <cell r="E1678">
            <v>0</v>
          </cell>
          <cell r="F1678">
            <v>0</v>
          </cell>
          <cell r="G1678">
            <v>0</v>
          </cell>
        </row>
        <row r="1679">
          <cell r="A1679" t="str">
            <v>23-01-01-1440</v>
          </cell>
          <cell r="B1679">
            <v>0</v>
          </cell>
          <cell r="C1679" t="str">
            <v xml:space="preserve">  GUL TEX</v>
          </cell>
          <cell r="D1679">
            <v>0</v>
          </cell>
          <cell r="E1679">
            <v>0</v>
          </cell>
          <cell r="F1679">
            <v>0</v>
          </cell>
          <cell r="G1679">
            <v>0</v>
          </cell>
        </row>
        <row r="1680">
          <cell r="A1680" t="str">
            <v>23-01-01-1441</v>
          </cell>
          <cell r="B1680">
            <v>0</v>
          </cell>
          <cell r="C1680" t="str">
            <v xml:space="preserve">  TECHNO INDUSTRIAL MACHINERY ENTERPRISE</v>
          </cell>
          <cell r="D1680">
            <v>0</v>
          </cell>
          <cell r="E1680">
            <v>52320</v>
          </cell>
          <cell r="F1680">
            <v>0</v>
          </cell>
          <cell r="G1680">
            <v>0</v>
          </cell>
        </row>
        <row r="1681">
          <cell r="A1681" t="str">
            <v>23-01-01-1442</v>
          </cell>
          <cell r="B1681">
            <v>0</v>
          </cell>
          <cell r="C1681" t="str">
            <v xml:space="preserve">  GADOON ELECTRIC GENERAL STORE</v>
          </cell>
          <cell r="D1681">
            <v>0</v>
          </cell>
          <cell r="E1681">
            <v>0</v>
          </cell>
          <cell r="F1681">
            <v>0</v>
          </cell>
          <cell r="G1681">
            <v>0</v>
          </cell>
        </row>
        <row r="1682">
          <cell r="A1682" t="str">
            <v>23-01-01-1443</v>
          </cell>
          <cell r="B1682">
            <v>0</v>
          </cell>
          <cell r="C1682" t="str">
            <v xml:space="preserve">  ZAMAN TRADERS</v>
          </cell>
          <cell r="D1682">
            <v>0</v>
          </cell>
          <cell r="E1682">
            <v>0</v>
          </cell>
          <cell r="F1682">
            <v>0</v>
          </cell>
          <cell r="G1682">
            <v>0</v>
          </cell>
        </row>
        <row r="1683">
          <cell r="A1683" t="str">
            <v>23-01-01-1444</v>
          </cell>
          <cell r="B1683">
            <v>0</v>
          </cell>
          <cell r="C1683" t="str">
            <v xml:space="preserve">  SADDIQ ELECTRIC STORE</v>
          </cell>
          <cell r="D1683">
            <v>0</v>
          </cell>
          <cell r="E1683">
            <v>0</v>
          </cell>
          <cell r="F1683">
            <v>0</v>
          </cell>
          <cell r="G1683">
            <v>0</v>
          </cell>
        </row>
        <row r="1684">
          <cell r="A1684" t="str">
            <v>23-01-01-1445</v>
          </cell>
          <cell r="B1684">
            <v>0</v>
          </cell>
          <cell r="C1684" t="str">
            <v xml:space="preserve">  TAWAKKAL BEARING</v>
          </cell>
          <cell r="D1684">
            <v>0</v>
          </cell>
          <cell r="E1684">
            <v>0</v>
          </cell>
          <cell r="F1684">
            <v>0</v>
          </cell>
          <cell r="G1684">
            <v>0</v>
          </cell>
        </row>
        <row r="1685">
          <cell r="A1685" t="str">
            <v>23-01-01-1446</v>
          </cell>
          <cell r="B1685">
            <v>0</v>
          </cell>
          <cell r="C1685" t="str">
            <v xml:space="preserve">  KAMRAN ELAHI</v>
          </cell>
          <cell r="D1685">
            <v>0</v>
          </cell>
          <cell r="E1685">
            <v>0</v>
          </cell>
          <cell r="F1685">
            <v>0</v>
          </cell>
          <cell r="G1685">
            <v>0</v>
          </cell>
        </row>
        <row r="1686">
          <cell r="A1686" t="str">
            <v>23-01-01-1447</v>
          </cell>
          <cell r="B1686">
            <v>0</v>
          </cell>
          <cell r="C1686" t="str">
            <v xml:space="preserve">  SHEHZAD AHMED</v>
          </cell>
          <cell r="D1686">
            <v>0</v>
          </cell>
          <cell r="E1686">
            <v>0</v>
          </cell>
          <cell r="F1686">
            <v>0</v>
          </cell>
          <cell r="G1686">
            <v>0</v>
          </cell>
        </row>
        <row r="1687">
          <cell r="A1687" t="str">
            <v>23-01-01-1448</v>
          </cell>
          <cell r="B1687">
            <v>0</v>
          </cell>
          <cell r="C1687" t="str">
            <v xml:space="preserve">  MUNAWAR AHMAD WAN CHARPAI STORE</v>
          </cell>
          <cell r="D1687">
            <v>0</v>
          </cell>
          <cell r="E1687">
            <v>0</v>
          </cell>
          <cell r="F1687">
            <v>0</v>
          </cell>
          <cell r="G1687">
            <v>0</v>
          </cell>
        </row>
        <row r="1688">
          <cell r="A1688" t="str">
            <v>23-01-01-1449</v>
          </cell>
          <cell r="B1688">
            <v>0</v>
          </cell>
          <cell r="C1688" t="str">
            <v xml:space="preserve">  WAQAS MILL STORES</v>
          </cell>
          <cell r="D1688">
            <v>0</v>
          </cell>
          <cell r="E1688">
            <v>0</v>
          </cell>
          <cell r="F1688">
            <v>0</v>
          </cell>
          <cell r="G1688">
            <v>0</v>
          </cell>
        </row>
        <row r="1689">
          <cell r="A1689" t="str">
            <v>23-01-01-1450</v>
          </cell>
          <cell r="B1689">
            <v>0</v>
          </cell>
          <cell r="C1689" t="str">
            <v xml:space="preserve">  A.K PNEUMATIKA</v>
          </cell>
          <cell r="D1689">
            <v>0</v>
          </cell>
          <cell r="E1689">
            <v>0</v>
          </cell>
          <cell r="F1689">
            <v>0</v>
          </cell>
          <cell r="G1689">
            <v>0</v>
          </cell>
        </row>
        <row r="1690">
          <cell r="A1690" t="str">
            <v>23-01-01-1451</v>
          </cell>
          <cell r="B1690">
            <v>0</v>
          </cell>
          <cell r="C1690" t="str">
            <v xml:space="preserve">  MEHRAN INTERNATIONAL</v>
          </cell>
          <cell r="D1690">
            <v>0</v>
          </cell>
          <cell r="E1690">
            <v>0</v>
          </cell>
          <cell r="F1690">
            <v>0</v>
          </cell>
          <cell r="G1690">
            <v>0</v>
          </cell>
        </row>
        <row r="1691">
          <cell r="A1691" t="str">
            <v>23-01-01-1452</v>
          </cell>
          <cell r="B1691">
            <v>0</v>
          </cell>
          <cell r="C1691" t="str">
            <v xml:space="preserve">  KARIM ELECTRONICS</v>
          </cell>
          <cell r="D1691">
            <v>0</v>
          </cell>
          <cell r="E1691">
            <v>0</v>
          </cell>
          <cell r="F1691">
            <v>0</v>
          </cell>
          <cell r="G1691">
            <v>0</v>
          </cell>
        </row>
        <row r="1692">
          <cell r="A1692" t="str">
            <v>23-01-01-1453</v>
          </cell>
          <cell r="B1692">
            <v>0</v>
          </cell>
          <cell r="C1692" t="str">
            <v xml:space="preserve">  ASGHER TRADING CO.</v>
          </cell>
          <cell r="D1692">
            <v>0</v>
          </cell>
          <cell r="E1692">
            <v>0</v>
          </cell>
          <cell r="F1692">
            <v>0</v>
          </cell>
          <cell r="G1692">
            <v>0</v>
          </cell>
        </row>
        <row r="1693">
          <cell r="A1693" t="str">
            <v>23-01-01-1454</v>
          </cell>
          <cell r="B1693">
            <v>0</v>
          </cell>
          <cell r="C1693" t="str">
            <v xml:space="preserve">  FRAZ INTERNATIONAL</v>
          </cell>
          <cell r="D1693">
            <v>0</v>
          </cell>
          <cell r="E1693">
            <v>0</v>
          </cell>
          <cell r="F1693">
            <v>0</v>
          </cell>
          <cell r="G1693">
            <v>0</v>
          </cell>
        </row>
        <row r="1694">
          <cell r="A1694" t="str">
            <v>23-01-01-1455</v>
          </cell>
          <cell r="B1694">
            <v>0</v>
          </cell>
          <cell r="C1694" t="str">
            <v xml:space="preserve">  IMAM BUKHSH GAS COMPANY</v>
          </cell>
          <cell r="D1694">
            <v>30000</v>
          </cell>
          <cell r="E1694">
            <v>0</v>
          </cell>
          <cell r="F1694">
            <v>0</v>
          </cell>
          <cell r="G1694">
            <v>0</v>
          </cell>
        </row>
        <row r="1695">
          <cell r="A1695" t="str">
            <v>23-01-01-1456</v>
          </cell>
          <cell r="B1695">
            <v>0</v>
          </cell>
          <cell r="C1695" t="str">
            <v xml:space="preserve">  IMRAN ENTERPRISE</v>
          </cell>
          <cell r="D1695">
            <v>0</v>
          </cell>
          <cell r="E1695">
            <v>0</v>
          </cell>
          <cell r="F1695">
            <v>0</v>
          </cell>
          <cell r="G1695">
            <v>0</v>
          </cell>
        </row>
        <row r="1696">
          <cell r="A1696" t="str">
            <v>23-01-01-1457</v>
          </cell>
          <cell r="B1696">
            <v>0</v>
          </cell>
          <cell r="C1696" t="str">
            <v xml:space="preserve">  EVERGREEN INTERNATIONAL</v>
          </cell>
          <cell r="D1696">
            <v>0</v>
          </cell>
          <cell r="E1696">
            <v>0</v>
          </cell>
          <cell r="F1696">
            <v>0</v>
          </cell>
          <cell r="G1696">
            <v>0</v>
          </cell>
        </row>
        <row r="1697">
          <cell r="A1697" t="str">
            <v>23-01-01-1458</v>
          </cell>
          <cell r="B1697">
            <v>0</v>
          </cell>
          <cell r="C1697" t="str">
            <v xml:space="preserve">  HABIB SIKANDER &amp; COMPANY</v>
          </cell>
          <cell r="D1697">
            <v>0</v>
          </cell>
          <cell r="E1697">
            <v>0</v>
          </cell>
          <cell r="F1697">
            <v>0</v>
          </cell>
          <cell r="G1697">
            <v>0</v>
          </cell>
        </row>
        <row r="1698">
          <cell r="A1698" t="str">
            <v>23-01-01-1459</v>
          </cell>
          <cell r="B1698">
            <v>0</v>
          </cell>
          <cell r="C1698" t="str">
            <v xml:space="preserve">  AFTAB STORES</v>
          </cell>
          <cell r="D1698">
            <v>0</v>
          </cell>
          <cell r="E1698">
            <v>0</v>
          </cell>
          <cell r="F1698">
            <v>0</v>
          </cell>
          <cell r="G1698">
            <v>0</v>
          </cell>
        </row>
        <row r="1699">
          <cell r="A1699" t="str">
            <v>23-01-01-1460</v>
          </cell>
          <cell r="B1699">
            <v>0</v>
          </cell>
          <cell r="C1699" t="str">
            <v xml:space="preserve">  PAK ENGINEERING MACHINERY</v>
          </cell>
          <cell r="D1699">
            <v>0</v>
          </cell>
          <cell r="E1699">
            <v>0</v>
          </cell>
          <cell r="F1699">
            <v>0</v>
          </cell>
          <cell r="G1699">
            <v>0</v>
          </cell>
        </row>
        <row r="1700">
          <cell r="A1700" t="str">
            <v>23-01-01-1461</v>
          </cell>
          <cell r="B1700">
            <v>0</v>
          </cell>
          <cell r="C1700" t="str">
            <v xml:space="preserve">  ANWER TRADERS</v>
          </cell>
          <cell r="D1700">
            <v>0</v>
          </cell>
          <cell r="E1700">
            <v>0</v>
          </cell>
          <cell r="F1700">
            <v>0</v>
          </cell>
          <cell r="G1700">
            <v>0</v>
          </cell>
        </row>
        <row r="1701">
          <cell r="A1701" t="str">
            <v>23-01-01-1462</v>
          </cell>
          <cell r="B1701">
            <v>0</v>
          </cell>
          <cell r="C1701" t="str">
            <v xml:space="preserve">  GEO PUMP &amp; ELECTRICAL SERVICES</v>
          </cell>
          <cell r="D1701">
            <v>0</v>
          </cell>
          <cell r="E1701">
            <v>0</v>
          </cell>
          <cell r="F1701">
            <v>0</v>
          </cell>
          <cell r="G1701">
            <v>0</v>
          </cell>
        </row>
        <row r="1702">
          <cell r="A1702" t="str">
            <v>23-01-01-1463</v>
          </cell>
          <cell r="B1702">
            <v>0</v>
          </cell>
          <cell r="C1702" t="str">
            <v xml:space="preserve">  M. ASLAM</v>
          </cell>
          <cell r="D1702">
            <v>0</v>
          </cell>
          <cell r="E1702">
            <v>0</v>
          </cell>
          <cell r="F1702">
            <v>0</v>
          </cell>
          <cell r="G1702">
            <v>0</v>
          </cell>
        </row>
        <row r="1703">
          <cell r="A1703" t="str">
            <v>23-01-01-1464</v>
          </cell>
          <cell r="B1703">
            <v>0</v>
          </cell>
          <cell r="C1703" t="str">
            <v xml:space="preserve">  DANISH CORPORATION</v>
          </cell>
          <cell r="D1703">
            <v>0</v>
          </cell>
          <cell r="E1703">
            <v>0</v>
          </cell>
          <cell r="F1703">
            <v>0</v>
          </cell>
          <cell r="G1703">
            <v>0</v>
          </cell>
        </row>
        <row r="1704">
          <cell r="A1704" t="str">
            <v>23-01-01-1465</v>
          </cell>
          <cell r="B1704">
            <v>0</v>
          </cell>
          <cell r="C1704" t="str">
            <v xml:space="preserve">  ALLIED SYSTEM SOLUTIONS</v>
          </cell>
          <cell r="D1704">
            <v>0</v>
          </cell>
          <cell r="E1704">
            <v>0</v>
          </cell>
          <cell r="F1704">
            <v>0</v>
          </cell>
          <cell r="G1704">
            <v>0</v>
          </cell>
        </row>
        <row r="1705">
          <cell r="A1705" t="str">
            <v>23-01-01-1466</v>
          </cell>
          <cell r="B1705">
            <v>0</v>
          </cell>
          <cell r="C1705" t="str">
            <v xml:space="preserve">  NEW EVERY SCALES COMPANY</v>
          </cell>
          <cell r="D1705">
            <v>0</v>
          </cell>
          <cell r="E1705">
            <v>0</v>
          </cell>
          <cell r="F1705">
            <v>0</v>
          </cell>
          <cell r="G1705">
            <v>0</v>
          </cell>
        </row>
        <row r="1706">
          <cell r="A1706" t="str">
            <v>23-01-01-1467</v>
          </cell>
          <cell r="B1706">
            <v>0</v>
          </cell>
          <cell r="C1706" t="str">
            <v xml:space="preserve">  SHAHZAD ENGINEERING WORKS</v>
          </cell>
          <cell r="D1706">
            <v>0</v>
          </cell>
          <cell r="E1706">
            <v>0</v>
          </cell>
          <cell r="F1706">
            <v>0</v>
          </cell>
          <cell r="G1706">
            <v>0</v>
          </cell>
        </row>
        <row r="1707">
          <cell r="A1707" t="str">
            <v>23-01-01-1468</v>
          </cell>
          <cell r="B1707">
            <v>0</v>
          </cell>
          <cell r="C1707" t="str">
            <v xml:space="preserve">  ZAHID ENGINEERING &amp; TRADING COMPANY</v>
          </cell>
          <cell r="D1707">
            <v>0</v>
          </cell>
          <cell r="E1707">
            <v>0</v>
          </cell>
          <cell r="F1707">
            <v>0</v>
          </cell>
          <cell r="G1707">
            <v>0</v>
          </cell>
        </row>
        <row r="1708">
          <cell r="A1708" t="str">
            <v>23-01-01-1469</v>
          </cell>
          <cell r="B1708">
            <v>0</v>
          </cell>
          <cell r="C1708" t="str">
            <v xml:space="preserve">  AKHTAR INDUSTRIES</v>
          </cell>
          <cell r="D1708">
            <v>0</v>
          </cell>
          <cell r="E1708">
            <v>0</v>
          </cell>
          <cell r="F1708">
            <v>0</v>
          </cell>
          <cell r="G1708">
            <v>0</v>
          </cell>
        </row>
        <row r="1709">
          <cell r="A1709" t="str">
            <v>23-01-01-1470</v>
          </cell>
          <cell r="B1709">
            <v>0</v>
          </cell>
          <cell r="C1709" t="str">
            <v xml:space="preserve">  ORIENT IMPEX</v>
          </cell>
          <cell r="D1709">
            <v>0</v>
          </cell>
          <cell r="E1709">
            <v>0</v>
          </cell>
          <cell r="F1709">
            <v>0</v>
          </cell>
          <cell r="G1709">
            <v>0</v>
          </cell>
        </row>
        <row r="1710">
          <cell r="A1710" t="str">
            <v>23-01-01-1471</v>
          </cell>
          <cell r="B1710">
            <v>0</v>
          </cell>
          <cell r="C1710" t="str">
            <v xml:space="preserve">  KHURAM ASSOCIATES</v>
          </cell>
          <cell r="D1710">
            <v>0</v>
          </cell>
          <cell r="E1710">
            <v>0</v>
          </cell>
          <cell r="F1710">
            <v>0</v>
          </cell>
          <cell r="G1710">
            <v>0</v>
          </cell>
        </row>
        <row r="1711">
          <cell r="A1711" t="str">
            <v>23-01-01-1472</v>
          </cell>
          <cell r="B1711">
            <v>0</v>
          </cell>
          <cell r="C1711" t="str">
            <v xml:space="preserve">  TRUST TRADERS</v>
          </cell>
          <cell r="D1711">
            <v>0</v>
          </cell>
          <cell r="E1711">
            <v>0</v>
          </cell>
          <cell r="F1711">
            <v>0</v>
          </cell>
          <cell r="G1711">
            <v>0</v>
          </cell>
        </row>
        <row r="1712">
          <cell r="A1712" t="str">
            <v>23-01-01-1473</v>
          </cell>
          <cell r="B1712">
            <v>0</v>
          </cell>
          <cell r="C1712" t="str">
            <v xml:space="preserve">  SINDH ENTERPRISE</v>
          </cell>
          <cell r="D1712">
            <v>0</v>
          </cell>
          <cell r="E1712">
            <v>0</v>
          </cell>
          <cell r="F1712">
            <v>0</v>
          </cell>
          <cell r="G1712">
            <v>0</v>
          </cell>
        </row>
        <row r="1713">
          <cell r="A1713" t="str">
            <v>23-01-01-1474</v>
          </cell>
          <cell r="B1713">
            <v>0</v>
          </cell>
          <cell r="C1713" t="str">
            <v xml:space="preserve">  HYDRAULIC PNEUMATIC HOUSE</v>
          </cell>
          <cell r="D1713">
            <v>0</v>
          </cell>
          <cell r="E1713">
            <v>0</v>
          </cell>
          <cell r="F1713">
            <v>0</v>
          </cell>
          <cell r="G1713">
            <v>0</v>
          </cell>
        </row>
        <row r="1714">
          <cell r="A1714" t="str">
            <v>23-01-01-1475</v>
          </cell>
          <cell r="B1714">
            <v>0</v>
          </cell>
          <cell r="C1714" t="str">
            <v xml:space="preserve">  CHAMAN INTERNATIONAL</v>
          </cell>
          <cell r="D1714">
            <v>0</v>
          </cell>
          <cell r="E1714">
            <v>0</v>
          </cell>
          <cell r="F1714">
            <v>0</v>
          </cell>
          <cell r="G1714">
            <v>0</v>
          </cell>
        </row>
        <row r="1715">
          <cell r="A1715" t="str">
            <v>23-01-01-1476</v>
          </cell>
          <cell r="B1715">
            <v>0</v>
          </cell>
          <cell r="C1715" t="str">
            <v xml:space="preserve">  NAZIR TRADERS</v>
          </cell>
          <cell r="D1715">
            <v>0</v>
          </cell>
          <cell r="E1715">
            <v>711790</v>
          </cell>
          <cell r="F1715">
            <v>0</v>
          </cell>
          <cell r="G1715">
            <v>0</v>
          </cell>
        </row>
        <row r="1716">
          <cell r="A1716" t="str">
            <v>23-01-01-1477</v>
          </cell>
          <cell r="B1716">
            <v>0</v>
          </cell>
          <cell r="C1716" t="str">
            <v xml:space="preserve">  PUNJAB &amp; SPRING ENGINEERING WORKS</v>
          </cell>
          <cell r="D1716">
            <v>0</v>
          </cell>
          <cell r="E1716">
            <v>0</v>
          </cell>
          <cell r="F1716">
            <v>0</v>
          </cell>
          <cell r="G1716">
            <v>0</v>
          </cell>
        </row>
        <row r="1717">
          <cell r="A1717" t="str">
            <v>23-01-01-1478</v>
          </cell>
          <cell r="B1717">
            <v>0</v>
          </cell>
          <cell r="C1717" t="str">
            <v xml:space="preserve">  NAZAM ZAIDI</v>
          </cell>
          <cell r="D1717">
            <v>0</v>
          </cell>
          <cell r="E1717">
            <v>0</v>
          </cell>
          <cell r="F1717">
            <v>0</v>
          </cell>
          <cell r="G1717">
            <v>0</v>
          </cell>
        </row>
        <row r="1718">
          <cell r="A1718" t="str">
            <v>23-01-01-1479</v>
          </cell>
          <cell r="B1718">
            <v>0</v>
          </cell>
          <cell r="C1718" t="str">
            <v xml:space="preserve">  ZAIB ENGINEERING WORKS</v>
          </cell>
          <cell r="D1718">
            <v>0</v>
          </cell>
          <cell r="E1718">
            <v>0</v>
          </cell>
          <cell r="F1718">
            <v>0</v>
          </cell>
          <cell r="G1718">
            <v>0</v>
          </cell>
        </row>
        <row r="1719">
          <cell r="A1719" t="str">
            <v>23-01-01-1480</v>
          </cell>
          <cell r="B1719">
            <v>0</v>
          </cell>
          <cell r="C1719" t="str">
            <v xml:space="preserve">  ALI INDUSTRIES</v>
          </cell>
          <cell r="D1719">
            <v>0</v>
          </cell>
          <cell r="E1719">
            <v>448565</v>
          </cell>
          <cell r="F1719">
            <v>0</v>
          </cell>
          <cell r="G1719">
            <v>0</v>
          </cell>
        </row>
        <row r="1720">
          <cell r="A1720" t="str">
            <v>23-01-01-1481</v>
          </cell>
          <cell r="B1720">
            <v>0</v>
          </cell>
          <cell r="C1720" t="str">
            <v xml:space="preserve">  RAINBOW TRADERS</v>
          </cell>
          <cell r="D1720">
            <v>0</v>
          </cell>
          <cell r="E1720">
            <v>0</v>
          </cell>
          <cell r="F1720">
            <v>0</v>
          </cell>
          <cell r="G1720">
            <v>0</v>
          </cell>
        </row>
        <row r="1721">
          <cell r="A1721" t="str">
            <v>23-01-01-1482</v>
          </cell>
          <cell r="B1721">
            <v>0</v>
          </cell>
          <cell r="C1721" t="str">
            <v xml:space="preserve">  MULTI TECH</v>
          </cell>
          <cell r="D1721">
            <v>0</v>
          </cell>
          <cell r="E1721">
            <v>0</v>
          </cell>
          <cell r="F1721">
            <v>0</v>
          </cell>
          <cell r="G1721">
            <v>0</v>
          </cell>
        </row>
        <row r="1722">
          <cell r="A1722" t="str">
            <v>23-01-01-1483</v>
          </cell>
          <cell r="B1722">
            <v>0</v>
          </cell>
          <cell r="C1722" t="str">
            <v xml:space="preserve">  BOLAN TRADERS</v>
          </cell>
          <cell r="D1722">
            <v>0</v>
          </cell>
          <cell r="E1722">
            <v>0</v>
          </cell>
          <cell r="F1722">
            <v>0</v>
          </cell>
          <cell r="G1722">
            <v>0</v>
          </cell>
        </row>
        <row r="1723">
          <cell r="A1723" t="str">
            <v>23-01-01-1484</v>
          </cell>
          <cell r="B1723">
            <v>0</v>
          </cell>
          <cell r="C1723" t="str">
            <v xml:space="preserve">  DIN LITE ELECTRIC</v>
          </cell>
          <cell r="D1723">
            <v>0</v>
          </cell>
          <cell r="E1723">
            <v>0</v>
          </cell>
          <cell r="F1723">
            <v>0</v>
          </cell>
          <cell r="G1723">
            <v>0</v>
          </cell>
        </row>
        <row r="1724">
          <cell r="A1724" t="str">
            <v>23-01-01-1485</v>
          </cell>
          <cell r="B1724">
            <v>0</v>
          </cell>
          <cell r="C1724" t="str">
            <v xml:space="preserve">  SAMIN TRADERS</v>
          </cell>
          <cell r="D1724">
            <v>0</v>
          </cell>
          <cell r="E1724">
            <v>0</v>
          </cell>
          <cell r="F1724">
            <v>0</v>
          </cell>
          <cell r="G1724">
            <v>0</v>
          </cell>
        </row>
        <row r="1725">
          <cell r="A1725" t="str">
            <v>23-01-01-1486</v>
          </cell>
          <cell r="B1725">
            <v>0</v>
          </cell>
          <cell r="C1725" t="str">
            <v xml:space="preserve">  A.A ELECTRIC</v>
          </cell>
          <cell r="D1725">
            <v>0</v>
          </cell>
          <cell r="E1725">
            <v>0</v>
          </cell>
          <cell r="F1725">
            <v>0</v>
          </cell>
          <cell r="G1725">
            <v>0</v>
          </cell>
        </row>
        <row r="1726">
          <cell r="A1726" t="str">
            <v>23-01-01-1487</v>
          </cell>
          <cell r="B1726">
            <v>0</v>
          </cell>
          <cell r="C1726" t="str">
            <v xml:space="preserve">  SHADMAN TRADERS</v>
          </cell>
          <cell r="D1726">
            <v>0</v>
          </cell>
          <cell r="E1726">
            <v>0</v>
          </cell>
          <cell r="F1726">
            <v>0</v>
          </cell>
          <cell r="G1726">
            <v>0</v>
          </cell>
        </row>
        <row r="1727">
          <cell r="A1727" t="str">
            <v>23-01-01-1488</v>
          </cell>
          <cell r="B1727">
            <v>0</v>
          </cell>
          <cell r="C1727" t="str">
            <v xml:space="preserve">  STAR ELECTRIC CONCERN</v>
          </cell>
          <cell r="D1727">
            <v>0</v>
          </cell>
          <cell r="E1727">
            <v>0</v>
          </cell>
          <cell r="F1727">
            <v>0</v>
          </cell>
          <cell r="G1727">
            <v>0</v>
          </cell>
        </row>
        <row r="1728">
          <cell r="A1728" t="str">
            <v>23-01-01-1489</v>
          </cell>
          <cell r="B1728">
            <v>0</v>
          </cell>
          <cell r="C1728" t="str">
            <v xml:space="preserve">  PACIFIC WIRES &amp; CABLES CO</v>
          </cell>
          <cell r="D1728">
            <v>0</v>
          </cell>
          <cell r="E1728">
            <v>0</v>
          </cell>
          <cell r="F1728">
            <v>0</v>
          </cell>
          <cell r="G1728">
            <v>0</v>
          </cell>
        </row>
        <row r="1729">
          <cell r="A1729" t="str">
            <v>23-01-01-1490</v>
          </cell>
          <cell r="B1729">
            <v>0</v>
          </cell>
          <cell r="C1729" t="str">
            <v xml:space="preserve">  RANGOON ENTERPRISES</v>
          </cell>
          <cell r="D1729">
            <v>0</v>
          </cell>
          <cell r="E1729">
            <v>0</v>
          </cell>
          <cell r="F1729">
            <v>0</v>
          </cell>
          <cell r="G1729">
            <v>0</v>
          </cell>
        </row>
        <row r="1730">
          <cell r="A1730" t="str">
            <v>23-01-01-1491</v>
          </cell>
          <cell r="B1730">
            <v>0</v>
          </cell>
          <cell r="C1730" t="str">
            <v xml:space="preserve">  DIESELINK SERVICES</v>
          </cell>
          <cell r="D1730">
            <v>0</v>
          </cell>
          <cell r="E1730">
            <v>0</v>
          </cell>
          <cell r="F1730">
            <v>0</v>
          </cell>
          <cell r="G1730">
            <v>0</v>
          </cell>
        </row>
        <row r="1731">
          <cell r="A1731" t="str">
            <v>23-01-01-1492</v>
          </cell>
          <cell r="B1731">
            <v>0</v>
          </cell>
          <cell r="C1731" t="str">
            <v xml:space="preserve">  HILAL TRADERS</v>
          </cell>
          <cell r="D1731">
            <v>0</v>
          </cell>
          <cell r="E1731">
            <v>0</v>
          </cell>
          <cell r="F1731">
            <v>0</v>
          </cell>
          <cell r="G1731">
            <v>0</v>
          </cell>
        </row>
        <row r="1732">
          <cell r="A1732" t="str">
            <v>23-01-01-1493</v>
          </cell>
          <cell r="B1732">
            <v>0</v>
          </cell>
          <cell r="C1732" t="str">
            <v xml:space="preserve">  KASHIF RIAZ VOHRA</v>
          </cell>
          <cell r="D1732">
            <v>0</v>
          </cell>
          <cell r="E1732">
            <v>0</v>
          </cell>
          <cell r="F1732">
            <v>0</v>
          </cell>
          <cell r="G1732">
            <v>0</v>
          </cell>
        </row>
        <row r="1733">
          <cell r="A1733" t="str">
            <v>23-01-01-1494</v>
          </cell>
          <cell r="B1733">
            <v>0</v>
          </cell>
          <cell r="C1733" t="str">
            <v xml:space="preserve">  RAFIQ IMPEX</v>
          </cell>
          <cell r="D1733">
            <v>0</v>
          </cell>
          <cell r="E1733">
            <v>0</v>
          </cell>
          <cell r="F1733">
            <v>0</v>
          </cell>
          <cell r="G1733">
            <v>0</v>
          </cell>
        </row>
        <row r="1734">
          <cell r="A1734" t="str">
            <v>23-01-01-1495</v>
          </cell>
          <cell r="B1734">
            <v>0</v>
          </cell>
          <cell r="C1734" t="str">
            <v xml:space="preserve">  A.Y TRADERS</v>
          </cell>
          <cell r="D1734">
            <v>0</v>
          </cell>
          <cell r="E1734">
            <v>0</v>
          </cell>
          <cell r="F1734">
            <v>0</v>
          </cell>
          <cell r="G1734">
            <v>0</v>
          </cell>
        </row>
        <row r="1735">
          <cell r="A1735" t="str">
            <v>23-01-01-1496</v>
          </cell>
          <cell r="B1735">
            <v>0</v>
          </cell>
          <cell r="C1735" t="str">
            <v xml:space="preserve">  SUM TRADERS</v>
          </cell>
          <cell r="D1735">
            <v>0</v>
          </cell>
          <cell r="E1735">
            <v>0</v>
          </cell>
          <cell r="F1735">
            <v>0</v>
          </cell>
          <cell r="G1735">
            <v>0</v>
          </cell>
        </row>
        <row r="1736">
          <cell r="A1736" t="str">
            <v>23-01-01-1497</v>
          </cell>
          <cell r="B1736">
            <v>0</v>
          </cell>
          <cell r="C1736" t="str">
            <v xml:space="preserve">  S.U PLASTICS</v>
          </cell>
          <cell r="D1736">
            <v>0</v>
          </cell>
          <cell r="E1736">
            <v>0</v>
          </cell>
          <cell r="F1736">
            <v>0</v>
          </cell>
          <cell r="G1736">
            <v>0</v>
          </cell>
        </row>
        <row r="1737">
          <cell r="A1737" t="str">
            <v>23-01-01-1498</v>
          </cell>
          <cell r="B1737">
            <v>0</v>
          </cell>
          <cell r="C1737" t="str">
            <v xml:space="preserve">  SUMMY TRADERS</v>
          </cell>
          <cell r="D1737">
            <v>0</v>
          </cell>
          <cell r="E1737">
            <v>0</v>
          </cell>
          <cell r="F1737">
            <v>0</v>
          </cell>
          <cell r="G1737">
            <v>0</v>
          </cell>
        </row>
        <row r="1738">
          <cell r="A1738" t="str">
            <v>23-01-01-1499</v>
          </cell>
          <cell r="B1738">
            <v>0</v>
          </cell>
          <cell r="C1738" t="str">
            <v xml:space="preserve">  GULF ELECTRIC STORE</v>
          </cell>
          <cell r="D1738">
            <v>0</v>
          </cell>
          <cell r="E1738">
            <v>0</v>
          </cell>
          <cell r="F1738">
            <v>0</v>
          </cell>
          <cell r="G1738">
            <v>0</v>
          </cell>
        </row>
        <row r="1739">
          <cell r="A1739" t="str">
            <v>23-01-01-1500</v>
          </cell>
          <cell r="B1739">
            <v>0</v>
          </cell>
          <cell r="C1739" t="str">
            <v xml:space="preserve">  SUPER ELECTRIC</v>
          </cell>
          <cell r="D1739">
            <v>0</v>
          </cell>
          <cell r="E1739">
            <v>0</v>
          </cell>
          <cell r="F1739">
            <v>0</v>
          </cell>
          <cell r="G1739">
            <v>0</v>
          </cell>
        </row>
        <row r="1740">
          <cell r="A1740" t="str">
            <v>23-01-01-1501</v>
          </cell>
          <cell r="B1740">
            <v>0</v>
          </cell>
          <cell r="C1740" t="str">
            <v xml:space="preserve">  ALLIED ENTERPRISES</v>
          </cell>
          <cell r="D1740">
            <v>0</v>
          </cell>
          <cell r="E1740">
            <v>0</v>
          </cell>
          <cell r="F1740">
            <v>0</v>
          </cell>
          <cell r="G1740">
            <v>0</v>
          </cell>
        </row>
        <row r="1741">
          <cell r="A1741" t="str">
            <v>23-01-01-1502</v>
          </cell>
          <cell r="B1741">
            <v>0</v>
          </cell>
          <cell r="C1741" t="str">
            <v xml:space="preserve">  KARACHI TRADERS</v>
          </cell>
          <cell r="D1741">
            <v>0</v>
          </cell>
          <cell r="E1741">
            <v>0</v>
          </cell>
          <cell r="F1741">
            <v>0</v>
          </cell>
          <cell r="G1741">
            <v>0</v>
          </cell>
        </row>
        <row r="1742">
          <cell r="A1742" t="str">
            <v>23-01-01-1503</v>
          </cell>
          <cell r="B1742">
            <v>0</v>
          </cell>
          <cell r="C1742" t="str">
            <v xml:space="preserve">  SHAFIQ ELECTRIC CORP.</v>
          </cell>
          <cell r="D1742">
            <v>0</v>
          </cell>
          <cell r="E1742">
            <v>0</v>
          </cell>
          <cell r="F1742">
            <v>0</v>
          </cell>
          <cell r="G1742">
            <v>0</v>
          </cell>
        </row>
        <row r="1743">
          <cell r="A1743" t="str">
            <v>23-01-01-1504</v>
          </cell>
          <cell r="B1743">
            <v>0</v>
          </cell>
          <cell r="C1743" t="str">
            <v xml:space="preserve">  AHMED IMPEX</v>
          </cell>
          <cell r="D1743">
            <v>0</v>
          </cell>
          <cell r="E1743">
            <v>0</v>
          </cell>
          <cell r="F1743">
            <v>0</v>
          </cell>
          <cell r="G1743">
            <v>0</v>
          </cell>
        </row>
        <row r="1744">
          <cell r="A1744" t="str">
            <v>23-01-01-1505</v>
          </cell>
          <cell r="B1744">
            <v>0</v>
          </cell>
          <cell r="C1744" t="str">
            <v xml:space="preserve">  HAROON ELECTRIC COMPANY</v>
          </cell>
          <cell r="D1744">
            <v>0</v>
          </cell>
          <cell r="E1744">
            <v>0</v>
          </cell>
          <cell r="F1744">
            <v>0</v>
          </cell>
          <cell r="G1744">
            <v>0</v>
          </cell>
        </row>
        <row r="1745">
          <cell r="A1745" t="str">
            <v>23-01-01-1506</v>
          </cell>
          <cell r="B1745">
            <v>0</v>
          </cell>
          <cell r="C1745" t="str">
            <v xml:space="preserve">  AHSAN MILL STORE</v>
          </cell>
          <cell r="D1745">
            <v>0</v>
          </cell>
          <cell r="E1745">
            <v>0</v>
          </cell>
          <cell r="F1745">
            <v>0</v>
          </cell>
          <cell r="G1745">
            <v>0</v>
          </cell>
        </row>
        <row r="1746">
          <cell r="A1746" t="str">
            <v>23-01-01-1507</v>
          </cell>
          <cell r="B1746">
            <v>0</v>
          </cell>
          <cell r="C1746" t="str">
            <v xml:space="preserve">  S.S ENTERPRISES</v>
          </cell>
          <cell r="D1746">
            <v>0</v>
          </cell>
          <cell r="E1746">
            <v>0</v>
          </cell>
          <cell r="F1746">
            <v>0</v>
          </cell>
          <cell r="G1746">
            <v>0</v>
          </cell>
        </row>
        <row r="1747">
          <cell r="A1747" t="str">
            <v>23-01-01-1508</v>
          </cell>
          <cell r="B1747">
            <v>0</v>
          </cell>
          <cell r="C1747" t="str">
            <v xml:space="preserve">  M.ARIF &amp; BROS</v>
          </cell>
          <cell r="D1747">
            <v>0</v>
          </cell>
          <cell r="E1747">
            <v>0</v>
          </cell>
          <cell r="F1747">
            <v>0</v>
          </cell>
          <cell r="G1747">
            <v>0</v>
          </cell>
        </row>
        <row r="1748">
          <cell r="A1748" t="str">
            <v>23-01-01-1509</v>
          </cell>
          <cell r="B1748">
            <v>0</v>
          </cell>
          <cell r="C1748" t="str">
            <v xml:space="preserve">  S.M. NIZAM-UD-DIN &amp; CO.</v>
          </cell>
          <cell r="D1748">
            <v>0</v>
          </cell>
          <cell r="E1748">
            <v>0</v>
          </cell>
          <cell r="F1748">
            <v>0</v>
          </cell>
          <cell r="G1748">
            <v>0</v>
          </cell>
        </row>
        <row r="1749">
          <cell r="A1749" t="str">
            <v>23-01-01-1510</v>
          </cell>
          <cell r="B1749">
            <v>0</v>
          </cell>
          <cell r="C1749" t="str">
            <v xml:space="preserve">  STANDARD TEXTILE TRADERS</v>
          </cell>
          <cell r="D1749">
            <v>0</v>
          </cell>
          <cell r="E1749">
            <v>0</v>
          </cell>
          <cell r="F1749">
            <v>0</v>
          </cell>
          <cell r="G1749">
            <v>0</v>
          </cell>
        </row>
        <row r="1750">
          <cell r="A1750" t="str">
            <v>23-01-01-1511</v>
          </cell>
          <cell r="B1750">
            <v>0</v>
          </cell>
          <cell r="C1750" t="str">
            <v xml:space="preserve">  FAISAL CORPORATION</v>
          </cell>
          <cell r="D1750">
            <v>0</v>
          </cell>
          <cell r="E1750">
            <v>0</v>
          </cell>
          <cell r="F1750">
            <v>0</v>
          </cell>
          <cell r="G1750">
            <v>0</v>
          </cell>
        </row>
        <row r="1751">
          <cell r="A1751" t="str">
            <v>23-01-01-1512</v>
          </cell>
          <cell r="B1751">
            <v>0</v>
          </cell>
          <cell r="C1751" t="str">
            <v xml:space="preserve">  GOLD PLASTIC</v>
          </cell>
          <cell r="D1751">
            <v>0</v>
          </cell>
          <cell r="E1751">
            <v>217350</v>
          </cell>
          <cell r="F1751">
            <v>0</v>
          </cell>
          <cell r="G1751">
            <v>0</v>
          </cell>
        </row>
        <row r="1752">
          <cell r="A1752" t="str">
            <v>23-01-01-1513</v>
          </cell>
          <cell r="B1752">
            <v>0</v>
          </cell>
          <cell r="C1752" t="str">
            <v xml:space="preserve">  WINTEX ELECTRIC CORP.</v>
          </cell>
          <cell r="D1752">
            <v>0</v>
          </cell>
          <cell r="E1752">
            <v>0</v>
          </cell>
          <cell r="F1752">
            <v>0</v>
          </cell>
          <cell r="G1752">
            <v>0</v>
          </cell>
        </row>
        <row r="1753">
          <cell r="A1753" t="str">
            <v>23-01-01-1514</v>
          </cell>
          <cell r="B1753">
            <v>0</v>
          </cell>
          <cell r="C1753" t="str">
            <v xml:space="preserve">  BABA FIRE  SERVICES</v>
          </cell>
          <cell r="D1753">
            <v>0</v>
          </cell>
          <cell r="E1753">
            <v>0</v>
          </cell>
          <cell r="F1753">
            <v>0</v>
          </cell>
          <cell r="G1753">
            <v>0</v>
          </cell>
        </row>
        <row r="1754">
          <cell r="A1754" t="str">
            <v>23-01-01-1515</v>
          </cell>
          <cell r="B1754">
            <v>0</v>
          </cell>
          <cell r="C1754" t="str">
            <v xml:space="preserve">  AWAL SERVICES</v>
          </cell>
          <cell r="D1754">
            <v>0</v>
          </cell>
          <cell r="E1754">
            <v>0</v>
          </cell>
          <cell r="F1754">
            <v>0</v>
          </cell>
          <cell r="G1754">
            <v>0</v>
          </cell>
        </row>
        <row r="1755">
          <cell r="A1755" t="str">
            <v>23-01-01-1516</v>
          </cell>
          <cell r="B1755">
            <v>0</v>
          </cell>
          <cell r="C1755" t="str">
            <v xml:space="preserve">  MUHAMMADI ELECTRIC</v>
          </cell>
          <cell r="D1755">
            <v>0</v>
          </cell>
          <cell r="E1755">
            <v>0</v>
          </cell>
          <cell r="F1755">
            <v>0</v>
          </cell>
          <cell r="G1755">
            <v>0</v>
          </cell>
        </row>
        <row r="1756">
          <cell r="A1756" t="str">
            <v>23-01-01-1517</v>
          </cell>
          <cell r="B1756">
            <v>0</v>
          </cell>
          <cell r="C1756" t="str">
            <v xml:space="preserve">  ALI AND CO.</v>
          </cell>
          <cell r="D1756">
            <v>0</v>
          </cell>
          <cell r="E1756">
            <v>0</v>
          </cell>
          <cell r="F1756">
            <v>0</v>
          </cell>
          <cell r="G1756">
            <v>0</v>
          </cell>
        </row>
        <row r="1757">
          <cell r="A1757" t="str">
            <v>23-01-01-1518</v>
          </cell>
          <cell r="B1757">
            <v>0</v>
          </cell>
          <cell r="C1757" t="str">
            <v xml:space="preserve">  A.B.B LAHORE</v>
          </cell>
          <cell r="D1757">
            <v>0</v>
          </cell>
          <cell r="E1757">
            <v>0</v>
          </cell>
          <cell r="F1757">
            <v>0</v>
          </cell>
          <cell r="G1757">
            <v>0</v>
          </cell>
        </row>
        <row r="1758">
          <cell r="A1758" t="str">
            <v>23-01-01-1519</v>
          </cell>
          <cell r="B1758">
            <v>0</v>
          </cell>
          <cell r="C1758" t="str">
            <v xml:space="preserve">  AL-HAMEED ELECTRIC STORE</v>
          </cell>
          <cell r="D1758">
            <v>0</v>
          </cell>
          <cell r="E1758">
            <v>0</v>
          </cell>
          <cell r="F1758">
            <v>0</v>
          </cell>
          <cell r="G1758">
            <v>0</v>
          </cell>
        </row>
        <row r="1759">
          <cell r="A1759" t="str">
            <v>23-01-01-1520</v>
          </cell>
          <cell r="B1759">
            <v>0</v>
          </cell>
          <cell r="C1759" t="str">
            <v xml:space="preserve">  USMAN TRADERS</v>
          </cell>
          <cell r="D1759">
            <v>0</v>
          </cell>
          <cell r="E1759">
            <v>1429250</v>
          </cell>
          <cell r="F1759">
            <v>0</v>
          </cell>
          <cell r="G1759">
            <v>0</v>
          </cell>
        </row>
        <row r="1760">
          <cell r="A1760" t="str">
            <v>23-01-01-1521</v>
          </cell>
          <cell r="B1760">
            <v>0</v>
          </cell>
          <cell r="C1760" t="str">
            <v xml:space="preserve">  IBRAHIM TRADERS</v>
          </cell>
          <cell r="D1760">
            <v>0</v>
          </cell>
          <cell r="E1760">
            <v>0</v>
          </cell>
          <cell r="F1760">
            <v>0</v>
          </cell>
          <cell r="G1760">
            <v>0</v>
          </cell>
        </row>
        <row r="1761">
          <cell r="A1761" t="str">
            <v>23-01-01-1522</v>
          </cell>
          <cell r="B1761">
            <v>0</v>
          </cell>
          <cell r="C1761" t="str">
            <v xml:space="preserve">  SHARJEEL ENTERPRISE</v>
          </cell>
          <cell r="D1761">
            <v>0</v>
          </cell>
          <cell r="E1761">
            <v>0</v>
          </cell>
          <cell r="F1761">
            <v>0</v>
          </cell>
          <cell r="G1761">
            <v>0</v>
          </cell>
        </row>
        <row r="1762">
          <cell r="A1762" t="str">
            <v>23-01-01-1523</v>
          </cell>
          <cell r="B1762">
            <v>0</v>
          </cell>
          <cell r="C1762" t="str">
            <v xml:space="preserve">  OSMAN ELECTRIC STORE</v>
          </cell>
          <cell r="D1762">
            <v>0</v>
          </cell>
          <cell r="E1762">
            <v>0</v>
          </cell>
          <cell r="F1762">
            <v>0</v>
          </cell>
          <cell r="G1762">
            <v>0</v>
          </cell>
        </row>
        <row r="1763">
          <cell r="A1763" t="str">
            <v>23-01-01-1524</v>
          </cell>
          <cell r="B1763">
            <v>0</v>
          </cell>
          <cell r="C1763" t="str">
            <v xml:space="preserve">  INTERNATIONAL METAL INDUSTRIES</v>
          </cell>
          <cell r="D1763">
            <v>0</v>
          </cell>
          <cell r="E1763">
            <v>0</v>
          </cell>
          <cell r="F1763">
            <v>0</v>
          </cell>
          <cell r="G1763">
            <v>0</v>
          </cell>
        </row>
        <row r="1764">
          <cell r="A1764" t="str">
            <v>23-01-01-1525</v>
          </cell>
          <cell r="B1764">
            <v>0</v>
          </cell>
          <cell r="C1764" t="str">
            <v xml:space="preserve">  MECHRULE ENGINEERING SERVICES</v>
          </cell>
          <cell r="D1764">
            <v>0</v>
          </cell>
          <cell r="E1764">
            <v>0</v>
          </cell>
          <cell r="F1764">
            <v>0</v>
          </cell>
          <cell r="G1764">
            <v>0</v>
          </cell>
        </row>
        <row r="1765">
          <cell r="A1765" t="str">
            <v>23-01-01-1526</v>
          </cell>
          <cell r="B1765">
            <v>0</v>
          </cell>
          <cell r="C1765" t="str">
            <v xml:space="preserve">  RAHIM ELECTRIC CORPORATION</v>
          </cell>
          <cell r="D1765">
            <v>0</v>
          </cell>
          <cell r="E1765">
            <v>0</v>
          </cell>
          <cell r="F1765">
            <v>0</v>
          </cell>
          <cell r="G1765">
            <v>0</v>
          </cell>
        </row>
        <row r="1766">
          <cell r="A1766" t="str">
            <v>23-01-01-1527</v>
          </cell>
          <cell r="B1766">
            <v>0</v>
          </cell>
          <cell r="C1766" t="str">
            <v xml:space="preserve">  MAKKAYS HI-TECH II SYSTEMS</v>
          </cell>
          <cell r="D1766">
            <v>0</v>
          </cell>
          <cell r="E1766">
            <v>0</v>
          </cell>
          <cell r="F1766">
            <v>0</v>
          </cell>
          <cell r="G1766">
            <v>0</v>
          </cell>
        </row>
        <row r="1767">
          <cell r="A1767" t="str">
            <v>23-01-01-1528</v>
          </cell>
          <cell r="B1767">
            <v>0</v>
          </cell>
          <cell r="C1767" t="str">
            <v xml:space="preserve">  M.KHALDA PARVEEN</v>
          </cell>
          <cell r="D1767">
            <v>0</v>
          </cell>
          <cell r="E1767">
            <v>0</v>
          </cell>
          <cell r="F1767">
            <v>0</v>
          </cell>
          <cell r="G1767">
            <v>0</v>
          </cell>
        </row>
        <row r="1768">
          <cell r="A1768" t="str">
            <v>23-01-01-1529</v>
          </cell>
          <cell r="B1768">
            <v>0</v>
          </cell>
          <cell r="C1768" t="str">
            <v xml:space="preserve">  CENTURY TRADING ENTERPRISE</v>
          </cell>
          <cell r="D1768">
            <v>0</v>
          </cell>
          <cell r="E1768">
            <v>0</v>
          </cell>
          <cell r="F1768">
            <v>0</v>
          </cell>
          <cell r="G1768">
            <v>0</v>
          </cell>
        </row>
        <row r="1769">
          <cell r="A1769" t="str">
            <v>23-01-01-1530</v>
          </cell>
          <cell r="B1769">
            <v>0</v>
          </cell>
          <cell r="C1769" t="str">
            <v xml:space="preserve">  GALAXY TRADERS</v>
          </cell>
          <cell r="D1769">
            <v>0</v>
          </cell>
          <cell r="E1769">
            <v>0</v>
          </cell>
          <cell r="F1769">
            <v>0</v>
          </cell>
          <cell r="G1769">
            <v>0</v>
          </cell>
        </row>
        <row r="1770">
          <cell r="A1770" t="str">
            <v>23-01-01-1531</v>
          </cell>
          <cell r="B1770">
            <v>0</v>
          </cell>
          <cell r="C1770" t="str">
            <v xml:space="preserve">  FAMETEX INTERNATIONAL</v>
          </cell>
          <cell r="D1770">
            <v>0</v>
          </cell>
          <cell r="E1770">
            <v>0</v>
          </cell>
          <cell r="F1770">
            <v>0</v>
          </cell>
          <cell r="G1770">
            <v>0</v>
          </cell>
        </row>
        <row r="1771">
          <cell r="A1771" t="str">
            <v>23-01-01-1532</v>
          </cell>
          <cell r="B1771">
            <v>0</v>
          </cell>
          <cell r="C1771" t="str">
            <v xml:space="preserve">  FAISAL BROTHERS</v>
          </cell>
          <cell r="D1771">
            <v>0</v>
          </cell>
          <cell r="E1771">
            <v>0</v>
          </cell>
          <cell r="F1771">
            <v>0</v>
          </cell>
          <cell r="G1771">
            <v>0</v>
          </cell>
        </row>
        <row r="1772">
          <cell r="A1772" t="str">
            <v>23-01-01-1533</v>
          </cell>
          <cell r="B1772">
            <v>0</v>
          </cell>
          <cell r="C1772" t="str">
            <v xml:space="preserve">  YAKOOB ELECTRIC</v>
          </cell>
          <cell r="D1772">
            <v>0</v>
          </cell>
          <cell r="E1772">
            <v>0</v>
          </cell>
          <cell r="F1772">
            <v>0</v>
          </cell>
          <cell r="G1772">
            <v>0</v>
          </cell>
        </row>
        <row r="1773">
          <cell r="A1773" t="str">
            <v>23-01-01-1534</v>
          </cell>
          <cell r="B1773">
            <v>0</v>
          </cell>
          <cell r="C1773" t="str">
            <v xml:space="preserve">  HASSAN ELECTRIC CO.</v>
          </cell>
          <cell r="D1773">
            <v>0</v>
          </cell>
          <cell r="E1773">
            <v>0</v>
          </cell>
          <cell r="F1773">
            <v>0</v>
          </cell>
          <cell r="G1773">
            <v>0</v>
          </cell>
        </row>
        <row r="1774">
          <cell r="A1774" t="str">
            <v>23-01-01-1535</v>
          </cell>
          <cell r="B1774">
            <v>0</v>
          </cell>
          <cell r="C1774" t="str">
            <v xml:space="preserve">  A.A TEXTILE CORPORATION</v>
          </cell>
          <cell r="D1774">
            <v>0</v>
          </cell>
          <cell r="E1774">
            <v>0</v>
          </cell>
          <cell r="F1774">
            <v>0</v>
          </cell>
          <cell r="G1774">
            <v>0</v>
          </cell>
        </row>
        <row r="1775">
          <cell r="A1775" t="str">
            <v>23-01-01-1536</v>
          </cell>
          <cell r="B1775">
            <v>0</v>
          </cell>
          <cell r="C1775" t="str">
            <v xml:space="preserve">  DECORA HOUSE</v>
          </cell>
          <cell r="D1775">
            <v>0</v>
          </cell>
          <cell r="E1775">
            <v>10340</v>
          </cell>
          <cell r="F1775">
            <v>0</v>
          </cell>
          <cell r="G1775">
            <v>0</v>
          </cell>
        </row>
        <row r="1776">
          <cell r="A1776" t="str">
            <v>23-01-01-1537</v>
          </cell>
          <cell r="B1776">
            <v>0</v>
          </cell>
          <cell r="C1776" t="str">
            <v xml:space="preserve">  ANNOOR ELECTRIC CENTRE</v>
          </cell>
          <cell r="D1776">
            <v>0</v>
          </cell>
          <cell r="E1776">
            <v>0</v>
          </cell>
          <cell r="F1776">
            <v>0</v>
          </cell>
          <cell r="G1776">
            <v>0</v>
          </cell>
        </row>
        <row r="1777">
          <cell r="A1777" t="str">
            <v>23-01-01-1538</v>
          </cell>
          <cell r="B1777">
            <v>0</v>
          </cell>
          <cell r="C1777" t="str">
            <v xml:space="preserve">  SUNNY TRADERS</v>
          </cell>
          <cell r="D1777">
            <v>0</v>
          </cell>
          <cell r="E1777">
            <v>0</v>
          </cell>
          <cell r="F1777">
            <v>0</v>
          </cell>
          <cell r="G1777">
            <v>0</v>
          </cell>
        </row>
        <row r="1778">
          <cell r="A1778" t="str">
            <v>23-01-01-1539</v>
          </cell>
          <cell r="B1778">
            <v>0</v>
          </cell>
          <cell r="C1778" t="str">
            <v xml:space="preserve">  LAHORE MILL STORE</v>
          </cell>
          <cell r="D1778">
            <v>0</v>
          </cell>
          <cell r="E1778">
            <v>0</v>
          </cell>
          <cell r="F1778">
            <v>0</v>
          </cell>
          <cell r="G1778">
            <v>0</v>
          </cell>
        </row>
        <row r="1779">
          <cell r="A1779" t="str">
            <v>23-01-01-1540</v>
          </cell>
          <cell r="B1779">
            <v>0</v>
          </cell>
          <cell r="C1779" t="str">
            <v xml:space="preserve">  VENUS TRADERS</v>
          </cell>
          <cell r="D1779">
            <v>0</v>
          </cell>
          <cell r="E1779">
            <v>0</v>
          </cell>
          <cell r="F1779">
            <v>0</v>
          </cell>
          <cell r="G1779">
            <v>0</v>
          </cell>
        </row>
        <row r="1780">
          <cell r="A1780" t="str">
            <v>23-01-01-1541</v>
          </cell>
          <cell r="B1780">
            <v>0</v>
          </cell>
          <cell r="C1780" t="str">
            <v xml:space="preserve">  ADAMJEE ELECTRIC CO.</v>
          </cell>
          <cell r="D1780">
            <v>0</v>
          </cell>
          <cell r="E1780">
            <v>0</v>
          </cell>
          <cell r="F1780">
            <v>0</v>
          </cell>
          <cell r="G1780">
            <v>0</v>
          </cell>
        </row>
        <row r="1781">
          <cell r="A1781" t="str">
            <v>23-01-01-1542</v>
          </cell>
          <cell r="B1781">
            <v>0</v>
          </cell>
          <cell r="C1781" t="str">
            <v xml:space="preserve">  SITARA ENGINEERING &amp; CONSTRUCTION CO.</v>
          </cell>
          <cell r="D1781">
            <v>0</v>
          </cell>
          <cell r="E1781">
            <v>0</v>
          </cell>
          <cell r="F1781">
            <v>0</v>
          </cell>
          <cell r="G1781">
            <v>0</v>
          </cell>
        </row>
        <row r="1782">
          <cell r="A1782" t="str">
            <v>23-01-01-1543</v>
          </cell>
          <cell r="B1782">
            <v>0</v>
          </cell>
          <cell r="C1782" t="str">
            <v xml:space="preserve">  SPEED-FLO FILTER INDUSTRIES</v>
          </cell>
          <cell r="D1782">
            <v>0</v>
          </cell>
          <cell r="E1782">
            <v>0</v>
          </cell>
          <cell r="F1782">
            <v>0</v>
          </cell>
          <cell r="G1782">
            <v>0</v>
          </cell>
        </row>
        <row r="1783">
          <cell r="A1783" t="str">
            <v>23-01-01-1544</v>
          </cell>
          <cell r="B1783">
            <v>0</v>
          </cell>
          <cell r="C1783" t="str">
            <v xml:space="preserve">  AL-FALAH TRADERS</v>
          </cell>
          <cell r="D1783">
            <v>0</v>
          </cell>
          <cell r="E1783">
            <v>0</v>
          </cell>
          <cell r="F1783">
            <v>0</v>
          </cell>
          <cell r="G1783">
            <v>0</v>
          </cell>
        </row>
        <row r="1784">
          <cell r="A1784" t="str">
            <v>23-01-01-1545</v>
          </cell>
          <cell r="B1784">
            <v>0</v>
          </cell>
          <cell r="C1784" t="str">
            <v xml:space="preserve">  AMIN CORPORATION</v>
          </cell>
          <cell r="D1784">
            <v>0</v>
          </cell>
          <cell r="E1784">
            <v>0</v>
          </cell>
          <cell r="F1784">
            <v>0</v>
          </cell>
          <cell r="G1784">
            <v>0</v>
          </cell>
        </row>
        <row r="1785">
          <cell r="A1785" t="str">
            <v>23-01-01-1546</v>
          </cell>
          <cell r="B1785">
            <v>0</v>
          </cell>
          <cell r="C1785" t="str">
            <v xml:space="preserve">  ZAHID ENGINEERING TRADERS</v>
          </cell>
          <cell r="D1785">
            <v>0</v>
          </cell>
          <cell r="E1785">
            <v>0</v>
          </cell>
          <cell r="F1785">
            <v>0</v>
          </cell>
          <cell r="G1785">
            <v>0</v>
          </cell>
        </row>
        <row r="1786">
          <cell r="A1786" t="str">
            <v>23-01-01-1547</v>
          </cell>
          <cell r="B1786">
            <v>0</v>
          </cell>
          <cell r="C1786" t="str">
            <v xml:space="preserve">  AL-BARKAT TRADERS</v>
          </cell>
          <cell r="D1786">
            <v>0</v>
          </cell>
          <cell r="E1786">
            <v>0</v>
          </cell>
          <cell r="F1786">
            <v>0</v>
          </cell>
          <cell r="G1786">
            <v>0</v>
          </cell>
        </row>
        <row r="1787">
          <cell r="A1787" t="str">
            <v>23-01-01-1548</v>
          </cell>
          <cell r="B1787">
            <v>0</v>
          </cell>
          <cell r="C1787" t="str">
            <v xml:space="preserve">  TAYYAB BROTHERS</v>
          </cell>
          <cell r="D1787">
            <v>0</v>
          </cell>
          <cell r="E1787">
            <v>0</v>
          </cell>
          <cell r="F1787">
            <v>0</v>
          </cell>
          <cell r="G1787">
            <v>0</v>
          </cell>
        </row>
        <row r="1788">
          <cell r="A1788" t="str">
            <v>23-01-01-1549</v>
          </cell>
          <cell r="B1788">
            <v>0</v>
          </cell>
          <cell r="C1788" t="str">
            <v xml:space="preserve">  MAJID AND SONS ENGINEERING WORKS</v>
          </cell>
          <cell r="D1788">
            <v>0</v>
          </cell>
          <cell r="E1788">
            <v>0</v>
          </cell>
          <cell r="F1788">
            <v>0</v>
          </cell>
          <cell r="G1788">
            <v>0</v>
          </cell>
        </row>
        <row r="1789">
          <cell r="A1789" t="str">
            <v>23-01-01-1550</v>
          </cell>
          <cell r="B1789">
            <v>0</v>
          </cell>
          <cell r="C1789" t="str">
            <v xml:space="preserve">  SUN ENTERPRISES</v>
          </cell>
          <cell r="D1789">
            <v>0</v>
          </cell>
          <cell r="E1789">
            <v>0</v>
          </cell>
          <cell r="F1789">
            <v>0</v>
          </cell>
          <cell r="G1789">
            <v>0</v>
          </cell>
        </row>
        <row r="1790">
          <cell r="A1790" t="str">
            <v>23-01-01-1551</v>
          </cell>
          <cell r="B1790">
            <v>0</v>
          </cell>
          <cell r="C1790" t="str">
            <v xml:space="preserve">  DECENT ELECTRIC CO.</v>
          </cell>
          <cell r="D1790">
            <v>0</v>
          </cell>
          <cell r="E1790">
            <v>0</v>
          </cell>
          <cell r="F1790">
            <v>0</v>
          </cell>
          <cell r="G1790">
            <v>0</v>
          </cell>
        </row>
        <row r="1791">
          <cell r="A1791" t="str">
            <v>23-01-01-1552</v>
          </cell>
          <cell r="B1791">
            <v>0</v>
          </cell>
          <cell r="C1791" t="str">
            <v xml:space="preserve">  MOON CORPORATION</v>
          </cell>
          <cell r="D1791">
            <v>0</v>
          </cell>
          <cell r="E1791">
            <v>0</v>
          </cell>
          <cell r="F1791">
            <v>0</v>
          </cell>
          <cell r="G1791">
            <v>0</v>
          </cell>
        </row>
        <row r="1792">
          <cell r="A1792" t="str">
            <v>23-01-01-1553</v>
          </cell>
          <cell r="B1792">
            <v>0</v>
          </cell>
          <cell r="C1792" t="str">
            <v xml:space="preserve">  SHAHZEB ENGINEERING WORKS</v>
          </cell>
          <cell r="D1792">
            <v>0</v>
          </cell>
          <cell r="E1792">
            <v>0</v>
          </cell>
          <cell r="F1792">
            <v>0</v>
          </cell>
          <cell r="G1792">
            <v>0</v>
          </cell>
        </row>
        <row r="1793">
          <cell r="A1793" t="str">
            <v>23-01-01-1554</v>
          </cell>
          <cell r="B1793">
            <v>0</v>
          </cell>
          <cell r="C1793" t="str">
            <v xml:space="preserve">  KHAKSAR TRADING CO.</v>
          </cell>
          <cell r="D1793">
            <v>0</v>
          </cell>
          <cell r="E1793">
            <v>0</v>
          </cell>
          <cell r="F1793">
            <v>0</v>
          </cell>
          <cell r="G1793">
            <v>0</v>
          </cell>
        </row>
        <row r="1794">
          <cell r="A1794" t="str">
            <v>23-01-01-1555</v>
          </cell>
          <cell r="B1794">
            <v>0</v>
          </cell>
          <cell r="C1794" t="str">
            <v xml:space="preserve">  SHARHAD ELECTRIC</v>
          </cell>
          <cell r="D1794">
            <v>0</v>
          </cell>
          <cell r="E1794">
            <v>0</v>
          </cell>
          <cell r="F1794">
            <v>0</v>
          </cell>
          <cell r="G1794">
            <v>0</v>
          </cell>
        </row>
        <row r="1795">
          <cell r="A1795" t="str">
            <v>23-01-01-1556</v>
          </cell>
          <cell r="B1795">
            <v>0</v>
          </cell>
          <cell r="C1795" t="str">
            <v xml:space="preserve">  MUHAMMADI CORPORATION</v>
          </cell>
          <cell r="D1795">
            <v>0</v>
          </cell>
          <cell r="E1795">
            <v>0</v>
          </cell>
          <cell r="F1795">
            <v>0</v>
          </cell>
          <cell r="G1795">
            <v>0</v>
          </cell>
        </row>
        <row r="1796">
          <cell r="A1796" t="str">
            <v>23-01-01-1557</v>
          </cell>
          <cell r="B1796">
            <v>0</v>
          </cell>
          <cell r="C1796" t="str">
            <v xml:space="preserve">  ZETCO ENTERPRISES</v>
          </cell>
          <cell r="D1796">
            <v>0</v>
          </cell>
          <cell r="E1796">
            <v>0</v>
          </cell>
          <cell r="F1796">
            <v>0</v>
          </cell>
          <cell r="G1796">
            <v>0</v>
          </cell>
        </row>
        <row r="1797">
          <cell r="A1797" t="str">
            <v>23-01-01-1558</v>
          </cell>
          <cell r="B1797">
            <v>0</v>
          </cell>
          <cell r="C1797" t="str">
            <v xml:space="preserve">  ZUBAIR ELECTRIC</v>
          </cell>
          <cell r="D1797">
            <v>0</v>
          </cell>
          <cell r="E1797">
            <v>0</v>
          </cell>
          <cell r="F1797">
            <v>0</v>
          </cell>
          <cell r="G1797">
            <v>0</v>
          </cell>
        </row>
        <row r="1798">
          <cell r="A1798" t="str">
            <v>23-01-01-1559</v>
          </cell>
          <cell r="B1798">
            <v>0</v>
          </cell>
          <cell r="C1798" t="str">
            <v xml:space="preserve">  ZUM ZUM ELECTRIC</v>
          </cell>
          <cell r="D1798">
            <v>0</v>
          </cell>
          <cell r="E1798">
            <v>0</v>
          </cell>
          <cell r="F1798">
            <v>0</v>
          </cell>
          <cell r="G1798">
            <v>0</v>
          </cell>
        </row>
        <row r="1799">
          <cell r="A1799" t="str">
            <v>23-01-01-1560</v>
          </cell>
          <cell r="B1799">
            <v>0</v>
          </cell>
          <cell r="C1799" t="str">
            <v xml:space="preserve">  JAPAN ENGINEERING WORKS</v>
          </cell>
          <cell r="D1799">
            <v>0</v>
          </cell>
          <cell r="E1799">
            <v>0</v>
          </cell>
          <cell r="F1799">
            <v>0</v>
          </cell>
          <cell r="G1799">
            <v>0</v>
          </cell>
        </row>
        <row r="1800">
          <cell r="A1800" t="str">
            <v>23-01-01-1561</v>
          </cell>
          <cell r="B1800">
            <v>0</v>
          </cell>
          <cell r="C1800" t="str">
            <v xml:space="preserve">  UNIVERSAL ELECTRIC CO.</v>
          </cell>
          <cell r="D1800">
            <v>0</v>
          </cell>
          <cell r="E1800">
            <v>0</v>
          </cell>
          <cell r="F1800">
            <v>0</v>
          </cell>
          <cell r="G1800">
            <v>0</v>
          </cell>
        </row>
        <row r="1801">
          <cell r="A1801" t="str">
            <v>23-01-01-1562</v>
          </cell>
          <cell r="B1801">
            <v>0</v>
          </cell>
          <cell r="C1801" t="str">
            <v xml:space="preserve">  KASHMIR CORPORATION</v>
          </cell>
          <cell r="D1801">
            <v>0</v>
          </cell>
          <cell r="E1801">
            <v>0</v>
          </cell>
          <cell r="F1801">
            <v>0</v>
          </cell>
          <cell r="G1801">
            <v>0</v>
          </cell>
        </row>
        <row r="1802">
          <cell r="A1802" t="str">
            <v>23-01-01-1563</v>
          </cell>
          <cell r="B1802">
            <v>0</v>
          </cell>
          <cell r="C1802" t="str">
            <v xml:space="preserve">  ORIENT ENTERPRISES</v>
          </cell>
          <cell r="D1802">
            <v>0</v>
          </cell>
          <cell r="E1802">
            <v>0</v>
          </cell>
          <cell r="F1802">
            <v>0</v>
          </cell>
          <cell r="G1802">
            <v>0</v>
          </cell>
        </row>
        <row r="1803">
          <cell r="A1803" t="str">
            <v>23-01-01-1564</v>
          </cell>
          <cell r="B1803">
            <v>0</v>
          </cell>
          <cell r="C1803" t="str">
            <v xml:space="preserve">  TANVEER IMPEX</v>
          </cell>
          <cell r="D1803">
            <v>0</v>
          </cell>
          <cell r="E1803">
            <v>0</v>
          </cell>
          <cell r="F1803">
            <v>0</v>
          </cell>
          <cell r="G1803">
            <v>0</v>
          </cell>
        </row>
        <row r="1804">
          <cell r="A1804" t="str">
            <v>23-01-01-1565</v>
          </cell>
          <cell r="B1804">
            <v>0</v>
          </cell>
          <cell r="C1804" t="str">
            <v xml:space="preserve">  ZEB ENTERPRISES</v>
          </cell>
          <cell r="D1804">
            <v>0</v>
          </cell>
          <cell r="E1804">
            <v>0</v>
          </cell>
          <cell r="F1804">
            <v>0</v>
          </cell>
          <cell r="G1804">
            <v>0</v>
          </cell>
        </row>
        <row r="1805">
          <cell r="A1805" t="str">
            <v>23-01-01-1566</v>
          </cell>
          <cell r="B1805">
            <v>0</v>
          </cell>
          <cell r="C1805" t="str">
            <v xml:space="preserve">  ALMAS ELECTRIC CO.</v>
          </cell>
          <cell r="D1805">
            <v>0</v>
          </cell>
          <cell r="E1805">
            <v>0</v>
          </cell>
          <cell r="F1805">
            <v>0</v>
          </cell>
          <cell r="G1805">
            <v>0</v>
          </cell>
        </row>
        <row r="1806">
          <cell r="A1806" t="str">
            <v>23-01-01-1567</v>
          </cell>
          <cell r="B1806">
            <v>0</v>
          </cell>
          <cell r="C1806" t="str">
            <v xml:space="preserve">  MEHRAN ENTERPRISES</v>
          </cell>
          <cell r="D1806">
            <v>0</v>
          </cell>
          <cell r="E1806">
            <v>0</v>
          </cell>
          <cell r="F1806">
            <v>0</v>
          </cell>
          <cell r="G1806">
            <v>0</v>
          </cell>
        </row>
        <row r="1807">
          <cell r="A1807" t="str">
            <v>23-01-01-1568</v>
          </cell>
          <cell r="B1807">
            <v>0</v>
          </cell>
          <cell r="C1807" t="str">
            <v xml:space="preserve">  SPEED FLO FILTER INDUSTRIES</v>
          </cell>
          <cell r="D1807">
            <v>0</v>
          </cell>
          <cell r="E1807">
            <v>0</v>
          </cell>
          <cell r="F1807">
            <v>0</v>
          </cell>
          <cell r="G1807">
            <v>0</v>
          </cell>
        </row>
        <row r="1808">
          <cell r="A1808" t="str">
            <v>23-01-01-1569</v>
          </cell>
          <cell r="B1808">
            <v>0</v>
          </cell>
          <cell r="C1808" t="str">
            <v xml:space="preserve">  AMBER IMPEX</v>
          </cell>
          <cell r="D1808">
            <v>0</v>
          </cell>
          <cell r="E1808">
            <v>0</v>
          </cell>
          <cell r="F1808">
            <v>0</v>
          </cell>
          <cell r="G1808">
            <v>0</v>
          </cell>
        </row>
        <row r="1809">
          <cell r="A1809" t="str">
            <v>23-01-01-1570</v>
          </cell>
          <cell r="B1809">
            <v>0</v>
          </cell>
          <cell r="C1809" t="str">
            <v xml:space="preserve">  KARACHI ELECTRIC</v>
          </cell>
          <cell r="D1809">
            <v>0</v>
          </cell>
          <cell r="E1809">
            <v>0</v>
          </cell>
          <cell r="F1809">
            <v>0</v>
          </cell>
          <cell r="G1809">
            <v>0</v>
          </cell>
        </row>
        <row r="1810">
          <cell r="A1810" t="str">
            <v>23-01-01-1571</v>
          </cell>
          <cell r="B1810">
            <v>0</v>
          </cell>
          <cell r="C1810" t="str">
            <v xml:space="preserve">  NEW TECH BEARINGS</v>
          </cell>
          <cell r="D1810">
            <v>0</v>
          </cell>
          <cell r="E1810">
            <v>0</v>
          </cell>
          <cell r="F1810">
            <v>0</v>
          </cell>
          <cell r="G1810">
            <v>0</v>
          </cell>
        </row>
        <row r="1811">
          <cell r="A1811" t="str">
            <v>23-01-01-1572</v>
          </cell>
          <cell r="B1811">
            <v>0</v>
          </cell>
          <cell r="C1811" t="str">
            <v xml:space="preserve">  SATTAR ELECTRIC</v>
          </cell>
          <cell r="D1811">
            <v>0</v>
          </cell>
          <cell r="E1811">
            <v>0</v>
          </cell>
          <cell r="F1811">
            <v>0</v>
          </cell>
          <cell r="G1811">
            <v>0</v>
          </cell>
        </row>
        <row r="1812">
          <cell r="A1812" t="str">
            <v>23-01-01-1573</v>
          </cell>
          <cell r="B1812">
            <v>0</v>
          </cell>
          <cell r="C1812" t="str">
            <v xml:space="preserve">  M. JAMIL CABLE MERCHANT</v>
          </cell>
          <cell r="D1812">
            <v>0</v>
          </cell>
          <cell r="E1812">
            <v>0</v>
          </cell>
          <cell r="F1812">
            <v>0</v>
          </cell>
          <cell r="G1812">
            <v>0</v>
          </cell>
        </row>
        <row r="1813">
          <cell r="A1813" t="str">
            <v>23-01-01-1574</v>
          </cell>
          <cell r="B1813">
            <v>0</v>
          </cell>
          <cell r="C1813" t="str">
            <v xml:space="preserve">  ROYAL IMPEX</v>
          </cell>
          <cell r="D1813">
            <v>0</v>
          </cell>
          <cell r="E1813">
            <v>0</v>
          </cell>
          <cell r="F1813">
            <v>0</v>
          </cell>
          <cell r="G1813">
            <v>0</v>
          </cell>
        </row>
        <row r="1814">
          <cell r="A1814" t="str">
            <v>23-01-01-1575</v>
          </cell>
          <cell r="B1814">
            <v>0</v>
          </cell>
          <cell r="C1814" t="str">
            <v xml:space="preserve">  SUMERA ELECTRIC STORE</v>
          </cell>
          <cell r="D1814">
            <v>0</v>
          </cell>
          <cell r="E1814">
            <v>0</v>
          </cell>
          <cell r="F1814">
            <v>0</v>
          </cell>
          <cell r="G1814">
            <v>0</v>
          </cell>
        </row>
        <row r="1815">
          <cell r="A1815" t="str">
            <v>23-01-01-1576</v>
          </cell>
          <cell r="B1815">
            <v>0</v>
          </cell>
          <cell r="C1815" t="str">
            <v xml:space="preserve">  M.N.IQBAL &amp; CO.</v>
          </cell>
          <cell r="D1815">
            <v>0</v>
          </cell>
          <cell r="E1815">
            <v>0</v>
          </cell>
          <cell r="F1815">
            <v>0</v>
          </cell>
          <cell r="G1815">
            <v>0</v>
          </cell>
        </row>
        <row r="1816">
          <cell r="A1816" t="str">
            <v>23-01-01-1577</v>
          </cell>
          <cell r="B1816">
            <v>0</v>
          </cell>
          <cell r="C1816" t="str">
            <v xml:space="preserve">  SALEEM AKRAM TEXTILE ENGG.INDUSTRY</v>
          </cell>
          <cell r="D1816">
            <v>0</v>
          </cell>
          <cell r="E1816">
            <v>0</v>
          </cell>
          <cell r="F1816">
            <v>0</v>
          </cell>
          <cell r="G1816">
            <v>0</v>
          </cell>
        </row>
        <row r="1817">
          <cell r="A1817" t="str">
            <v>23-01-01-1578</v>
          </cell>
          <cell r="B1817">
            <v>0</v>
          </cell>
          <cell r="C1817" t="str">
            <v xml:space="preserve">  KARSAZ ELECTRIC</v>
          </cell>
          <cell r="D1817">
            <v>0</v>
          </cell>
          <cell r="E1817">
            <v>0</v>
          </cell>
          <cell r="F1817">
            <v>0</v>
          </cell>
          <cell r="G1817">
            <v>0</v>
          </cell>
        </row>
        <row r="1818">
          <cell r="A1818" t="str">
            <v>23-01-01-1579</v>
          </cell>
          <cell r="B1818">
            <v>0</v>
          </cell>
          <cell r="C1818" t="str">
            <v xml:space="preserve">  DANISH IMPEX</v>
          </cell>
          <cell r="D1818">
            <v>0</v>
          </cell>
          <cell r="E1818">
            <v>0</v>
          </cell>
          <cell r="F1818">
            <v>0</v>
          </cell>
          <cell r="G1818">
            <v>0</v>
          </cell>
        </row>
        <row r="1819">
          <cell r="A1819" t="str">
            <v>23-01-01-1580</v>
          </cell>
          <cell r="B1819">
            <v>0</v>
          </cell>
          <cell r="C1819" t="str">
            <v xml:space="preserve">  SADIQ TRADING CORPORATION</v>
          </cell>
          <cell r="D1819">
            <v>0</v>
          </cell>
          <cell r="E1819">
            <v>0</v>
          </cell>
          <cell r="F1819">
            <v>0</v>
          </cell>
          <cell r="G1819">
            <v>0</v>
          </cell>
        </row>
        <row r="1820">
          <cell r="A1820" t="str">
            <v>23-01-01-1581</v>
          </cell>
          <cell r="B1820">
            <v>0</v>
          </cell>
          <cell r="C1820" t="str">
            <v xml:space="preserve">  STANDARD ENGINEERING WORKS (PVT) LTD.</v>
          </cell>
          <cell r="D1820">
            <v>0</v>
          </cell>
          <cell r="E1820">
            <v>13205</v>
          </cell>
          <cell r="F1820">
            <v>0</v>
          </cell>
          <cell r="G1820">
            <v>0</v>
          </cell>
        </row>
        <row r="1821">
          <cell r="A1821" t="str">
            <v>23-01-01-1582</v>
          </cell>
          <cell r="B1821">
            <v>0</v>
          </cell>
          <cell r="C1821" t="str">
            <v xml:space="preserve">  U.M.I COMMUNICATION</v>
          </cell>
          <cell r="D1821">
            <v>0</v>
          </cell>
          <cell r="E1821">
            <v>0</v>
          </cell>
          <cell r="F1821">
            <v>0</v>
          </cell>
          <cell r="G1821">
            <v>0</v>
          </cell>
        </row>
        <row r="1822">
          <cell r="A1822" t="str">
            <v>23-01-01-1583</v>
          </cell>
          <cell r="B1822">
            <v>0</v>
          </cell>
          <cell r="C1822" t="str">
            <v xml:space="preserve">  GHULAM MUSTAFA &amp; COMPANY</v>
          </cell>
          <cell r="D1822">
            <v>0</v>
          </cell>
          <cell r="E1822">
            <v>0</v>
          </cell>
          <cell r="F1822">
            <v>0</v>
          </cell>
          <cell r="G1822">
            <v>0</v>
          </cell>
        </row>
        <row r="1823">
          <cell r="A1823" t="str">
            <v>23-01-01-1584</v>
          </cell>
          <cell r="B1823">
            <v>0</v>
          </cell>
          <cell r="C1823" t="str">
            <v xml:space="preserve">  BRIGHTO PAINT HOUSE</v>
          </cell>
          <cell r="D1823">
            <v>0</v>
          </cell>
          <cell r="E1823">
            <v>34500</v>
          </cell>
          <cell r="F1823">
            <v>0</v>
          </cell>
          <cell r="G1823">
            <v>0</v>
          </cell>
        </row>
        <row r="1824">
          <cell r="A1824" t="str">
            <v>23-01-01-1585</v>
          </cell>
          <cell r="B1824">
            <v>0</v>
          </cell>
          <cell r="C1824" t="str">
            <v xml:space="preserve">  MEERSONS</v>
          </cell>
          <cell r="D1824">
            <v>0</v>
          </cell>
          <cell r="E1824">
            <v>0</v>
          </cell>
          <cell r="F1824">
            <v>0</v>
          </cell>
          <cell r="G1824">
            <v>0</v>
          </cell>
        </row>
        <row r="1825">
          <cell r="A1825" t="str">
            <v>23-01-01-1586</v>
          </cell>
          <cell r="B1825">
            <v>0</v>
          </cell>
          <cell r="C1825" t="str">
            <v xml:space="preserve">  MIAN SADAR-UD-DIN &amp; SONS</v>
          </cell>
          <cell r="D1825">
            <v>0</v>
          </cell>
          <cell r="E1825">
            <v>0</v>
          </cell>
          <cell r="F1825">
            <v>0</v>
          </cell>
          <cell r="G1825">
            <v>0</v>
          </cell>
        </row>
        <row r="1826">
          <cell r="A1826" t="str">
            <v>23-01-01-1587</v>
          </cell>
          <cell r="B1826">
            <v>0</v>
          </cell>
          <cell r="C1826" t="str">
            <v xml:space="preserve">  PACIFIC TRADERS</v>
          </cell>
          <cell r="D1826">
            <v>0</v>
          </cell>
          <cell r="E1826">
            <v>0</v>
          </cell>
          <cell r="F1826">
            <v>0</v>
          </cell>
          <cell r="G1826">
            <v>0</v>
          </cell>
        </row>
        <row r="1827">
          <cell r="A1827" t="str">
            <v>23-01-01-1588</v>
          </cell>
          <cell r="B1827">
            <v>0</v>
          </cell>
          <cell r="C1827" t="str">
            <v xml:space="preserve">  VICKY TRADERS</v>
          </cell>
          <cell r="D1827">
            <v>0</v>
          </cell>
          <cell r="E1827">
            <v>0</v>
          </cell>
          <cell r="F1827">
            <v>0</v>
          </cell>
          <cell r="G1827">
            <v>0</v>
          </cell>
        </row>
        <row r="1828">
          <cell r="A1828" t="str">
            <v>23-01-01-1589</v>
          </cell>
          <cell r="B1828">
            <v>0</v>
          </cell>
          <cell r="C1828" t="str">
            <v xml:space="preserve">  SALMAN CHEMICAL</v>
          </cell>
          <cell r="D1828">
            <v>0</v>
          </cell>
          <cell r="E1828">
            <v>0</v>
          </cell>
          <cell r="F1828">
            <v>0</v>
          </cell>
          <cell r="G1828">
            <v>0</v>
          </cell>
        </row>
        <row r="1829">
          <cell r="A1829" t="str">
            <v>23-01-01-1590</v>
          </cell>
          <cell r="B1829">
            <v>0</v>
          </cell>
          <cell r="C1829" t="str">
            <v xml:space="preserve">  STANDARD SPARE SUPPLIES</v>
          </cell>
          <cell r="D1829">
            <v>0</v>
          </cell>
          <cell r="E1829">
            <v>0</v>
          </cell>
          <cell r="F1829">
            <v>0</v>
          </cell>
          <cell r="G1829">
            <v>0</v>
          </cell>
        </row>
        <row r="1830">
          <cell r="A1830" t="str">
            <v>23-01-01-1591</v>
          </cell>
          <cell r="B1830">
            <v>0</v>
          </cell>
          <cell r="C1830" t="str">
            <v xml:space="preserve">  AHMED MACHINERY &amp; TOOLS</v>
          </cell>
          <cell r="D1830">
            <v>0</v>
          </cell>
          <cell r="E1830">
            <v>0</v>
          </cell>
          <cell r="F1830">
            <v>0</v>
          </cell>
          <cell r="G1830">
            <v>0</v>
          </cell>
        </row>
        <row r="1831">
          <cell r="A1831" t="str">
            <v>23-01-01-1592</v>
          </cell>
          <cell r="B1831">
            <v>0</v>
          </cell>
          <cell r="C1831" t="str">
            <v xml:space="preserve">  SMALL TOOLS &amp; HARDWARES</v>
          </cell>
          <cell r="D1831">
            <v>0</v>
          </cell>
          <cell r="E1831">
            <v>0</v>
          </cell>
          <cell r="F1831">
            <v>0</v>
          </cell>
          <cell r="G1831">
            <v>0</v>
          </cell>
        </row>
        <row r="1832">
          <cell r="A1832" t="str">
            <v>23-01-01-1593</v>
          </cell>
          <cell r="B1832">
            <v>0</v>
          </cell>
          <cell r="C1832" t="str">
            <v xml:space="preserve">  ALAMGIR SHEHZAD CO.</v>
          </cell>
          <cell r="D1832">
            <v>0</v>
          </cell>
          <cell r="E1832">
            <v>0</v>
          </cell>
          <cell r="F1832">
            <v>0</v>
          </cell>
          <cell r="G1832">
            <v>0</v>
          </cell>
        </row>
        <row r="1833">
          <cell r="A1833" t="str">
            <v>23-01-01-1594</v>
          </cell>
          <cell r="B1833">
            <v>0</v>
          </cell>
          <cell r="C1833" t="str">
            <v xml:space="preserve">  SHAMSI ENGINEERING CORPORATION</v>
          </cell>
          <cell r="D1833">
            <v>0</v>
          </cell>
          <cell r="E1833">
            <v>0</v>
          </cell>
          <cell r="F1833">
            <v>0</v>
          </cell>
          <cell r="G1833">
            <v>0</v>
          </cell>
        </row>
        <row r="1834">
          <cell r="A1834" t="str">
            <v>23-01-01-1595</v>
          </cell>
          <cell r="B1834">
            <v>0</v>
          </cell>
          <cell r="C1834" t="str">
            <v xml:space="preserve">  ROYAL EQUIPMENT COMPANY</v>
          </cell>
          <cell r="D1834">
            <v>24000</v>
          </cell>
          <cell r="E1834">
            <v>0</v>
          </cell>
          <cell r="F1834">
            <v>0</v>
          </cell>
          <cell r="G1834">
            <v>0</v>
          </cell>
        </row>
        <row r="1835">
          <cell r="A1835" t="str">
            <v>23-01-01-1596</v>
          </cell>
          <cell r="B1835">
            <v>0</v>
          </cell>
          <cell r="C1835" t="str">
            <v xml:space="preserve">  TECHNOVISION (PVT) LTD.</v>
          </cell>
          <cell r="D1835">
            <v>0</v>
          </cell>
          <cell r="E1835">
            <v>0</v>
          </cell>
          <cell r="F1835">
            <v>0</v>
          </cell>
          <cell r="G1835">
            <v>0</v>
          </cell>
        </row>
        <row r="1836">
          <cell r="A1836" t="str">
            <v>23-01-01-1597</v>
          </cell>
          <cell r="B1836">
            <v>0</v>
          </cell>
          <cell r="C1836" t="str">
            <v xml:space="preserve">  MIAN SONS</v>
          </cell>
          <cell r="D1836">
            <v>0</v>
          </cell>
          <cell r="E1836">
            <v>0</v>
          </cell>
          <cell r="F1836">
            <v>0</v>
          </cell>
          <cell r="G1836">
            <v>0</v>
          </cell>
        </row>
        <row r="1837">
          <cell r="A1837" t="str">
            <v>23-01-01-1598</v>
          </cell>
          <cell r="B1837">
            <v>0</v>
          </cell>
          <cell r="C1837" t="str">
            <v xml:space="preserve">  SHAUKAT BROTHERES</v>
          </cell>
          <cell r="D1837">
            <v>0</v>
          </cell>
          <cell r="E1837">
            <v>0</v>
          </cell>
          <cell r="F1837">
            <v>0</v>
          </cell>
          <cell r="G1837">
            <v>0</v>
          </cell>
        </row>
        <row r="1838">
          <cell r="A1838" t="str">
            <v>23-01-01-1599</v>
          </cell>
          <cell r="B1838">
            <v>0</v>
          </cell>
          <cell r="C1838" t="str">
            <v xml:space="preserve">  PRECISE TRADING CO.</v>
          </cell>
          <cell r="D1838">
            <v>0</v>
          </cell>
          <cell r="E1838">
            <v>0</v>
          </cell>
          <cell r="F1838">
            <v>0</v>
          </cell>
          <cell r="G1838">
            <v>0</v>
          </cell>
        </row>
        <row r="1839">
          <cell r="A1839" t="str">
            <v>23-01-01-1600</v>
          </cell>
          <cell r="B1839">
            <v>0</v>
          </cell>
          <cell r="C1839" t="str">
            <v xml:space="preserve">  NEWAGE CABLES (PVT) LIMITED</v>
          </cell>
          <cell r="D1839">
            <v>93971.57</v>
          </cell>
          <cell r="E1839">
            <v>0</v>
          </cell>
          <cell r="F1839">
            <v>0</v>
          </cell>
          <cell r="G1839">
            <v>0</v>
          </cell>
        </row>
        <row r="1840">
          <cell r="A1840" t="str">
            <v>23-01-01-1601</v>
          </cell>
          <cell r="B1840">
            <v>0</v>
          </cell>
          <cell r="C1840" t="str">
            <v xml:space="preserve">  RIZVI TRADING CORPORATION</v>
          </cell>
          <cell r="D1840">
            <v>0</v>
          </cell>
          <cell r="E1840">
            <v>11022</v>
          </cell>
          <cell r="F1840">
            <v>0</v>
          </cell>
          <cell r="G1840">
            <v>0</v>
          </cell>
        </row>
        <row r="1841">
          <cell r="A1841" t="str">
            <v>23-01-01-1602</v>
          </cell>
          <cell r="B1841">
            <v>0</v>
          </cell>
          <cell r="C1841" t="str">
            <v xml:space="preserve">  BAVA MILL STORE</v>
          </cell>
          <cell r="D1841">
            <v>0</v>
          </cell>
          <cell r="E1841">
            <v>0</v>
          </cell>
          <cell r="F1841">
            <v>0</v>
          </cell>
          <cell r="G1841">
            <v>0</v>
          </cell>
        </row>
        <row r="1842">
          <cell r="A1842" t="str">
            <v>23-01-01-1603</v>
          </cell>
          <cell r="B1842">
            <v>0</v>
          </cell>
          <cell r="C1842" t="str">
            <v xml:space="preserve">  SICOM TRADERS</v>
          </cell>
          <cell r="D1842">
            <v>0</v>
          </cell>
          <cell r="E1842">
            <v>0</v>
          </cell>
          <cell r="F1842">
            <v>0</v>
          </cell>
          <cell r="G1842">
            <v>0</v>
          </cell>
        </row>
        <row r="1843">
          <cell r="A1843" t="str">
            <v>23-01-01-1604</v>
          </cell>
          <cell r="B1843">
            <v>0</v>
          </cell>
          <cell r="C1843" t="str">
            <v xml:space="preserve">  GHANCHI IBRAHIM NOORMOHD. &amp; BROS.</v>
          </cell>
          <cell r="D1843">
            <v>0</v>
          </cell>
          <cell r="E1843">
            <v>0</v>
          </cell>
          <cell r="F1843">
            <v>0</v>
          </cell>
          <cell r="G1843">
            <v>0</v>
          </cell>
        </row>
        <row r="1844">
          <cell r="A1844" t="str">
            <v>23-01-01-1605</v>
          </cell>
          <cell r="B1844">
            <v>0</v>
          </cell>
          <cell r="C1844" t="str">
            <v xml:space="preserve">  F.G INTERNATIONAL CORPORATION</v>
          </cell>
          <cell r="D1844">
            <v>0</v>
          </cell>
          <cell r="E1844">
            <v>0</v>
          </cell>
          <cell r="F1844">
            <v>0</v>
          </cell>
          <cell r="G1844">
            <v>0</v>
          </cell>
        </row>
        <row r="1845">
          <cell r="A1845" t="str">
            <v>23-01-01-1606</v>
          </cell>
          <cell r="B1845">
            <v>0</v>
          </cell>
          <cell r="C1845" t="str">
            <v xml:space="preserve">  TRANSPEL</v>
          </cell>
          <cell r="D1845">
            <v>0</v>
          </cell>
          <cell r="E1845">
            <v>0</v>
          </cell>
          <cell r="F1845">
            <v>0</v>
          </cell>
          <cell r="G1845">
            <v>0</v>
          </cell>
        </row>
        <row r="1846">
          <cell r="A1846" t="str">
            <v>23-01-01-1607</v>
          </cell>
          <cell r="B1846">
            <v>0</v>
          </cell>
          <cell r="C1846" t="str">
            <v xml:space="preserve">  SALMAN &amp; SAMAD BROS.</v>
          </cell>
          <cell r="D1846">
            <v>0</v>
          </cell>
          <cell r="E1846">
            <v>119100</v>
          </cell>
          <cell r="F1846">
            <v>0</v>
          </cell>
          <cell r="G1846">
            <v>0</v>
          </cell>
        </row>
        <row r="1847">
          <cell r="A1847" t="str">
            <v>23-01-01-1608</v>
          </cell>
          <cell r="B1847">
            <v>0</v>
          </cell>
          <cell r="C1847" t="str">
            <v xml:space="preserve">  NAVEED TRADERS</v>
          </cell>
          <cell r="D1847">
            <v>0</v>
          </cell>
          <cell r="E1847">
            <v>0</v>
          </cell>
          <cell r="F1847">
            <v>0</v>
          </cell>
          <cell r="G1847">
            <v>0</v>
          </cell>
        </row>
        <row r="1848">
          <cell r="A1848" t="str">
            <v>23-01-01-1609</v>
          </cell>
          <cell r="B1848">
            <v>0</v>
          </cell>
          <cell r="C1848" t="str">
            <v xml:space="preserve">  KHURRAM BROTHERS</v>
          </cell>
          <cell r="D1848">
            <v>0</v>
          </cell>
          <cell r="E1848">
            <v>0</v>
          </cell>
          <cell r="F1848">
            <v>0</v>
          </cell>
          <cell r="G1848">
            <v>0</v>
          </cell>
        </row>
        <row r="1849">
          <cell r="A1849" t="str">
            <v>23-01-01-1610</v>
          </cell>
          <cell r="B1849">
            <v>0</v>
          </cell>
          <cell r="C1849" t="str">
            <v xml:space="preserve">  NEW JUGNOO ELECTRIC</v>
          </cell>
          <cell r="D1849">
            <v>0</v>
          </cell>
          <cell r="E1849">
            <v>0</v>
          </cell>
          <cell r="F1849">
            <v>0</v>
          </cell>
          <cell r="G1849">
            <v>0</v>
          </cell>
        </row>
        <row r="1850">
          <cell r="A1850" t="str">
            <v>23-01-01-1611</v>
          </cell>
          <cell r="B1850">
            <v>0</v>
          </cell>
          <cell r="C1850" t="str">
            <v xml:space="preserve">  ASLAM &amp; COMPANY</v>
          </cell>
          <cell r="D1850">
            <v>0</v>
          </cell>
          <cell r="E1850">
            <v>0</v>
          </cell>
          <cell r="F1850">
            <v>0</v>
          </cell>
          <cell r="G1850">
            <v>0</v>
          </cell>
        </row>
        <row r="1851">
          <cell r="A1851" t="str">
            <v>23-01-01-1612</v>
          </cell>
          <cell r="B1851">
            <v>0</v>
          </cell>
          <cell r="C1851" t="str">
            <v xml:space="preserve">  PREM ENGINEERING CORPORATION</v>
          </cell>
          <cell r="D1851">
            <v>0</v>
          </cell>
          <cell r="E1851">
            <v>0</v>
          </cell>
          <cell r="F1851">
            <v>0</v>
          </cell>
          <cell r="G1851">
            <v>0</v>
          </cell>
        </row>
        <row r="1852">
          <cell r="A1852" t="str">
            <v>23-01-01-1613</v>
          </cell>
          <cell r="B1852">
            <v>0</v>
          </cell>
          <cell r="C1852" t="str">
            <v xml:space="preserve">  TOTAL PARCO PAKISTAN LIMITED</v>
          </cell>
          <cell r="D1852">
            <v>4074.42</v>
          </cell>
          <cell r="E1852">
            <v>0</v>
          </cell>
          <cell r="F1852">
            <v>0</v>
          </cell>
          <cell r="G1852">
            <v>0</v>
          </cell>
        </row>
        <row r="1853">
          <cell r="A1853" t="str">
            <v>23-01-01-1614</v>
          </cell>
          <cell r="B1853">
            <v>0</v>
          </cell>
          <cell r="C1853" t="str">
            <v xml:space="preserve">  HAWK EYE SERVICES</v>
          </cell>
          <cell r="D1853">
            <v>0</v>
          </cell>
          <cell r="E1853">
            <v>0</v>
          </cell>
          <cell r="F1853">
            <v>0</v>
          </cell>
          <cell r="G1853">
            <v>0</v>
          </cell>
        </row>
        <row r="1854">
          <cell r="A1854" t="str">
            <v>23-01-01-1615</v>
          </cell>
          <cell r="B1854">
            <v>0</v>
          </cell>
          <cell r="C1854" t="str">
            <v xml:space="preserve">  USMAN-E-GHANI ENTERPRISES</v>
          </cell>
          <cell r="D1854">
            <v>0</v>
          </cell>
          <cell r="E1854">
            <v>0</v>
          </cell>
          <cell r="F1854">
            <v>0</v>
          </cell>
          <cell r="G1854">
            <v>0</v>
          </cell>
        </row>
        <row r="1855">
          <cell r="A1855" t="str">
            <v>23-01-01-1616</v>
          </cell>
          <cell r="B1855">
            <v>0</v>
          </cell>
          <cell r="C1855" t="str">
            <v xml:space="preserve">  Z.A TRADING COMPANY</v>
          </cell>
          <cell r="D1855">
            <v>0</v>
          </cell>
          <cell r="E1855">
            <v>0</v>
          </cell>
          <cell r="F1855">
            <v>0</v>
          </cell>
          <cell r="G1855">
            <v>0</v>
          </cell>
        </row>
        <row r="1856">
          <cell r="A1856" t="str">
            <v>23-01-01-1617</v>
          </cell>
          <cell r="B1856">
            <v>0</v>
          </cell>
          <cell r="C1856" t="str">
            <v xml:space="preserve">  EBRAHIM &amp; SONS</v>
          </cell>
          <cell r="D1856">
            <v>0</v>
          </cell>
          <cell r="E1856">
            <v>0</v>
          </cell>
          <cell r="F1856">
            <v>0</v>
          </cell>
          <cell r="G1856">
            <v>0</v>
          </cell>
        </row>
        <row r="1857">
          <cell r="A1857" t="str">
            <v>23-01-01-1618</v>
          </cell>
          <cell r="B1857">
            <v>0</v>
          </cell>
          <cell r="C1857" t="str">
            <v xml:space="preserve">  PARADISE TRADERS</v>
          </cell>
          <cell r="D1857">
            <v>0</v>
          </cell>
          <cell r="E1857">
            <v>42630</v>
          </cell>
          <cell r="F1857">
            <v>0</v>
          </cell>
          <cell r="G1857">
            <v>0</v>
          </cell>
        </row>
        <row r="1858">
          <cell r="A1858" t="str">
            <v>23-01-01-1619</v>
          </cell>
          <cell r="B1858">
            <v>0</v>
          </cell>
          <cell r="C1858" t="str">
            <v xml:space="preserve">  UNIVERSAL PACKAGES</v>
          </cell>
          <cell r="D1858">
            <v>0</v>
          </cell>
          <cell r="E1858">
            <v>1382324</v>
          </cell>
          <cell r="F1858">
            <v>0</v>
          </cell>
          <cell r="G1858">
            <v>0</v>
          </cell>
        </row>
        <row r="1859">
          <cell r="A1859" t="str">
            <v>23-01-01-1620</v>
          </cell>
          <cell r="B1859">
            <v>0</v>
          </cell>
          <cell r="C1859" t="str">
            <v xml:space="preserve">  AKRAM ELECTRIC COMPANY</v>
          </cell>
          <cell r="D1859">
            <v>0</v>
          </cell>
          <cell r="E1859">
            <v>0</v>
          </cell>
          <cell r="F1859">
            <v>0</v>
          </cell>
          <cell r="G1859">
            <v>0</v>
          </cell>
        </row>
        <row r="1860">
          <cell r="A1860" t="str">
            <v>23-01-01-1621</v>
          </cell>
          <cell r="B1860">
            <v>0</v>
          </cell>
          <cell r="C1860" t="str">
            <v xml:space="preserve">  ABB (PRIVATE) LTD.</v>
          </cell>
          <cell r="D1860">
            <v>0</v>
          </cell>
          <cell r="E1860">
            <v>0</v>
          </cell>
          <cell r="F1860">
            <v>0</v>
          </cell>
          <cell r="G1860">
            <v>0</v>
          </cell>
        </row>
        <row r="1861">
          <cell r="A1861" t="str">
            <v>23-01-01-1622</v>
          </cell>
          <cell r="B1861">
            <v>0</v>
          </cell>
          <cell r="C1861" t="str">
            <v xml:space="preserve">  DACCA TRADE AGENCY</v>
          </cell>
          <cell r="D1861">
            <v>0</v>
          </cell>
          <cell r="E1861">
            <v>18850</v>
          </cell>
          <cell r="F1861">
            <v>0</v>
          </cell>
          <cell r="G1861">
            <v>0</v>
          </cell>
        </row>
        <row r="1862">
          <cell r="A1862" t="str">
            <v>23-01-01-1623</v>
          </cell>
          <cell r="B1862">
            <v>0</v>
          </cell>
          <cell r="C1862" t="str">
            <v xml:space="preserve">  ALMURTAZA GARMENT MACHINERY CO.</v>
          </cell>
          <cell r="D1862">
            <v>0</v>
          </cell>
          <cell r="E1862">
            <v>0</v>
          </cell>
          <cell r="F1862">
            <v>0</v>
          </cell>
          <cell r="G1862">
            <v>0</v>
          </cell>
        </row>
        <row r="1863">
          <cell r="A1863" t="str">
            <v>23-01-01-1624</v>
          </cell>
          <cell r="B1863">
            <v>0</v>
          </cell>
          <cell r="C1863" t="str">
            <v xml:space="preserve">  BILAL RUBBER STORE</v>
          </cell>
          <cell r="D1863">
            <v>0</v>
          </cell>
          <cell r="E1863">
            <v>0</v>
          </cell>
          <cell r="F1863">
            <v>0</v>
          </cell>
          <cell r="G1863">
            <v>0</v>
          </cell>
        </row>
        <row r="1864">
          <cell r="A1864" t="str">
            <v>23-01-01-1625</v>
          </cell>
          <cell r="B1864">
            <v>0</v>
          </cell>
          <cell r="C1864" t="str">
            <v xml:space="preserve">  MESSERS ZETCO TRADERS</v>
          </cell>
          <cell r="D1864">
            <v>0</v>
          </cell>
          <cell r="E1864">
            <v>0</v>
          </cell>
          <cell r="F1864">
            <v>0</v>
          </cell>
          <cell r="G1864">
            <v>0</v>
          </cell>
        </row>
        <row r="1865">
          <cell r="A1865" t="str">
            <v>23-01-01-1626</v>
          </cell>
          <cell r="B1865">
            <v>0</v>
          </cell>
          <cell r="C1865" t="str">
            <v xml:space="preserve">  UMAR ELECTRIC CONCERN</v>
          </cell>
          <cell r="D1865">
            <v>0</v>
          </cell>
          <cell r="E1865">
            <v>0</v>
          </cell>
          <cell r="F1865">
            <v>0</v>
          </cell>
          <cell r="G1865">
            <v>0</v>
          </cell>
        </row>
        <row r="1866">
          <cell r="A1866" t="str">
            <v>23-01-01-1627</v>
          </cell>
          <cell r="B1866">
            <v>0</v>
          </cell>
          <cell r="C1866" t="str">
            <v xml:space="preserve">  KONICA EM-AEY ENTERPRISES (PVT) LTD.</v>
          </cell>
          <cell r="D1866">
            <v>0</v>
          </cell>
          <cell r="E1866">
            <v>0</v>
          </cell>
          <cell r="F1866">
            <v>0</v>
          </cell>
          <cell r="G1866">
            <v>0</v>
          </cell>
        </row>
        <row r="1867">
          <cell r="A1867" t="str">
            <v>23-01-01-1628</v>
          </cell>
          <cell r="B1867">
            <v>0</v>
          </cell>
          <cell r="C1867" t="str">
            <v xml:space="preserve">  ALPHA ALUMINIUM HOUSE</v>
          </cell>
          <cell r="D1867">
            <v>0</v>
          </cell>
          <cell r="E1867">
            <v>0</v>
          </cell>
          <cell r="F1867">
            <v>0</v>
          </cell>
          <cell r="G1867">
            <v>0</v>
          </cell>
        </row>
        <row r="1868">
          <cell r="A1868" t="str">
            <v>23-01-01-1629</v>
          </cell>
          <cell r="B1868">
            <v>0</v>
          </cell>
          <cell r="C1868" t="str">
            <v xml:space="preserve">  RAYYANCO BUSINESS SYSTEMS</v>
          </cell>
          <cell r="D1868">
            <v>0</v>
          </cell>
          <cell r="E1868">
            <v>0</v>
          </cell>
          <cell r="F1868">
            <v>0</v>
          </cell>
          <cell r="G1868">
            <v>0</v>
          </cell>
        </row>
        <row r="1869">
          <cell r="A1869" t="str">
            <v>23-01-01-1630</v>
          </cell>
          <cell r="B1869">
            <v>0</v>
          </cell>
          <cell r="C1869" t="str">
            <v xml:space="preserve">  NOORUDDIN &amp; SONS</v>
          </cell>
          <cell r="D1869">
            <v>0</v>
          </cell>
          <cell r="E1869">
            <v>0</v>
          </cell>
          <cell r="F1869">
            <v>0</v>
          </cell>
          <cell r="G1869">
            <v>0</v>
          </cell>
        </row>
        <row r="1870">
          <cell r="A1870" t="str">
            <v>23-01-01-1631</v>
          </cell>
          <cell r="B1870">
            <v>0</v>
          </cell>
          <cell r="C1870" t="str">
            <v xml:space="preserve">  3A INTERNATIONAL</v>
          </cell>
          <cell r="D1870">
            <v>0</v>
          </cell>
          <cell r="E1870">
            <v>966772.5</v>
          </cell>
          <cell r="F1870">
            <v>0</v>
          </cell>
          <cell r="G1870">
            <v>0</v>
          </cell>
        </row>
        <row r="1871">
          <cell r="A1871" t="str">
            <v>23-01-01-1632</v>
          </cell>
          <cell r="B1871">
            <v>0</v>
          </cell>
          <cell r="C1871" t="str">
            <v xml:space="preserve">  AL-KARAM PACKAGES</v>
          </cell>
          <cell r="D1871">
            <v>0</v>
          </cell>
          <cell r="E1871">
            <v>0</v>
          </cell>
          <cell r="F1871">
            <v>0</v>
          </cell>
          <cell r="G1871">
            <v>0</v>
          </cell>
        </row>
        <row r="1872">
          <cell r="A1872" t="str">
            <v>23-01-01-1633</v>
          </cell>
          <cell r="B1872">
            <v>0</v>
          </cell>
          <cell r="C1872" t="str">
            <v xml:space="preserve">  HUDABIA PRINTERS</v>
          </cell>
          <cell r="D1872">
            <v>0</v>
          </cell>
          <cell r="E1872">
            <v>0</v>
          </cell>
          <cell r="F1872">
            <v>0</v>
          </cell>
          <cell r="G1872">
            <v>0</v>
          </cell>
        </row>
        <row r="1873">
          <cell r="A1873" t="str">
            <v>23-01-01-1634</v>
          </cell>
          <cell r="B1873">
            <v>0</v>
          </cell>
          <cell r="C1873" t="str">
            <v xml:space="preserve">  GALAXY INTERNATIONAL</v>
          </cell>
          <cell r="D1873">
            <v>0</v>
          </cell>
          <cell r="E1873">
            <v>0</v>
          </cell>
          <cell r="F1873">
            <v>0</v>
          </cell>
          <cell r="G1873">
            <v>0</v>
          </cell>
        </row>
        <row r="1874">
          <cell r="A1874" t="str">
            <v>23-01-01-1635</v>
          </cell>
          <cell r="B1874">
            <v>0</v>
          </cell>
          <cell r="C1874" t="str">
            <v xml:space="preserve">  HAMI TRADING COMPANY</v>
          </cell>
          <cell r="D1874">
            <v>0</v>
          </cell>
          <cell r="E1874">
            <v>0</v>
          </cell>
          <cell r="F1874">
            <v>0</v>
          </cell>
          <cell r="G1874">
            <v>0</v>
          </cell>
        </row>
        <row r="1875">
          <cell r="A1875" t="str">
            <v>23-01-01-1636</v>
          </cell>
          <cell r="B1875">
            <v>0</v>
          </cell>
          <cell r="C1875" t="str">
            <v xml:space="preserve">  ZAIB TRADERS</v>
          </cell>
          <cell r="D1875">
            <v>0</v>
          </cell>
          <cell r="E1875">
            <v>0</v>
          </cell>
          <cell r="F1875">
            <v>0</v>
          </cell>
          <cell r="G1875">
            <v>0</v>
          </cell>
        </row>
        <row r="1876">
          <cell r="A1876" t="str">
            <v>23-01-01-1637</v>
          </cell>
          <cell r="B1876">
            <v>0</v>
          </cell>
          <cell r="C1876" t="str">
            <v xml:space="preserve">  MOHAMMED EBRAHIM &amp; CO.(PVT) LTD.</v>
          </cell>
          <cell r="D1876">
            <v>0</v>
          </cell>
          <cell r="E1876">
            <v>0</v>
          </cell>
          <cell r="F1876">
            <v>0</v>
          </cell>
          <cell r="G1876">
            <v>0</v>
          </cell>
        </row>
        <row r="1877">
          <cell r="A1877" t="str">
            <v>23-01-01-1638</v>
          </cell>
          <cell r="B1877">
            <v>0</v>
          </cell>
          <cell r="C1877" t="str">
            <v xml:space="preserve">  MATIULLAH &amp; CO. TEMBER MARCHANTE</v>
          </cell>
          <cell r="D1877">
            <v>0</v>
          </cell>
          <cell r="E1877">
            <v>0</v>
          </cell>
          <cell r="F1877">
            <v>0</v>
          </cell>
          <cell r="G1877">
            <v>0</v>
          </cell>
        </row>
        <row r="1878">
          <cell r="A1878" t="str">
            <v>23-01-01-1639</v>
          </cell>
          <cell r="B1878">
            <v>0</v>
          </cell>
          <cell r="C1878" t="str">
            <v xml:space="preserve">  METAL TRADERS</v>
          </cell>
          <cell r="D1878">
            <v>0</v>
          </cell>
          <cell r="E1878">
            <v>0</v>
          </cell>
          <cell r="F1878">
            <v>0</v>
          </cell>
          <cell r="G1878">
            <v>0</v>
          </cell>
        </row>
        <row r="1879">
          <cell r="A1879" t="str">
            <v>23-01-01-1640</v>
          </cell>
          <cell r="B1879">
            <v>0</v>
          </cell>
          <cell r="C1879" t="str">
            <v xml:space="preserve">  THE LUBES CORPORATION</v>
          </cell>
          <cell r="D1879">
            <v>0</v>
          </cell>
          <cell r="E1879">
            <v>0</v>
          </cell>
          <cell r="F1879">
            <v>0</v>
          </cell>
          <cell r="G1879">
            <v>0</v>
          </cell>
        </row>
        <row r="1880">
          <cell r="A1880" t="str">
            <v>23-01-01-1641</v>
          </cell>
          <cell r="B1880">
            <v>0</v>
          </cell>
          <cell r="C1880" t="str">
            <v xml:space="preserve">  BASHIR ENGINEERING WORKS</v>
          </cell>
          <cell r="D1880">
            <v>0</v>
          </cell>
          <cell r="E1880">
            <v>0</v>
          </cell>
          <cell r="F1880">
            <v>0</v>
          </cell>
          <cell r="G1880">
            <v>0</v>
          </cell>
        </row>
        <row r="1881">
          <cell r="A1881" t="str">
            <v>23-01-01-1642</v>
          </cell>
          <cell r="B1881">
            <v>0</v>
          </cell>
          <cell r="C1881" t="str">
            <v xml:space="preserve">  BABAR SULTAN &amp; BROTHERS</v>
          </cell>
          <cell r="D1881">
            <v>0</v>
          </cell>
          <cell r="E1881">
            <v>0</v>
          </cell>
          <cell r="F1881">
            <v>0</v>
          </cell>
          <cell r="G1881">
            <v>0</v>
          </cell>
        </row>
        <row r="1882">
          <cell r="A1882" t="str">
            <v>23-01-01-1643</v>
          </cell>
          <cell r="B1882">
            <v>0</v>
          </cell>
          <cell r="C1882" t="str">
            <v xml:space="preserve">  TAYYAB ENTERPRISES</v>
          </cell>
          <cell r="D1882">
            <v>0</v>
          </cell>
          <cell r="E1882">
            <v>0</v>
          </cell>
          <cell r="F1882">
            <v>0</v>
          </cell>
          <cell r="G1882">
            <v>0</v>
          </cell>
        </row>
        <row r="1883">
          <cell r="A1883" t="str">
            <v>23-01-01-1644</v>
          </cell>
          <cell r="B1883">
            <v>0</v>
          </cell>
          <cell r="C1883" t="str">
            <v xml:space="preserve">  BHATTI &amp; CO</v>
          </cell>
          <cell r="D1883">
            <v>0</v>
          </cell>
          <cell r="E1883">
            <v>0</v>
          </cell>
          <cell r="F1883">
            <v>0</v>
          </cell>
          <cell r="G1883">
            <v>0</v>
          </cell>
        </row>
        <row r="1884">
          <cell r="A1884" t="str">
            <v>23-01-01-1645</v>
          </cell>
          <cell r="B1884">
            <v>0</v>
          </cell>
          <cell r="C1884" t="str">
            <v xml:space="preserve">  SAEED KHAN &amp; CO.</v>
          </cell>
          <cell r="D1884">
            <v>0</v>
          </cell>
          <cell r="E1884">
            <v>0</v>
          </cell>
          <cell r="F1884">
            <v>0</v>
          </cell>
          <cell r="G1884">
            <v>0</v>
          </cell>
        </row>
        <row r="1885">
          <cell r="A1885" t="str">
            <v>23-01-01-1646</v>
          </cell>
          <cell r="B1885">
            <v>0</v>
          </cell>
          <cell r="C1885" t="str">
            <v xml:space="preserve">  LOKHANDWALA TRADERS</v>
          </cell>
          <cell r="D1885">
            <v>0</v>
          </cell>
          <cell r="E1885">
            <v>867766</v>
          </cell>
          <cell r="F1885">
            <v>0</v>
          </cell>
          <cell r="G1885">
            <v>0</v>
          </cell>
        </row>
        <row r="1886">
          <cell r="A1886" t="str">
            <v>23-01-01-1647</v>
          </cell>
          <cell r="B1886">
            <v>0</v>
          </cell>
          <cell r="C1886" t="str">
            <v xml:space="preserve">  LONGMAN STORES</v>
          </cell>
          <cell r="D1886">
            <v>0</v>
          </cell>
          <cell r="E1886">
            <v>0</v>
          </cell>
          <cell r="F1886">
            <v>0</v>
          </cell>
          <cell r="G1886">
            <v>0</v>
          </cell>
        </row>
        <row r="1887">
          <cell r="A1887" t="str">
            <v>23-01-01-1648</v>
          </cell>
          <cell r="B1887">
            <v>0</v>
          </cell>
          <cell r="C1887" t="str">
            <v xml:space="preserve">  NAWAB ENTERPRISES</v>
          </cell>
          <cell r="D1887">
            <v>0</v>
          </cell>
          <cell r="E1887">
            <v>0</v>
          </cell>
          <cell r="F1887">
            <v>0</v>
          </cell>
          <cell r="G1887">
            <v>0</v>
          </cell>
        </row>
        <row r="1888">
          <cell r="A1888" t="str">
            <v>23-01-01-1649</v>
          </cell>
          <cell r="B1888">
            <v>0</v>
          </cell>
          <cell r="C1888" t="str">
            <v xml:space="preserve">  H.S TRADERS</v>
          </cell>
          <cell r="D1888">
            <v>0</v>
          </cell>
          <cell r="E1888">
            <v>13800</v>
          </cell>
          <cell r="F1888">
            <v>0</v>
          </cell>
          <cell r="G1888">
            <v>0</v>
          </cell>
        </row>
        <row r="1889">
          <cell r="A1889" t="str">
            <v>23-01-01-1650</v>
          </cell>
          <cell r="B1889">
            <v>0</v>
          </cell>
          <cell r="C1889" t="str">
            <v xml:space="preserve">  CLASSIC ENTERPRISES</v>
          </cell>
          <cell r="D1889">
            <v>0</v>
          </cell>
          <cell r="E1889">
            <v>0</v>
          </cell>
          <cell r="F1889">
            <v>0</v>
          </cell>
          <cell r="G1889">
            <v>0</v>
          </cell>
        </row>
        <row r="1890">
          <cell r="A1890" t="str">
            <v>23-01-01-1651</v>
          </cell>
          <cell r="B1890">
            <v>0</v>
          </cell>
          <cell r="C1890" t="str">
            <v xml:space="preserve">  TECHNO CHANNEL</v>
          </cell>
          <cell r="D1890">
            <v>0</v>
          </cell>
          <cell r="E1890">
            <v>0</v>
          </cell>
          <cell r="F1890">
            <v>0</v>
          </cell>
          <cell r="G1890">
            <v>0</v>
          </cell>
        </row>
        <row r="1891">
          <cell r="A1891" t="str">
            <v>23-01-01-1652</v>
          </cell>
          <cell r="B1891">
            <v>0</v>
          </cell>
          <cell r="C1891" t="str">
            <v xml:space="preserve">  OCEANA ELECTRONICS</v>
          </cell>
          <cell r="D1891">
            <v>0</v>
          </cell>
          <cell r="E1891">
            <v>0</v>
          </cell>
          <cell r="F1891">
            <v>0</v>
          </cell>
          <cell r="G1891">
            <v>0</v>
          </cell>
        </row>
        <row r="1892">
          <cell r="A1892" t="str">
            <v>23-01-01-1653</v>
          </cell>
          <cell r="B1892">
            <v>0</v>
          </cell>
          <cell r="C1892" t="str">
            <v xml:space="preserve">  FIVE STAR AUTO STORE</v>
          </cell>
          <cell r="D1892">
            <v>0</v>
          </cell>
          <cell r="E1892">
            <v>12675</v>
          </cell>
          <cell r="F1892">
            <v>0</v>
          </cell>
          <cell r="G1892">
            <v>0</v>
          </cell>
        </row>
        <row r="1893">
          <cell r="A1893" t="str">
            <v>23-01-01-1654</v>
          </cell>
          <cell r="B1893">
            <v>0</v>
          </cell>
          <cell r="C1893" t="str">
            <v xml:space="preserve">  SYED GHANI WELDING WORKS</v>
          </cell>
          <cell r="D1893">
            <v>0</v>
          </cell>
          <cell r="E1893">
            <v>0</v>
          </cell>
          <cell r="F1893">
            <v>0</v>
          </cell>
          <cell r="G1893">
            <v>0</v>
          </cell>
        </row>
        <row r="1894">
          <cell r="A1894" t="str">
            <v>23-01-01-1655</v>
          </cell>
          <cell r="B1894">
            <v>0</v>
          </cell>
          <cell r="C1894" t="str">
            <v xml:space="preserve">  NOOR ENGINEERING COMPANY</v>
          </cell>
          <cell r="D1894">
            <v>0</v>
          </cell>
          <cell r="E1894">
            <v>0</v>
          </cell>
          <cell r="F1894">
            <v>0</v>
          </cell>
          <cell r="G1894">
            <v>0</v>
          </cell>
        </row>
        <row r="1895">
          <cell r="A1895" t="str">
            <v>23-01-01-1656</v>
          </cell>
          <cell r="B1895">
            <v>0</v>
          </cell>
          <cell r="C1895" t="str">
            <v xml:space="preserve">  A TECH COMPUTERS</v>
          </cell>
          <cell r="D1895">
            <v>0</v>
          </cell>
          <cell r="E1895">
            <v>0</v>
          </cell>
          <cell r="F1895">
            <v>0</v>
          </cell>
          <cell r="G1895">
            <v>0</v>
          </cell>
        </row>
        <row r="1896">
          <cell r="A1896" t="str">
            <v>23-01-01-1657</v>
          </cell>
          <cell r="B1896">
            <v>0</v>
          </cell>
          <cell r="C1896" t="str">
            <v xml:space="preserve">  M. SARDAR MOHAMMAD &amp; SONS</v>
          </cell>
          <cell r="D1896">
            <v>0</v>
          </cell>
          <cell r="E1896">
            <v>0</v>
          </cell>
          <cell r="F1896">
            <v>0</v>
          </cell>
          <cell r="G1896">
            <v>0</v>
          </cell>
        </row>
        <row r="1897">
          <cell r="A1897" t="str">
            <v>23-01-01-1658</v>
          </cell>
          <cell r="B1897">
            <v>0</v>
          </cell>
          <cell r="C1897" t="str">
            <v xml:space="preserve">  TRADE METRO</v>
          </cell>
          <cell r="D1897">
            <v>0</v>
          </cell>
          <cell r="E1897">
            <v>0</v>
          </cell>
          <cell r="F1897">
            <v>0</v>
          </cell>
          <cell r="G1897">
            <v>0</v>
          </cell>
        </row>
        <row r="1898">
          <cell r="A1898" t="str">
            <v>23-01-01-1659</v>
          </cell>
          <cell r="B1898">
            <v>0</v>
          </cell>
          <cell r="C1898" t="str">
            <v xml:space="preserve">  SEFEC ENGINEERING (PVT) LTD.</v>
          </cell>
          <cell r="D1898">
            <v>0</v>
          </cell>
          <cell r="E1898">
            <v>0</v>
          </cell>
          <cell r="F1898">
            <v>0</v>
          </cell>
          <cell r="G1898">
            <v>0</v>
          </cell>
        </row>
        <row r="1899">
          <cell r="A1899" t="str">
            <v>23-01-01-1660</v>
          </cell>
          <cell r="B1899">
            <v>0</v>
          </cell>
          <cell r="C1899" t="str">
            <v xml:space="preserve">  BABJEE INTERIORS</v>
          </cell>
          <cell r="D1899">
            <v>0</v>
          </cell>
          <cell r="E1899">
            <v>0</v>
          </cell>
          <cell r="F1899">
            <v>0</v>
          </cell>
          <cell r="G1899">
            <v>0</v>
          </cell>
        </row>
        <row r="1900">
          <cell r="A1900" t="str">
            <v>23-01-01-1661</v>
          </cell>
          <cell r="B1900">
            <v>0</v>
          </cell>
          <cell r="C1900" t="str">
            <v xml:space="preserve">  ADNAN CORPORATION</v>
          </cell>
          <cell r="D1900">
            <v>0</v>
          </cell>
          <cell r="E1900">
            <v>0</v>
          </cell>
          <cell r="F1900">
            <v>0</v>
          </cell>
          <cell r="G1900">
            <v>0</v>
          </cell>
        </row>
        <row r="1901">
          <cell r="A1901" t="str">
            <v>23-01-01-1662</v>
          </cell>
          <cell r="B1901">
            <v>0</v>
          </cell>
          <cell r="C1901" t="str">
            <v xml:space="preserve">  HI-TECH TRADERS</v>
          </cell>
          <cell r="D1901">
            <v>0</v>
          </cell>
          <cell r="E1901">
            <v>0</v>
          </cell>
          <cell r="F1901">
            <v>0</v>
          </cell>
          <cell r="G1901">
            <v>0</v>
          </cell>
        </row>
        <row r="1902">
          <cell r="A1902" t="str">
            <v>23-01-01-1663</v>
          </cell>
          <cell r="B1902">
            <v>0</v>
          </cell>
          <cell r="C1902" t="str">
            <v xml:space="preserve">  COSMO STATIONERY STORE</v>
          </cell>
          <cell r="D1902">
            <v>0</v>
          </cell>
          <cell r="E1902">
            <v>0</v>
          </cell>
          <cell r="F1902">
            <v>0</v>
          </cell>
          <cell r="G1902">
            <v>0</v>
          </cell>
        </row>
        <row r="1903">
          <cell r="A1903" t="str">
            <v>23-01-01-1664</v>
          </cell>
          <cell r="B1903">
            <v>0</v>
          </cell>
          <cell r="C1903" t="str">
            <v xml:space="preserve">  M. LATIF &amp; SONS</v>
          </cell>
          <cell r="D1903">
            <v>0</v>
          </cell>
          <cell r="E1903">
            <v>446957.5</v>
          </cell>
          <cell r="F1903">
            <v>0</v>
          </cell>
          <cell r="G1903">
            <v>0</v>
          </cell>
        </row>
        <row r="1904">
          <cell r="A1904" t="str">
            <v>23-01-01-1665</v>
          </cell>
          <cell r="B1904">
            <v>0</v>
          </cell>
          <cell r="C1904" t="str">
            <v xml:space="preserve">  SHEIKH GLASS HOUSE</v>
          </cell>
          <cell r="D1904">
            <v>0</v>
          </cell>
          <cell r="E1904">
            <v>2500</v>
          </cell>
          <cell r="F1904">
            <v>0</v>
          </cell>
          <cell r="G1904">
            <v>0</v>
          </cell>
        </row>
        <row r="1905">
          <cell r="A1905" t="str">
            <v>23-01-01-1666</v>
          </cell>
          <cell r="B1905">
            <v>0</v>
          </cell>
          <cell r="C1905" t="str">
            <v xml:space="preserve">  KAUSAR INDUSTRIES</v>
          </cell>
          <cell r="D1905">
            <v>2750</v>
          </cell>
          <cell r="E1905">
            <v>0</v>
          </cell>
          <cell r="F1905">
            <v>0</v>
          </cell>
          <cell r="G1905">
            <v>0</v>
          </cell>
        </row>
        <row r="1906">
          <cell r="A1906" t="str">
            <v>23-01-01-1667</v>
          </cell>
          <cell r="B1906">
            <v>0</v>
          </cell>
          <cell r="C1906" t="str">
            <v xml:space="preserve">  GOLDEN BRUSH STORES</v>
          </cell>
          <cell r="D1906">
            <v>0</v>
          </cell>
          <cell r="E1906">
            <v>36000</v>
          </cell>
          <cell r="F1906">
            <v>0</v>
          </cell>
          <cell r="G1906">
            <v>0</v>
          </cell>
        </row>
        <row r="1907">
          <cell r="A1907" t="str">
            <v>23-01-01-1668</v>
          </cell>
          <cell r="B1907">
            <v>0</v>
          </cell>
          <cell r="C1907" t="str">
            <v xml:space="preserve">  SUPREME ENGINEERING WORKS</v>
          </cell>
          <cell r="D1907">
            <v>0</v>
          </cell>
          <cell r="E1907">
            <v>0</v>
          </cell>
          <cell r="F1907">
            <v>0</v>
          </cell>
          <cell r="G1907">
            <v>0</v>
          </cell>
        </row>
        <row r="1908">
          <cell r="A1908" t="str">
            <v>23-01-01-1669</v>
          </cell>
          <cell r="B1908">
            <v>0</v>
          </cell>
          <cell r="C1908" t="str">
            <v xml:space="preserve">  SHAHID BROTHERS</v>
          </cell>
          <cell r="D1908">
            <v>0</v>
          </cell>
          <cell r="E1908">
            <v>2548</v>
          </cell>
          <cell r="F1908">
            <v>0</v>
          </cell>
          <cell r="G1908">
            <v>0</v>
          </cell>
        </row>
        <row r="1909">
          <cell r="A1909" t="str">
            <v>23-01-01-1670</v>
          </cell>
          <cell r="B1909">
            <v>0</v>
          </cell>
          <cell r="C1909" t="str">
            <v xml:space="preserve">  THE ARMY PAINTS &amp; HARDWARE STORES</v>
          </cell>
          <cell r="D1909">
            <v>0</v>
          </cell>
          <cell r="E1909">
            <v>0</v>
          </cell>
          <cell r="F1909">
            <v>0</v>
          </cell>
          <cell r="G1909">
            <v>0</v>
          </cell>
        </row>
        <row r="1910">
          <cell r="A1910" t="str">
            <v>23-01-01-1671</v>
          </cell>
          <cell r="B1910">
            <v>0</v>
          </cell>
          <cell r="C1910" t="str">
            <v xml:space="preserve">  LUCKY ELECTRICALS</v>
          </cell>
          <cell r="D1910">
            <v>0</v>
          </cell>
          <cell r="E1910">
            <v>0</v>
          </cell>
          <cell r="F1910">
            <v>0</v>
          </cell>
          <cell r="G1910">
            <v>0</v>
          </cell>
        </row>
        <row r="1911">
          <cell r="A1911" t="str">
            <v>23-01-01-1672</v>
          </cell>
          <cell r="B1911">
            <v>0</v>
          </cell>
          <cell r="C1911" t="str">
            <v xml:space="preserve">  UNITED AGENCIES</v>
          </cell>
          <cell r="D1911">
            <v>0</v>
          </cell>
          <cell r="E1911">
            <v>0</v>
          </cell>
          <cell r="F1911">
            <v>0</v>
          </cell>
          <cell r="G1911">
            <v>0</v>
          </cell>
        </row>
        <row r="1912">
          <cell r="A1912" t="str">
            <v>23-01-01-1673</v>
          </cell>
          <cell r="B1912">
            <v>0</v>
          </cell>
          <cell r="C1912" t="str">
            <v xml:space="preserve">  UMER TRADERS WHOLE SALE</v>
          </cell>
          <cell r="D1912">
            <v>0</v>
          </cell>
          <cell r="E1912">
            <v>0</v>
          </cell>
          <cell r="F1912">
            <v>0</v>
          </cell>
          <cell r="G1912">
            <v>0</v>
          </cell>
        </row>
        <row r="1913">
          <cell r="A1913" t="str">
            <v>23-01-01-1674</v>
          </cell>
          <cell r="B1913">
            <v>0</v>
          </cell>
          <cell r="C1913" t="str">
            <v xml:space="preserve">  SHAMS COMPRESSOR HOUSE</v>
          </cell>
          <cell r="D1913">
            <v>0</v>
          </cell>
          <cell r="E1913">
            <v>0</v>
          </cell>
          <cell r="F1913">
            <v>0</v>
          </cell>
          <cell r="G1913">
            <v>0</v>
          </cell>
        </row>
        <row r="1914">
          <cell r="A1914" t="str">
            <v>23-01-01-1675</v>
          </cell>
          <cell r="B1914">
            <v>0</v>
          </cell>
          <cell r="C1914" t="str">
            <v xml:space="preserve">  INDUSTRIAL &amp; LABORATORIES CHEMICAL TRA</v>
          </cell>
          <cell r="D1914">
            <v>0</v>
          </cell>
          <cell r="E1914">
            <v>26495.66</v>
          </cell>
          <cell r="F1914">
            <v>0</v>
          </cell>
          <cell r="G1914">
            <v>0</v>
          </cell>
        </row>
        <row r="1915">
          <cell r="A1915" t="str">
            <v>23-01-01-1676</v>
          </cell>
          <cell r="B1915">
            <v>0</v>
          </cell>
          <cell r="C1915" t="str">
            <v xml:space="preserve">  NAUMAN BROTHERS</v>
          </cell>
          <cell r="D1915">
            <v>0</v>
          </cell>
          <cell r="E1915">
            <v>0</v>
          </cell>
          <cell r="F1915">
            <v>0</v>
          </cell>
          <cell r="G1915">
            <v>0</v>
          </cell>
        </row>
        <row r="1916">
          <cell r="A1916" t="str">
            <v>23-01-01-1677</v>
          </cell>
          <cell r="B1916">
            <v>0</v>
          </cell>
          <cell r="C1916" t="str">
            <v xml:space="preserve">  UNITED PLASTIC INDUSTRIES</v>
          </cell>
          <cell r="D1916">
            <v>0</v>
          </cell>
          <cell r="E1916">
            <v>70436</v>
          </cell>
          <cell r="F1916">
            <v>0</v>
          </cell>
          <cell r="G1916">
            <v>0</v>
          </cell>
        </row>
        <row r="1917">
          <cell r="A1917" t="str">
            <v>23-01-01-1678</v>
          </cell>
          <cell r="B1917">
            <v>0</v>
          </cell>
          <cell r="C1917" t="str">
            <v xml:space="preserve">  UNIVERSAL INDUSTRIAL CORPORATION</v>
          </cell>
          <cell r="D1917">
            <v>0</v>
          </cell>
          <cell r="E1917">
            <v>0</v>
          </cell>
          <cell r="F1917">
            <v>0</v>
          </cell>
          <cell r="G1917">
            <v>0</v>
          </cell>
        </row>
        <row r="1918">
          <cell r="A1918" t="str">
            <v>23-01-01-1679</v>
          </cell>
          <cell r="B1918">
            <v>0</v>
          </cell>
          <cell r="C1918" t="str">
            <v xml:space="preserve">  IRFAN HARDWARE STORE</v>
          </cell>
          <cell r="D1918">
            <v>0</v>
          </cell>
          <cell r="E1918">
            <v>0</v>
          </cell>
          <cell r="F1918">
            <v>0</v>
          </cell>
          <cell r="G1918">
            <v>0</v>
          </cell>
        </row>
        <row r="1919">
          <cell r="A1919" t="str">
            <v>23-01-01-1680</v>
          </cell>
          <cell r="B1919">
            <v>0</v>
          </cell>
          <cell r="C1919" t="str">
            <v xml:space="preserve">  NAJAM H ZAIDI</v>
          </cell>
          <cell r="D1919">
            <v>0</v>
          </cell>
          <cell r="E1919">
            <v>0</v>
          </cell>
          <cell r="F1919">
            <v>0</v>
          </cell>
          <cell r="G1919">
            <v>0</v>
          </cell>
        </row>
        <row r="1920">
          <cell r="A1920" t="str">
            <v>23-01-01-1681</v>
          </cell>
          <cell r="B1920">
            <v>0</v>
          </cell>
          <cell r="C1920" t="str">
            <v xml:space="preserve">  CHAUDHRY HARDWARE &amp; MILL STORE</v>
          </cell>
          <cell r="D1920">
            <v>0</v>
          </cell>
          <cell r="E1920">
            <v>13015</v>
          </cell>
          <cell r="F1920">
            <v>0</v>
          </cell>
          <cell r="G1920">
            <v>0</v>
          </cell>
        </row>
        <row r="1921">
          <cell r="A1921" t="str">
            <v>23-01-01-1682</v>
          </cell>
          <cell r="B1921">
            <v>0</v>
          </cell>
          <cell r="C1921" t="str">
            <v xml:space="preserve">  CITY FURNITURE PALACE</v>
          </cell>
          <cell r="D1921">
            <v>0</v>
          </cell>
          <cell r="E1921">
            <v>0</v>
          </cell>
          <cell r="F1921">
            <v>0</v>
          </cell>
          <cell r="G1921">
            <v>0</v>
          </cell>
        </row>
        <row r="1922">
          <cell r="A1922" t="str">
            <v>23-01-01-1683</v>
          </cell>
          <cell r="B1922">
            <v>0</v>
          </cell>
          <cell r="C1922" t="str">
            <v xml:space="preserve">  CAPITAL TRADERS</v>
          </cell>
          <cell r="D1922">
            <v>0</v>
          </cell>
          <cell r="E1922">
            <v>31956</v>
          </cell>
          <cell r="F1922">
            <v>0</v>
          </cell>
          <cell r="G1922">
            <v>0</v>
          </cell>
        </row>
        <row r="1923">
          <cell r="A1923" t="str">
            <v>23-01-01-1684</v>
          </cell>
          <cell r="B1923">
            <v>0</v>
          </cell>
          <cell r="C1923" t="str">
            <v xml:space="preserve">  WATAN MANUFACTURERS FACTORY</v>
          </cell>
          <cell r="D1923">
            <v>0</v>
          </cell>
          <cell r="E1923">
            <v>0</v>
          </cell>
          <cell r="F1923">
            <v>0</v>
          </cell>
          <cell r="G1923">
            <v>0</v>
          </cell>
        </row>
        <row r="1924">
          <cell r="A1924" t="str">
            <v>23-01-01-1685</v>
          </cell>
          <cell r="B1924">
            <v>0</v>
          </cell>
          <cell r="C1924" t="str">
            <v xml:space="preserve">  WAQAS GLASS HOUSE</v>
          </cell>
          <cell r="D1924">
            <v>0</v>
          </cell>
          <cell r="E1924">
            <v>0</v>
          </cell>
          <cell r="F1924">
            <v>0</v>
          </cell>
          <cell r="G1924">
            <v>0</v>
          </cell>
        </row>
        <row r="1925">
          <cell r="A1925" t="str">
            <v>23-01-01-1686</v>
          </cell>
          <cell r="B1925">
            <v>0</v>
          </cell>
          <cell r="C1925" t="str">
            <v xml:space="preserve">  THE COMPONENT CENTRE</v>
          </cell>
          <cell r="D1925">
            <v>0</v>
          </cell>
          <cell r="E1925">
            <v>0</v>
          </cell>
          <cell r="F1925">
            <v>0</v>
          </cell>
          <cell r="G1925">
            <v>0</v>
          </cell>
        </row>
        <row r="1926">
          <cell r="A1926" t="str">
            <v>23-01-01-1687</v>
          </cell>
          <cell r="B1926">
            <v>0</v>
          </cell>
          <cell r="C1926" t="str">
            <v xml:space="preserve">  BISMA BELTING STORE.</v>
          </cell>
          <cell r="D1926">
            <v>0</v>
          </cell>
          <cell r="E1926">
            <v>5325</v>
          </cell>
          <cell r="F1926">
            <v>0</v>
          </cell>
          <cell r="G1926">
            <v>0</v>
          </cell>
        </row>
        <row r="1927">
          <cell r="A1927" t="str">
            <v>23-01-01-1688</v>
          </cell>
          <cell r="B1927">
            <v>0</v>
          </cell>
          <cell r="C1927" t="str">
            <v xml:space="preserve">  KINZA ENTERPRISES</v>
          </cell>
          <cell r="D1927">
            <v>0</v>
          </cell>
          <cell r="E1927">
            <v>79910</v>
          </cell>
          <cell r="F1927">
            <v>0</v>
          </cell>
          <cell r="G1927">
            <v>0</v>
          </cell>
        </row>
        <row r="1928">
          <cell r="A1928" t="str">
            <v>23-01-01-1689</v>
          </cell>
          <cell r="B1928">
            <v>0</v>
          </cell>
          <cell r="C1928" t="str">
            <v xml:space="preserve">  PAKISTAN PAPER CONE FACTORY</v>
          </cell>
          <cell r="D1928">
            <v>0</v>
          </cell>
          <cell r="E1928">
            <v>0</v>
          </cell>
          <cell r="F1928">
            <v>0</v>
          </cell>
          <cell r="G1928">
            <v>0</v>
          </cell>
        </row>
        <row r="1929">
          <cell r="A1929" t="str">
            <v>23-01-01-1690</v>
          </cell>
          <cell r="B1929">
            <v>0</v>
          </cell>
          <cell r="C1929" t="str">
            <v xml:space="preserve">  CANTEEN STORES DEPARTMENT</v>
          </cell>
          <cell r="D1929">
            <v>0</v>
          </cell>
          <cell r="E1929">
            <v>0</v>
          </cell>
          <cell r="F1929">
            <v>0</v>
          </cell>
          <cell r="G1929">
            <v>0</v>
          </cell>
        </row>
        <row r="1930">
          <cell r="A1930" t="str">
            <v>23-01-01-1691</v>
          </cell>
          <cell r="B1930">
            <v>0</v>
          </cell>
          <cell r="C1930" t="str">
            <v xml:space="preserve">  PAKISTAN CHAIN CENTRE</v>
          </cell>
          <cell r="D1930">
            <v>0</v>
          </cell>
          <cell r="E1930">
            <v>0</v>
          </cell>
          <cell r="F1930">
            <v>0</v>
          </cell>
          <cell r="G1930">
            <v>0</v>
          </cell>
        </row>
        <row r="1931">
          <cell r="A1931" t="str">
            <v>23-01-01-1692</v>
          </cell>
          <cell r="B1931">
            <v>0</v>
          </cell>
          <cell r="C1931" t="str">
            <v xml:space="preserve">  GADOON FILLING STATION</v>
          </cell>
          <cell r="D1931">
            <v>0</v>
          </cell>
          <cell r="E1931">
            <v>0</v>
          </cell>
          <cell r="F1931">
            <v>0</v>
          </cell>
          <cell r="G1931">
            <v>0</v>
          </cell>
        </row>
        <row r="1932">
          <cell r="A1932" t="str">
            <v>23-01-01-1693</v>
          </cell>
          <cell r="B1932">
            <v>0</v>
          </cell>
          <cell r="C1932" t="str">
            <v xml:space="preserve">  I.A. TRADERS</v>
          </cell>
          <cell r="D1932">
            <v>0</v>
          </cell>
          <cell r="E1932">
            <v>0</v>
          </cell>
          <cell r="F1932">
            <v>0</v>
          </cell>
          <cell r="G1932">
            <v>0</v>
          </cell>
        </row>
        <row r="1933">
          <cell r="A1933" t="str">
            <v>23-01-01-1694</v>
          </cell>
          <cell r="B1933">
            <v>0</v>
          </cell>
          <cell r="C1933" t="str">
            <v xml:space="preserve">  I.C MASTER</v>
          </cell>
          <cell r="D1933">
            <v>0</v>
          </cell>
          <cell r="E1933">
            <v>450</v>
          </cell>
          <cell r="F1933">
            <v>0</v>
          </cell>
          <cell r="G1933">
            <v>0</v>
          </cell>
        </row>
        <row r="1934">
          <cell r="A1934" t="str">
            <v>23-01-01-1695</v>
          </cell>
          <cell r="B1934">
            <v>0</v>
          </cell>
          <cell r="C1934" t="str">
            <v xml:space="preserve">  IMRAN ENGINEERING WORKS</v>
          </cell>
          <cell r="D1934">
            <v>0</v>
          </cell>
          <cell r="E1934">
            <v>21100</v>
          </cell>
          <cell r="F1934">
            <v>0</v>
          </cell>
          <cell r="G1934">
            <v>0</v>
          </cell>
        </row>
        <row r="1935">
          <cell r="A1935" t="str">
            <v>23-01-01-1696</v>
          </cell>
          <cell r="B1935">
            <v>0</v>
          </cell>
          <cell r="C1935" t="str">
            <v xml:space="preserve">  PARADISE RUBBER CRAFT</v>
          </cell>
          <cell r="D1935">
            <v>0</v>
          </cell>
          <cell r="E1935">
            <v>0</v>
          </cell>
          <cell r="F1935">
            <v>0</v>
          </cell>
          <cell r="G1935">
            <v>0</v>
          </cell>
        </row>
        <row r="1936">
          <cell r="A1936" t="str">
            <v>23-01-01-1697</v>
          </cell>
          <cell r="B1936">
            <v>0</v>
          </cell>
          <cell r="C1936" t="str">
            <v xml:space="preserve">  BROTHERS ENGINEERING CO.</v>
          </cell>
          <cell r="D1936">
            <v>0</v>
          </cell>
          <cell r="E1936">
            <v>0</v>
          </cell>
          <cell r="F1936">
            <v>0</v>
          </cell>
          <cell r="G1936">
            <v>0</v>
          </cell>
        </row>
        <row r="1937">
          <cell r="A1937" t="str">
            <v>23-01-01-1698</v>
          </cell>
          <cell r="B1937">
            <v>0</v>
          </cell>
          <cell r="C1937" t="str">
            <v xml:space="preserve">  EVERGREEN INDUSTRIES</v>
          </cell>
          <cell r="D1937">
            <v>0</v>
          </cell>
          <cell r="E1937">
            <v>0</v>
          </cell>
          <cell r="F1937">
            <v>0</v>
          </cell>
          <cell r="G1937">
            <v>0</v>
          </cell>
        </row>
        <row r="1938">
          <cell r="A1938" t="str">
            <v>23-01-01-1699</v>
          </cell>
          <cell r="B1938">
            <v>0</v>
          </cell>
          <cell r="C1938" t="str">
            <v xml:space="preserve">  RAMEEZ ENGINEERING WORKS</v>
          </cell>
          <cell r="D1938">
            <v>0</v>
          </cell>
          <cell r="E1938">
            <v>15378</v>
          </cell>
          <cell r="F1938">
            <v>0</v>
          </cell>
          <cell r="G1938">
            <v>0</v>
          </cell>
        </row>
        <row r="1939">
          <cell r="A1939" t="str">
            <v>23-01-01-1700</v>
          </cell>
          <cell r="B1939">
            <v>0</v>
          </cell>
          <cell r="C1939" t="str">
            <v xml:space="preserve">  PINDI CENTRAL HARDWARE</v>
          </cell>
          <cell r="D1939">
            <v>0</v>
          </cell>
          <cell r="E1939">
            <v>0</v>
          </cell>
          <cell r="F1939">
            <v>0</v>
          </cell>
          <cell r="G1939">
            <v>0</v>
          </cell>
        </row>
        <row r="1940">
          <cell r="A1940" t="str">
            <v>23-01-01-1701</v>
          </cell>
          <cell r="B1940">
            <v>0</v>
          </cell>
          <cell r="C1940" t="str">
            <v xml:space="preserve">  ARMICO ELECTRONICS</v>
          </cell>
          <cell r="D1940">
            <v>0</v>
          </cell>
          <cell r="E1940">
            <v>0</v>
          </cell>
          <cell r="F1940">
            <v>0</v>
          </cell>
          <cell r="G1940">
            <v>0</v>
          </cell>
        </row>
        <row r="1941">
          <cell r="A1941" t="str">
            <v>23-01-01-1702</v>
          </cell>
          <cell r="B1941">
            <v>0</v>
          </cell>
          <cell r="C1941" t="str">
            <v xml:space="preserve">  QUALITY STATIONERY STORE</v>
          </cell>
          <cell r="D1941">
            <v>0</v>
          </cell>
          <cell r="E1941">
            <v>0</v>
          </cell>
          <cell r="F1941">
            <v>0</v>
          </cell>
          <cell r="G1941">
            <v>0</v>
          </cell>
        </row>
        <row r="1942">
          <cell r="A1942" t="str">
            <v>23-01-01-1703</v>
          </cell>
          <cell r="B1942">
            <v>0</v>
          </cell>
          <cell r="C1942" t="str">
            <v xml:space="preserve">  PAK TYRE CENTRE</v>
          </cell>
          <cell r="D1942">
            <v>0</v>
          </cell>
          <cell r="E1942">
            <v>0</v>
          </cell>
          <cell r="F1942">
            <v>0</v>
          </cell>
          <cell r="G1942">
            <v>0</v>
          </cell>
        </row>
        <row r="1943">
          <cell r="A1943" t="str">
            <v>23-01-01-1704</v>
          </cell>
          <cell r="B1943">
            <v>0</v>
          </cell>
          <cell r="C1943" t="str">
            <v xml:space="preserve">  HAMZA ENGINEERING SERVICES</v>
          </cell>
          <cell r="D1943">
            <v>0</v>
          </cell>
          <cell r="E1943">
            <v>27100</v>
          </cell>
          <cell r="F1943">
            <v>0</v>
          </cell>
          <cell r="G1943">
            <v>0</v>
          </cell>
        </row>
        <row r="1944">
          <cell r="A1944" t="str">
            <v>23-01-01-1705</v>
          </cell>
          <cell r="B1944">
            <v>0</v>
          </cell>
          <cell r="C1944" t="str">
            <v xml:space="preserve">  GHARIAN I.C. CENTRE</v>
          </cell>
          <cell r="D1944">
            <v>0</v>
          </cell>
          <cell r="E1944">
            <v>0</v>
          </cell>
          <cell r="F1944">
            <v>0</v>
          </cell>
          <cell r="G1944">
            <v>0</v>
          </cell>
        </row>
        <row r="1945">
          <cell r="A1945" t="str">
            <v>23-01-01-1706</v>
          </cell>
          <cell r="B1945">
            <v>0</v>
          </cell>
          <cell r="C1945" t="str">
            <v xml:space="preserve">  VICTORY CORPORATION</v>
          </cell>
          <cell r="D1945">
            <v>0</v>
          </cell>
          <cell r="E1945">
            <v>17045.3</v>
          </cell>
          <cell r="F1945">
            <v>0</v>
          </cell>
          <cell r="G1945">
            <v>0</v>
          </cell>
        </row>
        <row r="1946">
          <cell r="A1946" t="str">
            <v>23-01-01-1707</v>
          </cell>
          <cell r="B1946">
            <v>0</v>
          </cell>
          <cell r="C1946" t="str">
            <v xml:space="preserve">  INDUSTRIAL ENGINEERING EQUIPMENT</v>
          </cell>
          <cell r="D1946">
            <v>0</v>
          </cell>
          <cell r="E1946">
            <v>0</v>
          </cell>
          <cell r="F1946">
            <v>0</v>
          </cell>
          <cell r="G1946">
            <v>0</v>
          </cell>
        </row>
        <row r="1947">
          <cell r="A1947" t="str">
            <v>23-01-01-1708</v>
          </cell>
          <cell r="B1947">
            <v>0</v>
          </cell>
          <cell r="C1947" t="str">
            <v xml:space="preserve">  SAPPHIRE TEXTILE MILLS LTD. NO. 1</v>
          </cell>
          <cell r="D1947">
            <v>0</v>
          </cell>
          <cell r="E1947">
            <v>0</v>
          </cell>
          <cell r="F1947">
            <v>0</v>
          </cell>
          <cell r="G1947">
            <v>0</v>
          </cell>
        </row>
        <row r="1948">
          <cell r="A1948" t="str">
            <v>23-01-01-1709</v>
          </cell>
          <cell r="B1948">
            <v>0</v>
          </cell>
          <cell r="C1948" t="str">
            <v xml:space="preserve">  DURA BOBBINS</v>
          </cell>
          <cell r="D1948">
            <v>0</v>
          </cell>
          <cell r="E1948">
            <v>0</v>
          </cell>
          <cell r="F1948">
            <v>0</v>
          </cell>
          <cell r="G1948">
            <v>0</v>
          </cell>
        </row>
        <row r="1949">
          <cell r="A1949" t="str">
            <v>23-01-01-1710</v>
          </cell>
          <cell r="B1949">
            <v>0</v>
          </cell>
          <cell r="C1949" t="str">
            <v xml:space="preserve">  ADIL TEXTILE TRADERS</v>
          </cell>
          <cell r="D1949">
            <v>0</v>
          </cell>
          <cell r="E1949">
            <v>5695</v>
          </cell>
          <cell r="F1949">
            <v>0</v>
          </cell>
          <cell r="G1949">
            <v>0</v>
          </cell>
        </row>
        <row r="1950">
          <cell r="A1950" t="str">
            <v>23-01-01-1711</v>
          </cell>
          <cell r="B1950">
            <v>0</v>
          </cell>
          <cell r="C1950" t="str">
            <v xml:space="preserve">  GOLDEN SILK MILLS</v>
          </cell>
          <cell r="D1950">
            <v>0</v>
          </cell>
          <cell r="E1950">
            <v>0</v>
          </cell>
          <cell r="F1950">
            <v>0</v>
          </cell>
          <cell r="G1950">
            <v>0</v>
          </cell>
        </row>
        <row r="1951">
          <cell r="A1951" t="str">
            <v>23-01-01-1712</v>
          </cell>
          <cell r="B1951">
            <v>0</v>
          </cell>
          <cell r="C1951" t="str">
            <v xml:space="preserve">  USMAN HARDWARE STORE</v>
          </cell>
          <cell r="D1951">
            <v>0</v>
          </cell>
          <cell r="E1951">
            <v>1660</v>
          </cell>
          <cell r="F1951">
            <v>0</v>
          </cell>
          <cell r="G1951">
            <v>0</v>
          </cell>
        </row>
        <row r="1952">
          <cell r="A1952" t="str">
            <v>23-01-01-1713</v>
          </cell>
          <cell r="B1952">
            <v>0</v>
          </cell>
          <cell r="C1952" t="str">
            <v xml:space="preserve">  CUTES CORPORATION</v>
          </cell>
          <cell r="D1952">
            <v>0</v>
          </cell>
          <cell r="E1952">
            <v>0</v>
          </cell>
          <cell r="F1952">
            <v>0</v>
          </cell>
          <cell r="G1952">
            <v>0</v>
          </cell>
        </row>
        <row r="1953">
          <cell r="A1953" t="str">
            <v>23-01-01-1714</v>
          </cell>
          <cell r="B1953">
            <v>0</v>
          </cell>
          <cell r="C1953" t="str">
            <v xml:space="preserve">  DEMAR ENGINEERS</v>
          </cell>
          <cell r="D1953">
            <v>0</v>
          </cell>
          <cell r="E1953">
            <v>0</v>
          </cell>
          <cell r="F1953">
            <v>0</v>
          </cell>
          <cell r="G1953">
            <v>0</v>
          </cell>
        </row>
        <row r="1954">
          <cell r="A1954" t="str">
            <v>23-01-01-1715</v>
          </cell>
          <cell r="B1954">
            <v>0</v>
          </cell>
          <cell r="C1954" t="str">
            <v xml:space="preserve">  COMPSI COMPUTERS</v>
          </cell>
          <cell r="D1954">
            <v>0</v>
          </cell>
          <cell r="E1954">
            <v>6025</v>
          </cell>
          <cell r="F1954">
            <v>0</v>
          </cell>
          <cell r="G1954">
            <v>0</v>
          </cell>
        </row>
        <row r="1955">
          <cell r="A1955" t="str">
            <v>23-01-01-1716</v>
          </cell>
          <cell r="B1955">
            <v>0</v>
          </cell>
          <cell r="C1955" t="str">
            <v xml:space="preserve">  SHAMA SANITARY STORE</v>
          </cell>
          <cell r="D1955">
            <v>0</v>
          </cell>
          <cell r="E1955">
            <v>20621.2</v>
          </cell>
          <cell r="F1955">
            <v>0</v>
          </cell>
          <cell r="G1955">
            <v>0</v>
          </cell>
        </row>
        <row r="1956">
          <cell r="A1956" t="str">
            <v>23-01-01-1717</v>
          </cell>
          <cell r="B1956">
            <v>0</v>
          </cell>
          <cell r="C1956" t="str">
            <v xml:space="preserve">  RAZA TOWEL FACTORY</v>
          </cell>
          <cell r="D1956">
            <v>0</v>
          </cell>
          <cell r="E1956">
            <v>0</v>
          </cell>
          <cell r="F1956">
            <v>0</v>
          </cell>
          <cell r="G1956">
            <v>0</v>
          </cell>
        </row>
        <row r="1957">
          <cell r="A1957" t="str">
            <v>23-01-01-1718</v>
          </cell>
          <cell r="B1957">
            <v>0</v>
          </cell>
          <cell r="C1957" t="str">
            <v xml:space="preserve">  MALHI TRADERS</v>
          </cell>
          <cell r="D1957">
            <v>0</v>
          </cell>
          <cell r="E1957">
            <v>40708.800000000003</v>
          </cell>
          <cell r="F1957">
            <v>0</v>
          </cell>
          <cell r="G1957">
            <v>0</v>
          </cell>
        </row>
        <row r="1958">
          <cell r="A1958" t="str">
            <v>23-01-01-1719</v>
          </cell>
          <cell r="B1958">
            <v>0</v>
          </cell>
          <cell r="C1958" t="str">
            <v xml:space="preserve">  ZEB ENGINEERING WORKS</v>
          </cell>
          <cell r="D1958">
            <v>0</v>
          </cell>
          <cell r="E1958">
            <v>24225</v>
          </cell>
          <cell r="F1958">
            <v>0</v>
          </cell>
          <cell r="G1958">
            <v>0</v>
          </cell>
        </row>
        <row r="1959">
          <cell r="A1959" t="str">
            <v>23-01-01-1720</v>
          </cell>
          <cell r="B1959">
            <v>0</v>
          </cell>
          <cell r="C1959" t="str">
            <v xml:space="preserve">  CHANAB WOOD WORKS AND TIMBER STORE</v>
          </cell>
          <cell r="D1959">
            <v>0</v>
          </cell>
          <cell r="E1959">
            <v>182252.06</v>
          </cell>
          <cell r="F1959">
            <v>0</v>
          </cell>
          <cell r="G1959">
            <v>0</v>
          </cell>
        </row>
        <row r="1960">
          <cell r="A1960" t="str">
            <v>23-01-01-1721</v>
          </cell>
          <cell r="B1960">
            <v>0</v>
          </cell>
          <cell r="C1960" t="str">
            <v xml:space="preserve">  WEST PAKISTAN RUBBER STORES</v>
          </cell>
          <cell r="D1960">
            <v>0</v>
          </cell>
          <cell r="E1960">
            <v>0</v>
          </cell>
          <cell r="F1960">
            <v>0</v>
          </cell>
          <cell r="G1960">
            <v>0</v>
          </cell>
        </row>
        <row r="1961">
          <cell r="A1961" t="str">
            <v>23-01-01-1722</v>
          </cell>
          <cell r="B1961">
            <v>0</v>
          </cell>
          <cell r="C1961" t="str">
            <v xml:space="preserve">  INDUS WIRE &amp; CABLES</v>
          </cell>
          <cell r="D1961">
            <v>55586.400000000001</v>
          </cell>
          <cell r="E1961">
            <v>0</v>
          </cell>
          <cell r="F1961">
            <v>0</v>
          </cell>
          <cell r="G1961">
            <v>0</v>
          </cell>
        </row>
        <row r="1962">
          <cell r="A1962" t="str">
            <v>23-01-01-1723</v>
          </cell>
          <cell r="B1962">
            <v>0</v>
          </cell>
          <cell r="C1962" t="str">
            <v xml:space="preserve">  NEW CHAUDHRY AGRICULTURAL MECHANICAL E</v>
          </cell>
          <cell r="D1962">
            <v>0</v>
          </cell>
          <cell r="E1962">
            <v>0</v>
          </cell>
          <cell r="F1962">
            <v>0</v>
          </cell>
          <cell r="G1962">
            <v>0</v>
          </cell>
        </row>
        <row r="1963">
          <cell r="A1963" t="str">
            <v>23-01-01-1724</v>
          </cell>
          <cell r="B1963">
            <v>0</v>
          </cell>
          <cell r="C1963" t="str">
            <v xml:space="preserve">  S.I.ELECTRIC STORE</v>
          </cell>
          <cell r="D1963">
            <v>0</v>
          </cell>
          <cell r="E1963">
            <v>0</v>
          </cell>
          <cell r="F1963">
            <v>0</v>
          </cell>
          <cell r="G1963">
            <v>0</v>
          </cell>
        </row>
        <row r="1964">
          <cell r="A1964" t="str">
            <v>23-01-01-1725</v>
          </cell>
          <cell r="B1964">
            <v>0</v>
          </cell>
          <cell r="C1964" t="str">
            <v xml:space="preserve">  USMAN ENTERPRISE</v>
          </cell>
          <cell r="D1964">
            <v>0</v>
          </cell>
          <cell r="E1964">
            <v>47230.5</v>
          </cell>
          <cell r="F1964">
            <v>0</v>
          </cell>
          <cell r="G1964">
            <v>0</v>
          </cell>
        </row>
        <row r="1965">
          <cell r="A1965" t="str">
            <v>23-01-01-1726</v>
          </cell>
          <cell r="B1965">
            <v>0</v>
          </cell>
          <cell r="C1965" t="str">
            <v xml:space="preserve">  SHAKEEL TRADING CORPORATION</v>
          </cell>
          <cell r="D1965">
            <v>0</v>
          </cell>
          <cell r="E1965">
            <v>0</v>
          </cell>
          <cell r="F1965">
            <v>0</v>
          </cell>
          <cell r="G1965">
            <v>0</v>
          </cell>
        </row>
        <row r="1966">
          <cell r="A1966" t="str">
            <v>23-01-01-1727</v>
          </cell>
          <cell r="B1966">
            <v>0</v>
          </cell>
          <cell r="C1966" t="str">
            <v xml:space="preserve">  PAKISTAN BATTERY HOUSE</v>
          </cell>
          <cell r="D1966">
            <v>0</v>
          </cell>
          <cell r="E1966">
            <v>0</v>
          </cell>
          <cell r="F1966">
            <v>0</v>
          </cell>
          <cell r="G1966">
            <v>0</v>
          </cell>
        </row>
        <row r="1967">
          <cell r="A1967" t="str">
            <v>23-01-01-1728</v>
          </cell>
          <cell r="B1967">
            <v>0</v>
          </cell>
          <cell r="C1967" t="str">
            <v xml:space="preserve">  JAMALI METAL MART</v>
          </cell>
          <cell r="D1967">
            <v>0</v>
          </cell>
          <cell r="E1967">
            <v>0</v>
          </cell>
          <cell r="F1967">
            <v>0</v>
          </cell>
          <cell r="G1967">
            <v>0</v>
          </cell>
        </row>
        <row r="1968">
          <cell r="A1968" t="str">
            <v>23-01-01-1729</v>
          </cell>
          <cell r="B1968">
            <v>0</v>
          </cell>
          <cell r="C1968" t="str">
            <v xml:space="preserve">  PRINCE AUTOMATION</v>
          </cell>
          <cell r="D1968">
            <v>0</v>
          </cell>
          <cell r="E1968">
            <v>0</v>
          </cell>
          <cell r="F1968">
            <v>0</v>
          </cell>
          <cell r="G1968">
            <v>0</v>
          </cell>
        </row>
        <row r="1969">
          <cell r="A1969" t="str">
            <v>23-01-01-1730</v>
          </cell>
          <cell r="B1969">
            <v>0</v>
          </cell>
          <cell r="C1969" t="str">
            <v xml:space="preserve">  IRFAN BROTHERS CLOTH MERCHANT</v>
          </cell>
          <cell r="D1969">
            <v>0</v>
          </cell>
          <cell r="E1969">
            <v>10232</v>
          </cell>
          <cell r="F1969">
            <v>0</v>
          </cell>
          <cell r="G1969">
            <v>0</v>
          </cell>
        </row>
        <row r="1970">
          <cell r="A1970" t="str">
            <v>23-01-01-1731</v>
          </cell>
          <cell r="B1970">
            <v>0</v>
          </cell>
          <cell r="C1970" t="str">
            <v xml:space="preserve">  FOSPAK (PVT) LTD.</v>
          </cell>
          <cell r="D1970">
            <v>0</v>
          </cell>
          <cell r="E1970">
            <v>0</v>
          </cell>
          <cell r="F1970">
            <v>0</v>
          </cell>
          <cell r="G1970">
            <v>0</v>
          </cell>
        </row>
        <row r="1971">
          <cell r="A1971" t="str">
            <v>23-01-01-1732</v>
          </cell>
          <cell r="B1971">
            <v>0</v>
          </cell>
          <cell r="C1971" t="str">
            <v xml:space="preserve">  NEW LAHORE RUBBER WORKS</v>
          </cell>
          <cell r="D1971">
            <v>0</v>
          </cell>
          <cell r="E1971">
            <v>62808.55</v>
          </cell>
          <cell r="F1971">
            <v>0</v>
          </cell>
          <cell r="G1971">
            <v>0</v>
          </cell>
        </row>
        <row r="1972">
          <cell r="A1972" t="str">
            <v>23-01-01-1733</v>
          </cell>
          <cell r="B1972">
            <v>0</v>
          </cell>
          <cell r="C1972" t="str">
            <v xml:space="preserve">  A.G.MERAJ &amp; BROS.</v>
          </cell>
          <cell r="D1972">
            <v>0</v>
          </cell>
          <cell r="E1972">
            <v>239535</v>
          </cell>
          <cell r="F1972">
            <v>0</v>
          </cell>
          <cell r="G1972">
            <v>0</v>
          </cell>
        </row>
        <row r="1973">
          <cell r="A1973" t="str">
            <v>23-01-01-1734</v>
          </cell>
          <cell r="B1973">
            <v>0</v>
          </cell>
          <cell r="C1973" t="str">
            <v xml:space="preserve">  MARINE TRADERS</v>
          </cell>
          <cell r="D1973">
            <v>0</v>
          </cell>
          <cell r="E1973">
            <v>0</v>
          </cell>
          <cell r="F1973">
            <v>0</v>
          </cell>
          <cell r="G1973">
            <v>0</v>
          </cell>
        </row>
        <row r="1974">
          <cell r="A1974" t="str">
            <v>23-01-01-1735</v>
          </cell>
          <cell r="B1974">
            <v>0</v>
          </cell>
          <cell r="C1974" t="str">
            <v xml:space="preserve">  JADOON GLASS H/WARE PAINT &amp; PLY WOOD S</v>
          </cell>
          <cell r="D1974">
            <v>0</v>
          </cell>
          <cell r="E1974">
            <v>0</v>
          </cell>
          <cell r="F1974">
            <v>0</v>
          </cell>
          <cell r="G1974">
            <v>0</v>
          </cell>
        </row>
        <row r="1975">
          <cell r="A1975" t="str">
            <v>23-01-01-1736</v>
          </cell>
          <cell r="B1975">
            <v>0</v>
          </cell>
          <cell r="C1975" t="str">
            <v xml:space="preserve">  ZARAI PUMP HOUSE</v>
          </cell>
          <cell r="D1975">
            <v>0</v>
          </cell>
          <cell r="E1975">
            <v>0</v>
          </cell>
          <cell r="F1975">
            <v>0</v>
          </cell>
          <cell r="G1975">
            <v>0</v>
          </cell>
        </row>
        <row r="1976">
          <cell r="A1976" t="str">
            <v>23-01-01-1738</v>
          </cell>
          <cell r="B1976">
            <v>0</v>
          </cell>
          <cell r="C1976" t="str">
            <v xml:space="preserve">  EXPRESS PACKAGING SERVICES</v>
          </cell>
          <cell r="D1976">
            <v>0</v>
          </cell>
          <cell r="E1976">
            <v>0</v>
          </cell>
          <cell r="F1976">
            <v>0</v>
          </cell>
          <cell r="G1976">
            <v>0</v>
          </cell>
        </row>
        <row r="1977">
          <cell r="A1977" t="str">
            <v>23-01-01-1739</v>
          </cell>
          <cell r="B1977">
            <v>0</v>
          </cell>
          <cell r="C1977" t="str">
            <v xml:space="preserve">  HMA PUMPS</v>
          </cell>
          <cell r="D1977">
            <v>0</v>
          </cell>
          <cell r="E1977">
            <v>0</v>
          </cell>
          <cell r="F1977">
            <v>0</v>
          </cell>
          <cell r="G1977">
            <v>0</v>
          </cell>
        </row>
        <row r="1978">
          <cell r="A1978" t="str">
            <v>23-01-01-1740</v>
          </cell>
          <cell r="B1978">
            <v>0</v>
          </cell>
          <cell r="C1978" t="str">
            <v xml:space="preserve">  CONCORDE TRADING CO.</v>
          </cell>
          <cell r="D1978">
            <v>0</v>
          </cell>
          <cell r="E1978">
            <v>0</v>
          </cell>
          <cell r="F1978">
            <v>0</v>
          </cell>
          <cell r="G1978">
            <v>0</v>
          </cell>
        </row>
        <row r="1979">
          <cell r="A1979" t="str">
            <v>23-01-01-1741</v>
          </cell>
          <cell r="B1979">
            <v>0</v>
          </cell>
          <cell r="C1979" t="str">
            <v xml:space="preserve">  A-UNITECH. ENGG. WORKS</v>
          </cell>
          <cell r="D1979">
            <v>0</v>
          </cell>
          <cell r="E1979">
            <v>0</v>
          </cell>
          <cell r="F1979">
            <v>0</v>
          </cell>
          <cell r="G1979">
            <v>0</v>
          </cell>
        </row>
        <row r="1980">
          <cell r="A1980" t="str">
            <v>23-01-01-1742</v>
          </cell>
          <cell r="B1980">
            <v>0</v>
          </cell>
          <cell r="C1980" t="str">
            <v xml:space="preserve">  PAK ELECTRONICS INDUSTRIAL SERCICE</v>
          </cell>
          <cell r="D1980">
            <v>0</v>
          </cell>
          <cell r="E1980">
            <v>0</v>
          </cell>
          <cell r="F1980">
            <v>0</v>
          </cell>
          <cell r="G1980">
            <v>0</v>
          </cell>
        </row>
        <row r="1981">
          <cell r="A1981" t="str">
            <v>23-01-01-1743</v>
          </cell>
          <cell r="B1981">
            <v>0</v>
          </cell>
          <cell r="C1981" t="str">
            <v xml:space="preserve">  CITY TEXTILE BRUSH MANUFACTURER</v>
          </cell>
          <cell r="D1981">
            <v>0</v>
          </cell>
          <cell r="E1981">
            <v>0</v>
          </cell>
          <cell r="F1981">
            <v>0</v>
          </cell>
          <cell r="G1981">
            <v>0</v>
          </cell>
        </row>
        <row r="1982">
          <cell r="A1982" t="str">
            <v>23-01-01-1744</v>
          </cell>
          <cell r="B1982">
            <v>0</v>
          </cell>
          <cell r="C1982" t="str">
            <v xml:space="preserve">  SUN SHINE ELECTRIC</v>
          </cell>
          <cell r="D1982">
            <v>0</v>
          </cell>
          <cell r="E1982">
            <v>0</v>
          </cell>
          <cell r="F1982">
            <v>0</v>
          </cell>
          <cell r="G1982">
            <v>0</v>
          </cell>
        </row>
        <row r="1983">
          <cell r="A1983" t="str">
            <v>23-01-01-1745</v>
          </cell>
          <cell r="B1983">
            <v>0</v>
          </cell>
          <cell r="C1983" t="str">
            <v xml:space="preserve">  SYED ELECTRIC</v>
          </cell>
          <cell r="D1983">
            <v>0</v>
          </cell>
          <cell r="E1983">
            <v>0</v>
          </cell>
          <cell r="F1983">
            <v>0</v>
          </cell>
          <cell r="G1983">
            <v>0</v>
          </cell>
        </row>
        <row r="1984">
          <cell r="A1984" t="str">
            <v>23-01-01-1746</v>
          </cell>
          <cell r="B1984">
            <v>0</v>
          </cell>
          <cell r="C1984" t="str">
            <v xml:space="preserve">  AQUADEAL</v>
          </cell>
          <cell r="D1984">
            <v>0</v>
          </cell>
          <cell r="E1984">
            <v>31500</v>
          </cell>
          <cell r="F1984">
            <v>0</v>
          </cell>
          <cell r="G1984">
            <v>0</v>
          </cell>
        </row>
        <row r="1985">
          <cell r="A1985" t="str">
            <v>23-01-01-1747</v>
          </cell>
          <cell r="B1985">
            <v>0</v>
          </cell>
          <cell r="C1985" t="str">
            <v xml:space="preserve">  MANSHA BROTHERES</v>
          </cell>
          <cell r="D1985">
            <v>0</v>
          </cell>
          <cell r="E1985">
            <v>14662</v>
          </cell>
          <cell r="F1985">
            <v>0</v>
          </cell>
          <cell r="G1985">
            <v>0</v>
          </cell>
        </row>
        <row r="1986">
          <cell r="A1986" t="str">
            <v>23-01-01-1748</v>
          </cell>
          <cell r="B1986">
            <v>0</v>
          </cell>
          <cell r="C1986" t="str">
            <v xml:space="preserve">  KHAN TEXTURES</v>
          </cell>
          <cell r="D1986">
            <v>0</v>
          </cell>
          <cell r="E1986">
            <v>0</v>
          </cell>
          <cell r="F1986">
            <v>0</v>
          </cell>
          <cell r="G1986">
            <v>0</v>
          </cell>
        </row>
        <row r="1987">
          <cell r="A1987" t="str">
            <v>23-01-01-1749</v>
          </cell>
          <cell r="B1987">
            <v>0</v>
          </cell>
          <cell r="C1987" t="str">
            <v xml:space="preserve">  FORKLIFTS CENTRE</v>
          </cell>
          <cell r="D1987">
            <v>0</v>
          </cell>
          <cell r="E1987">
            <v>0</v>
          </cell>
          <cell r="F1987">
            <v>0</v>
          </cell>
          <cell r="G1987">
            <v>0</v>
          </cell>
        </row>
        <row r="1988">
          <cell r="A1988" t="str">
            <v>23-01-01-1750</v>
          </cell>
          <cell r="B1988">
            <v>0</v>
          </cell>
          <cell r="C1988" t="str">
            <v xml:space="preserve">  JAFFERY BRUSH WIRE</v>
          </cell>
          <cell r="D1988">
            <v>0</v>
          </cell>
          <cell r="E1988">
            <v>0</v>
          </cell>
          <cell r="F1988">
            <v>0</v>
          </cell>
          <cell r="G1988">
            <v>0</v>
          </cell>
        </row>
        <row r="1989">
          <cell r="A1989" t="str">
            <v>23-01-01-1751</v>
          </cell>
          <cell r="B1989">
            <v>0</v>
          </cell>
          <cell r="C1989" t="str">
            <v xml:space="preserve">  JASCO INTERNATIONAL</v>
          </cell>
          <cell r="D1989">
            <v>0</v>
          </cell>
          <cell r="E1989">
            <v>195062.08</v>
          </cell>
          <cell r="F1989">
            <v>0</v>
          </cell>
          <cell r="G1989">
            <v>0</v>
          </cell>
        </row>
        <row r="1990">
          <cell r="A1990" t="str">
            <v>23-01-01-1752</v>
          </cell>
          <cell r="B1990">
            <v>0</v>
          </cell>
          <cell r="C1990" t="str">
            <v xml:space="preserve">  LATIF &amp; SONS TEXTILE TRADERS</v>
          </cell>
          <cell r="D1990">
            <v>0</v>
          </cell>
          <cell r="E1990">
            <v>0</v>
          </cell>
          <cell r="F1990">
            <v>0</v>
          </cell>
          <cell r="G1990">
            <v>0</v>
          </cell>
        </row>
        <row r="1991">
          <cell r="A1991" t="str">
            <v>23-01-01-1753</v>
          </cell>
          <cell r="B1991">
            <v>0</v>
          </cell>
          <cell r="C1991" t="str">
            <v xml:space="preserve">  SOHAIL INDUSTRIAL STORE</v>
          </cell>
          <cell r="D1991">
            <v>0</v>
          </cell>
          <cell r="E1991">
            <v>0</v>
          </cell>
          <cell r="F1991">
            <v>0</v>
          </cell>
          <cell r="G1991">
            <v>0</v>
          </cell>
        </row>
        <row r="1992">
          <cell r="A1992" t="str">
            <v>23-01-01-1754</v>
          </cell>
          <cell r="B1992">
            <v>0</v>
          </cell>
          <cell r="C1992" t="str">
            <v xml:space="preserve">  A.JABBAR MILL STORE</v>
          </cell>
          <cell r="D1992">
            <v>0</v>
          </cell>
          <cell r="E1992">
            <v>0</v>
          </cell>
          <cell r="F1992">
            <v>0</v>
          </cell>
          <cell r="G1992">
            <v>0</v>
          </cell>
        </row>
        <row r="1993">
          <cell r="A1993" t="str">
            <v>23-01-01-1755</v>
          </cell>
          <cell r="B1993">
            <v>0</v>
          </cell>
          <cell r="C1993" t="str">
            <v xml:space="preserve">  HASEEN HABIB TRADING COMPANY</v>
          </cell>
          <cell r="D1993">
            <v>0</v>
          </cell>
          <cell r="E1993">
            <v>32373</v>
          </cell>
          <cell r="F1993">
            <v>0</v>
          </cell>
          <cell r="G1993">
            <v>0</v>
          </cell>
        </row>
        <row r="1994">
          <cell r="A1994" t="str">
            <v>23-01-01-1756</v>
          </cell>
          <cell r="B1994">
            <v>0</v>
          </cell>
          <cell r="C1994" t="str">
            <v xml:space="preserve">  MUHAMMAD LIAQUAT</v>
          </cell>
          <cell r="D1994">
            <v>0</v>
          </cell>
          <cell r="E1994">
            <v>0</v>
          </cell>
          <cell r="F1994">
            <v>0</v>
          </cell>
          <cell r="G1994">
            <v>0</v>
          </cell>
        </row>
        <row r="1995">
          <cell r="A1995" t="str">
            <v>23-01-01-1757</v>
          </cell>
          <cell r="B1995">
            <v>0</v>
          </cell>
          <cell r="C1995" t="str">
            <v xml:space="preserve">  MUSLIM ENGINEERING WORKS</v>
          </cell>
          <cell r="D1995">
            <v>0</v>
          </cell>
          <cell r="E1995">
            <v>0</v>
          </cell>
          <cell r="F1995">
            <v>0</v>
          </cell>
          <cell r="G1995">
            <v>0</v>
          </cell>
        </row>
        <row r="1996">
          <cell r="A1996" t="str">
            <v>23-01-01-1758</v>
          </cell>
          <cell r="B1996">
            <v>0</v>
          </cell>
          <cell r="C1996" t="str">
            <v xml:space="preserve">  HAMID RUBBER STORE</v>
          </cell>
          <cell r="D1996">
            <v>0</v>
          </cell>
          <cell r="E1996">
            <v>0</v>
          </cell>
          <cell r="F1996">
            <v>0</v>
          </cell>
          <cell r="G1996">
            <v>0</v>
          </cell>
        </row>
        <row r="1997">
          <cell r="A1997" t="str">
            <v>23-01-01-1759</v>
          </cell>
          <cell r="B1997">
            <v>0</v>
          </cell>
          <cell r="C1997" t="str">
            <v xml:space="preserve">  INTERNATIONAL TRADE LINKS</v>
          </cell>
          <cell r="D1997">
            <v>0</v>
          </cell>
          <cell r="E1997">
            <v>0</v>
          </cell>
          <cell r="F1997">
            <v>0</v>
          </cell>
          <cell r="G1997">
            <v>0</v>
          </cell>
        </row>
        <row r="1998">
          <cell r="A1998" t="str">
            <v>23-01-01-1760</v>
          </cell>
          <cell r="B1998">
            <v>0</v>
          </cell>
          <cell r="C1998" t="str">
            <v xml:space="preserve">  MOHSIN BROTHERS HEAD GASKIT PACKING</v>
          </cell>
          <cell r="D1998">
            <v>0</v>
          </cell>
          <cell r="E1998">
            <v>0</v>
          </cell>
          <cell r="F1998">
            <v>0</v>
          </cell>
          <cell r="G1998">
            <v>0</v>
          </cell>
        </row>
        <row r="1999">
          <cell r="A1999" t="str">
            <v>23-01-01-1761</v>
          </cell>
          <cell r="B1999">
            <v>0</v>
          </cell>
          <cell r="C1999" t="str">
            <v xml:space="preserve">  TIME &amp; TUNE</v>
          </cell>
          <cell r="D1999">
            <v>0</v>
          </cell>
          <cell r="E1999">
            <v>7250</v>
          </cell>
          <cell r="F1999">
            <v>0</v>
          </cell>
          <cell r="G1999">
            <v>0</v>
          </cell>
        </row>
        <row r="2000">
          <cell r="A2000" t="str">
            <v>23-01-01-1762</v>
          </cell>
          <cell r="B2000">
            <v>0</v>
          </cell>
          <cell r="C2000" t="str">
            <v xml:space="preserve">  WOODALO FURNITURE &amp; INTERIOR DECORATOR</v>
          </cell>
          <cell r="D2000">
            <v>0</v>
          </cell>
          <cell r="E2000">
            <v>0</v>
          </cell>
          <cell r="F2000">
            <v>0</v>
          </cell>
          <cell r="G2000">
            <v>0</v>
          </cell>
        </row>
        <row r="2001">
          <cell r="A2001" t="str">
            <v>23-01-01-1763</v>
          </cell>
          <cell r="B2001">
            <v>0</v>
          </cell>
          <cell r="C2001" t="str">
            <v xml:space="preserve">  FLOWTRONIX (PVT) LTD.</v>
          </cell>
          <cell r="D2001">
            <v>0</v>
          </cell>
          <cell r="E2001">
            <v>168183</v>
          </cell>
          <cell r="F2001">
            <v>0</v>
          </cell>
          <cell r="G2001">
            <v>0</v>
          </cell>
        </row>
        <row r="2002">
          <cell r="A2002" t="str">
            <v>23-01-01-1764</v>
          </cell>
          <cell r="B2002">
            <v>0</v>
          </cell>
          <cell r="C2002" t="str">
            <v xml:space="preserve">  GOODLUCK ENGINEERING WORKS</v>
          </cell>
          <cell r="D2002">
            <v>0</v>
          </cell>
          <cell r="E2002">
            <v>0</v>
          </cell>
          <cell r="F2002">
            <v>0</v>
          </cell>
          <cell r="G2002">
            <v>0</v>
          </cell>
        </row>
        <row r="2003">
          <cell r="A2003" t="str">
            <v>23-01-01-1765</v>
          </cell>
          <cell r="B2003">
            <v>0</v>
          </cell>
          <cell r="C2003" t="str">
            <v xml:space="preserve">  AHMED CHEMICAL CO</v>
          </cell>
          <cell r="D2003">
            <v>0</v>
          </cell>
          <cell r="E2003">
            <v>0</v>
          </cell>
          <cell r="F2003">
            <v>0</v>
          </cell>
          <cell r="G2003">
            <v>0</v>
          </cell>
        </row>
        <row r="2004">
          <cell r="A2004" t="str">
            <v>23-01-01-1766</v>
          </cell>
          <cell r="B2004">
            <v>0</v>
          </cell>
          <cell r="C2004" t="str">
            <v xml:space="preserve">  M.A.HARD WARE &amp; ELECTRIC STORE</v>
          </cell>
          <cell r="D2004">
            <v>0</v>
          </cell>
          <cell r="E2004">
            <v>0</v>
          </cell>
          <cell r="F2004">
            <v>0</v>
          </cell>
          <cell r="G2004">
            <v>0</v>
          </cell>
        </row>
        <row r="2005">
          <cell r="A2005" t="str">
            <v>23-01-01-1767</v>
          </cell>
          <cell r="B2005">
            <v>0</v>
          </cell>
          <cell r="C2005" t="str">
            <v xml:space="preserve">  S.A STATIONERS</v>
          </cell>
          <cell r="D2005">
            <v>0</v>
          </cell>
          <cell r="E2005">
            <v>0</v>
          </cell>
          <cell r="F2005">
            <v>0</v>
          </cell>
          <cell r="G2005">
            <v>0</v>
          </cell>
        </row>
        <row r="2006">
          <cell r="A2006" t="str">
            <v>23-01-01-1768</v>
          </cell>
          <cell r="B2006">
            <v>0</v>
          </cell>
          <cell r="C2006" t="str">
            <v xml:space="preserve">  SHEIKH MEHBOOB ALI &amp; SONS</v>
          </cell>
          <cell r="D2006">
            <v>0</v>
          </cell>
          <cell r="E2006">
            <v>0</v>
          </cell>
          <cell r="F2006">
            <v>0</v>
          </cell>
          <cell r="G2006">
            <v>0</v>
          </cell>
        </row>
        <row r="2007">
          <cell r="A2007" t="str">
            <v>23-01-01-1769</v>
          </cell>
          <cell r="B2007">
            <v>0</v>
          </cell>
          <cell r="C2007" t="str">
            <v xml:space="preserve">  MEHRANI CLOTH</v>
          </cell>
          <cell r="D2007">
            <v>0</v>
          </cell>
          <cell r="E2007">
            <v>0</v>
          </cell>
          <cell r="F2007">
            <v>0</v>
          </cell>
          <cell r="G2007">
            <v>0</v>
          </cell>
        </row>
        <row r="2008">
          <cell r="A2008" t="str">
            <v>23-01-01-1770</v>
          </cell>
          <cell r="B2008">
            <v>0</v>
          </cell>
          <cell r="C2008" t="str">
            <v xml:space="preserve">  REHAN CLOTH MERCHANT</v>
          </cell>
          <cell r="D2008">
            <v>0</v>
          </cell>
          <cell r="E2008">
            <v>0</v>
          </cell>
          <cell r="F2008">
            <v>0</v>
          </cell>
          <cell r="G2008">
            <v>0</v>
          </cell>
        </row>
        <row r="2009">
          <cell r="A2009" t="str">
            <v>23-01-01-1771</v>
          </cell>
          <cell r="B2009">
            <v>0</v>
          </cell>
          <cell r="C2009" t="str">
            <v xml:space="preserve">  PEARL ENTERPRISES ISLAMABAD</v>
          </cell>
          <cell r="D2009">
            <v>0</v>
          </cell>
          <cell r="E2009">
            <v>0</v>
          </cell>
          <cell r="F2009">
            <v>0</v>
          </cell>
          <cell r="G2009">
            <v>0</v>
          </cell>
        </row>
        <row r="2010">
          <cell r="A2010" t="str">
            <v>23-01-01-1772</v>
          </cell>
          <cell r="B2010">
            <v>0</v>
          </cell>
          <cell r="C2010" t="str">
            <v xml:space="preserve">  S.A PACKAGES</v>
          </cell>
          <cell r="D2010">
            <v>0</v>
          </cell>
          <cell r="E2010">
            <v>0</v>
          </cell>
          <cell r="F2010">
            <v>0</v>
          </cell>
          <cell r="G2010">
            <v>0</v>
          </cell>
        </row>
        <row r="2011">
          <cell r="A2011" t="str">
            <v>23-01-01-1773</v>
          </cell>
          <cell r="B2011">
            <v>0</v>
          </cell>
          <cell r="C2011" t="str">
            <v xml:space="preserve">  JADOON TRADERS GADOON</v>
          </cell>
          <cell r="D2011">
            <v>0</v>
          </cell>
          <cell r="E2011">
            <v>0</v>
          </cell>
          <cell r="F2011">
            <v>0</v>
          </cell>
          <cell r="G2011">
            <v>0</v>
          </cell>
        </row>
        <row r="2012">
          <cell r="A2012" t="str">
            <v>23-01-01-1774</v>
          </cell>
          <cell r="B2012">
            <v>0</v>
          </cell>
          <cell r="C2012" t="str">
            <v xml:space="preserve">  SPIRAX SARCO</v>
          </cell>
          <cell r="D2012">
            <v>0</v>
          </cell>
          <cell r="E2012">
            <v>0</v>
          </cell>
          <cell r="F2012">
            <v>0</v>
          </cell>
          <cell r="G2012">
            <v>0</v>
          </cell>
        </row>
        <row r="2013">
          <cell r="A2013" t="str">
            <v>23-01-01-1775</v>
          </cell>
          <cell r="B2013">
            <v>0</v>
          </cell>
          <cell r="C2013" t="str">
            <v xml:space="preserve">  SADIQ ENTERPRISE</v>
          </cell>
          <cell r="D2013">
            <v>0</v>
          </cell>
          <cell r="E2013">
            <v>0</v>
          </cell>
          <cell r="F2013">
            <v>0</v>
          </cell>
          <cell r="G2013">
            <v>0</v>
          </cell>
        </row>
        <row r="2014">
          <cell r="A2014" t="str">
            <v>23-01-01-1776</v>
          </cell>
          <cell r="B2014">
            <v>0</v>
          </cell>
          <cell r="C2014" t="str">
            <v xml:space="preserve">  NAJMUDDIN M. BADRUDDIN</v>
          </cell>
          <cell r="D2014">
            <v>0</v>
          </cell>
          <cell r="E2014">
            <v>0</v>
          </cell>
          <cell r="F2014">
            <v>0</v>
          </cell>
          <cell r="G2014">
            <v>0</v>
          </cell>
        </row>
        <row r="2015">
          <cell r="A2015" t="str">
            <v>23-01-01-1777</v>
          </cell>
          <cell r="B2015">
            <v>0</v>
          </cell>
          <cell r="C2015" t="str">
            <v xml:space="preserve">  SUFI STATIONERS</v>
          </cell>
          <cell r="D2015">
            <v>0</v>
          </cell>
          <cell r="E2015">
            <v>0</v>
          </cell>
          <cell r="F2015">
            <v>0</v>
          </cell>
          <cell r="G2015">
            <v>0</v>
          </cell>
        </row>
        <row r="2016">
          <cell r="A2016" t="str">
            <v>23-01-01-1778</v>
          </cell>
          <cell r="B2016">
            <v>0</v>
          </cell>
          <cell r="C2016" t="str">
            <v xml:space="preserve">  MECHANICO</v>
          </cell>
          <cell r="D2016">
            <v>0</v>
          </cell>
          <cell r="E2016">
            <v>0</v>
          </cell>
          <cell r="F2016">
            <v>0</v>
          </cell>
          <cell r="G2016">
            <v>0</v>
          </cell>
        </row>
        <row r="2017">
          <cell r="A2017" t="str">
            <v>23-01-01-1779</v>
          </cell>
          <cell r="B2017">
            <v>0</v>
          </cell>
          <cell r="C2017" t="str">
            <v xml:space="preserve">  SOHAIL TRADERS</v>
          </cell>
          <cell r="D2017">
            <v>0</v>
          </cell>
          <cell r="E2017">
            <v>20176</v>
          </cell>
          <cell r="F2017">
            <v>0</v>
          </cell>
          <cell r="G2017">
            <v>0</v>
          </cell>
        </row>
        <row r="2018">
          <cell r="A2018" t="str">
            <v>23-01-01-1780</v>
          </cell>
          <cell r="B2018">
            <v>0</v>
          </cell>
          <cell r="C2018" t="str">
            <v xml:space="preserve">  ALSTOM PAKISTAN (PRIVATE) LIMITED</v>
          </cell>
          <cell r="D2018">
            <v>0</v>
          </cell>
          <cell r="E2018">
            <v>0</v>
          </cell>
          <cell r="F2018">
            <v>0</v>
          </cell>
          <cell r="G2018">
            <v>0</v>
          </cell>
        </row>
        <row r="2019">
          <cell r="A2019" t="str">
            <v>23-01-01-1781</v>
          </cell>
          <cell r="B2019">
            <v>0</v>
          </cell>
          <cell r="C2019" t="str">
            <v xml:space="preserve">  M. IBRAHIM &amp; SONS</v>
          </cell>
          <cell r="D2019">
            <v>0</v>
          </cell>
          <cell r="E2019">
            <v>566928</v>
          </cell>
          <cell r="F2019">
            <v>0</v>
          </cell>
          <cell r="G2019">
            <v>0</v>
          </cell>
        </row>
        <row r="2020">
          <cell r="A2020" t="str">
            <v>23-01-01-1782</v>
          </cell>
          <cell r="B2020">
            <v>0</v>
          </cell>
          <cell r="C2020" t="str">
            <v xml:space="preserve">  UNIQUE ENTERPRISE</v>
          </cell>
          <cell r="D2020">
            <v>0</v>
          </cell>
          <cell r="E2020">
            <v>8920</v>
          </cell>
          <cell r="F2020">
            <v>0</v>
          </cell>
          <cell r="G2020">
            <v>0</v>
          </cell>
        </row>
        <row r="2021">
          <cell r="A2021" t="str">
            <v>23-01-01-1783</v>
          </cell>
          <cell r="B2021">
            <v>0</v>
          </cell>
          <cell r="C2021" t="str">
            <v xml:space="preserve">  A.S HARD WARE &amp; ELECRIC STORE</v>
          </cell>
          <cell r="D2021">
            <v>0</v>
          </cell>
          <cell r="E2021">
            <v>0</v>
          </cell>
          <cell r="F2021">
            <v>0</v>
          </cell>
          <cell r="G2021">
            <v>0</v>
          </cell>
        </row>
        <row r="2022">
          <cell r="A2022" t="str">
            <v>23-01-01-1784</v>
          </cell>
          <cell r="B2022">
            <v>0</v>
          </cell>
          <cell r="C2022" t="str">
            <v xml:space="preserve">  BOC PAKISTAN</v>
          </cell>
          <cell r="D2022">
            <v>9653</v>
          </cell>
          <cell r="E2022">
            <v>0</v>
          </cell>
          <cell r="F2022">
            <v>0</v>
          </cell>
          <cell r="G2022">
            <v>0</v>
          </cell>
        </row>
        <row r="2023">
          <cell r="A2023" t="str">
            <v>23-01-01-1785</v>
          </cell>
          <cell r="B2023">
            <v>0</v>
          </cell>
          <cell r="C2023" t="str">
            <v xml:space="preserve">  GULISTAN MILLS</v>
          </cell>
          <cell r="D2023">
            <v>0</v>
          </cell>
          <cell r="E2023">
            <v>0</v>
          </cell>
          <cell r="F2023">
            <v>0</v>
          </cell>
          <cell r="G2023">
            <v>0</v>
          </cell>
        </row>
        <row r="2024">
          <cell r="A2024" t="str">
            <v>23-01-01-1786</v>
          </cell>
          <cell r="B2024">
            <v>0</v>
          </cell>
          <cell r="C2024" t="str">
            <v xml:space="preserve">  AZAM BROTHER</v>
          </cell>
          <cell r="D2024">
            <v>0</v>
          </cell>
          <cell r="E2024">
            <v>0</v>
          </cell>
          <cell r="F2024">
            <v>0</v>
          </cell>
          <cell r="G2024">
            <v>0</v>
          </cell>
        </row>
        <row r="2025">
          <cell r="A2025" t="str">
            <v>23-01-01-1787</v>
          </cell>
          <cell r="B2025">
            <v>0</v>
          </cell>
          <cell r="C2025" t="str">
            <v xml:space="preserve">  SOUTHERN TRADERS</v>
          </cell>
          <cell r="D2025">
            <v>0</v>
          </cell>
          <cell r="E2025">
            <v>0</v>
          </cell>
          <cell r="F2025">
            <v>0</v>
          </cell>
          <cell r="G2025">
            <v>0</v>
          </cell>
        </row>
        <row r="2026">
          <cell r="A2026" t="str">
            <v>23-01-01-1788</v>
          </cell>
          <cell r="B2026">
            <v>0</v>
          </cell>
          <cell r="C2026" t="str">
            <v xml:space="preserve">  CLASSIC PRODUCTS</v>
          </cell>
          <cell r="D2026">
            <v>0</v>
          </cell>
          <cell r="E2026">
            <v>0</v>
          </cell>
          <cell r="F2026">
            <v>0</v>
          </cell>
          <cell r="G2026">
            <v>0</v>
          </cell>
        </row>
        <row r="2027">
          <cell r="A2027" t="str">
            <v>23-01-01-1789</v>
          </cell>
          <cell r="B2027">
            <v>0</v>
          </cell>
          <cell r="C2027" t="str">
            <v xml:space="preserve">  SUNNY ELECTRONICS</v>
          </cell>
          <cell r="D2027">
            <v>0</v>
          </cell>
          <cell r="E2027">
            <v>0</v>
          </cell>
          <cell r="F2027">
            <v>0</v>
          </cell>
          <cell r="G2027">
            <v>0</v>
          </cell>
        </row>
        <row r="2028">
          <cell r="A2028" t="str">
            <v>23-01-01-1790</v>
          </cell>
          <cell r="B2028">
            <v>0</v>
          </cell>
          <cell r="C2028" t="str">
            <v xml:space="preserve">  NEW ARMICO ELECTRONICS</v>
          </cell>
          <cell r="D2028">
            <v>0</v>
          </cell>
          <cell r="E2028">
            <v>0</v>
          </cell>
          <cell r="F2028">
            <v>0</v>
          </cell>
          <cell r="G2028">
            <v>0</v>
          </cell>
        </row>
        <row r="2029">
          <cell r="A2029" t="str">
            <v>23-01-01-1791</v>
          </cell>
          <cell r="B2029">
            <v>0</v>
          </cell>
          <cell r="C2029" t="str">
            <v xml:space="preserve">  RAFIQUE TRADING CORPORATION</v>
          </cell>
          <cell r="D2029">
            <v>0</v>
          </cell>
          <cell r="E2029">
            <v>0</v>
          </cell>
          <cell r="F2029">
            <v>0</v>
          </cell>
          <cell r="G2029">
            <v>0</v>
          </cell>
        </row>
        <row r="2030">
          <cell r="A2030" t="str">
            <v>23-01-01-1793</v>
          </cell>
          <cell r="B2030">
            <v>0</v>
          </cell>
          <cell r="C2030" t="str">
            <v xml:space="preserve">  SPACEPOWER ELECTRONICS</v>
          </cell>
          <cell r="D2030">
            <v>0</v>
          </cell>
          <cell r="E2030">
            <v>0</v>
          </cell>
          <cell r="F2030">
            <v>0</v>
          </cell>
          <cell r="G2030">
            <v>0</v>
          </cell>
        </row>
        <row r="2031">
          <cell r="A2031" t="str">
            <v>23-01-01-1794</v>
          </cell>
          <cell r="B2031">
            <v>0</v>
          </cell>
          <cell r="C2031" t="str">
            <v xml:space="preserve">  FICO ENGG. CO. (PVT) LTD.</v>
          </cell>
          <cell r="D2031">
            <v>0</v>
          </cell>
          <cell r="E2031">
            <v>0</v>
          </cell>
          <cell r="F2031">
            <v>0</v>
          </cell>
          <cell r="G2031">
            <v>0</v>
          </cell>
        </row>
        <row r="2032">
          <cell r="A2032" t="str">
            <v>23-01-01-1795</v>
          </cell>
          <cell r="B2032">
            <v>0</v>
          </cell>
          <cell r="C2032" t="str">
            <v xml:space="preserve">  H.B LAL COMPANY</v>
          </cell>
          <cell r="D2032">
            <v>0</v>
          </cell>
          <cell r="E2032">
            <v>0</v>
          </cell>
          <cell r="F2032">
            <v>0</v>
          </cell>
          <cell r="G2032">
            <v>0</v>
          </cell>
        </row>
        <row r="2033">
          <cell r="A2033" t="str">
            <v>23-01-01-1796</v>
          </cell>
          <cell r="B2033">
            <v>0</v>
          </cell>
          <cell r="C2033" t="str">
            <v xml:space="preserve">  SHAMO JEE FABRICS &amp; CARPETS</v>
          </cell>
          <cell r="D2033">
            <v>0</v>
          </cell>
          <cell r="E2033">
            <v>0</v>
          </cell>
          <cell r="F2033">
            <v>0</v>
          </cell>
          <cell r="G2033">
            <v>0</v>
          </cell>
        </row>
        <row r="2034">
          <cell r="A2034" t="str">
            <v>23-01-01-1797</v>
          </cell>
          <cell r="B2034">
            <v>0</v>
          </cell>
          <cell r="C2034" t="str">
            <v xml:space="preserve">  FARZAND ALI SHAH CLOTH MERCHANT</v>
          </cell>
          <cell r="D2034">
            <v>0</v>
          </cell>
          <cell r="E2034">
            <v>0</v>
          </cell>
          <cell r="F2034">
            <v>0</v>
          </cell>
          <cell r="G2034">
            <v>0</v>
          </cell>
        </row>
        <row r="2035">
          <cell r="A2035" t="str">
            <v>23-01-01-1798</v>
          </cell>
          <cell r="B2035">
            <v>0</v>
          </cell>
          <cell r="C2035" t="str">
            <v xml:space="preserve">  ROYAL TRADERS</v>
          </cell>
          <cell r="D2035">
            <v>0</v>
          </cell>
          <cell r="E2035">
            <v>0</v>
          </cell>
          <cell r="F2035">
            <v>0</v>
          </cell>
          <cell r="G2035">
            <v>0</v>
          </cell>
        </row>
        <row r="2036">
          <cell r="A2036" t="str">
            <v>23-01-01-1799</v>
          </cell>
          <cell r="B2036">
            <v>0</v>
          </cell>
          <cell r="C2036" t="str">
            <v xml:space="preserve">  SHAN TRADERS</v>
          </cell>
          <cell r="D2036">
            <v>0</v>
          </cell>
          <cell r="E2036">
            <v>0</v>
          </cell>
          <cell r="F2036">
            <v>0</v>
          </cell>
          <cell r="G2036">
            <v>0</v>
          </cell>
        </row>
        <row r="2037">
          <cell r="A2037" t="str">
            <v>23-01-01-1800</v>
          </cell>
          <cell r="B2037">
            <v>0</v>
          </cell>
          <cell r="C2037" t="str">
            <v xml:space="preserve">  F.M MALIK ENTERPRISES</v>
          </cell>
          <cell r="D2037">
            <v>0</v>
          </cell>
          <cell r="E2037">
            <v>0</v>
          </cell>
          <cell r="F2037">
            <v>0</v>
          </cell>
          <cell r="G2037">
            <v>0</v>
          </cell>
        </row>
        <row r="2038">
          <cell r="A2038" t="str">
            <v>23-01-01-1801</v>
          </cell>
          <cell r="B2038">
            <v>0</v>
          </cell>
          <cell r="C2038" t="str">
            <v xml:space="preserve">  FAISAL YAKTA GROUP OF ENGINEERS</v>
          </cell>
          <cell r="D2038">
            <v>0</v>
          </cell>
          <cell r="E2038">
            <v>0</v>
          </cell>
          <cell r="F2038">
            <v>0</v>
          </cell>
          <cell r="G2038">
            <v>0</v>
          </cell>
        </row>
        <row r="2039">
          <cell r="A2039" t="str">
            <v>23-01-01-1802</v>
          </cell>
          <cell r="B2039">
            <v>0</v>
          </cell>
          <cell r="C2039" t="str">
            <v xml:space="preserve">  TRISTAR LUBRICANTS</v>
          </cell>
          <cell r="D2039">
            <v>0</v>
          </cell>
          <cell r="E2039">
            <v>0</v>
          </cell>
          <cell r="F2039">
            <v>0</v>
          </cell>
          <cell r="G2039">
            <v>0</v>
          </cell>
        </row>
        <row r="2040">
          <cell r="A2040" t="str">
            <v>23-01-01-1803</v>
          </cell>
          <cell r="B2040">
            <v>0</v>
          </cell>
          <cell r="C2040" t="str">
            <v xml:space="preserve">  M.Z CORPORATION</v>
          </cell>
          <cell r="D2040">
            <v>0</v>
          </cell>
          <cell r="E2040">
            <v>0</v>
          </cell>
          <cell r="F2040">
            <v>0</v>
          </cell>
          <cell r="G2040">
            <v>0</v>
          </cell>
        </row>
        <row r="2041">
          <cell r="A2041" t="str">
            <v>23-01-01-1804</v>
          </cell>
          <cell r="B2041">
            <v>0</v>
          </cell>
          <cell r="C2041" t="str">
            <v xml:space="preserve">  FRIENDS ELECTRIC</v>
          </cell>
          <cell r="D2041">
            <v>0</v>
          </cell>
          <cell r="E2041">
            <v>350</v>
          </cell>
          <cell r="F2041">
            <v>0</v>
          </cell>
          <cell r="G2041">
            <v>0</v>
          </cell>
        </row>
        <row r="2042">
          <cell r="A2042" t="str">
            <v>23-01-01-1805</v>
          </cell>
          <cell r="B2042">
            <v>0</v>
          </cell>
          <cell r="C2042" t="str">
            <v xml:space="preserve">  AL-RAZA TRADERS</v>
          </cell>
          <cell r="D2042">
            <v>0</v>
          </cell>
          <cell r="E2042">
            <v>0</v>
          </cell>
          <cell r="F2042">
            <v>0</v>
          </cell>
          <cell r="G2042">
            <v>0</v>
          </cell>
        </row>
        <row r="2043">
          <cell r="A2043" t="str">
            <v>23-01-01-1806</v>
          </cell>
          <cell r="B2043">
            <v>0</v>
          </cell>
          <cell r="C2043" t="str">
            <v xml:space="preserve">  SAEED &amp; BROTHERS</v>
          </cell>
          <cell r="D2043">
            <v>0</v>
          </cell>
          <cell r="E2043">
            <v>2279809</v>
          </cell>
          <cell r="F2043">
            <v>0</v>
          </cell>
          <cell r="G2043">
            <v>0</v>
          </cell>
        </row>
        <row r="2044">
          <cell r="A2044" t="str">
            <v>23-01-01-1807</v>
          </cell>
          <cell r="B2044">
            <v>0</v>
          </cell>
          <cell r="C2044" t="str">
            <v xml:space="preserve">  UNIQUE TOOLS &amp; MILL STORE</v>
          </cell>
          <cell r="D2044">
            <v>0</v>
          </cell>
          <cell r="E2044">
            <v>0</v>
          </cell>
          <cell r="F2044">
            <v>0</v>
          </cell>
          <cell r="G2044">
            <v>0</v>
          </cell>
        </row>
        <row r="2045">
          <cell r="A2045" t="str">
            <v>23-01-01-1808</v>
          </cell>
          <cell r="B2045">
            <v>0</v>
          </cell>
          <cell r="C2045" t="str">
            <v xml:space="preserve">  BEST ELECTRICAL SERVICES &amp; TECHNOLOGIE</v>
          </cell>
          <cell r="D2045">
            <v>0</v>
          </cell>
          <cell r="E2045">
            <v>3901.7</v>
          </cell>
          <cell r="F2045">
            <v>0</v>
          </cell>
          <cell r="G2045">
            <v>0</v>
          </cell>
        </row>
        <row r="2046">
          <cell r="A2046" t="str">
            <v>23-01-01-1809</v>
          </cell>
          <cell r="B2046">
            <v>0</v>
          </cell>
          <cell r="C2046" t="str">
            <v xml:space="preserve">  PAKISTAN ELECTRIC TRADERS</v>
          </cell>
          <cell r="D2046">
            <v>0</v>
          </cell>
          <cell r="E2046">
            <v>0</v>
          </cell>
          <cell r="F2046">
            <v>0</v>
          </cell>
          <cell r="G2046">
            <v>0</v>
          </cell>
        </row>
        <row r="2047">
          <cell r="A2047" t="str">
            <v>23-01-01-1810</v>
          </cell>
          <cell r="B2047">
            <v>0</v>
          </cell>
          <cell r="C2047" t="str">
            <v xml:space="preserve">  NEW CHEMICAL CENTRE</v>
          </cell>
          <cell r="D2047">
            <v>0</v>
          </cell>
          <cell r="E2047">
            <v>0</v>
          </cell>
          <cell r="F2047">
            <v>0</v>
          </cell>
          <cell r="G2047">
            <v>0</v>
          </cell>
        </row>
        <row r="2048">
          <cell r="A2048" t="str">
            <v>23-01-01-1811</v>
          </cell>
          <cell r="B2048">
            <v>0</v>
          </cell>
          <cell r="C2048" t="str">
            <v xml:space="preserve">  SIKANDER BROTHERS</v>
          </cell>
          <cell r="D2048">
            <v>0</v>
          </cell>
          <cell r="E2048">
            <v>0</v>
          </cell>
          <cell r="F2048">
            <v>0</v>
          </cell>
          <cell r="G2048">
            <v>0</v>
          </cell>
        </row>
        <row r="2049">
          <cell r="A2049" t="str">
            <v>23-01-01-1812</v>
          </cell>
          <cell r="B2049">
            <v>0</v>
          </cell>
          <cell r="C2049" t="str">
            <v xml:space="preserve">  UNI-COMMERCE (PVT) LTD.</v>
          </cell>
          <cell r="D2049">
            <v>0</v>
          </cell>
          <cell r="E2049">
            <v>0</v>
          </cell>
          <cell r="F2049">
            <v>0</v>
          </cell>
          <cell r="G2049">
            <v>0</v>
          </cell>
        </row>
        <row r="2050">
          <cell r="A2050" t="str">
            <v>23-01-01-1813</v>
          </cell>
          <cell r="B2050">
            <v>0</v>
          </cell>
          <cell r="C2050" t="str">
            <v xml:space="preserve">  THE HAWKS</v>
          </cell>
          <cell r="D2050">
            <v>0</v>
          </cell>
          <cell r="E2050">
            <v>0</v>
          </cell>
          <cell r="F2050">
            <v>0</v>
          </cell>
          <cell r="G2050">
            <v>0</v>
          </cell>
        </row>
        <row r="2051">
          <cell r="A2051" t="str">
            <v>23-01-01-1814</v>
          </cell>
          <cell r="B2051">
            <v>0</v>
          </cell>
          <cell r="C2051" t="str">
            <v xml:space="preserve">  ADAM &amp; ADAM</v>
          </cell>
          <cell r="D2051">
            <v>0</v>
          </cell>
          <cell r="E2051">
            <v>0</v>
          </cell>
          <cell r="F2051">
            <v>0</v>
          </cell>
          <cell r="G2051">
            <v>0</v>
          </cell>
        </row>
        <row r="2052">
          <cell r="A2052" t="str">
            <v>23-01-01-1815</v>
          </cell>
          <cell r="B2052">
            <v>0</v>
          </cell>
          <cell r="C2052" t="str">
            <v xml:space="preserve">  COOL CENTRE</v>
          </cell>
          <cell r="D2052">
            <v>0</v>
          </cell>
          <cell r="E2052">
            <v>0</v>
          </cell>
          <cell r="F2052">
            <v>0</v>
          </cell>
          <cell r="G2052">
            <v>0</v>
          </cell>
        </row>
        <row r="2053">
          <cell r="A2053" t="str">
            <v>23-01-01-1816</v>
          </cell>
          <cell r="B2053">
            <v>0</v>
          </cell>
          <cell r="C2053" t="str">
            <v xml:space="preserve">  SAIFY IRON (PVT) LTD.</v>
          </cell>
          <cell r="D2053">
            <v>0</v>
          </cell>
          <cell r="E2053">
            <v>0</v>
          </cell>
          <cell r="F2053">
            <v>0</v>
          </cell>
          <cell r="G2053">
            <v>0</v>
          </cell>
        </row>
        <row r="2054">
          <cell r="A2054" t="str">
            <v>23-01-01-1817</v>
          </cell>
          <cell r="B2054">
            <v>0</v>
          </cell>
          <cell r="C2054" t="str">
            <v xml:space="preserve">  MURTAZA TRADERS</v>
          </cell>
          <cell r="D2054">
            <v>0</v>
          </cell>
          <cell r="E2054">
            <v>0</v>
          </cell>
          <cell r="F2054">
            <v>0</v>
          </cell>
          <cell r="G2054">
            <v>0</v>
          </cell>
        </row>
        <row r="2055">
          <cell r="A2055" t="str">
            <v>23-01-01-1818</v>
          </cell>
          <cell r="B2055">
            <v>0</v>
          </cell>
          <cell r="C2055" t="str">
            <v xml:space="preserve">  REX TRADING CORPORATION</v>
          </cell>
          <cell r="D2055">
            <v>0</v>
          </cell>
          <cell r="E2055">
            <v>0</v>
          </cell>
          <cell r="F2055">
            <v>0</v>
          </cell>
          <cell r="G2055">
            <v>0</v>
          </cell>
        </row>
        <row r="2056">
          <cell r="A2056" t="str">
            <v>23-01-01-1819</v>
          </cell>
          <cell r="B2056">
            <v>0</v>
          </cell>
          <cell r="C2056" t="str">
            <v xml:space="preserve">  TEXTILE RUBBER &amp; PLASTIC PRODUCTS</v>
          </cell>
          <cell r="D2056">
            <v>0</v>
          </cell>
          <cell r="E2056">
            <v>58406</v>
          </cell>
          <cell r="F2056">
            <v>0</v>
          </cell>
          <cell r="G2056">
            <v>0</v>
          </cell>
        </row>
        <row r="2057">
          <cell r="A2057" t="str">
            <v>23-01-01-1820</v>
          </cell>
          <cell r="B2057">
            <v>0</v>
          </cell>
          <cell r="C2057" t="str">
            <v xml:space="preserve">  ZOHAIB TEXTILE PACKING MATERIAL</v>
          </cell>
          <cell r="D2057">
            <v>0</v>
          </cell>
          <cell r="E2057">
            <v>0</v>
          </cell>
          <cell r="F2057">
            <v>0</v>
          </cell>
          <cell r="G2057">
            <v>0</v>
          </cell>
        </row>
        <row r="2058">
          <cell r="A2058" t="str">
            <v>23-01-01-1821</v>
          </cell>
          <cell r="B2058">
            <v>0</v>
          </cell>
          <cell r="C2058" t="str">
            <v xml:space="preserve">  S.H.B.I TRADING</v>
          </cell>
          <cell r="D2058">
            <v>0</v>
          </cell>
          <cell r="E2058">
            <v>0</v>
          </cell>
          <cell r="F2058">
            <v>0</v>
          </cell>
          <cell r="G2058">
            <v>0</v>
          </cell>
        </row>
        <row r="2059">
          <cell r="A2059" t="str">
            <v>23-01-01-1822</v>
          </cell>
          <cell r="B2059">
            <v>0</v>
          </cell>
          <cell r="C2059" t="str">
            <v xml:space="preserve">  OTTO MATERIAL HANDLING (PVT) LTD.</v>
          </cell>
          <cell r="D2059">
            <v>1180791</v>
          </cell>
          <cell r="E2059">
            <v>0</v>
          </cell>
          <cell r="F2059">
            <v>0</v>
          </cell>
          <cell r="G2059">
            <v>0</v>
          </cell>
        </row>
        <row r="2060">
          <cell r="A2060" t="str">
            <v>23-01-01-1823</v>
          </cell>
          <cell r="B2060">
            <v>0</v>
          </cell>
          <cell r="C2060" t="str">
            <v xml:space="preserve">  KAMRAN MILLS STORE</v>
          </cell>
          <cell r="D2060">
            <v>0</v>
          </cell>
          <cell r="E2060">
            <v>0</v>
          </cell>
          <cell r="F2060">
            <v>0</v>
          </cell>
          <cell r="G2060">
            <v>0</v>
          </cell>
        </row>
        <row r="2061">
          <cell r="A2061" t="str">
            <v>23-01-01-1824</v>
          </cell>
          <cell r="B2061">
            <v>0</v>
          </cell>
          <cell r="C2061" t="str">
            <v xml:space="preserve">  ANA DIGI SYSTEM</v>
          </cell>
          <cell r="D2061">
            <v>0</v>
          </cell>
          <cell r="E2061">
            <v>50240</v>
          </cell>
          <cell r="F2061">
            <v>0</v>
          </cell>
          <cell r="G2061">
            <v>0</v>
          </cell>
        </row>
        <row r="2062">
          <cell r="A2062" t="str">
            <v>23-01-01-1825</v>
          </cell>
          <cell r="B2062">
            <v>0</v>
          </cell>
          <cell r="C2062" t="str">
            <v xml:space="preserve">  M.N.A TEXTILE TRADERS</v>
          </cell>
          <cell r="D2062">
            <v>0</v>
          </cell>
          <cell r="E2062">
            <v>0</v>
          </cell>
          <cell r="F2062">
            <v>0</v>
          </cell>
          <cell r="G2062">
            <v>0</v>
          </cell>
        </row>
        <row r="2063">
          <cell r="A2063" t="str">
            <v>23-01-01-1826</v>
          </cell>
          <cell r="B2063">
            <v>0</v>
          </cell>
          <cell r="C2063" t="str">
            <v xml:space="preserve">  OLYMPIA INDUSTRIES (PVT) LIMITED</v>
          </cell>
          <cell r="D2063">
            <v>0</v>
          </cell>
          <cell r="E2063">
            <v>0</v>
          </cell>
          <cell r="F2063">
            <v>0</v>
          </cell>
          <cell r="G2063">
            <v>0</v>
          </cell>
        </row>
        <row r="2064">
          <cell r="A2064" t="str">
            <v>23-01-01-1827</v>
          </cell>
          <cell r="B2064">
            <v>0</v>
          </cell>
          <cell r="C2064" t="str">
            <v xml:space="preserve">  UNIVERSAL TOOL TRADERS</v>
          </cell>
          <cell r="D2064">
            <v>0</v>
          </cell>
          <cell r="E2064">
            <v>14626.75</v>
          </cell>
          <cell r="F2064">
            <v>0</v>
          </cell>
          <cell r="G2064">
            <v>0</v>
          </cell>
        </row>
        <row r="2065">
          <cell r="A2065" t="str">
            <v>23-01-01-1828</v>
          </cell>
          <cell r="B2065">
            <v>0</v>
          </cell>
          <cell r="C2065" t="str">
            <v xml:space="preserve">  BIJLI HOUSE</v>
          </cell>
          <cell r="D2065">
            <v>0</v>
          </cell>
          <cell r="E2065">
            <v>10632</v>
          </cell>
          <cell r="F2065">
            <v>0</v>
          </cell>
          <cell r="G2065">
            <v>0</v>
          </cell>
        </row>
        <row r="2066">
          <cell r="A2066" t="str">
            <v>23-01-01-1829</v>
          </cell>
          <cell r="B2066">
            <v>0</v>
          </cell>
          <cell r="C2066" t="str">
            <v xml:space="preserve">  PAK TYRE &amp; BATTERY CENTER</v>
          </cell>
          <cell r="D2066">
            <v>0</v>
          </cell>
          <cell r="E2066">
            <v>0</v>
          </cell>
          <cell r="F2066">
            <v>0</v>
          </cell>
          <cell r="G2066">
            <v>0</v>
          </cell>
        </row>
        <row r="2067">
          <cell r="A2067" t="str">
            <v>23-01-01-1830</v>
          </cell>
          <cell r="B2067">
            <v>0</v>
          </cell>
          <cell r="C2067" t="str">
            <v xml:space="preserve">  SHELL PAKISTAN LIMITED KHI (FURNANCE)-</v>
          </cell>
          <cell r="D2067">
            <v>0</v>
          </cell>
          <cell r="E2067">
            <v>0</v>
          </cell>
          <cell r="F2067">
            <v>0</v>
          </cell>
          <cell r="G2067">
            <v>0</v>
          </cell>
        </row>
        <row r="2068">
          <cell r="A2068" t="str">
            <v>23-01-01-1831</v>
          </cell>
          <cell r="B2068">
            <v>0</v>
          </cell>
          <cell r="C2068" t="str">
            <v xml:space="preserve">  JAWAD WELD SAFE ASSOCIATE</v>
          </cell>
          <cell r="D2068">
            <v>0</v>
          </cell>
          <cell r="E2068">
            <v>0</v>
          </cell>
          <cell r="F2068">
            <v>0</v>
          </cell>
          <cell r="G2068">
            <v>0</v>
          </cell>
        </row>
        <row r="2069">
          <cell r="A2069" t="str">
            <v>23-01-01-1832</v>
          </cell>
          <cell r="B2069">
            <v>0</v>
          </cell>
          <cell r="C2069" t="str">
            <v xml:space="preserve">  MALIK H-TECH ENGINEERING</v>
          </cell>
          <cell r="D2069">
            <v>0</v>
          </cell>
          <cell r="E2069">
            <v>0</v>
          </cell>
          <cell r="F2069">
            <v>0</v>
          </cell>
          <cell r="G2069">
            <v>0</v>
          </cell>
        </row>
        <row r="2070">
          <cell r="A2070" t="str">
            <v>23-01-01-1833</v>
          </cell>
          <cell r="B2070">
            <v>0</v>
          </cell>
          <cell r="C2070" t="str">
            <v xml:space="preserve">  HASAN &amp; SONS</v>
          </cell>
          <cell r="D2070">
            <v>0</v>
          </cell>
          <cell r="E2070">
            <v>0</v>
          </cell>
          <cell r="F2070">
            <v>0</v>
          </cell>
          <cell r="G2070">
            <v>0</v>
          </cell>
        </row>
        <row r="2071">
          <cell r="A2071" t="str">
            <v>23-01-01-1834</v>
          </cell>
          <cell r="B2071">
            <v>0</v>
          </cell>
          <cell r="C2071" t="str">
            <v xml:space="preserve">  THE ERECTORS</v>
          </cell>
          <cell r="D2071">
            <v>0</v>
          </cell>
          <cell r="E2071">
            <v>0</v>
          </cell>
          <cell r="F2071">
            <v>0</v>
          </cell>
          <cell r="G2071">
            <v>0</v>
          </cell>
        </row>
        <row r="2072">
          <cell r="A2072" t="str">
            <v>23-01-01-1835</v>
          </cell>
          <cell r="B2072">
            <v>0</v>
          </cell>
          <cell r="C2072" t="str">
            <v xml:space="preserve">  METAL MASTER</v>
          </cell>
          <cell r="D2072">
            <v>0</v>
          </cell>
          <cell r="E2072">
            <v>0</v>
          </cell>
          <cell r="F2072">
            <v>0</v>
          </cell>
          <cell r="G2072">
            <v>0</v>
          </cell>
        </row>
        <row r="2073">
          <cell r="A2073" t="str">
            <v>23-01-01-1836</v>
          </cell>
          <cell r="B2073">
            <v>0</v>
          </cell>
          <cell r="C2073" t="str">
            <v xml:space="preserve">  UNIVERSAL ELECTRIC HOUSE</v>
          </cell>
          <cell r="D2073">
            <v>0</v>
          </cell>
          <cell r="E2073">
            <v>0</v>
          </cell>
          <cell r="F2073">
            <v>0</v>
          </cell>
          <cell r="G2073">
            <v>0</v>
          </cell>
        </row>
        <row r="2074">
          <cell r="A2074" t="str">
            <v>23-01-01-1837</v>
          </cell>
          <cell r="B2074">
            <v>0</v>
          </cell>
          <cell r="C2074" t="str">
            <v xml:space="preserve">  ABDULLAH ENTERPRISES KHI.</v>
          </cell>
          <cell r="D2074">
            <v>0</v>
          </cell>
          <cell r="E2074">
            <v>0</v>
          </cell>
          <cell r="F2074">
            <v>0</v>
          </cell>
          <cell r="G2074">
            <v>0</v>
          </cell>
        </row>
        <row r="2075">
          <cell r="A2075" t="str">
            <v>23-01-01-1838</v>
          </cell>
          <cell r="B2075">
            <v>0</v>
          </cell>
          <cell r="C2075" t="str">
            <v xml:space="preserve">  SHAHID WAQAS &amp; CO.</v>
          </cell>
          <cell r="D2075">
            <v>0</v>
          </cell>
          <cell r="E2075">
            <v>0</v>
          </cell>
          <cell r="F2075">
            <v>0</v>
          </cell>
          <cell r="G2075">
            <v>0</v>
          </cell>
        </row>
        <row r="2076">
          <cell r="A2076" t="str">
            <v>23-01-01-1839</v>
          </cell>
          <cell r="B2076">
            <v>0</v>
          </cell>
          <cell r="C2076" t="str">
            <v xml:space="preserve">  A.A.ENTERPRISES</v>
          </cell>
          <cell r="D2076">
            <v>0</v>
          </cell>
          <cell r="E2076">
            <v>0</v>
          </cell>
          <cell r="F2076">
            <v>0</v>
          </cell>
          <cell r="G2076">
            <v>0</v>
          </cell>
        </row>
        <row r="2077">
          <cell r="A2077" t="str">
            <v>23-01-01-1840</v>
          </cell>
          <cell r="B2077">
            <v>0</v>
          </cell>
          <cell r="C2077" t="str">
            <v xml:space="preserve">  H.M.TRADERS</v>
          </cell>
          <cell r="D2077">
            <v>0</v>
          </cell>
          <cell r="E2077">
            <v>0</v>
          </cell>
          <cell r="F2077">
            <v>0</v>
          </cell>
          <cell r="G2077">
            <v>0</v>
          </cell>
        </row>
        <row r="2078">
          <cell r="A2078" t="str">
            <v>23-01-01-1841</v>
          </cell>
          <cell r="B2078">
            <v>0</v>
          </cell>
          <cell r="C2078" t="str">
            <v xml:space="preserve">  SARDAR PAPER CONE FACTORY</v>
          </cell>
          <cell r="D2078">
            <v>0</v>
          </cell>
          <cell r="E2078">
            <v>0</v>
          </cell>
          <cell r="F2078">
            <v>0</v>
          </cell>
          <cell r="G2078">
            <v>0</v>
          </cell>
        </row>
        <row r="2079">
          <cell r="A2079" t="str">
            <v>23-01-01-1842</v>
          </cell>
          <cell r="B2079">
            <v>0</v>
          </cell>
          <cell r="C2079" t="str">
            <v xml:space="preserve">  S.A.HAMID &amp; CO.</v>
          </cell>
          <cell r="D2079">
            <v>0</v>
          </cell>
          <cell r="E2079">
            <v>0</v>
          </cell>
          <cell r="F2079">
            <v>0</v>
          </cell>
          <cell r="G2079">
            <v>0</v>
          </cell>
        </row>
        <row r="2080">
          <cell r="A2080" t="str">
            <v>23-01-01-1843</v>
          </cell>
          <cell r="B2080">
            <v>0</v>
          </cell>
          <cell r="C2080" t="str">
            <v xml:space="preserve">  SPINTEX ENTERPRISES</v>
          </cell>
          <cell r="D2080">
            <v>0</v>
          </cell>
          <cell r="E2080">
            <v>0</v>
          </cell>
          <cell r="F2080">
            <v>0</v>
          </cell>
          <cell r="G2080">
            <v>0</v>
          </cell>
        </row>
        <row r="2081">
          <cell r="A2081" t="str">
            <v>23-01-01-1844</v>
          </cell>
          <cell r="B2081">
            <v>0</v>
          </cell>
          <cell r="C2081" t="str">
            <v xml:space="preserve">  UMAR ELECTRIC CO.</v>
          </cell>
          <cell r="D2081">
            <v>0</v>
          </cell>
          <cell r="E2081">
            <v>36</v>
          </cell>
          <cell r="F2081">
            <v>0</v>
          </cell>
          <cell r="G2081">
            <v>0</v>
          </cell>
        </row>
        <row r="2082">
          <cell r="A2082" t="str">
            <v>23-01-01-1845</v>
          </cell>
          <cell r="B2082">
            <v>0</v>
          </cell>
          <cell r="C2082" t="str">
            <v xml:space="preserve">  WELDING &amp; SAFETY TRADERS</v>
          </cell>
          <cell r="D2082">
            <v>0</v>
          </cell>
          <cell r="E2082">
            <v>0</v>
          </cell>
          <cell r="F2082">
            <v>0</v>
          </cell>
          <cell r="G2082">
            <v>0</v>
          </cell>
        </row>
        <row r="2083">
          <cell r="A2083" t="str">
            <v>23-01-01-1846</v>
          </cell>
          <cell r="B2083">
            <v>0</v>
          </cell>
          <cell r="C2083" t="str">
            <v xml:space="preserve">  KAMRAN TRADING COMPANY</v>
          </cell>
          <cell r="D2083">
            <v>0</v>
          </cell>
          <cell r="E2083">
            <v>0</v>
          </cell>
          <cell r="F2083">
            <v>0</v>
          </cell>
          <cell r="G2083">
            <v>0</v>
          </cell>
        </row>
        <row r="2084">
          <cell r="A2084" t="str">
            <v>23-01-01-1847</v>
          </cell>
          <cell r="B2084">
            <v>0</v>
          </cell>
          <cell r="C2084" t="str">
            <v xml:space="preserve">  VEGA TRADERS</v>
          </cell>
          <cell r="D2084">
            <v>0</v>
          </cell>
          <cell r="E2084">
            <v>0</v>
          </cell>
          <cell r="F2084">
            <v>0</v>
          </cell>
          <cell r="G2084">
            <v>0</v>
          </cell>
        </row>
        <row r="2085">
          <cell r="A2085" t="str">
            <v>23-01-01-1848</v>
          </cell>
          <cell r="B2085">
            <v>0</v>
          </cell>
          <cell r="C2085" t="str">
            <v xml:space="preserve">  S.H.BROTHERS</v>
          </cell>
          <cell r="D2085">
            <v>0</v>
          </cell>
          <cell r="E2085">
            <v>0</v>
          </cell>
          <cell r="F2085">
            <v>0</v>
          </cell>
          <cell r="G2085">
            <v>0</v>
          </cell>
        </row>
        <row r="2086">
          <cell r="A2086" t="str">
            <v>23-01-01-1849</v>
          </cell>
          <cell r="B2086">
            <v>0</v>
          </cell>
          <cell r="C2086" t="str">
            <v xml:space="preserve">  PAKISTAN TYRE HOUSE</v>
          </cell>
          <cell r="D2086">
            <v>0</v>
          </cell>
          <cell r="E2086">
            <v>0</v>
          </cell>
          <cell r="F2086">
            <v>0</v>
          </cell>
          <cell r="G2086">
            <v>0</v>
          </cell>
        </row>
        <row r="2087">
          <cell r="A2087" t="str">
            <v>23-01-01-1850</v>
          </cell>
          <cell r="B2087">
            <v>0</v>
          </cell>
          <cell r="C2087" t="str">
            <v xml:space="preserve">  GREEN LINES</v>
          </cell>
          <cell r="D2087">
            <v>0</v>
          </cell>
          <cell r="E2087">
            <v>0</v>
          </cell>
          <cell r="F2087">
            <v>0</v>
          </cell>
          <cell r="G2087">
            <v>0</v>
          </cell>
        </row>
        <row r="2088">
          <cell r="A2088" t="str">
            <v>23-01-01-1851</v>
          </cell>
          <cell r="B2088">
            <v>0</v>
          </cell>
          <cell r="C2088" t="str">
            <v xml:space="preserve">  GHOUS CORPORATION</v>
          </cell>
          <cell r="D2088">
            <v>0</v>
          </cell>
          <cell r="E2088">
            <v>0</v>
          </cell>
          <cell r="F2088">
            <v>0</v>
          </cell>
          <cell r="G2088">
            <v>0</v>
          </cell>
        </row>
        <row r="2089">
          <cell r="A2089" t="str">
            <v>23-01-01-1852</v>
          </cell>
          <cell r="B2089">
            <v>0</v>
          </cell>
          <cell r="C2089" t="str">
            <v xml:space="preserve">  DIAMOND DRILLING &amp; SAWING SERVICES</v>
          </cell>
          <cell r="D2089">
            <v>0</v>
          </cell>
          <cell r="E2089">
            <v>0</v>
          </cell>
          <cell r="F2089">
            <v>0</v>
          </cell>
          <cell r="G2089">
            <v>0</v>
          </cell>
        </row>
        <row r="2090">
          <cell r="A2090" t="str">
            <v>23-01-01-1853</v>
          </cell>
          <cell r="B2090">
            <v>0</v>
          </cell>
          <cell r="C2090" t="str">
            <v xml:space="preserve">  MAJAZ CORPORATION (PVT) LTD.</v>
          </cell>
          <cell r="D2090">
            <v>0</v>
          </cell>
          <cell r="E2090">
            <v>0</v>
          </cell>
          <cell r="F2090">
            <v>0</v>
          </cell>
          <cell r="G2090">
            <v>0</v>
          </cell>
        </row>
        <row r="2091">
          <cell r="A2091" t="str">
            <v>23-01-01-1854</v>
          </cell>
          <cell r="B2091">
            <v>0</v>
          </cell>
          <cell r="C2091" t="str">
            <v xml:space="preserve">  M.B.ELECTRIC CO.</v>
          </cell>
          <cell r="D2091">
            <v>0</v>
          </cell>
          <cell r="E2091">
            <v>0</v>
          </cell>
          <cell r="F2091">
            <v>0</v>
          </cell>
          <cell r="G2091">
            <v>0</v>
          </cell>
        </row>
        <row r="2092">
          <cell r="A2092" t="str">
            <v>23-01-01-1855</v>
          </cell>
          <cell r="B2092">
            <v>0</v>
          </cell>
          <cell r="C2092" t="str">
            <v xml:space="preserve">  LIBRA SCALES</v>
          </cell>
          <cell r="D2092">
            <v>0</v>
          </cell>
          <cell r="E2092">
            <v>0</v>
          </cell>
          <cell r="F2092">
            <v>0</v>
          </cell>
          <cell r="G2092">
            <v>0</v>
          </cell>
        </row>
        <row r="2093">
          <cell r="A2093" t="str">
            <v>23-01-01-1856</v>
          </cell>
          <cell r="B2093">
            <v>0</v>
          </cell>
          <cell r="C2093" t="str">
            <v xml:space="preserve">  MUHAMMADI IMPEX</v>
          </cell>
          <cell r="D2093">
            <v>0</v>
          </cell>
          <cell r="E2093">
            <v>0</v>
          </cell>
          <cell r="F2093">
            <v>0</v>
          </cell>
          <cell r="G2093">
            <v>0</v>
          </cell>
        </row>
        <row r="2094">
          <cell r="A2094" t="str">
            <v>23-01-01-1857</v>
          </cell>
          <cell r="B2094">
            <v>0</v>
          </cell>
          <cell r="C2094" t="str">
            <v xml:space="preserve">  MALIK HI TECH ENGINEERING</v>
          </cell>
          <cell r="D2094">
            <v>0</v>
          </cell>
          <cell r="E2094">
            <v>0</v>
          </cell>
          <cell r="F2094">
            <v>0</v>
          </cell>
          <cell r="G2094">
            <v>0</v>
          </cell>
        </row>
        <row r="2095">
          <cell r="A2095" t="str">
            <v>23-01-01-1858</v>
          </cell>
          <cell r="B2095">
            <v>0</v>
          </cell>
          <cell r="C2095" t="str">
            <v xml:space="preserve">  AHAD STATIONERS</v>
          </cell>
          <cell r="D2095">
            <v>0</v>
          </cell>
          <cell r="E2095">
            <v>0</v>
          </cell>
          <cell r="F2095">
            <v>0</v>
          </cell>
          <cell r="G2095">
            <v>0</v>
          </cell>
        </row>
        <row r="2096">
          <cell r="A2096" t="str">
            <v>23-01-01-1859</v>
          </cell>
          <cell r="B2096">
            <v>0</v>
          </cell>
          <cell r="C2096" t="str">
            <v xml:space="preserve">  SUPER EQUIPMENT</v>
          </cell>
          <cell r="D2096">
            <v>0</v>
          </cell>
          <cell r="E2096">
            <v>0</v>
          </cell>
          <cell r="F2096">
            <v>0</v>
          </cell>
          <cell r="G2096">
            <v>0</v>
          </cell>
        </row>
        <row r="2097">
          <cell r="A2097" t="str">
            <v>23-01-01-1860</v>
          </cell>
          <cell r="B2097">
            <v>0</v>
          </cell>
          <cell r="C2097" t="str">
            <v xml:space="preserve">  SHAHZAD MARBLE JEHANGIRA</v>
          </cell>
          <cell r="D2097">
            <v>98308</v>
          </cell>
          <cell r="E2097">
            <v>0</v>
          </cell>
          <cell r="F2097">
            <v>0</v>
          </cell>
          <cell r="G2097">
            <v>0</v>
          </cell>
        </row>
        <row r="2098">
          <cell r="A2098" t="str">
            <v>23-01-01-1861</v>
          </cell>
          <cell r="B2098">
            <v>0</v>
          </cell>
          <cell r="C2098" t="str">
            <v xml:space="preserve">  PAK TRADERS</v>
          </cell>
          <cell r="D2098">
            <v>0</v>
          </cell>
          <cell r="E2098">
            <v>0</v>
          </cell>
          <cell r="F2098">
            <v>0</v>
          </cell>
          <cell r="G2098">
            <v>0</v>
          </cell>
        </row>
        <row r="2099">
          <cell r="A2099" t="str">
            <v>23-01-01-1862</v>
          </cell>
          <cell r="B2099">
            <v>0</v>
          </cell>
          <cell r="C2099" t="str">
            <v xml:space="preserve">  NEW METAL LINKS</v>
          </cell>
          <cell r="D2099">
            <v>0</v>
          </cell>
          <cell r="E2099">
            <v>575</v>
          </cell>
          <cell r="F2099">
            <v>0</v>
          </cell>
          <cell r="G2099">
            <v>0</v>
          </cell>
        </row>
        <row r="2100">
          <cell r="A2100" t="str">
            <v>23-01-01-1863</v>
          </cell>
          <cell r="B2100">
            <v>0</v>
          </cell>
          <cell r="C2100" t="str">
            <v xml:space="preserve">  JAMEEL TRADERS</v>
          </cell>
          <cell r="D2100">
            <v>0</v>
          </cell>
          <cell r="E2100">
            <v>0</v>
          </cell>
          <cell r="F2100">
            <v>0</v>
          </cell>
          <cell r="G2100">
            <v>0</v>
          </cell>
        </row>
        <row r="2101">
          <cell r="A2101" t="str">
            <v>23-01-01-1864</v>
          </cell>
          <cell r="B2101">
            <v>0</v>
          </cell>
          <cell r="C2101" t="str">
            <v xml:space="preserve">  JAN FABRICTION</v>
          </cell>
          <cell r="D2101">
            <v>0</v>
          </cell>
          <cell r="E2101">
            <v>0</v>
          </cell>
          <cell r="F2101">
            <v>0</v>
          </cell>
          <cell r="G2101">
            <v>0</v>
          </cell>
        </row>
        <row r="2102">
          <cell r="A2102" t="str">
            <v>23-01-01-1865</v>
          </cell>
          <cell r="B2102">
            <v>0</v>
          </cell>
          <cell r="C2102" t="str">
            <v xml:space="preserve">  M.R.INTERNATIONAL</v>
          </cell>
          <cell r="D2102">
            <v>0</v>
          </cell>
          <cell r="E2102">
            <v>346701</v>
          </cell>
          <cell r="F2102">
            <v>0</v>
          </cell>
          <cell r="G2102">
            <v>0</v>
          </cell>
        </row>
        <row r="2103">
          <cell r="A2103" t="str">
            <v>23-01-01-1866</v>
          </cell>
          <cell r="B2103">
            <v>0</v>
          </cell>
          <cell r="C2103" t="str">
            <v xml:space="preserve">  TELEPHONE INDUSTRIES OF PAKISTAN</v>
          </cell>
          <cell r="D2103">
            <v>0</v>
          </cell>
          <cell r="E2103">
            <v>0</v>
          </cell>
          <cell r="F2103">
            <v>0</v>
          </cell>
          <cell r="G2103">
            <v>0</v>
          </cell>
        </row>
        <row r="2104">
          <cell r="A2104" t="str">
            <v>23-01-01-1867</v>
          </cell>
          <cell r="B2104">
            <v>0</v>
          </cell>
          <cell r="C2104" t="str">
            <v xml:space="preserve">  POWERTRON</v>
          </cell>
          <cell r="D2104">
            <v>0</v>
          </cell>
          <cell r="E2104">
            <v>0</v>
          </cell>
          <cell r="F2104">
            <v>0</v>
          </cell>
          <cell r="G2104">
            <v>0</v>
          </cell>
        </row>
        <row r="2105">
          <cell r="A2105" t="str">
            <v>23-01-01-1868</v>
          </cell>
          <cell r="B2105">
            <v>0</v>
          </cell>
          <cell r="C2105" t="str">
            <v xml:space="preserve">  FAZLI RABBI GENERAL ORDER SUPPLIERS</v>
          </cell>
          <cell r="D2105">
            <v>0</v>
          </cell>
          <cell r="E2105">
            <v>10000</v>
          </cell>
          <cell r="F2105">
            <v>0</v>
          </cell>
          <cell r="G2105">
            <v>0</v>
          </cell>
        </row>
        <row r="2106">
          <cell r="A2106" t="str">
            <v>23-01-01-1869</v>
          </cell>
          <cell r="B2106">
            <v>0</v>
          </cell>
          <cell r="C2106" t="str">
            <v xml:space="preserve">  FATEMI TRADERS</v>
          </cell>
          <cell r="D2106">
            <v>0</v>
          </cell>
          <cell r="E2106">
            <v>0</v>
          </cell>
          <cell r="F2106">
            <v>0</v>
          </cell>
          <cell r="G2106">
            <v>0</v>
          </cell>
        </row>
        <row r="2107">
          <cell r="A2107" t="str">
            <v>23-01-01-1870</v>
          </cell>
          <cell r="B2107">
            <v>0</v>
          </cell>
          <cell r="C2107" t="str">
            <v xml:space="preserve">  AMAFHH TRADING CO.</v>
          </cell>
          <cell r="D2107">
            <v>0</v>
          </cell>
          <cell r="E2107">
            <v>0</v>
          </cell>
          <cell r="F2107">
            <v>0</v>
          </cell>
          <cell r="G2107">
            <v>0</v>
          </cell>
        </row>
        <row r="2108">
          <cell r="A2108" t="str">
            <v>23-01-01-1871</v>
          </cell>
          <cell r="B2108">
            <v>0</v>
          </cell>
          <cell r="C2108" t="str">
            <v xml:space="preserve">  J.K.ELECTRIC CO.</v>
          </cell>
          <cell r="D2108">
            <v>0</v>
          </cell>
          <cell r="E2108">
            <v>0</v>
          </cell>
          <cell r="F2108">
            <v>0</v>
          </cell>
          <cell r="G2108">
            <v>0</v>
          </cell>
        </row>
        <row r="2109">
          <cell r="A2109" t="str">
            <v>23-01-01-1872</v>
          </cell>
          <cell r="B2109">
            <v>0</v>
          </cell>
          <cell r="C2109" t="str">
            <v xml:space="preserve">  FIBRE CRAFT INDUSTRIES</v>
          </cell>
          <cell r="D2109">
            <v>0</v>
          </cell>
          <cell r="E2109">
            <v>0</v>
          </cell>
          <cell r="F2109">
            <v>0</v>
          </cell>
          <cell r="G2109">
            <v>0</v>
          </cell>
        </row>
        <row r="2110">
          <cell r="A2110" t="str">
            <v>23-01-01-1873</v>
          </cell>
          <cell r="B2110">
            <v>0</v>
          </cell>
          <cell r="C2110" t="str">
            <v xml:space="preserve">  SIND BELTING STORE</v>
          </cell>
          <cell r="D2110">
            <v>0</v>
          </cell>
          <cell r="E2110">
            <v>15021</v>
          </cell>
          <cell r="F2110">
            <v>0</v>
          </cell>
          <cell r="G2110">
            <v>0</v>
          </cell>
        </row>
        <row r="2111">
          <cell r="A2111" t="str">
            <v>23-01-01-1874</v>
          </cell>
          <cell r="B2111">
            <v>0</v>
          </cell>
          <cell r="C2111" t="str">
            <v xml:space="preserve">  WAJID &amp; BROTHER</v>
          </cell>
          <cell r="D2111">
            <v>0</v>
          </cell>
          <cell r="E2111">
            <v>0</v>
          </cell>
          <cell r="F2111">
            <v>0</v>
          </cell>
          <cell r="G2111">
            <v>0</v>
          </cell>
        </row>
        <row r="2112">
          <cell r="A2112" t="str">
            <v>23-01-01-1875</v>
          </cell>
          <cell r="B2112">
            <v>0</v>
          </cell>
          <cell r="C2112" t="str">
            <v xml:space="preserve">  SYED ELECTRIC STORE</v>
          </cell>
          <cell r="D2112">
            <v>0</v>
          </cell>
          <cell r="E2112">
            <v>0</v>
          </cell>
          <cell r="F2112">
            <v>0</v>
          </cell>
          <cell r="G2112">
            <v>0</v>
          </cell>
        </row>
        <row r="2113">
          <cell r="A2113" t="str">
            <v>23-01-01-1876</v>
          </cell>
          <cell r="B2113">
            <v>0</v>
          </cell>
          <cell r="C2113" t="str">
            <v xml:space="preserve">  ROLL PACK ENTERPRIZES</v>
          </cell>
          <cell r="D2113">
            <v>0</v>
          </cell>
          <cell r="E2113">
            <v>29986.25</v>
          </cell>
          <cell r="F2113">
            <v>0</v>
          </cell>
          <cell r="G2113">
            <v>0</v>
          </cell>
        </row>
        <row r="2114">
          <cell r="A2114" t="str">
            <v>23-01-01-1877</v>
          </cell>
          <cell r="B2114">
            <v>0</v>
          </cell>
          <cell r="C2114" t="str">
            <v xml:space="preserve">  NEW INDUSTRIAL DEAL</v>
          </cell>
          <cell r="D2114">
            <v>0</v>
          </cell>
          <cell r="E2114">
            <v>0</v>
          </cell>
          <cell r="F2114">
            <v>0</v>
          </cell>
          <cell r="G2114">
            <v>0</v>
          </cell>
        </row>
        <row r="2115">
          <cell r="A2115" t="str">
            <v>23-01-01-1878</v>
          </cell>
          <cell r="B2115">
            <v>0</v>
          </cell>
          <cell r="C2115" t="str">
            <v xml:space="preserve">  ASSOCIATED TEXTILE ENGINEERS (PVT) LTD</v>
          </cell>
          <cell r="D2115">
            <v>0</v>
          </cell>
          <cell r="E2115">
            <v>0</v>
          </cell>
          <cell r="F2115">
            <v>0</v>
          </cell>
          <cell r="G2115">
            <v>0</v>
          </cell>
        </row>
        <row r="2116">
          <cell r="A2116" t="str">
            <v>23-01-01-1879</v>
          </cell>
          <cell r="B2116">
            <v>0</v>
          </cell>
          <cell r="C2116" t="str">
            <v xml:space="preserve">  JAMIL ENGINEERING WORKS</v>
          </cell>
          <cell r="D2116">
            <v>0</v>
          </cell>
          <cell r="E2116">
            <v>0</v>
          </cell>
          <cell r="F2116">
            <v>0</v>
          </cell>
          <cell r="G2116">
            <v>0</v>
          </cell>
        </row>
        <row r="2117">
          <cell r="A2117" t="str">
            <v>23-01-01-1880</v>
          </cell>
          <cell r="B2117">
            <v>0</v>
          </cell>
          <cell r="C2117" t="str">
            <v xml:space="preserve">  SHEHZAD FAIZAN TEXTILE CONCERN</v>
          </cell>
          <cell r="D2117">
            <v>0</v>
          </cell>
          <cell r="E2117">
            <v>21000</v>
          </cell>
          <cell r="F2117">
            <v>0</v>
          </cell>
          <cell r="G2117">
            <v>0</v>
          </cell>
        </row>
        <row r="2118">
          <cell r="A2118" t="str">
            <v>23-01-01-1881</v>
          </cell>
          <cell r="B2118">
            <v>0</v>
          </cell>
          <cell r="C2118" t="str">
            <v xml:space="preserve">  MUGHANI TRADER</v>
          </cell>
          <cell r="D2118">
            <v>0</v>
          </cell>
          <cell r="E2118">
            <v>0</v>
          </cell>
          <cell r="F2118">
            <v>0</v>
          </cell>
          <cell r="G2118">
            <v>0</v>
          </cell>
        </row>
        <row r="2119">
          <cell r="A2119" t="str">
            <v>23-01-01-1882</v>
          </cell>
          <cell r="B2119">
            <v>0</v>
          </cell>
          <cell r="C2119" t="str">
            <v xml:space="preserve">  S. ABDULLAH &amp; CO.</v>
          </cell>
          <cell r="D2119">
            <v>0</v>
          </cell>
          <cell r="E2119">
            <v>0</v>
          </cell>
          <cell r="F2119">
            <v>0</v>
          </cell>
          <cell r="G2119">
            <v>0</v>
          </cell>
        </row>
        <row r="2120">
          <cell r="A2120" t="str">
            <v>23-01-01-1883</v>
          </cell>
          <cell r="B2120">
            <v>0</v>
          </cell>
          <cell r="C2120" t="str">
            <v xml:space="preserve">  F.T.TRADERS</v>
          </cell>
          <cell r="D2120">
            <v>0</v>
          </cell>
          <cell r="E2120">
            <v>0</v>
          </cell>
          <cell r="F2120">
            <v>0</v>
          </cell>
          <cell r="G2120">
            <v>0</v>
          </cell>
        </row>
        <row r="2121">
          <cell r="A2121" t="str">
            <v>23-01-01-1884</v>
          </cell>
          <cell r="B2121">
            <v>0</v>
          </cell>
          <cell r="C2121" t="str">
            <v xml:space="preserve">  MOHAMMADI ENTERPRISES</v>
          </cell>
          <cell r="D2121">
            <v>0</v>
          </cell>
          <cell r="E2121">
            <v>0</v>
          </cell>
          <cell r="F2121">
            <v>0</v>
          </cell>
          <cell r="G2121">
            <v>0</v>
          </cell>
        </row>
        <row r="2122">
          <cell r="A2122" t="str">
            <v>23-01-01-1885</v>
          </cell>
          <cell r="B2122">
            <v>0</v>
          </cell>
          <cell r="C2122" t="str">
            <v xml:space="preserve">  QUTBI MILL STORE</v>
          </cell>
          <cell r="D2122">
            <v>0</v>
          </cell>
          <cell r="E2122">
            <v>0</v>
          </cell>
          <cell r="F2122">
            <v>0</v>
          </cell>
          <cell r="G2122">
            <v>0</v>
          </cell>
        </row>
        <row r="2123">
          <cell r="A2123" t="str">
            <v>23-01-01-1886</v>
          </cell>
          <cell r="B2123">
            <v>0</v>
          </cell>
          <cell r="C2123" t="str">
            <v xml:space="preserve">  FICO HI-TECH (PVT) LIMITED</v>
          </cell>
          <cell r="D2123">
            <v>0</v>
          </cell>
          <cell r="E2123">
            <v>0</v>
          </cell>
          <cell r="F2123">
            <v>0</v>
          </cell>
          <cell r="G2123">
            <v>0</v>
          </cell>
        </row>
        <row r="2124">
          <cell r="A2124" t="str">
            <v>23-01-01-1887</v>
          </cell>
          <cell r="B2124">
            <v>0</v>
          </cell>
          <cell r="C2124" t="str">
            <v xml:space="preserve">  SEHAM PRINTERS</v>
          </cell>
          <cell r="D2124">
            <v>0</v>
          </cell>
          <cell r="E2124">
            <v>0</v>
          </cell>
          <cell r="F2124">
            <v>0</v>
          </cell>
          <cell r="G2124">
            <v>0</v>
          </cell>
        </row>
        <row r="2125">
          <cell r="A2125" t="str">
            <v>23-01-01-1888</v>
          </cell>
          <cell r="B2125">
            <v>0</v>
          </cell>
          <cell r="C2125" t="str">
            <v xml:space="preserve">  MUJAHID PIPE STORE</v>
          </cell>
          <cell r="D2125">
            <v>0</v>
          </cell>
          <cell r="E2125">
            <v>0</v>
          </cell>
          <cell r="F2125">
            <v>0</v>
          </cell>
          <cell r="G2125">
            <v>0</v>
          </cell>
        </row>
        <row r="2126">
          <cell r="A2126" t="str">
            <v>23-01-01-1889</v>
          </cell>
          <cell r="B2126">
            <v>0</v>
          </cell>
          <cell r="C2126" t="str">
            <v xml:space="preserve">  AMMAR BILAL COMPANY</v>
          </cell>
          <cell r="D2126">
            <v>0</v>
          </cell>
          <cell r="E2126">
            <v>0</v>
          </cell>
          <cell r="F2126">
            <v>0</v>
          </cell>
          <cell r="G2126">
            <v>0</v>
          </cell>
        </row>
        <row r="2127">
          <cell r="A2127" t="str">
            <v>23-01-01-1890</v>
          </cell>
          <cell r="B2127">
            <v>0</v>
          </cell>
          <cell r="C2127" t="str">
            <v xml:space="preserve">  ALI AKBAR TRADERS</v>
          </cell>
          <cell r="D2127">
            <v>0</v>
          </cell>
          <cell r="E2127">
            <v>0</v>
          </cell>
          <cell r="F2127">
            <v>0</v>
          </cell>
          <cell r="G2127">
            <v>0</v>
          </cell>
        </row>
        <row r="2128">
          <cell r="A2128" t="str">
            <v>23-01-01-1891</v>
          </cell>
          <cell r="B2128">
            <v>0</v>
          </cell>
          <cell r="C2128" t="str">
            <v xml:space="preserve">  NEW ALLIED MACHINERY STORE</v>
          </cell>
          <cell r="D2128">
            <v>0</v>
          </cell>
          <cell r="E2128">
            <v>0</v>
          </cell>
          <cell r="F2128">
            <v>0</v>
          </cell>
          <cell r="G2128">
            <v>0</v>
          </cell>
        </row>
        <row r="2129">
          <cell r="A2129" t="str">
            <v>23-01-01-1893</v>
          </cell>
          <cell r="B2129">
            <v>0</v>
          </cell>
          <cell r="C2129" t="str">
            <v xml:space="preserve">  CIBRO AGENCIES (PTE) LTD.</v>
          </cell>
          <cell r="D2129">
            <v>0</v>
          </cell>
          <cell r="E2129">
            <v>8390.4</v>
          </cell>
          <cell r="F2129">
            <v>0</v>
          </cell>
          <cell r="G2129">
            <v>0</v>
          </cell>
        </row>
        <row r="2130">
          <cell r="A2130" t="str">
            <v>23-01-01-1894</v>
          </cell>
          <cell r="B2130">
            <v>0</v>
          </cell>
          <cell r="C2130" t="str">
            <v xml:space="preserve">  WEAR &amp; WEAR</v>
          </cell>
          <cell r="D2130">
            <v>0</v>
          </cell>
          <cell r="E2130">
            <v>0</v>
          </cell>
          <cell r="F2130">
            <v>0</v>
          </cell>
          <cell r="G2130">
            <v>0</v>
          </cell>
        </row>
        <row r="2131">
          <cell r="A2131" t="str">
            <v>23-01-01-1895</v>
          </cell>
          <cell r="B2131">
            <v>0</v>
          </cell>
          <cell r="C2131" t="str">
            <v xml:space="preserve">  THE NORTHERN MILLS STORE (PVT) LTD.</v>
          </cell>
          <cell r="D2131">
            <v>0</v>
          </cell>
          <cell r="E2131">
            <v>12651</v>
          </cell>
          <cell r="F2131">
            <v>0</v>
          </cell>
          <cell r="G2131">
            <v>0</v>
          </cell>
        </row>
        <row r="2132">
          <cell r="A2132" t="str">
            <v>23-01-01-1896</v>
          </cell>
          <cell r="B2132">
            <v>0</v>
          </cell>
          <cell r="C2132" t="str">
            <v xml:space="preserve">  IRSHAD TRADERS</v>
          </cell>
          <cell r="D2132">
            <v>0</v>
          </cell>
          <cell r="E2132">
            <v>0</v>
          </cell>
          <cell r="F2132">
            <v>0</v>
          </cell>
          <cell r="G2132">
            <v>0</v>
          </cell>
        </row>
        <row r="2133">
          <cell r="A2133" t="str">
            <v>23-01-01-1897</v>
          </cell>
          <cell r="B2133">
            <v>0</v>
          </cell>
          <cell r="C2133" t="str">
            <v xml:space="preserve">  NKR ENGINEERING (PVT.) LTD.</v>
          </cell>
          <cell r="D2133">
            <v>0</v>
          </cell>
          <cell r="E2133">
            <v>0</v>
          </cell>
          <cell r="F2133">
            <v>0</v>
          </cell>
          <cell r="G2133">
            <v>0</v>
          </cell>
        </row>
        <row r="2134">
          <cell r="A2134" t="str">
            <v>23-01-01-1898</v>
          </cell>
          <cell r="B2134">
            <v>0</v>
          </cell>
          <cell r="C2134" t="str">
            <v xml:space="preserve">  MELODY ELECTRONICS CENTRE</v>
          </cell>
          <cell r="D2134">
            <v>0</v>
          </cell>
          <cell r="E2134">
            <v>0</v>
          </cell>
          <cell r="F2134">
            <v>0</v>
          </cell>
          <cell r="G2134">
            <v>0</v>
          </cell>
        </row>
        <row r="2135">
          <cell r="A2135" t="str">
            <v>23-01-01-1899</v>
          </cell>
          <cell r="B2135">
            <v>0</v>
          </cell>
          <cell r="C2135" t="str">
            <v xml:space="preserve">  PAKMACO (PRIVATE) LIMITED</v>
          </cell>
          <cell r="D2135">
            <v>0</v>
          </cell>
          <cell r="E2135">
            <v>0</v>
          </cell>
          <cell r="F2135">
            <v>0</v>
          </cell>
          <cell r="G2135">
            <v>0</v>
          </cell>
        </row>
        <row r="2136">
          <cell r="A2136" t="str">
            <v>23-01-01-1900</v>
          </cell>
          <cell r="B2136">
            <v>0</v>
          </cell>
          <cell r="C2136" t="str">
            <v xml:space="preserve">  SHIRAZI TRADING COMPANY LIMITED</v>
          </cell>
          <cell r="D2136">
            <v>0</v>
          </cell>
          <cell r="E2136">
            <v>0</v>
          </cell>
          <cell r="F2136">
            <v>0</v>
          </cell>
          <cell r="G2136">
            <v>0</v>
          </cell>
        </row>
        <row r="2137">
          <cell r="A2137" t="str">
            <v>23-01-01-1901</v>
          </cell>
          <cell r="B2137">
            <v>0</v>
          </cell>
          <cell r="C2137" t="str">
            <v xml:space="preserve">  THE INTERNATIONAL TRADING COMPANY</v>
          </cell>
          <cell r="D2137">
            <v>0</v>
          </cell>
          <cell r="E2137">
            <v>0</v>
          </cell>
          <cell r="F2137">
            <v>0</v>
          </cell>
          <cell r="G2137">
            <v>0</v>
          </cell>
        </row>
        <row r="2138">
          <cell r="A2138" t="str">
            <v>23-01-01-1902</v>
          </cell>
          <cell r="B2138">
            <v>0</v>
          </cell>
          <cell r="C2138" t="str">
            <v xml:space="preserve">  HAZARI TRADERS</v>
          </cell>
          <cell r="D2138">
            <v>0</v>
          </cell>
          <cell r="E2138">
            <v>0</v>
          </cell>
          <cell r="F2138">
            <v>0</v>
          </cell>
          <cell r="G2138">
            <v>0</v>
          </cell>
        </row>
        <row r="2139">
          <cell r="A2139" t="str">
            <v>23-01-01-1903</v>
          </cell>
          <cell r="B2139">
            <v>0</v>
          </cell>
          <cell r="C2139" t="str">
            <v xml:space="preserve">  GLAXY BUSINESS MACHINE ACCESSORIES</v>
          </cell>
          <cell r="D2139">
            <v>0</v>
          </cell>
          <cell r="E2139">
            <v>0</v>
          </cell>
          <cell r="F2139">
            <v>0</v>
          </cell>
          <cell r="G2139">
            <v>0</v>
          </cell>
        </row>
        <row r="2140">
          <cell r="A2140" t="str">
            <v>23-01-01-1904</v>
          </cell>
          <cell r="B2140">
            <v>0</v>
          </cell>
          <cell r="C2140" t="str">
            <v xml:space="preserve">  BELTING ENTERPRISES</v>
          </cell>
          <cell r="D2140">
            <v>0</v>
          </cell>
          <cell r="E2140">
            <v>0</v>
          </cell>
          <cell r="F2140">
            <v>0</v>
          </cell>
          <cell r="G2140">
            <v>0</v>
          </cell>
        </row>
        <row r="2141">
          <cell r="A2141" t="str">
            <v>23-01-01-1905</v>
          </cell>
          <cell r="B2141">
            <v>0</v>
          </cell>
          <cell r="C2141" t="str">
            <v xml:space="preserve">  HYDER ALI &amp; CO.</v>
          </cell>
          <cell r="D2141">
            <v>0</v>
          </cell>
          <cell r="E2141">
            <v>16333.45</v>
          </cell>
          <cell r="F2141">
            <v>0</v>
          </cell>
          <cell r="G2141">
            <v>0</v>
          </cell>
        </row>
        <row r="2142">
          <cell r="A2142" t="str">
            <v>23-01-01-1906</v>
          </cell>
          <cell r="B2142">
            <v>0</v>
          </cell>
          <cell r="C2142" t="str">
            <v xml:space="preserve">  CHAUDHRY &amp; SONS</v>
          </cell>
          <cell r="D2142">
            <v>0</v>
          </cell>
          <cell r="E2142">
            <v>30</v>
          </cell>
          <cell r="F2142">
            <v>0</v>
          </cell>
          <cell r="G2142">
            <v>0</v>
          </cell>
        </row>
        <row r="2143">
          <cell r="A2143" t="str">
            <v>23-01-01-1907</v>
          </cell>
          <cell r="B2143">
            <v>0</v>
          </cell>
          <cell r="C2143" t="str">
            <v xml:space="preserve">  STAR RUBBER STORE</v>
          </cell>
          <cell r="D2143">
            <v>0</v>
          </cell>
          <cell r="E2143">
            <v>0</v>
          </cell>
          <cell r="F2143">
            <v>0</v>
          </cell>
          <cell r="G2143">
            <v>0</v>
          </cell>
        </row>
        <row r="2144">
          <cell r="A2144" t="str">
            <v>23-01-01-1908</v>
          </cell>
          <cell r="B2144">
            <v>0</v>
          </cell>
          <cell r="C2144" t="str">
            <v xml:space="preserve">  INCOM ROCKWOOL (PVT) LIMITED</v>
          </cell>
          <cell r="D2144">
            <v>0</v>
          </cell>
          <cell r="E2144">
            <v>0</v>
          </cell>
          <cell r="F2144">
            <v>0</v>
          </cell>
          <cell r="G2144">
            <v>0</v>
          </cell>
        </row>
        <row r="2145">
          <cell r="A2145" t="str">
            <v>23-01-01-1909</v>
          </cell>
          <cell r="B2145">
            <v>0</v>
          </cell>
          <cell r="C2145" t="str">
            <v xml:space="preserve">  N.A.ENTERPRISES</v>
          </cell>
          <cell r="D2145">
            <v>0</v>
          </cell>
          <cell r="E2145">
            <v>0</v>
          </cell>
          <cell r="F2145">
            <v>0</v>
          </cell>
          <cell r="G2145">
            <v>0</v>
          </cell>
        </row>
        <row r="2146">
          <cell r="A2146" t="str">
            <v>23-01-01-1910</v>
          </cell>
          <cell r="B2146">
            <v>0</v>
          </cell>
          <cell r="C2146" t="str">
            <v xml:space="preserve">  PAKISTAN MACHINE TOOL FACTORY (PVT) LT</v>
          </cell>
          <cell r="D2146">
            <v>0</v>
          </cell>
          <cell r="E2146">
            <v>0</v>
          </cell>
          <cell r="F2146">
            <v>0</v>
          </cell>
          <cell r="G2146">
            <v>0</v>
          </cell>
        </row>
        <row r="2147">
          <cell r="A2147" t="str">
            <v>23-01-01-1911</v>
          </cell>
          <cell r="B2147">
            <v>0</v>
          </cell>
          <cell r="C2147" t="str">
            <v xml:space="preserve">  FAISAL MILL STORE</v>
          </cell>
          <cell r="D2147">
            <v>0</v>
          </cell>
          <cell r="E2147">
            <v>0</v>
          </cell>
          <cell r="F2147">
            <v>0</v>
          </cell>
          <cell r="G2147">
            <v>0</v>
          </cell>
        </row>
        <row r="2148">
          <cell r="A2148" t="str">
            <v>23-01-01-1912</v>
          </cell>
          <cell r="B2148">
            <v>0</v>
          </cell>
          <cell r="C2148" t="str">
            <v xml:space="preserve">  A.KARIMJEE &amp; SONS</v>
          </cell>
          <cell r="D2148">
            <v>0</v>
          </cell>
          <cell r="E2148">
            <v>7797</v>
          </cell>
          <cell r="F2148">
            <v>0</v>
          </cell>
          <cell r="G2148">
            <v>0</v>
          </cell>
        </row>
        <row r="2149">
          <cell r="A2149" t="str">
            <v>23-01-01-1913</v>
          </cell>
          <cell r="B2149">
            <v>0</v>
          </cell>
          <cell r="C2149" t="str">
            <v xml:space="preserve">  KASHIF ENTERPRISES</v>
          </cell>
          <cell r="D2149">
            <v>0</v>
          </cell>
          <cell r="E2149">
            <v>0</v>
          </cell>
          <cell r="F2149">
            <v>0</v>
          </cell>
          <cell r="G2149">
            <v>0</v>
          </cell>
        </row>
        <row r="2150">
          <cell r="A2150" t="str">
            <v>23-01-01-1914</v>
          </cell>
          <cell r="B2150">
            <v>0</v>
          </cell>
          <cell r="C2150" t="str">
            <v xml:space="preserve">  PAKISTAN CARD CLOTHING CO. (PVT) LTD.</v>
          </cell>
          <cell r="D2150">
            <v>0</v>
          </cell>
          <cell r="E2150">
            <v>63250</v>
          </cell>
          <cell r="F2150">
            <v>0</v>
          </cell>
          <cell r="G2150">
            <v>0</v>
          </cell>
        </row>
        <row r="2151">
          <cell r="A2151" t="str">
            <v>23-01-01-1915</v>
          </cell>
          <cell r="B2151">
            <v>0</v>
          </cell>
          <cell r="C2151" t="str">
            <v xml:space="preserve">  RELIANCE TEXTILE ENGINEERS</v>
          </cell>
          <cell r="D2151">
            <v>0</v>
          </cell>
          <cell r="E2151">
            <v>0</v>
          </cell>
          <cell r="F2151">
            <v>0</v>
          </cell>
          <cell r="G2151">
            <v>0</v>
          </cell>
        </row>
        <row r="2152">
          <cell r="A2152" t="str">
            <v>23-01-01-1916</v>
          </cell>
          <cell r="B2152">
            <v>0</v>
          </cell>
          <cell r="C2152" t="str">
            <v xml:space="preserve">  UNITED TRADE AGENCY</v>
          </cell>
          <cell r="D2152">
            <v>0</v>
          </cell>
          <cell r="E2152">
            <v>0</v>
          </cell>
          <cell r="F2152">
            <v>0</v>
          </cell>
          <cell r="G2152">
            <v>0</v>
          </cell>
        </row>
        <row r="2153">
          <cell r="A2153" t="str">
            <v>23-01-01-1917</v>
          </cell>
          <cell r="B2153">
            <v>0</v>
          </cell>
          <cell r="C2153" t="str">
            <v xml:space="preserve">  MOHSIN TRADERS</v>
          </cell>
          <cell r="D2153">
            <v>0</v>
          </cell>
          <cell r="E2153">
            <v>0</v>
          </cell>
          <cell r="F2153">
            <v>0</v>
          </cell>
          <cell r="G2153">
            <v>0</v>
          </cell>
        </row>
        <row r="2154">
          <cell r="A2154" t="str">
            <v>23-01-01-1918</v>
          </cell>
          <cell r="B2154">
            <v>0</v>
          </cell>
          <cell r="C2154" t="str">
            <v xml:space="preserve">  ISHTIAQ PRINTING PRESS</v>
          </cell>
          <cell r="D2154">
            <v>0</v>
          </cell>
          <cell r="E2154">
            <v>0</v>
          </cell>
          <cell r="F2154">
            <v>0</v>
          </cell>
          <cell r="G2154">
            <v>0</v>
          </cell>
        </row>
        <row r="2155">
          <cell r="A2155" t="str">
            <v>23-01-01-1919</v>
          </cell>
          <cell r="B2155">
            <v>0</v>
          </cell>
          <cell r="C2155" t="str">
            <v xml:space="preserve">  TAHA &amp; BROTHERS</v>
          </cell>
          <cell r="D2155">
            <v>0</v>
          </cell>
          <cell r="E2155">
            <v>16953.75</v>
          </cell>
          <cell r="F2155">
            <v>0</v>
          </cell>
          <cell r="G2155">
            <v>0</v>
          </cell>
        </row>
        <row r="2156">
          <cell r="A2156" t="str">
            <v>23-01-01-1920</v>
          </cell>
          <cell r="B2156">
            <v>0</v>
          </cell>
          <cell r="C2156" t="str">
            <v xml:space="preserve">  MEMON BOLT CENTER</v>
          </cell>
          <cell r="D2156">
            <v>0</v>
          </cell>
          <cell r="E2156">
            <v>120</v>
          </cell>
          <cell r="F2156">
            <v>0</v>
          </cell>
          <cell r="G2156">
            <v>0</v>
          </cell>
        </row>
        <row r="2157">
          <cell r="A2157" t="str">
            <v>23-01-01-1921</v>
          </cell>
          <cell r="B2157">
            <v>0</v>
          </cell>
          <cell r="C2157" t="str">
            <v xml:space="preserve">  SHELL PAKISTAN LIMITED KHI (FURNANCE)-</v>
          </cell>
          <cell r="D2157">
            <v>5850217.5099999998</v>
          </cell>
          <cell r="E2157">
            <v>0</v>
          </cell>
          <cell r="F2157">
            <v>0</v>
          </cell>
          <cell r="G2157">
            <v>0</v>
          </cell>
        </row>
        <row r="2158">
          <cell r="A2158" t="str">
            <v>23-01-01-1922</v>
          </cell>
          <cell r="B2158">
            <v>0</v>
          </cell>
          <cell r="C2158" t="str">
            <v xml:space="preserve">  ALI BROTHERS</v>
          </cell>
          <cell r="D2158">
            <v>0</v>
          </cell>
          <cell r="E2158">
            <v>29279</v>
          </cell>
          <cell r="F2158">
            <v>0</v>
          </cell>
          <cell r="G2158">
            <v>0</v>
          </cell>
        </row>
        <row r="2159">
          <cell r="A2159" t="str">
            <v>23-01-01-1923</v>
          </cell>
          <cell r="B2159">
            <v>0</v>
          </cell>
          <cell r="C2159" t="str">
            <v xml:space="preserve">  PRECISION INDUSTRIAL COMPANY</v>
          </cell>
          <cell r="D2159">
            <v>0</v>
          </cell>
          <cell r="E2159">
            <v>72</v>
          </cell>
          <cell r="F2159">
            <v>0</v>
          </cell>
          <cell r="G2159">
            <v>0</v>
          </cell>
        </row>
        <row r="2160">
          <cell r="A2160" t="str">
            <v>23-01-01-1924</v>
          </cell>
          <cell r="B2160">
            <v>0</v>
          </cell>
          <cell r="C2160" t="str">
            <v xml:space="preserve">  KARIMI BROTHERS</v>
          </cell>
          <cell r="D2160">
            <v>0</v>
          </cell>
          <cell r="E2160">
            <v>0</v>
          </cell>
          <cell r="F2160">
            <v>0</v>
          </cell>
          <cell r="G2160">
            <v>0</v>
          </cell>
        </row>
        <row r="2161">
          <cell r="A2161" t="str">
            <v>23-01-01-1925</v>
          </cell>
          <cell r="B2161">
            <v>0</v>
          </cell>
          <cell r="C2161" t="str">
            <v xml:space="preserve">  HATIM SONS</v>
          </cell>
          <cell r="D2161">
            <v>0</v>
          </cell>
          <cell r="E2161">
            <v>19944.43</v>
          </cell>
          <cell r="F2161">
            <v>0</v>
          </cell>
          <cell r="G2161">
            <v>0</v>
          </cell>
        </row>
        <row r="2162">
          <cell r="A2162" t="str">
            <v>23-01-01-1926</v>
          </cell>
          <cell r="B2162">
            <v>0</v>
          </cell>
          <cell r="C2162" t="str">
            <v xml:space="preserve">  RAZAK MILL STORE</v>
          </cell>
          <cell r="D2162">
            <v>0</v>
          </cell>
          <cell r="E2162">
            <v>0</v>
          </cell>
          <cell r="F2162">
            <v>0</v>
          </cell>
          <cell r="G2162">
            <v>0</v>
          </cell>
        </row>
        <row r="2163">
          <cell r="A2163" t="str">
            <v>23-01-01-1927</v>
          </cell>
          <cell r="B2163">
            <v>0</v>
          </cell>
          <cell r="C2163" t="str">
            <v xml:space="preserve">  AXIS ELECTRONICS</v>
          </cell>
          <cell r="D2163">
            <v>0</v>
          </cell>
          <cell r="E2163">
            <v>0</v>
          </cell>
          <cell r="F2163">
            <v>0</v>
          </cell>
          <cell r="G2163">
            <v>0</v>
          </cell>
        </row>
        <row r="2164">
          <cell r="A2164" t="str">
            <v>23-01-01-1928</v>
          </cell>
          <cell r="B2164">
            <v>0</v>
          </cell>
          <cell r="C2164" t="str">
            <v xml:space="preserve">  BISMILLAH MILL STORE</v>
          </cell>
          <cell r="D2164">
            <v>0</v>
          </cell>
          <cell r="E2164">
            <v>0</v>
          </cell>
          <cell r="F2164">
            <v>0</v>
          </cell>
          <cell r="G2164">
            <v>0</v>
          </cell>
        </row>
        <row r="2165">
          <cell r="A2165" t="str">
            <v>23-01-01-1929</v>
          </cell>
          <cell r="B2165">
            <v>0</v>
          </cell>
          <cell r="C2165" t="str">
            <v xml:space="preserve">  ROBINSON PAINT OF PAKISTAN</v>
          </cell>
          <cell r="D2165">
            <v>0</v>
          </cell>
          <cell r="E2165">
            <v>0</v>
          </cell>
          <cell r="F2165">
            <v>0</v>
          </cell>
          <cell r="G2165">
            <v>0</v>
          </cell>
        </row>
        <row r="2166">
          <cell r="A2166" t="str">
            <v>23-01-01-1930</v>
          </cell>
          <cell r="B2166">
            <v>0</v>
          </cell>
          <cell r="C2166" t="str">
            <v xml:space="preserve">  SPINTEX (PVT) LIMITED</v>
          </cell>
          <cell r="D2166">
            <v>0</v>
          </cell>
          <cell r="E2166">
            <v>0</v>
          </cell>
          <cell r="F2166">
            <v>0</v>
          </cell>
          <cell r="G2166">
            <v>0</v>
          </cell>
        </row>
        <row r="2167">
          <cell r="A2167" t="str">
            <v>23-01-01-1931</v>
          </cell>
          <cell r="B2167">
            <v>0</v>
          </cell>
          <cell r="C2167" t="str">
            <v xml:space="preserve">  HASSAN BROTHERS</v>
          </cell>
          <cell r="D2167">
            <v>0</v>
          </cell>
          <cell r="E2167">
            <v>65412</v>
          </cell>
          <cell r="F2167">
            <v>0</v>
          </cell>
          <cell r="G2167">
            <v>0</v>
          </cell>
        </row>
        <row r="2168">
          <cell r="A2168" t="str">
            <v>23-01-01-1932</v>
          </cell>
          <cell r="B2168">
            <v>0</v>
          </cell>
          <cell r="C2168" t="str">
            <v xml:space="preserve">  ACCRESCENT ENGINEERS</v>
          </cell>
          <cell r="D2168">
            <v>0</v>
          </cell>
          <cell r="E2168">
            <v>0</v>
          </cell>
          <cell r="F2168">
            <v>0</v>
          </cell>
          <cell r="G2168">
            <v>0</v>
          </cell>
        </row>
        <row r="2169">
          <cell r="A2169" t="str">
            <v>23-01-01-1933</v>
          </cell>
          <cell r="B2169">
            <v>0</v>
          </cell>
          <cell r="C2169" t="str">
            <v xml:space="preserve">  HUSSAINI MILL STORE</v>
          </cell>
          <cell r="D2169">
            <v>0</v>
          </cell>
          <cell r="E2169">
            <v>0</v>
          </cell>
          <cell r="F2169">
            <v>0</v>
          </cell>
          <cell r="G2169">
            <v>0</v>
          </cell>
        </row>
        <row r="2170">
          <cell r="A2170" t="str">
            <v>23-01-01-1934</v>
          </cell>
          <cell r="B2170">
            <v>0</v>
          </cell>
          <cell r="C2170" t="str">
            <v xml:space="preserve">  ASIF STATIONERS</v>
          </cell>
          <cell r="D2170">
            <v>0</v>
          </cell>
          <cell r="E2170">
            <v>0</v>
          </cell>
          <cell r="F2170">
            <v>0</v>
          </cell>
          <cell r="G2170">
            <v>0</v>
          </cell>
        </row>
        <row r="2171">
          <cell r="A2171" t="str">
            <v>23-01-01-1935</v>
          </cell>
          <cell r="B2171">
            <v>0</v>
          </cell>
          <cell r="C2171" t="str">
            <v xml:space="preserve">  POPULAR AUTOS</v>
          </cell>
          <cell r="D2171">
            <v>0</v>
          </cell>
          <cell r="E2171">
            <v>0</v>
          </cell>
          <cell r="F2171">
            <v>0</v>
          </cell>
          <cell r="G2171">
            <v>0</v>
          </cell>
        </row>
        <row r="2172">
          <cell r="A2172" t="str">
            <v>23-01-01-1936</v>
          </cell>
          <cell r="B2172">
            <v>0</v>
          </cell>
          <cell r="C2172" t="str">
            <v xml:space="preserve">  ALTAF &amp; CO.</v>
          </cell>
          <cell r="D2172">
            <v>0</v>
          </cell>
          <cell r="E2172">
            <v>0</v>
          </cell>
          <cell r="F2172">
            <v>0</v>
          </cell>
          <cell r="G2172">
            <v>0</v>
          </cell>
        </row>
        <row r="2173">
          <cell r="A2173" t="str">
            <v>23-01-01-1937</v>
          </cell>
          <cell r="B2173">
            <v>0</v>
          </cell>
          <cell r="C2173" t="str">
            <v xml:space="preserve">  AL-FEROZE CORPORATION</v>
          </cell>
          <cell r="D2173">
            <v>0</v>
          </cell>
          <cell r="E2173">
            <v>0</v>
          </cell>
          <cell r="F2173">
            <v>0</v>
          </cell>
          <cell r="G2173">
            <v>0</v>
          </cell>
        </row>
        <row r="2174">
          <cell r="A2174" t="str">
            <v>23-01-01-1938</v>
          </cell>
          <cell r="B2174">
            <v>0</v>
          </cell>
          <cell r="C2174" t="str">
            <v xml:space="preserve">  IMAGE POLYSACK</v>
          </cell>
          <cell r="D2174">
            <v>0</v>
          </cell>
          <cell r="E2174">
            <v>0</v>
          </cell>
          <cell r="F2174">
            <v>0</v>
          </cell>
          <cell r="G2174">
            <v>0</v>
          </cell>
        </row>
        <row r="2175">
          <cell r="A2175" t="str">
            <v>23-01-01-1939</v>
          </cell>
          <cell r="B2175">
            <v>0</v>
          </cell>
          <cell r="C2175" t="str">
            <v xml:space="preserve">  FIVE STAR ENTERPRISES</v>
          </cell>
          <cell r="D2175">
            <v>0</v>
          </cell>
          <cell r="E2175">
            <v>0</v>
          </cell>
          <cell r="F2175">
            <v>0</v>
          </cell>
          <cell r="G2175">
            <v>0</v>
          </cell>
        </row>
        <row r="2176">
          <cell r="A2176" t="str">
            <v>23-01-01-1940</v>
          </cell>
          <cell r="B2176">
            <v>0</v>
          </cell>
          <cell r="C2176" t="str">
            <v xml:space="preserve">  M.R. TRADERS</v>
          </cell>
          <cell r="D2176">
            <v>0</v>
          </cell>
          <cell r="E2176">
            <v>0</v>
          </cell>
          <cell r="F2176">
            <v>0</v>
          </cell>
          <cell r="G2176">
            <v>0</v>
          </cell>
        </row>
        <row r="2177">
          <cell r="A2177" t="str">
            <v>23-01-01-1941</v>
          </cell>
          <cell r="B2177">
            <v>0</v>
          </cell>
          <cell r="C2177" t="str">
            <v xml:space="preserve">  BILALCO</v>
          </cell>
          <cell r="D2177">
            <v>0</v>
          </cell>
          <cell r="E2177">
            <v>6750</v>
          </cell>
          <cell r="F2177">
            <v>0</v>
          </cell>
          <cell r="G2177">
            <v>0</v>
          </cell>
        </row>
        <row r="2178">
          <cell r="A2178" t="str">
            <v>23-01-01-1942</v>
          </cell>
          <cell r="B2178">
            <v>0</v>
          </cell>
          <cell r="C2178" t="str">
            <v xml:space="preserve">  NEW HORIZON COMPUTER</v>
          </cell>
          <cell r="D2178">
            <v>0</v>
          </cell>
          <cell r="E2178">
            <v>0</v>
          </cell>
          <cell r="F2178">
            <v>0</v>
          </cell>
          <cell r="G2178">
            <v>0</v>
          </cell>
        </row>
        <row r="2179">
          <cell r="A2179" t="str">
            <v>23-01-01-1943</v>
          </cell>
          <cell r="B2179">
            <v>0</v>
          </cell>
          <cell r="C2179" t="str">
            <v xml:space="preserve">  HUMA AGENCIES</v>
          </cell>
          <cell r="D2179">
            <v>0</v>
          </cell>
          <cell r="E2179">
            <v>9775</v>
          </cell>
          <cell r="F2179">
            <v>0</v>
          </cell>
          <cell r="G2179">
            <v>0</v>
          </cell>
        </row>
        <row r="2180">
          <cell r="A2180" t="str">
            <v>23-01-01-1944</v>
          </cell>
          <cell r="B2180">
            <v>0</v>
          </cell>
          <cell r="C2180" t="str">
            <v xml:space="preserve">  Y.Z.ENGINEERING</v>
          </cell>
          <cell r="D2180">
            <v>0</v>
          </cell>
          <cell r="E2180">
            <v>44529</v>
          </cell>
          <cell r="F2180">
            <v>0</v>
          </cell>
          <cell r="G2180">
            <v>0</v>
          </cell>
        </row>
        <row r="2181">
          <cell r="A2181" t="str">
            <v>23-01-01-1945</v>
          </cell>
          <cell r="B2181">
            <v>0</v>
          </cell>
          <cell r="C2181" t="str">
            <v xml:space="preserve">  INDUSTRIAL CONTRACTING &amp; TRADING CO.</v>
          </cell>
          <cell r="D2181">
            <v>0</v>
          </cell>
          <cell r="E2181">
            <v>0</v>
          </cell>
          <cell r="F2181">
            <v>0</v>
          </cell>
          <cell r="G2181">
            <v>0</v>
          </cell>
        </row>
        <row r="2182">
          <cell r="A2182" t="str">
            <v>23-01-01-1946</v>
          </cell>
          <cell r="B2182">
            <v>0</v>
          </cell>
          <cell r="C2182" t="str">
            <v xml:space="preserve">  CROWN ELECTRIC COMPANY</v>
          </cell>
          <cell r="D2182">
            <v>0</v>
          </cell>
          <cell r="E2182">
            <v>0</v>
          </cell>
          <cell r="F2182">
            <v>0</v>
          </cell>
          <cell r="G2182">
            <v>0</v>
          </cell>
        </row>
        <row r="2183">
          <cell r="A2183" t="str">
            <v>23-01-01-1947</v>
          </cell>
          <cell r="B2183">
            <v>0</v>
          </cell>
          <cell r="C2183" t="str">
            <v xml:space="preserve">  M. SHAFI &amp; BROTHERS</v>
          </cell>
          <cell r="D2183">
            <v>0</v>
          </cell>
          <cell r="E2183">
            <v>0</v>
          </cell>
          <cell r="F2183">
            <v>0</v>
          </cell>
          <cell r="G2183">
            <v>0</v>
          </cell>
        </row>
        <row r="2184">
          <cell r="A2184" t="str">
            <v>23-01-01-1948</v>
          </cell>
          <cell r="B2184">
            <v>0</v>
          </cell>
          <cell r="C2184" t="str">
            <v xml:space="preserve">  TIJARAT GHAR</v>
          </cell>
          <cell r="D2184">
            <v>0</v>
          </cell>
          <cell r="E2184">
            <v>15054</v>
          </cell>
          <cell r="F2184">
            <v>0</v>
          </cell>
          <cell r="G2184">
            <v>0</v>
          </cell>
        </row>
        <row r="2185">
          <cell r="A2185" t="str">
            <v>23-01-01-1949</v>
          </cell>
          <cell r="B2185">
            <v>0</v>
          </cell>
          <cell r="C2185" t="str">
            <v xml:space="preserve">  AMIR SCIENCE TRADERS</v>
          </cell>
          <cell r="D2185">
            <v>0</v>
          </cell>
          <cell r="E2185">
            <v>2456</v>
          </cell>
          <cell r="F2185">
            <v>0</v>
          </cell>
          <cell r="G2185">
            <v>0</v>
          </cell>
        </row>
        <row r="2186">
          <cell r="A2186" t="str">
            <v>23-01-01-1950</v>
          </cell>
          <cell r="B2186">
            <v>0</v>
          </cell>
          <cell r="C2186" t="str">
            <v xml:space="preserve">  GLOBE TRADING COMPANY</v>
          </cell>
          <cell r="D2186">
            <v>0</v>
          </cell>
          <cell r="E2186">
            <v>0</v>
          </cell>
          <cell r="F2186">
            <v>0</v>
          </cell>
          <cell r="G2186">
            <v>0</v>
          </cell>
        </row>
        <row r="2187">
          <cell r="A2187" t="str">
            <v>23-01-01-1951</v>
          </cell>
          <cell r="B2187">
            <v>0</v>
          </cell>
          <cell r="C2187" t="str">
            <v xml:space="preserve">  SUNSET ENTERPRISES</v>
          </cell>
          <cell r="D2187">
            <v>0</v>
          </cell>
          <cell r="E2187">
            <v>0</v>
          </cell>
          <cell r="F2187">
            <v>0</v>
          </cell>
          <cell r="G2187">
            <v>0</v>
          </cell>
        </row>
        <row r="2188">
          <cell r="A2188" t="str">
            <v>23-01-01-1952</v>
          </cell>
          <cell r="B2188">
            <v>0</v>
          </cell>
          <cell r="C2188" t="str">
            <v xml:space="preserve">  ALLIED PIPE &amp; SANITARY STORE</v>
          </cell>
          <cell r="D2188">
            <v>0</v>
          </cell>
          <cell r="E2188">
            <v>8420</v>
          </cell>
          <cell r="F2188">
            <v>0</v>
          </cell>
          <cell r="G2188">
            <v>0</v>
          </cell>
        </row>
        <row r="2189">
          <cell r="A2189" t="str">
            <v>23-01-01-1953</v>
          </cell>
          <cell r="B2189">
            <v>0</v>
          </cell>
          <cell r="C2189" t="str">
            <v xml:space="preserve">  UNION COMMERCIAL COMPANY</v>
          </cell>
          <cell r="D2189">
            <v>0</v>
          </cell>
          <cell r="E2189">
            <v>0</v>
          </cell>
          <cell r="F2189">
            <v>0</v>
          </cell>
          <cell r="G2189">
            <v>0</v>
          </cell>
        </row>
        <row r="2190">
          <cell r="A2190" t="str">
            <v>23-01-01-1954</v>
          </cell>
          <cell r="B2190">
            <v>0</v>
          </cell>
          <cell r="C2190" t="str">
            <v xml:space="preserve">  AKBER ENGINEERING WORKS</v>
          </cell>
          <cell r="D2190">
            <v>0</v>
          </cell>
          <cell r="E2190">
            <v>0</v>
          </cell>
          <cell r="F2190">
            <v>0</v>
          </cell>
          <cell r="G2190">
            <v>0</v>
          </cell>
        </row>
        <row r="2191">
          <cell r="A2191" t="str">
            <v>23-01-01-1955</v>
          </cell>
          <cell r="B2191">
            <v>0</v>
          </cell>
          <cell r="C2191" t="str">
            <v xml:space="preserve">  KASHIF BROTHERS</v>
          </cell>
          <cell r="D2191">
            <v>0</v>
          </cell>
          <cell r="E2191">
            <v>344531</v>
          </cell>
          <cell r="F2191">
            <v>0</v>
          </cell>
          <cell r="G2191">
            <v>0</v>
          </cell>
        </row>
        <row r="2192">
          <cell r="A2192" t="str">
            <v>23-01-01-1956</v>
          </cell>
          <cell r="B2192">
            <v>0</v>
          </cell>
          <cell r="C2192" t="str">
            <v xml:space="preserve">  IRINATECH (PVT) LTD.</v>
          </cell>
          <cell r="D2192">
            <v>0</v>
          </cell>
          <cell r="E2192">
            <v>0</v>
          </cell>
          <cell r="F2192">
            <v>0</v>
          </cell>
          <cell r="G2192">
            <v>0</v>
          </cell>
        </row>
        <row r="2193">
          <cell r="A2193" t="str">
            <v>23-01-01-1957</v>
          </cell>
          <cell r="B2193">
            <v>0</v>
          </cell>
          <cell r="C2193" t="str">
            <v xml:space="preserve">  WORLD TRADE LINK</v>
          </cell>
          <cell r="D2193">
            <v>0</v>
          </cell>
          <cell r="E2193">
            <v>146660</v>
          </cell>
          <cell r="F2193">
            <v>0</v>
          </cell>
          <cell r="G2193">
            <v>0</v>
          </cell>
        </row>
        <row r="2194">
          <cell r="A2194" t="str">
            <v>23-01-01-1958</v>
          </cell>
          <cell r="B2194">
            <v>0</v>
          </cell>
          <cell r="C2194" t="str">
            <v xml:space="preserve">  UTMAN INDUSTRIES (PVT) LTD</v>
          </cell>
          <cell r="D2194">
            <v>0</v>
          </cell>
          <cell r="E2194">
            <v>552825</v>
          </cell>
          <cell r="F2194">
            <v>0</v>
          </cell>
          <cell r="G2194">
            <v>0</v>
          </cell>
        </row>
        <row r="2195">
          <cell r="A2195" t="str">
            <v>23-01-01-1959</v>
          </cell>
          <cell r="B2195">
            <v>0</v>
          </cell>
          <cell r="C2195" t="str">
            <v xml:space="preserve">  YASEEN ENTERPRISES</v>
          </cell>
          <cell r="D2195">
            <v>0</v>
          </cell>
          <cell r="E2195">
            <v>489212.9</v>
          </cell>
          <cell r="F2195">
            <v>0</v>
          </cell>
          <cell r="G2195">
            <v>0</v>
          </cell>
        </row>
        <row r="2196">
          <cell r="A2196" t="str">
            <v>23-01-01-1960</v>
          </cell>
          <cell r="B2196">
            <v>0</v>
          </cell>
          <cell r="C2196" t="str">
            <v xml:space="preserve">  RAZZAK MILL STORE</v>
          </cell>
          <cell r="D2196">
            <v>0</v>
          </cell>
          <cell r="E2196">
            <v>0</v>
          </cell>
          <cell r="F2196">
            <v>0</v>
          </cell>
          <cell r="G2196">
            <v>0</v>
          </cell>
        </row>
        <row r="2197">
          <cell r="A2197" t="str">
            <v>23-01-01-1961</v>
          </cell>
          <cell r="B2197">
            <v>0</v>
          </cell>
          <cell r="C2197" t="str">
            <v xml:space="preserve">  KHAWAJA TRADERS</v>
          </cell>
          <cell r="D2197">
            <v>0</v>
          </cell>
          <cell r="E2197">
            <v>316758</v>
          </cell>
          <cell r="F2197">
            <v>0</v>
          </cell>
          <cell r="G2197">
            <v>0</v>
          </cell>
        </row>
        <row r="2198">
          <cell r="A2198" t="str">
            <v>23-01-01-1962</v>
          </cell>
          <cell r="B2198">
            <v>0</v>
          </cell>
          <cell r="C2198" t="str">
            <v xml:space="preserve">  IMRAN ASSOCIATES</v>
          </cell>
          <cell r="D2198">
            <v>0</v>
          </cell>
          <cell r="E2198">
            <v>0</v>
          </cell>
          <cell r="F2198">
            <v>0</v>
          </cell>
          <cell r="G2198">
            <v>0</v>
          </cell>
        </row>
        <row r="2199">
          <cell r="A2199" t="str">
            <v>23-01-01-1963</v>
          </cell>
          <cell r="B2199">
            <v>0</v>
          </cell>
          <cell r="C2199" t="str">
            <v xml:space="preserve">  VEGA BOBBIN INDUSTRIES</v>
          </cell>
          <cell r="D2199">
            <v>0</v>
          </cell>
          <cell r="E2199">
            <v>0</v>
          </cell>
          <cell r="F2199">
            <v>0</v>
          </cell>
          <cell r="G2199">
            <v>0</v>
          </cell>
        </row>
        <row r="2200">
          <cell r="A2200" t="str">
            <v>23-01-01-1964</v>
          </cell>
          <cell r="B2200">
            <v>0</v>
          </cell>
          <cell r="C2200" t="str">
            <v xml:space="preserve">  JAPAN BELTING STORE</v>
          </cell>
          <cell r="D2200">
            <v>0</v>
          </cell>
          <cell r="E2200">
            <v>15160</v>
          </cell>
          <cell r="F2200">
            <v>0</v>
          </cell>
          <cell r="G2200">
            <v>0</v>
          </cell>
        </row>
        <row r="2201">
          <cell r="A2201" t="str">
            <v>23-01-01-1965</v>
          </cell>
          <cell r="B2201">
            <v>0</v>
          </cell>
          <cell r="C2201" t="str">
            <v xml:space="preserve">  LOTIA TOOLS &amp; SERVICES</v>
          </cell>
          <cell r="D2201">
            <v>0</v>
          </cell>
          <cell r="E2201">
            <v>0</v>
          </cell>
          <cell r="F2201">
            <v>0</v>
          </cell>
          <cell r="G2201">
            <v>0</v>
          </cell>
        </row>
        <row r="2202">
          <cell r="A2202" t="str">
            <v>23-01-01-1966</v>
          </cell>
          <cell r="B2202">
            <v>0</v>
          </cell>
          <cell r="C2202" t="str">
            <v xml:space="preserve">  FAHAD STEEL</v>
          </cell>
          <cell r="D2202">
            <v>0</v>
          </cell>
          <cell r="E2202">
            <v>0</v>
          </cell>
          <cell r="F2202">
            <v>0</v>
          </cell>
          <cell r="G2202">
            <v>0</v>
          </cell>
        </row>
        <row r="2203">
          <cell r="A2203" t="str">
            <v>23-01-01-1967</v>
          </cell>
          <cell r="B2203">
            <v>0</v>
          </cell>
          <cell r="C2203" t="str">
            <v xml:space="preserve">  INTERSCAN</v>
          </cell>
          <cell r="D2203">
            <v>0</v>
          </cell>
          <cell r="E2203">
            <v>0</v>
          </cell>
          <cell r="F2203">
            <v>0</v>
          </cell>
          <cell r="G2203">
            <v>0</v>
          </cell>
        </row>
        <row r="2204">
          <cell r="A2204" t="str">
            <v>23-01-01-1968</v>
          </cell>
          <cell r="B2204">
            <v>0</v>
          </cell>
          <cell r="C2204" t="str">
            <v xml:space="preserve">  MAKKAH IMPEX</v>
          </cell>
          <cell r="D2204">
            <v>0</v>
          </cell>
          <cell r="E2204">
            <v>0</v>
          </cell>
          <cell r="F2204">
            <v>0</v>
          </cell>
          <cell r="G2204">
            <v>0</v>
          </cell>
        </row>
        <row r="2205">
          <cell r="A2205" t="str">
            <v>23-01-01-1969</v>
          </cell>
          <cell r="B2205">
            <v>0</v>
          </cell>
          <cell r="C2205" t="str">
            <v xml:space="preserve">  NEW ALLIED ELECTRONICS INDS.(PVT) LTD.</v>
          </cell>
          <cell r="D2205">
            <v>0</v>
          </cell>
          <cell r="E2205">
            <v>0</v>
          </cell>
          <cell r="F2205">
            <v>0</v>
          </cell>
          <cell r="G2205">
            <v>0</v>
          </cell>
        </row>
        <row r="2206">
          <cell r="A2206" t="str">
            <v>23-01-01-1970</v>
          </cell>
          <cell r="B2206">
            <v>0</v>
          </cell>
          <cell r="C2206" t="str">
            <v xml:space="preserve">  AMAFHHA ENTERPRISE</v>
          </cell>
          <cell r="D2206">
            <v>0</v>
          </cell>
          <cell r="E2206">
            <v>47633</v>
          </cell>
          <cell r="F2206">
            <v>0</v>
          </cell>
          <cell r="G2206">
            <v>0</v>
          </cell>
        </row>
        <row r="2207">
          <cell r="A2207" t="str">
            <v>23-01-01-1971</v>
          </cell>
          <cell r="B2207">
            <v>0</v>
          </cell>
          <cell r="C2207" t="str">
            <v xml:space="preserve">  H.Y TRADERS</v>
          </cell>
          <cell r="D2207">
            <v>0</v>
          </cell>
          <cell r="E2207">
            <v>0</v>
          </cell>
          <cell r="F2207">
            <v>0</v>
          </cell>
          <cell r="G2207">
            <v>0</v>
          </cell>
        </row>
        <row r="2208">
          <cell r="A2208" t="str">
            <v>23-01-01-1972</v>
          </cell>
          <cell r="B2208">
            <v>0</v>
          </cell>
          <cell r="C2208" t="str">
            <v xml:space="preserve">  AZCORP ENGINEERING SERVICES</v>
          </cell>
          <cell r="D2208">
            <v>0</v>
          </cell>
          <cell r="E2208">
            <v>115748</v>
          </cell>
          <cell r="F2208">
            <v>0</v>
          </cell>
          <cell r="G2208">
            <v>0</v>
          </cell>
        </row>
        <row r="2209">
          <cell r="A2209" t="str">
            <v>23-01-01-1973</v>
          </cell>
          <cell r="B2209">
            <v>0</v>
          </cell>
          <cell r="C2209" t="str">
            <v xml:space="preserve">  SUPREME EXPORTERS</v>
          </cell>
          <cell r="D2209">
            <v>0</v>
          </cell>
          <cell r="E2209">
            <v>0</v>
          </cell>
          <cell r="F2209">
            <v>0</v>
          </cell>
          <cell r="G2209">
            <v>0</v>
          </cell>
        </row>
        <row r="2210">
          <cell r="A2210" t="str">
            <v>23-01-01-1974</v>
          </cell>
          <cell r="B2210">
            <v>0</v>
          </cell>
          <cell r="C2210" t="str">
            <v xml:space="preserve">  MUHAMMAD ALI TRADERS</v>
          </cell>
          <cell r="D2210">
            <v>0</v>
          </cell>
          <cell r="E2210">
            <v>0</v>
          </cell>
          <cell r="F2210">
            <v>0</v>
          </cell>
          <cell r="G2210">
            <v>0</v>
          </cell>
        </row>
        <row r="2211">
          <cell r="A2211" t="str">
            <v>23-01-01-1975</v>
          </cell>
          <cell r="B2211">
            <v>0</v>
          </cell>
          <cell r="C2211" t="str">
            <v xml:space="preserve">  LUCKY AIR SYSTEM</v>
          </cell>
          <cell r="D2211">
            <v>0</v>
          </cell>
          <cell r="E2211">
            <v>0</v>
          </cell>
          <cell r="F2211">
            <v>0</v>
          </cell>
          <cell r="G2211">
            <v>0</v>
          </cell>
        </row>
        <row r="2212">
          <cell r="A2212" t="str">
            <v>23-01-01-1976</v>
          </cell>
          <cell r="B2212">
            <v>0</v>
          </cell>
          <cell r="C2212" t="str">
            <v xml:space="preserve">  THANDI HAWA</v>
          </cell>
          <cell r="D2212">
            <v>676050</v>
          </cell>
          <cell r="E2212">
            <v>0</v>
          </cell>
          <cell r="F2212">
            <v>0</v>
          </cell>
          <cell r="G2212">
            <v>0</v>
          </cell>
        </row>
        <row r="2213">
          <cell r="A2213" t="str">
            <v>23-01-01-1977</v>
          </cell>
          <cell r="B2213">
            <v>0</v>
          </cell>
          <cell r="C2213" t="str">
            <v xml:space="preserve">  MOHAMMAD SOHAIL</v>
          </cell>
          <cell r="D2213">
            <v>0</v>
          </cell>
          <cell r="E2213">
            <v>8993</v>
          </cell>
          <cell r="F2213">
            <v>0</v>
          </cell>
          <cell r="G2213">
            <v>0</v>
          </cell>
        </row>
        <row r="2214">
          <cell r="A2214" t="str">
            <v>23-01-01-1978</v>
          </cell>
          <cell r="B2214">
            <v>0</v>
          </cell>
          <cell r="C2214" t="str">
            <v xml:space="preserve">  PEL SREVICE CENTRE</v>
          </cell>
          <cell r="D2214">
            <v>0</v>
          </cell>
          <cell r="E2214">
            <v>0</v>
          </cell>
          <cell r="F2214">
            <v>0</v>
          </cell>
          <cell r="G2214">
            <v>0</v>
          </cell>
        </row>
        <row r="2215">
          <cell r="A2215" t="str">
            <v>23-01-01-1979</v>
          </cell>
          <cell r="B2215">
            <v>0</v>
          </cell>
          <cell r="C2215" t="str">
            <v xml:space="preserve">  FAWAD STEEL</v>
          </cell>
          <cell r="D2215">
            <v>0</v>
          </cell>
          <cell r="E2215">
            <v>0</v>
          </cell>
          <cell r="F2215">
            <v>0</v>
          </cell>
          <cell r="G2215">
            <v>0</v>
          </cell>
        </row>
        <row r="2216">
          <cell r="A2216" t="str">
            <v>23-01-01-1980</v>
          </cell>
          <cell r="B2216">
            <v>0</v>
          </cell>
          <cell r="C2216" t="str">
            <v xml:space="preserve">  YAHYA TRADERS</v>
          </cell>
          <cell r="D2216">
            <v>0</v>
          </cell>
          <cell r="E2216">
            <v>1035</v>
          </cell>
          <cell r="F2216">
            <v>0</v>
          </cell>
          <cell r="G2216">
            <v>0</v>
          </cell>
        </row>
        <row r="2217">
          <cell r="A2217" t="str">
            <v>23-01-01-1981</v>
          </cell>
          <cell r="B2217">
            <v>0</v>
          </cell>
          <cell r="C2217" t="str">
            <v xml:space="preserve">  DELAWAR FOUNDRY MATERIAL STORE</v>
          </cell>
          <cell r="D2217">
            <v>0</v>
          </cell>
          <cell r="E2217">
            <v>0</v>
          </cell>
          <cell r="F2217">
            <v>0</v>
          </cell>
          <cell r="G2217">
            <v>0</v>
          </cell>
        </row>
        <row r="2218">
          <cell r="A2218" t="str">
            <v>23-01-01-1982</v>
          </cell>
          <cell r="B2218">
            <v>0</v>
          </cell>
          <cell r="C2218" t="str">
            <v xml:space="preserve">  HOME &amp; FOREIGN TRADERS</v>
          </cell>
          <cell r="D2218">
            <v>0</v>
          </cell>
          <cell r="E2218">
            <v>0</v>
          </cell>
          <cell r="F2218">
            <v>0</v>
          </cell>
          <cell r="G2218">
            <v>0</v>
          </cell>
        </row>
        <row r="2219">
          <cell r="A2219" t="str">
            <v>23-01-01-1983</v>
          </cell>
          <cell r="B2219">
            <v>0</v>
          </cell>
          <cell r="C2219" t="str">
            <v xml:space="preserve">  J.J HYDRAULIC PNEUMATIC SYSTEMS PVT LT</v>
          </cell>
          <cell r="D2219">
            <v>0</v>
          </cell>
          <cell r="E2219">
            <v>0</v>
          </cell>
          <cell r="F2219">
            <v>0</v>
          </cell>
          <cell r="G2219">
            <v>0</v>
          </cell>
        </row>
        <row r="2220">
          <cell r="A2220" t="str">
            <v>23-01-01-1984</v>
          </cell>
          <cell r="B2220">
            <v>0</v>
          </cell>
          <cell r="C2220" t="str">
            <v xml:space="preserve">  PAKMACHINE INTERNATIONAL</v>
          </cell>
          <cell r="D2220">
            <v>0</v>
          </cell>
          <cell r="E2220">
            <v>0</v>
          </cell>
          <cell r="F2220">
            <v>0</v>
          </cell>
          <cell r="G2220">
            <v>0</v>
          </cell>
        </row>
        <row r="2221">
          <cell r="A2221" t="str">
            <v>23-01-01-1985</v>
          </cell>
          <cell r="B2221">
            <v>0</v>
          </cell>
          <cell r="C2221" t="str">
            <v xml:space="preserve">  PEARL DECOR</v>
          </cell>
          <cell r="D2221">
            <v>0</v>
          </cell>
          <cell r="E2221">
            <v>0</v>
          </cell>
          <cell r="F2221">
            <v>0</v>
          </cell>
          <cell r="G2221">
            <v>0</v>
          </cell>
        </row>
        <row r="2222">
          <cell r="A2222" t="str">
            <v>23-01-01-1986</v>
          </cell>
          <cell r="B2222">
            <v>0</v>
          </cell>
          <cell r="C2222" t="str">
            <v xml:space="preserve">  MATRIX ELECTRONICS</v>
          </cell>
          <cell r="D2222">
            <v>0</v>
          </cell>
          <cell r="E2222">
            <v>0</v>
          </cell>
          <cell r="F2222">
            <v>0</v>
          </cell>
          <cell r="G2222">
            <v>0</v>
          </cell>
        </row>
        <row r="2223">
          <cell r="A2223" t="str">
            <v>23-01-01-1987</v>
          </cell>
          <cell r="B2223">
            <v>0</v>
          </cell>
          <cell r="C2223" t="str">
            <v xml:space="preserve">  IVY INTERFACE</v>
          </cell>
          <cell r="D2223">
            <v>0</v>
          </cell>
          <cell r="E2223">
            <v>0</v>
          </cell>
          <cell r="F2223">
            <v>0</v>
          </cell>
          <cell r="G2223">
            <v>0</v>
          </cell>
        </row>
        <row r="2224">
          <cell r="A2224" t="str">
            <v>23-01-01-1988</v>
          </cell>
          <cell r="B2224">
            <v>0</v>
          </cell>
          <cell r="C2224" t="str">
            <v xml:space="preserve">  A.S ZEESHAN BROTHERS</v>
          </cell>
          <cell r="D2224">
            <v>0</v>
          </cell>
          <cell r="E2224">
            <v>90418</v>
          </cell>
          <cell r="F2224">
            <v>0</v>
          </cell>
          <cell r="G2224">
            <v>0</v>
          </cell>
        </row>
        <row r="2225">
          <cell r="A2225" t="str">
            <v>23-01-01-1989</v>
          </cell>
          <cell r="B2225">
            <v>0</v>
          </cell>
          <cell r="C2225" t="str">
            <v xml:space="preserve">  MARTIN TRADING COMPANY</v>
          </cell>
          <cell r="D2225">
            <v>0</v>
          </cell>
          <cell r="E2225">
            <v>0</v>
          </cell>
          <cell r="F2225">
            <v>0</v>
          </cell>
          <cell r="G2225">
            <v>0</v>
          </cell>
        </row>
        <row r="2226">
          <cell r="A2226" t="str">
            <v>23-01-01-1990</v>
          </cell>
          <cell r="B2226">
            <v>0</v>
          </cell>
          <cell r="C2226" t="str">
            <v xml:space="preserve">  H.Y.MULTANWALA</v>
          </cell>
          <cell r="D2226">
            <v>0</v>
          </cell>
          <cell r="E2226">
            <v>24090</v>
          </cell>
          <cell r="F2226">
            <v>0</v>
          </cell>
          <cell r="G2226">
            <v>0</v>
          </cell>
        </row>
        <row r="2227">
          <cell r="A2227" t="str">
            <v>23-01-01-1991</v>
          </cell>
          <cell r="B2227">
            <v>0</v>
          </cell>
          <cell r="C2227" t="str">
            <v xml:space="preserve">  BURHANI SYNDICATE</v>
          </cell>
          <cell r="D2227">
            <v>0</v>
          </cell>
          <cell r="E2227">
            <v>0</v>
          </cell>
          <cell r="F2227">
            <v>0</v>
          </cell>
          <cell r="G2227">
            <v>0</v>
          </cell>
        </row>
        <row r="2228">
          <cell r="A2228" t="str">
            <v>23-01-01-1992</v>
          </cell>
          <cell r="B2228">
            <v>0</v>
          </cell>
          <cell r="C2228" t="str">
            <v xml:space="preserve">  CHANDNI ALUMINUM &amp; GLASS WORKS</v>
          </cell>
          <cell r="D2228">
            <v>0</v>
          </cell>
          <cell r="E2228">
            <v>0</v>
          </cell>
          <cell r="F2228">
            <v>0</v>
          </cell>
          <cell r="G2228">
            <v>0</v>
          </cell>
        </row>
        <row r="2229">
          <cell r="A2229" t="str">
            <v>23-01-01-1993</v>
          </cell>
          <cell r="B2229">
            <v>0</v>
          </cell>
          <cell r="C2229" t="str">
            <v xml:space="preserve">  NASEEM HARDWARE &amp; PAINT STORE</v>
          </cell>
          <cell r="D2229">
            <v>0</v>
          </cell>
          <cell r="E2229">
            <v>152</v>
          </cell>
          <cell r="F2229">
            <v>0</v>
          </cell>
          <cell r="G2229">
            <v>0</v>
          </cell>
        </row>
        <row r="2230">
          <cell r="A2230" t="str">
            <v>23-01-01-1994</v>
          </cell>
          <cell r="B2230">
            <v>0</v>
          </cell>
          <cell r="C2230" t="str">
            <v xml:space="preserve">  CHAMAN PLASTIC &amp; IRON MERCHANT</v>
          </cell>
          <cell r="D2230">
            <v>0</v>
          </cell>
          <cell r="E2230">
            <v>0</v>
          </cell>
          <cell r="F2230">
            <v>0</v>
          </cell>
          <cell r="G2230">
            <v>0</v>
          </cell>
        </row>
        <row r="2231">
          <cell r="A2231" t="str">
            <v>23-01-01-1995</v>
          </cell>
          <cell r="B2231">
            <v>0</v>
          </cell>
          <cell r="C2231" t="str">
            <v xml:space="preserve">  BABER ELECTRIC STORE</v>
          </cell>
          <cell r="D2231">
            <v>0</v>
          </cell>
          <cell r="E2231">
            <v>8679.5</v>
          </cell>
          <cell r="F2231">
            <v>0</v>
          </cell>
          <cell r="G2231">
            <v>0</v>
          </cell>
        </row>
        <row r="2232">
          <cell r="A2232" t="str">
            <v>23-01-01-1996</v>
          </cell>
          <cell r="B2232">
            <v>0</v>
          </cell>
          <cell r="C2232" t="str">
            <v xml:space="preserve">  SARWAR ELECTRIC &amp; ENG WORKS</v>
          </cell>
          <cell r="D2232">
            <v>0</v>
          </cell>
          <cell r="E2232">
            <v>0</v>
          </cell>
          <cell r="F2232">
            <v>0</v>
          </cell>
          <cell r="G2232">
            <v>0</v>
          </cell>
        </row>
        <row r="2233">
          <cell r="A2233" t="str">
            <v>23-01-01-1997</v>
          </cell>
          <cell r="B2233">
            <v>0</v>
          </cell>
          <cell r="C2233" t="str">
            <v xml:space="preserve">  BADRI ENGINEERING CORPORATION</v>
          </cell>
          <cell r="D2233">
            <v>0</v>
          </cell>
          <cell r="E2233">
            <v>0</v>
          </cell>
          <cell r="F2233">
            <v>0</v>
          </cell>
          <cell r="G2233">
            <v>0</v>
          </cell>
        </row>
        <row r="2234">
          <cell r="A2234" t="str">
            <v>23-01-01-1998</v>
          </cell>
          <cell r="B2234">
            <v>0</v>
          </cell>
          <cell r="C2234" t="str">
            <v xml:space="preserve">  GLOBAL CLEANING SERVICES</v>
          </cell>
          <cell r="D2234">
            <v>0</v>
          </cell>
          <cell r="E2234">
            <v>0</v>
          </cell>
          <cell r="F2234">
            <v>0</v>
          </cell>
          <cell r="G2234">
            <v>0</v>
          </cell>
        </row>
        <row r="2235">
          <cell r="A2235" t="str">
            <v>23-01-01-1999</v>
          </cell>
          <cell r="B2235">
            <v>0</v>
          </cell>
          <cell r="C2235" t="str">
            <v xml:space="preserve">  BILAL TRADING COMPANY</v>
          </cell>
          <cell r="D2235">
            <v>0</v>
          </cell>
          <cell r="E2235">
            <v>2234</v>
          </cell>
          <cell r="F2235">
            <v>0</v>
          </cell>
          <cell r="G2235">
            <v>0</v>
          </cell>
        </row>
        <row r="2236">
          <cell r="A2236" t="str">
            <v>23-01-01-2000</v>
          </cell>
          <cell r="B2236">
            <v>0</v>
          </cell>
          <cell r="C2236" t="str">
            <v xml:space="preserve">  NDS TECHNOLOGIES (PVT) LIMITED</v>
          </cell>
          <cell r="D2236">
            <v>0</v>
          </cell>
          <cell r="E2236">
            <v>0</v>
          </cell>
          <cell r="F2236">
            <v>0</v>
          </cell>
          <cell r="G2236">
            <v>0</v>
          </cell>
        </row>
        <row r="2237">
          <cell r="A2237" t="str">
            <v>23-01-01-2001</v>
          </cell>
          <cell r="B2237">
            <v>0</v>
          </cell>
          <cell r="C2237" t="str">
            <v xml:space="preserve">  ABBASI TRADERS</v>
          </cell>
          <cell r="D2237">
            <v>0</v>
          </cell>
          <cell r="E2237">
            <v>12000</v>
          </cell>
          <cell r="F2237">
            <v>0</v>
          </cell>
          <cell r="G2237">
            <v>0</v>
          </cell>
        </row>
        <row r="2238">
          <cell r="A2238" t="str">
            <v>23-01-01-2002</v>
          </cell>
          <cell r="B2238">
            <v>0</v>
          </cell>
          <cell r="C2238" t="str">
            <v xml:space="preserve">  TEXTILE SANE &amp; SERVICES</v>
          </cell>
          <cell r="D2238">
            <v>0</v>
          </cell>
          <cell r="E2238">
            <v>0</v>
          </cell>
          <cell r="F2238">
            <v>0</v>
          </cell>
          <cell r="G2238">
            <v>0</v>
          </cell>
        </row>
        <row r="2239">
          <cell r="A2239" t="str">
            <v>23-01-01-2003</v>
          </cell>
          <cell r="B2239">
            <v>0</v>
          </cell>
          <cell r="C2239" t="str">
            <v xml:space="preserve">  AZAM SONS</v>
          </cell>
          <cell r="D2239">
            <v>0</v>
          </cell>
          <cell r="E2239">
            <v>0</v>
          </cell>
          <cell r="F2239">
            <v>0</v>
          </cell>
          <cell r="G2239">
            <v>0</v>
          </cell>
        </row>
        <row r="2240">
          <cell r="A2240" t="str">
            <v>23-01-01-2004</v>
          </cell>
          <cell r="B2240">
            <v>0</v>
          </cell>
          <cell r="C2240" t="str">
            <v xml:space="preserve">  ARGOSY ENTERPRISES</v>
          </cell>
          <cell r="D2240">
            <v>0</v>
          </cell>
          <cell r="E2240">
            <v>0</v>
          </cell>
          <cell r="F2240">
            <v>0</v>
          </cell>
          <cell r="G2240">
            <v>0</v>
          </cell>
        </row>
        <row r="2241">
          <cell r="A2241" t="str">
            <v>23-01-01-2005</v>
          </cell>
          <cell r="B2241">
            <v>0</v>
          </cell>
          <cell r="C2241" t="str">
            <v xml:space="preserve">  SEVEN SEAS TRADER</v>
          </cell>
          <cell r="D2241">
            <v>0</v>
          </cell>
          <cell r="E2241">
            <v>0</v>
          </cell>
          <cell r="F2241">
            <v>0</v>
          </cell>
          <cell r="G2241">
            <v>0</v>
          </cell>
        </row>
        <row r="2242">
          <cell r="A2242" t="str">
            <v>23-01-01-2006</v>
          </cell>
          <cell r="B2242">
            <v>0</v>
          </cell>
          <cell r="C2242" t="str">
            <v xml:space="preserve">  PINTO TRADER</v>
          </cell>
          <cell r="D2242">
            <v>0</v>
          </cell>
          <cell r="E2242">
            <v>0</v>
          </cell>
          <cell r="F2242">
            <v>0</v>
          </cell>
          <cell r="G2242">
            <v>0</v>
          </cell>
        </row>
        <row r="2243">
          <cell r="A2243" t="str">
            <v>23-01-01-2007</v>
          </cell>
          <cell r="B2243">
            <v>0</v>
          </cell>
          <cell r="C2243" t="str">
            <v xml:space="preserve">  MOHAMMAD ASHRAF &amp; CO.</v>
          </cell>
          <cell r="D2243">
            <v>0</v>
          </cell>
          <cell r="E2243">
            <v>10550</v>
          </cell>
          <cell r="F2243">
            <v>0</v>
          </cell>
          <cell r="G2243">
            <v>0</v>
          </cell>
        </row>
        <row r="2244">
          <cell r="A2244" t="str">
            <v>23-01-01-2008</v>
          </cell>
          <cell r="B2244">
            <v>0</v>
          </cell>
          <cell r="C2244" t="str">
            <v xml:space="preserve">  RG.ENGINEERING</v>
          </cell>
          <cell r="D2244">
            <v>0</v>
          </cell>
          <cell r="E2244">
            <v>16245</v>
          </cell>
          <cell r="F2244">
            <v>0</v>
          </cell>
          <cell r="G2244">
            <v>0</v>
          </cell>
        </row>
        <row r="2245">
          <cell r="A2245" t="str">
            <v>23-01-01-2009</v>
          </cell>
          <cell r="B2245">
            <v>0</v>
          </cell>
          <cell r="C2245" t="str">
            <v xml:space="preserve">  NEW LIGHT CORPORATION</v>
          </cell>
          <cell r="D2245">
            <v>0</v>
          </cell>
          <cell r="E2245">
            <v>0</v>
          </cell>
          <cell r="F2245">
            <v>0</v>
          </cell>
          <cell r="G2245">
            <v>0</v>
          </cell>
        </row>
        <row r="2246">
          <cell r="A2246" t="str">
            <v>23-01-01-2010</v>
          </cell>
          <cell r="B2246">
            <v>0</v>
          </cell>
          <cell r="C2246" t="str">
            <v xml:space="preserve">  ALFAH ENTERPRISES</v>
          </cell>
          <cell r="D2246">
            <v>0</v>
          </cell>
          <cell r="E2246">
            <v>0</v>
          </cell>
          <cell r="F2246">
            <v>0</v>
          </cell>
          <cell r="G2246">
            <v>0</v>
          </cell>
        </row>
        <row r="2247">
          <cell r="A2247" t="str">
            <v>23-01-01-2011</v>
          </cell>
          <cell r="B2247">
            <v>0</v>
          </cell>
          <cell r="C2247" t="str">
            <v xml:space="preserve">  COSMOS LIGHT</v>
          </cell>
          <cell r="D2247">
            <v>0</v>
          </cell>
          <cell r="E2247">
            <v>0</v>
          </cell>
          <cell r="F2247">
            <v>0</v>
          </cell>
          <cell r="G2247">
            <v>0</v>
          </cell>
        </row>
        <row r="2248">
          <cell r="A2248" t="str">
            <v>23-01-01-2012</v>
          </cell>
          <cell r="B2248">
            <v>0</v>
          </cell>
          <cell r="C2248" t="str">
            <v xml:space="preserve">  SHEROZ ENTERPRISES</v>
          </cell>
          <cell r="D2248">
            <v>0</v>
          </cell>
          <cell r="E2248">
            <v>13390</v>
          </cell>
          <cell r="F2248">
            <v>0</v>
          </cell>
          <cell r="G2248">
            <v>0</v>
          </cell>
        </row>
        <row r="2249">
          <cell r="A2249" t="str">
            <v>23-01-01-2013</v>
          </cell>
          <cell r="B2249">
            <v>0</v>
          </cell>
          <cell r="C2249" t="str">
            <v xml:space="preserve">  S.A.TRADERS</v>
          </cell>
          <cell r="D2249">
            <v>0</v>
          </cell>
          <cell r="E2249">
            <v>0</v>
          </cell>
          <cell r="F2249">
            <v>0</v>
          </cell>
          <cell r="G2249">
            <v>0</v>
          </cell>
        </row>
        <row r="2250">
          <cell r="A2250" t="str">
            <v>23-01-01-2014</v>
          </cell>
          <cell r="B2250">
            <v>0</v>
          </cell>
          <cell r="C2250" t="str">
            <v xml:space="preserve">  YASIR TRADERS</v>
          </cell>
          <cell r="D2250">
            <v>0</v>
          </cell>
          <cell r="E2250">
            <v>158456</v>
          </cell>
          <cell r="F2250">
            <v>0</v>
          </cell>
          <cell r="G2250">
            <v>0</v>
          </cell>
        </row>
        <row r="2251">
          <cell r="A2251" t="str">
            <v>23-01-01-2015</v>
          </cell>
          <cell r="B2251">
            <v>0</v>
          </cell>
          <cell r="C2251" t="str">
            <v xml:space="preserve">  NASIR  BROTHERS</v>
          </cell>
          <cell r="D2251">
            <v>0</v>
          </cell>
          <cell r="E2251">
            <v>2460</v>
          </cell>
          <cell r="F2251">
            <v>0</v>
          </cell>
          <cell r="G2251">
            <v>0</v>
          </cell>
        </row>
        <row r="2252">
          <cell r="A2252" t="str">
            <v>23-01-01-2016</v>
          </cell>
          <cell r="B2252">
            <v>0</v>
          </cell>
          <cell r="C2252" t="str">
            <v xml:space="preserve">  G.M RAFIQ IRON MERCHANT</v>
          </cell>
          <cell r="D2252">
            <v>0</v>
          </cell>
          <cell r="E2252">
            <v>448101</v>
          </cell>
          <cell r="F2252">
            <v>0</v>
          </cell>
          <cell r="G2252">
            <v>0</v>
          </cell>
        </row>
        <row r="2253">
          <cell r="A2253" t="str">
            <v>23-01-01-2017</v>
          </cell>
          <cell r="B2253">
            <v>0</v>
          </cell>
          <cell r="C2253" t="str">
            <v xml:space="preserve">  FRIENDS CORPORATION</v>
          </cell>
          <cell r="D2253">
            <v>0</v>
          </cell>
          <cell r="E2253">
            <v>0</v>
          </cell>
          <cell r="F2253">
            <v>0</v>
          </cell>
          <cell r="G2253">
            <v>0</v>
          </cell>
        </row>
        <row r="2254">
          <cell r="A2254" t="str">
            <v>23-01-01-2018</v>
          </cell>
          <cell r="B2254">
            <v>0</v>
          </cell>
          <cell r="C2254" t="str">
            <v xml:space="preserve">  UNIVERSAL TRADING &amp; MARKETING</v>
          </cell>
          <cell r="D2254">
            <v>0</v>
          </cell>
          <cell r="E2254">
            <v>41882</v>
          </cell>
          <cell r="F2254">
            <v>0</v>
          </cell>
          <cell r="G2254">
            <v>0</v>
          </cell>
        </row>
        <row r="2255">
          <cell r="A2255" t="str">
            <v>23-01-01-2019</v>
          </cell>
          <cell r="B2255">
            <v>0</v>
          </cell>
          <cell r="C2255" t="str">
            <v xml:space="preserve">  BABAR PAINT INDUSTRIES (PVT) LIMITED</v>
          </cell>
          <cell r="D2255">
            <v>0</v>
          </cell>
          <cell r="E2255">
            <v>0</v>
          </cell>
          <cell r="F2255">
            <v>0</v>
          </cell>
          <cell r="G2255">
            <v>0</v>
          </cell>
        </row>
        <row r="2256">
          <cell r="A2256" t="str">
            <v>23-01-01-2020</v>
          </cell>
          <cell r="B2256">
            <v>0</v>
          </cell>
          <cell r="C2256" t="str">
            <v xml:space="preserve">  PRINCE ELECTRIC CO.</v>
          </cell>
          <cell r="D2256">
            <v>0</v>
          </cell>
          <cell r="E2256">
            <v>117300</v>
          </cell>
          <cell r="F2256">
            <v>0</v>
          </cell>
          <cell r="G2256">
            <v>0</v>
          </cell>
        </row>
        <row r="2257">
          <cell r="A2257" t="str">
            <v>23-01-01-2021</v>
          </cell>
          <cell r="B2257">
            <v>0</v>
          </cell>
          <cell r="C2257" t="str">
            <v xml:space="preserve">  SEAMAN'S STORES</v>
          </cell>
          <cell r="D2257">
            <v>0</v>
          </cell>
          <cell r="E2257">
            <v>24400</v>
          </cell>
          <cell r="F2257">
            <v>0</v>
          </cell>
          <cell r="G2257">
            <v>0</v>
          </cell>
        </row>
        <row r="2258">
          <cell r="A2258" t="str">
            <v>23-01-01-2022</v>
          </cell>
          <cell r="B2258">
            <v>0</v>
          </cell>
          <cell r="C2258" t="str">
            <v xml:space="preserve">  GRESHAM'S EASTERN (PVT) LTD</v>
          </cell>
          <cell r="D2258">
            <v>0</v>
          </cell>
          <cell r="E2258">
            <v>0</v>
          </cell>
          <cell r="F2258">
            <v>0</v>
          </cell>
          <cell r="G2258">
            <v>0</v>
          </cell>
        </row>
        <row r="2259">
          <cell r="A2259" t="str">
            <v>23-01-01-2023</v>
          </cell>
          <cell r="B2259">
            <v>0</v>
          </cell>
          <cell r="C2259" t="str">
            <v xml:space="preserve">  FERZAND ALI SHAH CLOTH MERCHANT</v>
          </cell>
          <cell r="D2259">
            <v>0</v>
          </cell>
          <cell r="E2259">
            <v>0</v>
          </cell>
          <cell r="F2259">
            <v>0</v>
          </cell>
          <cell r="G2259">
            <v>0</v>
          </cell>
        </row>
        <row r="2260">
          <cell r="A2260" t="str">
            <v>23-01-01-2024</v>
          </cell>
          <cell r="B2260">
            <v>0</v>
          </cell>
          <cell r="C2260" t="str">
            <v xml:space="preserve">  PREMIER ASSOCIATES</v>
          </cell>
          <cell r="D2260">
            <v>0</v>
          </cell>
          <cell r="E2260">
            <v>10910</v>
          </cell>
          <cell r="F2260">
            <v>0</v>
          </cell>
          <cell r="G2260">
            <v>0</v>
          </cell>
        </row>
        <row r="2261">
          <cell r="A2261" t="str">
            <v>23-01-01-2025</v>
          </cell>
          <cell r="B2261">
            <v>0</v>
          </cell>
          <cell r="C2261" t="str">
            <v xml:space="preserve">  KHAN BROTHERS</v>
          </cell>
          <cell r="D2261">
            <v>0</v>
          </cell>
          <cell r="E2261">
            <v>0</v>
          </cell>
          <cell r="F2261">
            <v>0</v>
          </cell>
          <cell r="G2261">
            <v>0</v>
          </cell>
        </row>
        <row r="2262">
          <cell r="A2262" t="str">
            <v>23-01-01-2026</v>
          </cell>
          <cell r="B2262">
            <v>0</v>
          </cell>
          <cell r="C2262" t="str">
            <v xml:space="preserve">  SUNNY ENTERPRISES</v>
          </cell>
          <cell r="D2262">
            <v>0</v>
          </cell>
          <cell r="E2262">
            <v>0</v>
          </cell>
          <cell r="F2262">
            <v>0</v>
          </cell>
          <cell r="G2262">
            <v>0</v>
          </cell>
        </row>
        <row r="2263">
          <cell r="A2263" t="str">
            <v>23-01-01-2027</v>
          </cell>
          <cell r="B2263">
            <v>0</v>
          </cell>
          <cell r="C2263" t="str">
            <v xml:space="preserve">  ALFA TECH</v>
          </cell>
          <cell r="D2263">
            <v>0</v>
          </cell>
          <cell r="E2263">
            <v>1200</v>
          </cell>
          <cell r="F2263">
            <v>0</v>
          </cell>
          <cell r="G2263">
            <v>0</v>
          </cell>
        </row>
        <row r="2264">
          <cell r="A2264" t="str">
            <v>23-01-01-2028</v>
          </cell>
          <cell r="B2264">
            <v>0</v>
          </cell>
          <cell r="C2264" t="str">
            <v xml:space="preserve">  AMEEJEE VALLEEJEE &amp; SONS (PVT) LTD.</v>
          </cell>
          <cell r="D2264">
            <v>0</v>
          </cell>
          <cell r="E2264">
            <v>0</v>
          </cell>
          <cell r="F2264">
            <v>0</v>
          </cell>
          <cell r="G2264">
            <v>0</v>
          </cell>
        </row>
        <row r="2265">
          <cell r="A2265" t="str">
            <v>23-01-01-2029</v>
          </cell>
          <cell r="B2265">
            <v>0</v>
          </cell>
          <cell r="C2265" t="str">
            <v xml:space="preserve">  NASIR BROTHERS</v>
          </cell>
          <cell r="D2265">
            <v>0</v>
          </cell>
          <cell r="E2265">
            <v>2500</v>
          </cell>
          <cell r="F2265">
            <v>0</v>
          </cell>
          <cell r="G2265">
            <v>0</v>
          </cell>
        </row>
        <row r="2266">
          <cell r="A2266" t="str">
            <v>23-01-01-2030</v>
          </cell>
          <cell r="B2266">
            <v>0</v>
          </cell>
          <cell r="C2266" t="str">
            <v xml:space="preserve">  POINT ONE</v>
          </cell>
          <cell r="D2266">
            <v>0</v>
          </cell>
          <cell r="E2266">
            <v>54048</v>
          </cell>
          <cell r="F2266">
            <v>0</v>
          </cell>
          <cell r="G2266">
            <v>0</v>
          </cell>
        </row>
        <row r="2267">
          <cell r="A2267" t="str">
            <v>23-01-01-2031</v>
          </cell>
          <cell r="B2267">
            <v>0</v>
          </cell>
          <cell r="C2267" t="str">
            <v xml:space="preserve">  AHMAD TRADERS</v>
          </cell>
          <cell r="D2267">
            <v>0</v>
          </cell>
          <cell r="E2267">
            <v>69646.5</v>
          </cell>
          <cell r="F2267">
            <v>0</v>
          </cell>
          <cell r="G2267">
            <v>0</v>
          </cell>
        </row>
        <row r="2268">
          <cell r="A2268" t="str">
            <v>23-01-01-2032</v>
          </cell>
          <cell r="B2268">
            <v>0</v>
          </cell>
          <cell r="C2268" t="str">
            <v xml:space="preserve">  ASHRAF INDUSTRIES</v>
          </cell>
          <cell r="D2268">
            <v>0</v>
          </cell>
          <cell r="E2268">
            <v>0</v>
          </cell>
          <cell r="F2268">
            <v>0</v>
          </cell>
          <cell r="G2268">
            <v>0</v>
          </cell>
        </row>
        <row r="2269">
          <cell r="A2269" t="str">
            <v>23-01-01-2033</v>
          </cell>
          <cell r="B2269">
            <v>0</v>
          </cell>
          <cell r="C2269" t="str">
            <v xml:space="preserve">  USAMA BELTING</v>
          </cell>
          <cell r="D2269">
            <v>0</v>
          </cell>
          <cell r="E2269">
            <v>2950</v>
          </cell>
          <cell r="F2269">
            <v>0</v>
          </cell>
          <cell r="G2269">
            <v>0</v>
          </cell>
        </row>
        <row r="2270">
          <cell r="A2270" t="str">
            <v>23-01-01-2034</v>
          </cell>
          <cell r="B2270">
            <v>0</v>
          </cell>
          <cell r="C2270" t="str">
            <v xml:space="preserve">  ALISON COMPONENTS</v>
          </cell>
          <cell r="D2270">
            <v>0</v>
          </cell>
          <cell r="E2270">
            <v>1100</v>
          </cell>
          <cell r="F2270">
            <v>0</v>
          </cell>
          <cell r="G2270">
            <v>0</v>
          </cell>
        </row>
        <row r="2271">
          <cell r="A2271" t="str">
            <v>23-01-01-2035</v>
          </cell>
          <cell r="B2271">
            <v>0</v>
          </cell>
          <cell r="C2271" t="str">
            <v xml:space="preserve">  SHERAZ CORPORATION</v>
          </cell>
          <cell r="D2271">
            <v>0</v>
          </cell>
          <cell r="E2271">
            <v>13733.87</v>
          </cell>
          <cell r="F2271">
            <v>0</v>
          </cell>
          <cell r="G2271">
            <v>0</v>
          </cell>
        </row>
        <row r="2272">
          <cell r="A2272" t="str">
            <v>23-01-01-2036</v>
          </cell>
          <cell r="B2272">
            <v>0</v>
          </cell>
          <cell r="C2272" t="str">
            <v xml:space="preserve">  ELECTRO SURGEONS</v>
          </cell>
          <cell r="D2272">
            <v>0</v>
          </cell>
          <cell r="E2272">
            <v>1500</v>
          </cell>
          <cell r="F2272">
            <v>0</v>
          </cell>
          <cell r="G2272">
            <v>0</v>
          </cell>
        </row>
        <row r="2273">
          <cell r="A2273" t="str">
            <v>23-01-01-2037</v>
          </cell>
          <cell r="B2273">
            <v>0</v>
          </cell>
          <cell r="C2273" t="str">
            <v xml:space="preserve">  MOHAMMAD YAQOOB &amp; CO.</v>
          </cell>
          <cell r="D2273">
            <v>0</v>
          </cell>
          <cell r="E2273">
            <v>340</v>
          </cell>
          <cell r="F2273">
            <v>0</v>
          </cell>
          <cell r="G2273">
            <v>0</v>
          </cell>
        </row>
        <row r="2274">
          <cell r="A2274" t="str">
            <v>23-01-01-2038</v>
          </cell>
          <cell r="B2274">
            <v>0</v>
          </cell>
          <cell r="C2274" t="str">
            <v xml:space="preserve">  SHAN DISTRIBUTORS</v>
          </cell>
          <cell r="D2274">
            <v>0</v>
          </cell>
          <cell r="E2274">
            <v>0</v>
          </cell>
          <cell r="F2274">
            <v>0</v>
          </cell>
          <cell r="G2274">
            <v>0</v>
          </cell>
        </row>
        <row r="2275">
          <cell r="A2275" t="str">
            <v>23-01-01-2039</v>
          </cell>
          <cell r="B2275">
            <v>0</v>
          </cell>
          <cell r="C2275" t="str">
            <v xml:space="preserve">  AFGHAN CARPET</v>
          </cell>
          <cell r="D2275">
            <v>0</v>
          </cell>
          <cell r="E2275">
            <v>0</v>
          </cell>
          <cell r="F2275">
            <v>0</v>
          </cell>
          <cell r="G2275">
            <v>0</v>
          </cell>
        </row>
        <row r="2276">
          <cell r="A2276" t="str">
            <v>23-01-01-2040</v>
          </cell>
          <cell r="B2276">
            <v>0</v>
          </cell>
          <cell r="C2276" t="str">
            <v xml:space="preserve">  CALTEX OIL (PAKISTAN) LIMITED - FURNAC</v>
          </cell>
          <cell r="D2276">
            <v>0</v>
          </cell>
          <cell r="E2276">
            <v>0</v>
          </cell>
          <cell r="F2276">
            <v>0</v>
          </cell>
          <cell r="G2276">
            <v>0</v>
          </cell>
        </row>
        <row r="2277">
          <cell r="A2277" t="str">
            <v>23-01-01-2041</v>
          </cell>
          <cell r="B2277">
            <v>0</v>
          </cell>
          <cell r="C2277" t="str">
            <v xml:space="preserve">  SHADMAN ENTERPRISES</v>
          </cell>
          <cell r="D2277">
            <v>0</v>
          </cell>
          <cell r="E2277">
            <v>5000</v>
          </cell>
          <cell r="F2277">
            <v>0</v>
          </cell>
          <cell r="G2277">
            <v>0</v>
          </cell>
        </row>
        <row r="2278">
          <cell r="A2278" t="str">
            <v>23-01-01-2042</v>
          </cell>
          <cell r="B2278">
            <v>0</v>
          </cell>
          <cell r="C2278" t="str">
            <v xml:space="preserve">  NELSONS GENERAL ORDER &amp; SUPPLIES</v>
          </cell>
          <cell r="D2278">
            <v>0</v>
          </cell>
          <cell r="E2278">
            <v>1311</v>
          </cell>
          <cell r="F2278">
            <v>0</v>
          </cell>
          <cell r="G2278">
            <v>0</v>
          </cell>
        </row>
        <row r="2279">
          <cell r="A2279" t="str">
            <v>23-01-01-2043</v>
          </cell>
          <cell r="B2279">
            <v>0</v>
          </cell>
          <cell r="C2279" t="str">
            <v xml:space="preserve">  S. REHMAN &amp; SONS</v>
          </cell>
          <cell r="D2279">
            <v>0</v>
          </cell>
          <cell r="E2279">
            <v>0</v>
          </cell>
          <cell r="F2279">
            <v>0</v>
          </cell>
          <cell r="G2279">
            <v>0</v>
          </cell>
        </row>
        <row r="2280">
          <cell r="A2280" t="str">
            <v>23-01-01-2044</v>
          </cell>
          <cell r="B2280">
            <v>0</v>
          </cell>
          <cell r="C2280" t="str">
            <v xml:space="preserve">  IMRAN STEEL</v>
          </cell>
          <cell r="D2280">
            <v>0</v>
          </cell>
          <cell r="E2280">
            <v>0</v>
          </cell>
          <cell r="F2280">
            <v>0</v>
          </cell>
          <cell r="G2280">
            <v>0</v>
          </cell>
        </row>
        <row r="2281">
          <cell r="A2281" t="str">
            <v>23-02</v>
          </cell>
          <cell r="B2281">
            <v>0</v>
          </cell>
          <cell r="C2281" t="str">
            <v>**AGAINST SUPPLY OF RAW MATERIAL</v>
          </cell>
          <cell r="D2281">
            <v>0</v>
          </cell>
          <cell r="E2281">
            <v>5780165.29</v>
          </cell>
          <cell r="F2281">
            <v>37343394.640000001</v>
          </cell>
          <cell r="G2281">
            <v>43123559.93</v>
          </cell>
        </row>
        <row r="2282">
          <cell r="A2282" t="str">
            <v>23-02-01</v>
          </cell>
          <cell r="B2282">
            <v>43123552</v>
          </cell>
          <cell r="C2282" t="str">
            <v>***LOCAL MAN MADE FIBRE</v>
          </cell>
          <cell r="D2282">
            <v>6264265.96</v>
          </cell>
          <cell r="E2282">
            <v>0</v>
          </cell>
          <cell r="F2282">
            <v>28719174.399999999</v>
          </cell>
          <cell r="G2282">
            <v>22454908.440000001</v>
          </cell>
        </row>
        <row r="2283">
          <cell r="A2283" t="str">
            <v>23-02-01-0001</v>
          </cell>
          <cell r="B2283">
            <v>22454896</v>
          </cell>
          <cell r="C2283" t="str">
            <v xml:space="preserve">  PAKISTAN SYNTHETIC LIMITED</v>
          </cell>
          <cell r="D2283">
            <v>0</v>
          </cell>
          <cell r="E2283">
            <v>0</v>
          </cell>
          <cell r="F2283">
            <v>0</v>
          </cell>
          <cell r="G2283">
            <v>0</v>
          </cell>
        </row>
        <row r="2284">
          <cell r="A2284" t="str">
            <v>23-02-01-0002</v>
          </cell>
          <cell r="B2284">
            <v>0</v>
          </cell>
          <cell r="C2284" t="str">
            <v xml:space="preserve">  SABRIA ENTERPRISES</v>
          </cell>
          <cell r="D2284">
            <v>0</v>
          </cell>
          <cell r="E2284">
            <v>0</v>
          </cell>
          <cell r="F2284">
            <v>0</v>
          </cell>
          <cell r="G2284">
            <v>0</v>
          </cell>
        </row>
        <row r="2285">
          <cell r="A2285" t="str">
            <v>23-02-01-0003</v>
          </cell>
          <cell r="B2285">
            <v>0</v>
          </cell>
          <cell r="C2285" t="str">
            <v xml:space="preserve">  YOUSAF WEAVING MILLS LTD</v>
          </cell>
          <cell r="D2285">
            <v>0</v>
          </cell>
          <cell r="E2285">
            <v>0</v>
          </cell>
          <cell r="F2285">
            <v>0</v>
          </cell>
          <cell r="G2285">
            <v>0</v>
          </cell>
        </row>
        <row r="2286">
          <cell r="A2286" t="str">
            <v>23-02-01-0004</v>
          </cell>
          <cell r="B2286">
            <v>0</v>
          </cell>
          <cell r="C2286" t="str">
            <v xml:space="preserve">  QAZI ENTERPRISES IMPORT AND EXPORT</v>
          </cell>
          <cell r="D2286">
            <v>0</v>
          </cell>
          <cell r="E2286">
            <v>0</v>
          </cell>
          <cell r="F2286">
            <v>0</v>
          </cell>
          <cell r="G2286">
            <v>0</v>
          </cell>
        </row>
        <row r="2287">
          <cell r="A2287" t="str">
            <v>23-02-01-0005</v>
          </cell>
          <cell r="B2287">
            <v>0</v>
          </cell>
          <cell r="C2287" t="str">
            <v xml:space="preserve">  DEWAN SALMAN FIBRE LTD</v>
          </cell>
          <cell r="D2287">
            <v>19918974.399999999</v>
          </cell>
          <cell r="E2287">
            <v>0</v>
          </cell>
          <cell r="F2287">
            <v>0</v>
          </cell>
          <cell r="G2287">
            <v>0</v>
          </cell>
        </row>
        <row r="2288">
          <cell r="A2288" t="str">
            <v>23-02-01-0006</v>
          </cell>
          <cell r="B2288">
            <v>0</v>
          </cell>
          <cell r="C2288" t="str">
            <v xml:space="preserve">  BILAL SPINNING MILLS LIMITED</v>
          </cell>
          <cell r="D2288">
            <v>0</v>
          </cell>
          <cell r="E2288">
            <v>0</v>
          </cell>
          <cell r="F2288">
            <v>0</v>
          </cell>
          <cell r="G2288">
            <v>0</v>
          </cell>
        </row>
        <row r="2289">
          <cell r="A2289" t="str">
            <v>23-02-01-0007</v>
          </cell>
          <cell r="B2289">
            <v>0</v>
          </cell>
          <cell r="C2289" t="str">
            <v xml:space="preserve">  SUNRAYS TEXTILE MILLS LIMITED</v>
          </cell>
          <cell r="D2289">
            <v>0</v>
          </cell>
          <cell r="E2289">
            <v>0</v>
          </cell>
          <cell r="F2289">
            <v>0</v>
          </cell>
          <cell r="G2289">
            <v>0</v>
          </cell>
        </row>
        <row r="2290">
          <cell r="A2290" t="str">
            <v>23-02-01-0008</v>
          </cell>
          <cell r="B2290">
            <v>0</v>
          </cell>
          <cell r="C2290" t="str">
            <v xml:space="preserve">  DEWAN KHALID TEXTILE MILLS LTD</v>
          </cell>
          <cell r="D2290">
            <v>0</v>
          </cell>
          <cell r="E2290">
            <v>0</v>
          </cell>
          <cell r="F2290">
            <v>0</v>
          </cell>
          <cell r="G2290">
            <v>0</v>
          </cell>
        </row>
        <row r="2291">
          <cell r="A2291" t="str">
            <v>23-02-01-0009</v>
          </cell>
          <cell r="B2291">
            <v>0</v>
          </cell>
          <cell r="C2291" t="str">
            <v xml:space="preserve">  FIRST IBRAHIM MODARABA</v>
          </cell>
          <cell r="D2291">
            <v>0</v>
          </cell>
          <cell r="E2291">
            <v>0</v>
          </cell>
          <cell r="F2291">
            <v>0</v>
          </cell>
          <cell r="G2291">
            <v>0</v>
          </cell>
        </row>
        <row r="2292">
          <cell r="A2292" t="str">
            <v>23-02-01-0010</v>
          </cell>
          <cell r="B2292">
            <v>0</v>
          </cell>
          <cell r="C2292" t="str">
            <v xml:space="preserve">  FALAH TRADING AGENCY</v>
          </cell>
          <cell r="D2292">
            <v>0</v>
          </cell>
          <cell r="E2292">
            <v>0</v>
          </cell>
          <cell r="F2292">
            <v>0</v>
          </cell>
          <cell r="G2292">
            <v>0</v>
          </cell>
        </row>
        <row r="2293">
          <cell r="A2293" t="str">
            <v>23-02-01-0011</v>
          </cell>
          <cell r="B2293">
            <v>0</v>
          </cell>
          <cell r="C2293" t="str">
            <v xml:space="preserve">  INDUS DYING &amp; MANUFACTURING CO. LTD</v>
          </cell>
          <cell r="D2293">
            <v>0</v>
          </cell>
          <cell r="E2293">
            <v>0</v>
          </cell>
          <cell r="F2293">
            <v>0</v>
          </cell>
          <cell r="G2293">
            <v>0</v>
          </cell>
        </row>
        <row r="2294">
          <cell r="A2294" t="str">
            <v>23-02-01-0012</v>
          </cell>
          <cell r="B2294">
            <v>0</v>
          </cell>
          <cell r="C2294" t="str">
            <v xml:space="preserve">  GRANADA TEXTILE MILLS LIMITED</v>
          </cell>
          <cell r="D2294">
            <v>0</v>
          </cell>
          <cell r="E2294">
            <v>0</v>
          </cell>
          <cell r="F2294">
            <v>0</v>
          </cell>
          <cell r="G2294">
            <v>0</v>
          </cell>
        </row>
        <row r="2295">
          <cell r="A2295" t="str">
            <v>23-02-01-0013</v>
          </cell>
          <cell r="B2295">
            <v>0</v>
          </cell>
          <cell r="C2295" t="str">
            <v xml:space="preserve">  DHAN FIBRES LIMITED</v>
          </cell>
          <cell r="D2295">
            <v>0</v>
          </cell>
          <cell r="E2295">
            <v>0</v>
          </cell>
          <cell r="F2295">
            <v>0</v>
          </cell>
          <cell r="G2295">
            <v>0</v>
          </cell>
        </row>
        <row r="2296">
          <cell r="A2296" t="str">
            <v>23-02-01-0014</v>
          </cell>
          <cell r="B2296">
            <v>0</v>
          </cell>
          <cell r="C2296" t="str">
            <v xml:space="preserve">  OLYMPIA SPINNING AND WEAVING MILLS LTD</v>
          </cell>
          <cell r="D2296">
            <v>0</v>
          </cell>
          <cell r="E2296">
            <v>0</v>
          </cell>
          <cell r="F2296">
            <v>0</v>
          </cell>
          <cell r="G2296">
            <v>0</v>
          </cell>
        </row>
        <row r="2297">
          <cell r="A2297" t="str">
            <v>23-02-01-0015</v>
          </cell>
          <cell r="B2297">
            <v>0</v>
          </cell>
          <cell r="C2297" t="str">
            <v xml:space="preserve">  DUPONT PAKISTAN OPERATIONS (PVT) LTD</v>
          </cell>
          <cell r="D2297">
            <v>0</v>
          </cell>
          <cell r="E2297">
            <v>21306016.440000001</v>
          </cell>
          <cell r="F2297">
            <v>0</v>
          </cell>
          <cell r="G2297">
            <v>0</v>
          </cell>
        </row>
        <row r="2298">
          <cell r="A2298" t="str">
            <v>23-02-01-0016</v>
          </cell>
          <cell r="B2298">
            <v>0</v>
          </cell>
          <cell r="C2298" t="str">
            <v xml:space="preserve">  TAYMUR SPINNING MILLS LIMITED</v>
          </cell>
          <cell r="D2298">
            <v>0</v>
          </cell>
          <cell r="E2298">
            <v>0</v>
          </cell>
          <cell r="F2298">
            <v>0</v>
          </cell>
          <cell r="G2298">
            <v>0</v>
          </cell>
        </row>
        <row r="2299">
          <cell r="A2299" t="str">
            <v>23-02-01-0017</v>
          </cell>
          <cell r="B2299">
            <v>0</v>
          </cell>
          <cell r="C2299" t="str">
            <v xml:space="preserve">  BHANERO TEXTILE MILLS LTD UNIT # 2</v>
          </cell>
          <cell r="D2299">
            <v>0</v>
          </cell>
          <cell r="E2299">
            <v>0</v>
          </cell>
          <cell r="F2299">
            <v>0</v>
          </cell>
          <cell r="G2299">
            <v>0</v>
          </cell>
        </row>
        <row r="2300">
          <cell r="A2300" t="str">
            <v>23-02-01-0018</v>
          </cell>
          <cell r="B2300">
            <v>0</v>
          </cell>
          <cell r="C2300" t="str">
            <v xml:space="preserve">  ABC TRADING COMPANY</v>
          </cell>
          <cell r="D2300">
            <v>0</v>
          </cell>
          <cell r="E2300">
            <v>0</v>
          </cell>
          <cell r="F2300">
            <v>0</v>
          </cell>
          <cell r="G2300">
            <v>0</v>
          </cell>
        </row>
        <row r="2301">
          <cell r="A2301" t="str">
            <v>23-02-01-0019</v>
          </cell>
          <cell r="B2301">
            <v>0</v>
          </cell>
          <cell r="C2301" t="str">
            <v xml:space="preserve">  ROYAL CORPORATION</v>
          </cell>
          <cell r="D2301">
            <v>0</v>
          </cell>
          <cell r="E2301">
            <v>1024650</v>
          </cell>
          <cell r="F2301">
            <v>0</v>
          </cell>
          <cell r="G2301">
            <v>0</v>
          </cell>
        </row>
        <row r="2302">
          <cell r="A2302" t="str">
            <v>23-02-01-0020</v>
          </cell>
          <cell r="B2302">
            <v>0</v>
          </cell>
          <cell r="C2302" t="str">
            <v xml:space="preserve">  N.P. SPINNING MILLS LTD</v>
          </cell>
          <cell r="D2302">
            <v>0</v>
          </cell>
          <cell r="E2302">
            <v>0</v>
          </cell>
          <cell r="F2302">
            <v>0</v>
          </cell>
          <cell r="G2302">
            <v>0</v>
          </cell>
        </row>
        <row r="2303">
          <cell r="A2303" t="str">
            <v>23-02-01-0021</v>
          </cell>
          <cell r="B2303">
            <v>0</v>
          </cell>
          <cell r="C2303" t="str">
            <v xml:space="preserve">  EJAZ SPINNING MILLS LIMITED</v>
          </cell>
          <cell r="D2303">
            <v>0</v>
          </cell>
          <cell r="E2303">
            <v>0</v>
          </cell>
          <cell r="F2303">
            <v>0</v>
          </cell>
          <cell r="G2303">
            <v>0</v>
          </cell>
        </row>
        <row r="2304">
          <cell r="A2304" t="str">
            <v>23-02-01-0022</v>
          </cell>
          <cell r="B2304">
            <v>0</v>
          </cell>
          <cell r="C2304" t="str">
            <v xml:space="preserve">  IBRAHIM FIBRES LTD</v>
          </cell>
          <cell r="D2304">
            <v>8800200</v>
          </cell>
          <cell r="E2304">
            <v>0</v>
          </cell>
          <cell r="F2304">
            <v>0</v>
          </cell>
          <cell r="G2304">
            <v>0</v>
          </cell>
        </row>
        <row r="2305">
          <cell r="A2305" t="str">
            <v>23-02-01-0023</v>
          </cell>
          <cell r="B2305">
            <v>0</v>
          </cell>
          <cell r="C2305" t="str">
            <v xml:space="preserve">  PREMIUM TEXTILE MILLS LIMITED</v>
          </cell>
          <cell r="D2305">
            <v>0</v>
          </cell>
          <cell r="E2305">
            <v>0</v>
          </cell>
          <cell r="F2305">
            <v>0</v>
          </cell>
          <cell r="G2305">
            <v>0</v>
          </cell>
        </row>
        <row r="2306">
          <cell r="A2306" t="str">
            <v>23-02-01-0024</v>
          </cell>
          <cell r="B2306">
            <v>0</v>
          </cell>
          <cell r="C2306" t="str">
            <v xml:space="preserve">  AHMED FINE TEXTILE MILLS LIMITED</v>
          </cell>
          <cell r="D2306">
            <v>0</v>
          </cell>
          <cell r="E2306">
            <v>0</v>
          </cell>
          <cell r="F2306">
            <v>0</v>
          </cell>
          <cell r="G2306">
            <v>0</v>
          </cell>
        </row>
        <row r="2307">
          <cell r="A2307" t="str">
            <v>23-02-01-0025</v>
          </cell>
          <cell r="B2307">
            <v>0</v>
          </cell>
          <cell r="C2307" t="str">
            <v xml:space="preserve">  FRIENDSHIP TEXTILE MILLS (PVT) LTD</v>
          </cell>
          <cell r="D2307">
            <v>0</v>
          </cell>
          <cell r="E2307">
            <v>0</v>
          </cell>
          <cell r="F2307">
            <v>0</v>
          </cell>
          <cell r="G2307">
            <v>0</v>
          </cell>
        </row>
        <row r="2308">
          <cell r="A2308" t="str">
            <v>23-02-01-0026</v>
          </cell>
          <cell r="B2308">
            <v>0</v>
          </cell>
          <cell r="C2308" t="str">
            <v xml:space="preserve">  ICI PAKISTAN LIMITED</v>
          </cell>
          <cell r="D2308">
            <v>0</v>
          </cell>
          <cell r="E2308">
            <v>0</v>
          </cell>
          <cell r="F2308">
            <v>0</v>
          </cell>
          <cell r="G2308">
            <v>0</v>
          </cell>
        </row>
        <row r="2309">
          <cell r="A2309" t="str">
            <v>23-02-01-0027</v>
          </cell>
          <cell r="B2309">
            <v>0</v>
          </cell>
          <cell r="C2309" t="str">
            <v xml:space="preserve">  AL-ZULEKHA ENTERPRISES</v>
          </cell>
          <cell r="D2309">
            <v>0</v>
          </cell>
          <cell r="E2309">
            <v>0</v>
          </cell>
          <cell r="F2309">
            <v>0</v>
          </cell>
          <cell r="G2309">
            <v>0</v>
          </cell>
        </row>
        <row r="2310">
          <cell r="A2310" t="str">
            <v>23-02-01-0028</v>
          </cell>
          <cell r="B2310">
            <v>0</v>
          </cell>
          <cell r="C2310" t="str">
            <v xml:space="preserve">  ROYAL TEXTILE MILLS LIMITED</v>
          </cell>
          <cell r="D2310">
            <v>0</v>
          </cell>
          <cell r="E2310">
            <v>124242</v>
          </cell>
          <cell r="F2310">
            <v>0</v>
          </cell>
          <cell r="G2310">
            <v>0</v>
          </cell>
        </row>
        <row r="2311">
          <cell r="A2311" t="str">
            <v>23-02-02</v>
          </cell>
          <cell r="B2311">
            <v>0</v>
          </cell>
          <cell r="C2311" t="str">
            <v>***LOCAL COTTON</v>
          </cell>
          <cell r="D2311">
            <v>2345067.14</v>
          </cell>
          <cell r="E2311">
            <v>0</v>
          </cell>
          <cell r="F2311">
            <v>8624220.2400000002</v>
          </cell>
          <cell r="G2311">
            <v>6279153.0999999996</v>
          </cell>
        </row>
        <row r="2312">
          <cell r="A2312" t="str">
            <v>23-02-02-0001</v>
          </cell>
          <cell r="B2312">
            <v>6279152</v>
          </cell>
          <cell r="C2312" t="str">
            <v xml:space="preserve">  SUCHAL COTTON G/P &amp; OIL MILL</v>
          </cell>
          <cell r="D2312">
            <v>0</v>
          </cell>
          <cell r="E2312">
            <v>0</v>
          </cell>
          <cell r="F2312">
            <v>0</v>
          </cell>
          <cell r="G2312">
            <v>0</v>
          </cell>
        </row>
        <row r="2313">
          <cell r="A2313" t="str">
            <v>23-02-02-0002</v>
          </cell>
          <cell r="B2313">
            <v>0</v>
          </cell>
          <cell r="C2313" t="str">
            <v xml:space="preserve">  BABU COTTON GINNERS</v>
          </cell>
          <cell r="D2313">
            <v>0</v>
          </cell>
          <cell r="E2313">
            <v>0</v>
          </cell>
          <cell r="F2313">
            <v>0</v>
          </cell>
          <cell r="G2313">
            <v>0</v>
          </cell>
        </row>
        <row r="2314">
          <cell r="A2314" t="str">
            <v>23-02-02-0003</v>
          </cell>
          <cell r="B2314">
            <v>0</v>
          </cell>
          <cell r="C2314" t="str">
            <v xml:space="preserve">  AL RAZZAQ COTTON GINNERS</v>
          </cell>
          <cell r="D2314">
            <v>0</v>
          </cell>
          <cell r="E2314">
            <v>0</v>
          </cell>
          <cell r="F2314">
            <v>0</v>
          </cell>
          <cell r="G2314">
            <v>0</v>
          </cell>
        </row>
        <row r="2315">
          <cell r="A2315" t="str">
            <v>23-02-02-0004</v>
          </cell>
          <cell r="B2315">
            <v>0</v>
          </cell>
          <cell r="C2315" t="str">
            <v xml:space="preserve">  NAYAB COTTON GINNERS</v>
          </cell>
          <cell r="D2315">
            <v>0</v>
          </cell>
          <cell r="E2315">
            <v>0</v>
          </cell>
          <cell r="F2315">
            <v>0</v>
          </cell>
          <cell r="G2315">
            <v>0</v>
          </cell>
        </row>
        <row r="2316">
          <cell r="A2316" t="str">
            <v>23-02-02-0005</v>
          </cell>
          <cell r="B2316">
            <v>0</v>
          </cell>
          <cell r="C2316" t="str">
            <v xml:space="preserve">  DOST MOHAMMAD INDUSTRIES OKARA</v>
          </cell>
          <cell r="D2316">
            <v>0</v>
          </cell>
          <cell r="E2316">
            <v>0</v>
          </cell>
          <cell r="F2316">
            <v>0</v>
          </cell>
          <cell r="G2316">
            <v>0</v>
          </cell>
        </row>
        <row r="2317">
          <cell r="A2317" t="str">
            <v>23-02-02-0006</v>
          </cell>
          <cell r="B2317">
            <v>0</v>
          </cell>
          <cell r="C2317" t="str">
            <v xml:space="preserve">  BISMILLAH COTTON GINNERS.</v>
          </cell>
          <cell r="D2317">
            <v>0</v>
          </cell>
          <cell r="E2317">
            <v>0</v>
          </cell>
          <cell r="F2317">
            <v>0</v>
          </cell>
          <cell r="G2317">
            <v>0</v>
          </cell>
        </row>
        <row r="2318">
          <cell r="A2318" t="str">
            <v>23-02-02-0007</v>
          </cell>
          <cell r="B2318">
            <v>0</v>
          </cell>
          <cell r="C2318" t="str">
            <v xml:space="preserve">  MALIK SAIFULLAH &amp; BROTHERS.  BHAWALNAG</v>
          </cell>
          <cell r="D2318">
            <v>0</v>
          </cell>
          <cell r="E2318">
            <v>0</v>
          </cell>
          <cell r="F2318">
            <v>0</v>
          </cell>
          <cell r="G2318">
            <v>0</v>
          </cell>
        </row>
        <row r="2319">
          <cell r="A2319" t="str">
            <v>23-02-02-0008</v>
          </cell>
          <cell r="B2319">
            <v>0</v>
          </cell>
          <cell r="C2319" t="str">
            <v xml:space="preserve">  ARAIN MODEL COTTON GINNING (PVT) LTD.</v>
          </cell>
          <cell r="D2319">
            <v>0</v>
          </cell>
          <cell r="E2319">
            <v>0</v>
          </cell>
          <cell r="F2319">
            <v>0</v>
          </cell>
          <cell r="G2319">
            <v>0</v>
          </cell>
        </row>
        <row r="2320">
          <cell r="A2320" t="str">
            <v>23-02-02-0009</v>
          </cell>
          <cell r="B2320">
            <v>0</v>
          </cell>
          <cell r="C2320" t="str">
            <v xml:space="preserve">  BISMILLAH COTTON INDUSTIRES.</v>
          </cell>
          <cell r="D2320">
            <v>0</v>
          </cell>
          <cell r="E2320">
            <v>0</v>
          </cell>
          <cell r="F2320">
            <v>0</v>
          </cell>
          <cell r="G2320">
            <v>0</v>
          </cell>
        </row>
        <row r="2321">
          <cell r="A2321" t="str">
            <v>23-02-02-0010</v>
          </cell>
          <cell r="B2321">
            <v>0</v>
          </cell>
          <cell r="C2321" t="str">
            <v xml:space="preserve">  ABBASI &amp; LODHI COTTON FACTORY BAHAWALP</v>
          </cell>
          <cell r="D2321">
            <v>0</v>
          </cell>
          <cell r="E2321">
            <v>0</v>
          </cell>
          <cell r="F2321">
            <v>0</v>
          </cell>
          <cell r="G2321">
            <v>0</v>
          </cell>
        </row>
        <row r="2322">
          <cell r="A2322" t="str">
            <v>23-02-02-0011</v>
          </cell>
          <cell r="B2322">
            <v>0</v>
          </cell>
          <cell r="C2322" t="str">
            <v xml:space="preserve">  HAJI DOSSA LIMITED SAHIWAL.</v>
          </cell>
          <cell r="D2322">
            <v>0</v>
          </cell>
          <cell r="E2322">
            <v>0</v>
          </cell>
          <cell r="F2322">
            <v>0</v>
          </cell>
          <cell r="G2322">
            <v>0</v>
          </cell>
        </row>
        <row r="2323">
          <cell r="A2323" t="str">
            <v>23-02-02-0012</v>
          </cell>
          <cell r="B2323">
            <v>0</v>
          </cell>
          <cell r="C2323" t="str">
            <v xml:space="preserve">  ROBERTS COTTON ASSOCIATES LTD SADIQABA</v>
          </cell>
          <cell r="D2323">
            <v>0</v>
          </cell>
          <cell r="E2323">
            <v>0</v>
          </cell>
          <cell r="F2323">
            <v>0</v>
          </cell>
          <cell r="G2323">
            <v>0</v>
          </cell>
        </row>
        <row r="2324">
          <cell r="A2324" t="str">
            <v>23-02-02-0013</v>
          </cell>
          <cell r="B2324">
            <v>0</v>
          </cell>
          <cell r="C2324" t="str">
            <v xml:space="preserve">  JATOI INDUSTRIES</v>
          </cell>
          <cell r="D2324">
            <v>0</v>
          </cell>
          <cell r="E2324">
            <v>0</v>
          </cell>
          <cell r="F2324">
            <v>0</v>
          </cell>
          <cell r="G2324">
            <v>0</v>
          </cell>
        </row>
        <row r="2325">
          <cell r="A2325" t="str">
            <v>23-02-02-0014</v>
          </cell>
          <cell r="B2325">
            <v>0</v>
          </cell>
          <cell r="C2325" t="str">
            <v xml:space="preserve">  MUZAMMIL COTTON INDUSTRIES (PVT) LIMIT</v>
          </cell>
          <cell r="D2325">
            <v>0</v>
          </cell>
          <cell r="E2325">
            <v>0</v>
          </cell>
          <cell r="F2325">
            <v>0</v>
          </cell>
          <cell r="G2325">
            <v>0</v>
          </cell>
        </row>
        <row r="2326">
          <cell r="A2326" t="str">
            <v>23-02-02-0015</v>
          </cell>
          <cell r="B2326">
            <v>0</v>
          </cell>
          <cell r="C2326" t="str">
            <v xml:space="preserve">  AL-MEHAR COTTON GINNING PRESSING &amp; OIL</v>
          </cell>
          <cell r="D2326">
            <v>0</v>
          </cell>
          <cell r="E2326">
            <v>0</v>
          </cell>
          <cell r="F2326">
            <v>0</v>
          </cell>
          <cell r="G2326">
            <v>0</v>
          </cell>
        </row>
        <row r="2327">
          <cell r="A2327" t="str">
            <v>23-02-02-0016</v>
          </cell>
          <cell r="B2327">
            <v>0</v>
          </cell>
          <cell r="C2327" t="str">
            <v xml:space="preserve">  MIAN &amp; COMPANY</v>
          </cell>
          <cell r="D2327">
            <v>0</v>
          </cell>
          <cell r="E2327">
            <v>0</v>
          </cell>
          <cell r="F2327">
            <v>0</v>
          </cell>
          <cell r="G2327">
            <v>0</v>
          </cell>
        </row>
        <row r="2328">
          <cell r="A2328" t="str">
            <v>23-02-02-0017</v>
          </cell>
          <cell r="B2328">
            <v>0</v>
          </cell>
          <cell r="C2328" t="str">
            <v xml:space="preserve">  WHITE ROSE COTTON IND.(PVT) LTD.</v>
          </cell>
          <cell r="D2328">
            <v>0</v>
          </cell>
          <cell r="E2328">
            <v>0</v>
          </cell>
          <cell r="F2328">
            <v>0</v>
          </cell>
          <cell r="G2328">
            <v>0</v>
          </cell>
        </row>
        <row r="2329">
          <cell r="A2329" t="str">
            <v>23-02-02-0018</v>
          </cell>
          <cell r="B2329">
            <v>0</v>
          </cell>
          <cell r="C2329" t="str">
            <v xml:space="preserve">  PAK MAKKAH INDUSTRIES</v>
          </cell>
          <cell r="D2329">
            <v>0</v>
          </cell>
          <cell r="E2329">
            <v>0</v>
          </cell>
          <cell r="F2329">
            <v>0</v>
          </cell>
          <cell r="G2329">
            <v>0</v>
          </cell>
        </row>
        <row r="2330">
          <cell r="A2330" t="str">
            <v>23-02-02-0019</v>
          </cell>
          <cell r="B2330">
            <v>0</v>
          </cell>
          <cell r="C2330" t="str">
            <v xml:space="preserve">  KHAN GINNERIES (PVT) LIMITED.</v>
          </cell>
          <cell r="D2330">
            <v>0</v>
          </cell>
          <cell r="E2330">
            <v>0</v>
          </cell>
          <cell r="F2330">
            <v>0</v>
          </cell>
          <cell r="G2330">
            <v>0</v>
          </cell>
        </row>
        <row r="2331">
          <cell r="A2331" t="str">
            <v>23-02-02-0020</v>
          </cell>
          <cell r="B2331">
            <v>0</v>
          </cell>
          <cell r="C2331" t="str">
            <v xml:space="preserve">  SHEIKH NIZAM DIN &amp; COMPANY.</v>
          </cell>
          <cell r="D2331">
            <v>0</v>
          </cell>
          <cell r="E2331">
            <v>0</v>
          </cell>
          <cell r="F2331">
            <v>0</v>
          </cell>
          <cell r="G2331">
            <v>0</v>
          </cell>
        </row>
        <row r="2332">
          <cell r="A2332" t="str">
            <v>23-02-02-0021</v>
          </cell>
          <cell r="B2332">
            <v>0</v>
          </cell>
          <cell r="C2332" t="str">
            <v xml:space="preserve">  BALAGAMWALA COTTON GINNING &amp; PRESING F</v>
          </cell>
          <cell r="D2332">
            <v>0</v>
          </cell>
          <cell r="E2332">
            <v>0</v>
          </cell>
          <cell r="F2332">
            <v>0</v>
          </cell>
          <cell r="G2332">
            <v>0</v>
          </cell>
        </row>
        <row r="2333">
          <cell r="A2333" t="str">
            <v>23-02-02-0022</v>
          </cell>
          <cell r="B2333">
            <v>0</v>
          </cell>
          <cell r="C2333" t="str">
            <v xml:space="preserve">  ABU BAKAR COTTON GINNERS</v>
          </cell>
          <cell r="D2333">
            <v>0</v>
          </cell>
          <cell r="E2333">
            <v>0</v>
          </cell>
          <cell r="F2333">
            <v>0</v>
          </cell>
          <cell r="G2333">
            <v>0</v>
          </cell>
        </row>
        <row r="2334">
          <cell r="A2334" t="str">
            <v>23-02-02-0023</v>
          </cell>
          <cell r="B2334">
            <v>0</v>
          </cell>
          <cell r="C2334" t="str">
            <v xml:space="preserve">  UNION COTTON GINNING &amp; PRESSING FACTOR</v>
          </cell>
          <cell r="D2334">
            <v>0</v>
          </cell>
          <cell r="E2334">
            <v>0</v>
          </cell>
          <cell r="F2334">
            <v>0</v>
          </cell>
          <cell r="G2334">
            <v>0</v>
          </cell>
        </row>
        <row r="2335">
          <cell r="A2335" t="str">
            <v>23-02-02-0024</v>
          </cell>
          <cell r="B2335">
            <v>0</v>
          </cell>
          <cell r="C2335" t="str">
            <v xml:space="preserve">  SHEIKH INDUSTRIES GINNING PRESSING FAC</v>
          </cell>
          <cell r="D2335">
            <v>0</v>
          </cell>
          <cell r="E2335">
            <v>0</v>
          </cell>
          <cell r="F2335">
            <v>0</v>
          </cell>
          <cell r="G2335">
            <v>0</v>
          </cell>
        </row>
        <row r="2336">
          <cell r="A2336" t="str">
            <v>23-02-02-0025</v>
          </cell>
          <cell r="B2336">
            <v>0</v>
          </cell>
          <cell r="C2336" t="str">
            <v xml:space="preserve">  ZAHID SADIQ COTTON GINNEING</v>
          </cell>
          <cell r="D2336">
            <v>0</v>
          </cell>
          <cell r="E2336">
            <v>0</v>
          </cell>
          <cell r="F2336">
            <v>0</v>
          </cell>
          <cell r="G2336">
            <v>0</v>
          </cell>
        </row>
        <row r="2337">
          <cell r="A2337" t="str">
            <v>23-02-02-0026</v>
          </cell>
          <cell r="B2337">
            <v>0</v>
          </cell>
          <cell r="C2337" t="str">
            <v xml:space="preserve">  CROWN COTTON INDUSTRIES</v>
          </cell>
          <cell r="D2337">
            <v>0</v>
          </cell>
          <cell r="E2337">
            <v>0</v>
          </cell>
          <cell r="F2337">
            <v>0</v>
          </cell>
          <cell r="G2337">
            <v>0</v>
          </cell>
        </row>
        <row r="2338">
          <cell r="A2338" t="str">
            <v>23-02-02-0027</v>
          </cell>
          <cell r="B2338">
            <v>0</v>
          </cell>
          <cell r="C2338" t="str">
            <v xml:space="preserve">  SATTARI COTTON GINNING FACTORY</v>
          </cell>
          <cell r="D2338">
            <v>0</v>
          </cell>
          <cell r="E2338">
            <v>0</v>
          </cell>
          <cell r="F2338">
            <v>0</v>
          </cell>
          <cell r="G2338">
            <v>0</v>
          </cell>
        </row>
        <row r="2339">
          <cell r="A2339" t="str">
            <v>23-02-02-0028</v>
          </cell>
          <cell r="B2339">
            <v>0</v>
          </cell>
          <cell r="C2339" t="str">
            <v xml:space="preserve">  MALIK COTTON GINNERS</v>
          </cell>
          <cell r="D2339">
            <v>0</v>
          </cell>
          <cell r="E2339">
            <v>0</v>
          </cell>
          <cell r="F2339">
            <v>0</v>
          </cell>
          <cell r="G2339">
            <v>0</v>
          </cell>
        </row>
        <row r="2340">
          <cell r="A2340" t="str">
            <v>23-02-02-0029</v>
          </cell>
          <cell r="B2340">
            <v>0</v>
          </cell>
          <cell r="C2340" t="str">
            <v xml:space="preserve">  MAZHAR &amp; COMPANY</v>
          </cell>
          <cell r="D2340">
            <v>0</v>
          </cell>
          <cell r="E2340">
            <v>0</v>
          </cell>
          <cell r="F2340">
            <v>0</v>
          </cell>
          <cell r="G2340">
            <v>0</v>
          </cell>
        </row>
        <row r="2341">
          <cell r="A2341" t="str">
            <v>23-02-02-0030</v>
          </cell>
          <cell r="B2341">
            <v>0</v>
          </cell>
          <cell r="C2341" t="str">
            <v xml:space="preserve">  ITTEFAQ COTTON GINNING PRESSING &amp; OILM</v>
          </cell>
          <cell r="D2341">
            <v>0</v>
          </cell>
          <cell r="E2341">
            <v>0</v>
          </cell>
          <cell r="F2341">
            <v>0</v>
          </cell>
          <cell r="G2341">
            <v>0</v>
          </cell>
        </row>
        <row r="2342">
          <cell r="A2342" t="str">
            <v>23-02-02-0031</v>
          </cell>
          <cell r="B2342">
            <v>0</v>
          </cell>
          <cell r="C2342" t="str">
            <v xml:space="preserve">  MUSTAFA COTTON GINNERS</v>
          </cell>
          <cell r="D2342">
            <v>0</v>
          </cell>
          <cell r="E2342">
            <v>0</v>
          </cell>
          <cell r="F2342">
            <v>0</v>
          </cell>
          <cell r="G2342">
            <v>0</v>
          </cell>
        </row>
        <row r="2343">
          <cell r="A2343" t="str">
            <v>23-02-02-0032</v>
          </cell>
          <cell r="B2343">
            <v>0</v>
          </cell>
          <cell r="C2343" t="str">
            <v xml:space="preserve">  NABEEL COTTON GINNING &amp; PRESSING FACTO</v>
          </cell>
          <cell r="D2343">
            <v>0</v>
          </cell>
          <cell r="E2343">
            <v>0</v>
          </cell>
          <cell r="F2343">
            <v>0</v>
          </cell>
          <cell r="G2343">
            <v>0</v>
          </cell>
        </row>
        <row r="2344">
          <cell r="A2344" t="str">
            <v>23-02-02-0033</v>
          </cell>
          <cell r="B2344">
            <v>0</v>
          </cell>
          <cell r="C2344" t="str">
            <v xml:space="preserve">  IMRAN TRADERS COTTON GINNERS</v>
          </cell>
          <cell r="D2344">
            <v>0</v>
          </cell>
          <cell r="E2344">
            <v>0</v>
          </cell>
          <cell r="F2344">
            <v>0</v>
          </cell>
          <cell r="G2344">
            <v>0</v>
          </cell>
        </row>
        <row r="2345">
          <cell r="A2345" t="str">
            <v>23-02-02-0034</v>
          </cell>
          <cell r="B2345">
            <v>0</v>
          </cell>
          <cell r="C2345" t="str">
            <v xml:space="preserve">  ROHI COTTON INDUSTRIES (PVT) LIMITED.</v>
          </cell>
          <cell r="D2345">
            <v>0</v>
          </cell>
          <cell r="E2345">
            <v>0</v>
          </cell>
          <cell r="F2345">
            <v>0</v>
          </cell>
          <cell r="G2345">
            <v>0</v>
          </cell>
        </row>
        <row r="2346">
          <cell r="A2346" t="str">
            <v>23-02-02-0035</v>
          </cell>
          <cell r="B2346">
            <v>0</v>
          </cell>
          <cell r="C2346" t="str">
            <v xml:space="preserve">  MADINA COTTON GINNERS BUREWALA</v>
          </cell>
          <cell r="D2346">
            <v>0</v>
          </cell>
          <cell r="E2346">
            <v>0</v>
          </cell>
          <cell r="F2346">
            <v>0</v>
          </cell>
          <cell r="G2346">
            <v>0</v>
          </cell>
        </row>
        <row r="2347">
          <cell r="A2347" t="str">
            <v>23-02-02-0036</v>
          </cell>
          <cell r="B2347">
            <v>0</v>
          </cell>
          <cell r="C2347" t="str">
            <v xml:space="preserve">  HAMZA JAVAID COTTON INDUSTRIES (PVT) L</v>
          </cell>
          <cell r="D2347">
            <v>0</v>
          </cell>
          <cell r="E2347">
            <v>0</v>
          </cell>
          <cell r="F2347">
            <v>0</v>
          </cell>
          <cell r="G2347">
            <v>0</v>
          </cell>
        </row>
        <row r="2348">
          <cell r="A2348" t="str">
            <v>23-02-02-0037</v>
          </cell>
          <cell r="B2348">
            <v>0</v>
          </cell>
          <cell r="C2348" t="str">
            <v xml:space="preserve">  MUSLIM COTTON GINNERS HAROONABAD.</v>
          </cell>
          <cell r="D2348">
            <v>0</v>
          </cell>
          <cell r="E2348">
            <v>0</v>
          </cell>
          <cell r="F2348">
            <v>0</v>
          </cell>
          <cell r="G2348">
            <v>0</v>
          </cell>
        </row>
        <row r="2349">
          <cell r="A2349" t="str">
            <v>23-02-02-0038</v>
          </cell>
          <cell r="B2349">
            <v>0</v>
          </cell>
          <cell r="C2349" t="str">
            <v xml:space="preserve">  MILLAT &amp; COMPANY COTTON GINNERS</v>
          </cell>
          <cell r="D2349">
            <v>0</v>
          </cell>
          <cell r="E2349">
            <v>0</v>
          </cell>
          <cell r="F2349">
            <v>0</v>
          </cell>
          <cell r="G2349">
            <v>0</v>
          </cell>
        </row>
        <row r="2350">
          <cell r="A2350" t="str">
            <v>23-02-02-0039</v>
          </cell>
          <cell r="B2350">
            <v>0</v>
          </cell>
          <cell r="C2350" t="str">
            <v xml:space="preserve">  SHAIKH COTTON GINNING &amp; PRESSING FACTO</v>
          </cell>
          <cell r="D2350">
            <v>0</v>
          </cell>
          <cell r="E2350">
            <v>0</v>
          </cell>
          <cell r="F2350">
            <v>0</v>
          </cell>
          <cell r="G2350">
            <v>0</v>
          </cell>
        </row>
        <row r="2351">
          <cell r="A2351" t="str">
            <v>23-02-02-0040</v>
          </cell>
          <cell r="B2351">
            <v>0</v>
          </cell>
          <cell r="C2351" t="str">
            <v xml:space="preserve">  MUSHTAQ BROTHERS COTTON INDUSTRIES</v>
          </cell>
          <cell r="D2351">
            <v>0</v>
          </cell>
          <cell r="E2351">
            <v>0</v>
          </cell>
          <cell r="F2351">
            <v>0</v>
          </cell>
          <cell r="G2351">
            <v>0</v>
          </cell>
        </row>
        <row r="2352">
          <cell r="A2352" t="str">
            <v>23-02-02-0041</v>
          </cell>
          <cell r="B2352">
            <v>0</v>
          </cell>
          <cell r="C2352" t="str">
            <v xml:space="preserve">  GULAB INDUSTRIES (PVT) LTD.</v>
          </cell>
          <cell r="D2352">
            <v>0</v>
          </cell>
          <cell r="E2352">
            <v>0</v>
          </cell>
          <cell r="F2352">
            <v>0</v>
          </cell>
          <cell r="G2352">
            <v>0</v>
          </cell>
        </row>
        <row r="2353">
          <cell r="A2353" t="str">
            <v>23-02-02-0042</v>
          </cell>
          <cell r="B2353">
            <v>0</v>
          </cell>
          <cell r="C2353" t="str">
            <v xml:space="preserve">  MADINA COTTON ASSOCIATES</v>
          </cell>
          <cell r="D2353">
            <v>0</v>
          </cell>
          <cell r="E2353">
            <v>0</v>
          </cell>
          <cell r="F2353">
            <v>0</v>
          </cell>
          <cell r="G2353">
            <v>0</v>
          </cell>
        </row>
        <row r="2354">
          <cell r="A2354" t="str">
            <v>23-02-02-0043</v>
          </cell>
          <cell r="B2354">
            <v>0</v>
          </cell>
          <cell r="C2354" t="str">
            <v xml:space="preserve">  AWAIS COTTON GINNEIMG &amp; PRESSING FACTO</v>
          </cell>
          <cell r="D2354">
            <v>0</v>
          </cell>
          <cell r="E2354">
            <v>0</v>
          </cell>
          <cell r="F2354">
            <v>0</v>
          </cell>
          <cell r="G2354">
            <v>0</v>
          </cell>
        </row>
        <row r="2355">
          <cell r="A2355" t="str">
            <v>23-02-02-0044</v>
          </cell>
          <cell r="B2355">
            <v>0</v>
          </cell>
          <cell r="C2355" t="str">
            <v xml:space="preserve">  MUHAMMAD AMIN &amp; SONS COTTON GINNING.</v>
          </cell>
          <cell r="D2355">
            <v>0</v>
          </cell>
          <cell r="E2355">
            <v>0</v>
          </cell>
          <cell r="F2355">
            <v>0</v>
          </cell>
          <cell r="G2355">
            <v>0</v>
          </cell>
        </row>
        <row r="2356">
          <cell r="A2356" t="str">
            <v>23-02-02-0045</v>
          </cell>
          <cell r="B2356">
            <v>0</v>
          </cell>
          <cell r="C2356" t="str">
            <v xml:space="preserve">  JATALA TRADERS COTTON GINNERS</v>
          </cell>
          <cell r="D2356">
            <v>0</v>
          </cell>
          <cell r="E2356">
            <v>0</v>
          </cell>
          <cell r="F2356">
            <v>0</v>
          </cell>
          <cell r="G2356">
            <v>0</v>
          </cell>
        </row>
        <row r="2357">
          <cell r="A2357" t="str">
            <v>23-02-02-0046</v>
          </cell>
          <cell r="B2357">
            <v>0</v>
          </cell>
          <cell r="C2357" t="str">
            <v xml:space="preserve">  M.I.COTTON GINNERS &amp; P.FACTORY BUREWAL</v>
          </cell>
          <cell r="D2357">
            <v>0</v>
          </cell>
          <cell r="E2357">
            <v>0</v>
          </cell>
          <cell r="F2357">
            <v>0</v>
          </cell>
          <cell r="G2357">
            <v>0</v>
          </cell>
        </row>
        <row r="2358">
          <cell r="A2358" t="str">
            <v>23-02-02-0047</v>
          </cell>
          <cell r="B2358">
            <v>0</v>
          </cell>
          <cell r="C2358" t="str">
            <v xml:space="preserve">  SANWAL COTTON GINNERS (PVT) LIMITED</v>
          </cell>
          <cell r="D2358">
            <v>0</v>
          </cell>
          <cell r="E2358">
            <v>0</v>
          </cell>
          <cell r="F2358">
            <v>0</v>
          </cell>
          <cell r="G2358">
            <v>0</v>
          </cell>
        </row>
        <row r="2359">
          <cell r="A2359" t="str">
            <v>23-02-02-0048</v>
          </cell>
          <cell r="B2359">
            <v>0</v>
          </cell>
          <cell r="C2359" t="str">
            <v xml:space="preserve">  NADEEM COTTON CORPORATION</v>
          </cell>
          <cell r="D2359">
            <v>0</v>
          </cell>
          <cell r="E2359">
            <v>0</v>
          </cell>
          <cell r="F2359">
            <v>0</v>
          </cell>
          <cell r="G2359">
            <v>0</v>
          </cell>
        </row>
        <row r="2360">
          <cell r="A2360" t="str">
            <v>23-02-02-0049</v>
          </cell>
          <cell r="B2360">
            <v>0</v>
          </cell>
          <cell r="C2360" t="str">
            <v xml:space="preserve">  NETCOTT COTTON (PVT) LIMITED.</v>
          </cell>
          <cell r="D2360">
            <v>0</v>
          </cell>
          <cell r="E2360">
            <v>0</v>
          </cell>
          <cell r="F2360">
            <v>0</v>
          </cell>
          <cell r="G2360">
            <v>0</v>
          </cell>
        </row>
        <row r="2361">
          <cell r="A2361" t="str">
            <v>23-02-02-0050</v>
          </cell>
          <cell r="B2361">
            <v>0</v>
          </cell>
          <cell r="C2361" t="str">
            <v xml:space="preserve">  OWAIS INDUSTRIES</v>
          </cell>
          <cell r="D2361">
            <v>0</v>
          </cell>
          <cell r="E2361">
            <v>0</v>
          </cell>
          <cell r="F2361">
            <v>0</v>
          </cell>
          <cell r="G2361">
            <v>0</v>
          </cell>
        </row>
        <row r="2362">
          <cell r="A2362" t="str">
            <v>23-02-02-0051</v>
          </cell>
          <cell r="B2362">
            <v>0</v>
          </cell>
          <cell r="C2362" t="str">
            <v xml:space="preserve">  ZAHID ALI  INDUSTRIES (PVT) LTD.</v>
          </cell>
          <cell r="D2362">
            <v>0</v>
          </cell>
          <cell r="E2362">
            <v>0</v>
          </cell>
          <cell r="F2362">
            <v>0</v>
          </cell>
          <cell r="G2362">
            <v>0</v>
          </cell>
        </row>
        <row r="2363">
          <cell r="A2363" t="str">
            <v>23-02-02-0052</v>
          </cell>
          <cell r="B2363">
            <v>0</v>
          </cell>
          <cell r="C2363" t="str">
            <v xml:space="preserve">  SHEIKH MUHAMMED NAWAZ &amp; CO.</v>
          </cell>
          <cell r="D2363">
            <v>0</v>
          </cell>
          <cell r="E2363">
            <v>0</v>
          </cell>
          <cell r="F2363">
            <v>0</v>
          </cell>
          <cell r="G2363">
            <v>0</v>
          </cell>
        </row>
        <row r="2364">
          <cell r="A2364" t="str">
            <v>23-02-02-0053</v>
          </cell>
          <cell r="B2364">
            <v>0</v>
          </cell>
          <cell r="C2364" t="str">
            <v xml:space="preserve">  AL-FAISAL INDUSTRIES</v>
          </cell>
          <cell r="D2364">
            <v>0</v>
          </cell>
          <cell r="E2364">
            <v>0</v>
          </cell>
          <cell r="F2364">
            <v>0</v>
          </cell>
          <cell r="G2364">
            <v>0</v>
          </cell>
        </row>
        <row r="2365">
          <cell r="A2365" t="str">
            <v>23-02-02-0054</v>
          </cell>
          <cell r="B2365">
            <v>0</v>
          </cell>
          <cell r="C2365" t="str">
            <v xml:space="preserve">  AL-GHAUS-UL-AZAM COTTON GINNERS</v>
          </cell>
          <cell r="D2365">
            <v>0</v>
          </cell>
          <cell r="E2365">
            <v>0</v>
          </cell>
          <cell r="F2365">
            <v>0</v>
          </cell>
          <cell r="G2365">
            <v>0</v>
          </cell>
        </row>
        <row r="2366">
          <cell r="A2366" t="str">
            <v>23-02-02-0055</v>
          </cell>
          <cell r="B2366">
            <v>0</v>
          </cell>
          <cell r="C2366" t="str">
            <v xml:space="preserve">  MADINA COTTON ASSOCIATES.</v>
          </cell>
          <cell r="D2366">
            <v>0</v>
          </cell>
          <cell r="E2366">
            <v>0</v>
          </cell>
          <cell r="F2366">
            <v>0</v>
          </cell>
          <cell r="G2366">
            <v>0</v>
          </cell>
        </row>
        <row r="2367">
          <cell r="A2367" t="str">
            <v>23-02-02-0056</v>
          </cell>
          <cell r="B2367">
            <v>0</v>
          </cell>
          <cell r="C2367" t="str">
            <v xml:space="preserve">  M.K. COTTON CORPORATION.</v>
          </cell>
          <cell r="D2367">
            <v>0</v>
          </cell>
          <cell r="E2367">
            <v>0</v>
          </cell>
          <cell r="F2367">
            <v>0</v>
          </cell>
          <cell r="G2367">
            <v>0</v>
          </cell>
        </row>
        <row r="2368">
          <cell r="A2368" t="str">
            <v>23-02-02-0057</v>
          </cell>
          <cell r="B2368">
            <v>0</v>
          </cell>
          <cell r="C2368" t="str">
            <v xml:space="preserve">  ALI PUR COTTON INDUSTRIES.</v>
          </cell>
          <cell r="D2368">
            <v>0</v>
          </cell>
          <cell r="E2368">
            <v>0</v>
          </cell>
          <cell r="F2368">
            <v>0</v>
          </cell>
          <cell r="G2368">
            <v>0</v>
          </cell>
        </row>
        <row r="2369">
          <cell r="A2369" t="str">
            <v>23-02-02-0058</v>
          </cell>
          <cell r="B2369">
            <v>0</v>
          </cell>
          <cell r="C2369" t="str">
            <v xml:space="preserve">  KHALIQ COTTON GINNERS (PVT) LTD.</v>
          </cell>
          <cell r="D2369">
            <v>0</v>
          </cell>
          <cell r="E2369">
            <v>0</v>
          </cell>
          <cell r="F2369">
            <v>0</v>
          </cell>
          <cell r="G2369">
            <v>0</v>
          </cell>
        </row>
        <row r="2370">
          <cell r="A2370" t="str">
            <v>23-02-02-0059</v>
          </cell>
          <cell r="B2370">
            <v>0</v>
          </cell>
          <cell r="C2370" t="str">
            <v xml:space="preserve">  KHALID COTTON GINNERS</v>
          </cell>
          <cell r="D2370">
            <v>0</v>
          </cell>
          <cell r="E2370">
            <v>0</v>
          </cell>
          <cell r="F2370">
            <v>0</v>
          </cell>
          <cell r="G2370">
            <v>0</v>
          </cell>
        </row>
        <row r="2371">
          <cell r="A2371" t="str">
            <v>23-02-02-0060</v>
          </cell>
          <cell r="B2371">
            <v>0</v>
          </cell>
          <cell r="C2371" t="str">
            <v xml:space="preserve">  AWAIS INDUSTRIES COTTON G/P FACTORY</v>
          </cell>
          <cell r="D2371">
            <v>0</v>
          </cell>
          <cell r="E2371">
            <v>0</v>
          </cell>
          <cell r="F2371">
            <v>0</v>
          </cell>
          <cell r="G2371">
            <v>0</v>
          </cell>
        </row>
        <row r="2372">
          <cell r="A2372" t="str">
            <v>23-02-02-0061</v>
          </cell>
          <cell r="B2372">
            <v>0</v>
          </cell>
          <cell r="C2372" t="str">
            <v xml:space="preserve">  ZAMINDARA COTTON FACTORY</v>
          </cell>
          <cell r="D2372">
            <v>0</v>
          </cell>
          <cell r="E2372">
            <v>0</v>
          </cell>
          <cell r="F2372">
            <v>0</v>
          </cell>
          <cell r="G2372">
            <v>0</v>
          </cell>
        </row>
        <row r="2373">
          <cell r="A2373" t="str">
            <v>23-02-02-0062</v>
          </cell>
          <cell r="B2373">
            <v>0</v>
          </cell>
          <cell r="C2373" t="str">
            <v xml:space="preserve">  M.AZIZ INDUSTRIES</v>
          </cell>
          <cell r="D2373">
            <v>0</v>
          </cell>
          <cell r="E2373">
            <v>0</v>
          </cell>
          <cell r="F2373">
            <v>0</v>
          </cell>
          <cell r="G2373">
            <v>0</v>
          </cell>
        </row>
        <row r="2374">
          <cell r="A2374" t="str">
            <v>23-02-02-0063</v>
          </cell>
          <cell r="B2374">
            <v>0</v>
          </cell>
          <cell r="C2374" t="str">
            <v xml:space="preserve">  ITTEFAQ COTTON INDUSTRIES</v>
          </cell>
          <cell r="D2374">
            <v>0</v>
          </cell>
          <cell r="E2374">
            <v>1879900.77</v>
          </cell>
          <cell r="F2374">
            <v>0</v>
          </cell>
          <cell r="G2374">
            <v>0</v>
          </cell>
        </row>
        <row r="2375">
          <cell r="A2375" t="str">
            <v>23-02-02-0064</v>
          </cell>
          <cell r="B2375">
            <v>0</v>
          </cell>
          <cell r="C2375" t="str">
            <v xml:space="preserve">  CHAUDHARY MODEL IND (PVT) LIMITED.</v>
          </cell>
          <cell r="D2375">
            <v>0</v>
          </cell>
          <cell r="E2375">
            <v>0</v>
          </cell>
          <cell r="F2375">
            <v>0</v>
          </cell>
          <cell r="G2375">
            <v>0</v>
          </cell>
        </row>
        <row r="2376">
          <cell r="A2376" t="str">
            <v>23-02-02-0065</v>
          </cell>
          <cell r="B2376">
            <v>0</v>
          </cell>
          <cell r="C2376" t="str">
            <v xml:space="preserve">  NEELUM COTTON INDUSTRIES</v>
          </cell>
          <cell r="D2376">
            <v>0</v>
          </cell>
          <cell r="E2376">
            <v>0</v>
          </cell>
          <cell r="F2376">
            <v>0</v>
          </cell>
          <cell r="G2376">
            <v>0</v>
          </cell>
        </row>
        <row r="2377">
          <cell r="A2377" t="str">
            <v>23-02-02-0066</v>
          </cell>
          <cell r="B2377">
            <v>0</v>
          </cell>
          <cell r="C2377" t="str">
            <v xml:space="preserve">  WHITE GOLD COTTON INDUSTRIES.</v>
          </cell>
          <cell r="D2377">
            <v>0</v>
          </cell>
          <cell r="E2377">
            <v>0</v>
          </cell>
          <cell r="F2377">
            <v>0</v>
          </cell>
          <cell r="G2377">
            <v>0</v>
          </cell>
        </row>
        <row r="2378">
          <cell r="A2378" t="str">
            <v>23-02-02-0067</v>
          </cell>
          <cell r="B2378">
            <v>0</v>
          </cell>
          <cell r="C2378" t="str">
            <v xml:space="preserve">  AL-HIJAZ COTTON FACTORY.</v>
          </cell>
          <cell r="D2378">
            <v>0</v>
          </cell>
          <cell r="E2378">
            <v>0</v>
          </cell>
          <cell r="F2378">
            <v>0</v>
          </cell>
          <cell r="G2378">
            <v>0</v>
          </cell>
        </row>
        <row r="2379">
          <cell r="A2379" t="str">
            <v>23-02-02-0068</v>
          </cell>
          <cell r="B2379">
            <v>0</v>
          </cell>
          <cell r="C2379" t="str">
            <v xml:space="preserve">  HABIB COTTON FACTORY</v>
          </cell>
          <cell r="D2379">
            <v>0</v>
          </cell>
          <cell r="E2379">
            <v>0</v>
          </cell>
          <cell r="F2379">
            <v>0</v>
          </cell>
          <cell r="G2379">
            <v>0</v>
          </cell>
        </row>
        <row r="2380">
          <cell r="A2380" t="str">
            <v>23-02-02-0069</v>
          </cell>
          <cell r="B2380">
            <v>0</v>
          </cell>
          <cell r="C2380" t="str">
            <v xml:space="preserve">  GIZRI COTTON GINNERS</v>
          </cell>
          <cell r="D2380">
            <v>0</v>
          </cell>
          <cell r="E2380">
            <v>0</v>
          </cell>
          <cell r="F2380">
            <v>0</v>
          </cell>
          <cell r="G2380">
            <v>0</v>
          </cell>
        </row>
        <row r="2381">
          <cell r="A2381" t="str">
            <v>23-02-02-0070</v>
          </cell>
          <cell r="B2381">
            <v>0</v>
          </cell>
          <cell r="C2381" t="str">
            <v xml:space="preserve">  BAHU COTTON GINNERS</v>
          </cell>
          <cell r="D2381">
            <v>0</v>
          </cell>
          <cell r="E2381">
            <v>0</v>
          </cell>
          <cell r="F2381">
            <v>0</v>
          </cell>
          <cell r="G2381">
            <v>0</v>
          </cell>
        </row>
        <row r="2382">
          <cell r="A2382" t="str">
            <v>23-02-02-0071</v>
          </cell>
          <cell r="B2382">
            <v>0</v>
          </cell>
          <cell r="C2382" t="str">
            <v xml:space="preserve">  NEW SUHAIL BROTHERS COTTON GINNERS</v>
          </cell>
          <cell r="D2382">
            <v>0</v>
          </cell>
          <cell r="E2382">
            <v>0</v>
          </cell>
          <cell r="F2382">
            <v>0</v>
          </cell>
          <cell r="G2382">
            <v>0</v>
          </cell>
        </row>
        <row r="2383">
          <cell r="A2383" t="str">
            <v>23-02-02-0072</v>
          </cell>
          <cell r="B2383">
            <v>0</v>
          </cell>
          <cell r="C2383" t="str">
            <v xml:space="preserve">  MADINA MODEL GINNING FACTORY</v>
          </cell>
          <cell r="D2383">
            <v>0</v>
          </cell>
          <cell r="E2383">
            <v>0</v>
          </cell>
          <cell r="F2383">
            <v>0</v>
          </cell>
          <cell r="G2383">
            <v>0</v>
          </cell>
        </row>
        <row r="2384">
          <cell r="A2384" t="str">
            <v>23-02-02-0073</v>
          </cell>
          <cell r="B2384">
            <v>0</v>
          </cell>
          <cell r="C2384" t="str">
            <v xml:space="preserve">  HAJI SIDDIQ COTTON GINNERS.</v>
          </cell>
          <cell r="D2384">
            <v>0</v>
          </cell>
          <cell r="E2384">
            <v>0</v>
          </cell>
          <cell r="F2384">
            <v>0</v>
          </cell>
          <cell r="G2384">
            <v>0</v>
          </cell>
        </row>
        <row r="2385">
          <cell r="A2385" t="str">
            <v>23-02-02-0074</v>
          </cell>
          <cell r="B2385">
            <v>0</v>
          </cell>
          <cell r="C2385" t="str">
            <v xml:space="preserve">  CH.MUHAMMAD ALI GINNERS (PVT) LTD.</v>
          </cell>
          <cell r="D2385">
            <v>0</v>
          </cell>
          <cell r="E2385">
            <v>0</v>
          </cell>
          <cell r="F2385">
            <v>0</v>
          </cell>
          <cell r="G2385">
            <v>0</v>
          </cell>
        </row>
        <row r="2386">
          <cell r="A2386" t="str">
            <v>23-02-02-0075</v>
          </cell>
          <cell r="B2386">
            <v>0</v>
          </cell>
          <cell r="C2386" t="str">
            <v xml:space="preserve">  KHALID ISLAM CORPORATION</v>
          </cell>
          <cell r="D2386">
            <v>0</v>
          </cell>
          <cell r="E2386">
            <v>0</v>
          </cell>
          <cell r="F2386">
            <v>0</v>
          </cell>
          <cell r="G2386">
            <v>0</v>
          </cell>
        </row>
        <row r="2387">
          <cell r="A2387" t="str">
            <v>23-02-02-0076</v>
          </cell>
          <cell r="B2387">
            <v>0</v>
          </cell>
          <cell r="C2387" t="str">
            <v xml:space="preserve">  GILANI COTTON INDUSTRIES</v>
          </cell>
          <cell r="D2387">
            <v>0</v>
          </cell>
          <cell r="E2387">
            <v>0</v>
          </cell>
          <cell r="F2387">
            <v>0</v>
          </cell>
          <cell r="G2387">
            <v>0</v>
          </cell>
        </row>
        <row r="2388">
          <cell r="A2388" t="str">
            <v>23-02-02-0077</v>
          </cell>
          <cell r="B2388">
            <v>0</v>
          </cell>
          <cell r="C2388" t="str">
            <v xml:space="preserve">  RASHEED AGRO INDUSTRIES</v>
          </cell>
          <cell r="D2388">
            <v>0</v>
          </cell>
          <cell r="E2388">
            <v>0</v>
          </cell>
          <cell r="F2388">
            <v>0</v>
          </cell>
          <cell r="G2388">
            <v>0</v>
          </cell>
        </row>
        <row r="2389">
          <cell r="A2389" t="str">
            <v>23-02-02-0078</v>
          </cell>
          <cell r="B2389">
            <v>0</v>
          </cell>
          <cell r="C2389" t="str">
            <v xml:space="preserve">  INAM COTTON FACTORY</v>
          </cell>
          <cell r="D2389">
            <v>0</v>
          </cell>
          <cell r="E2389">
            <v>0</v>
          </cell>
          <cell r="F2389">
            <v>0</v>
          </cell>
          <cell r="G2389">
            <v>0</v>
          </cell>
        </row>
        <row r="2390">
          <cell r="A2390" t="str">
            <v>23-02-02-0079</v>
          </cell>
          <cell r="B2390">
            <v>0</v>
          </cell>
          <cell r="C2390" t="str">
            <v xml:space="preserve">  AL-FAZAL COTTON INDUSTRIES.</v>
          </cell>
          <cell r="D2390">
            <v>0</v>
          </cell>
          <cell r="E2390">
            <v>0</v>
          </cell>
          <cell r="F2390">
            <v>0</v>
          </cell>
          <cell r="G2390">
            <v>0</v>
          </cell>
        </row>
        <row r="2391">
          <cell r="A2391" t="str">
            <v>23-02-02-0080</v>
          </cell>
          <cell r="B2391">
            <v>0</v>
          </cell>
          <cell r="C2391" t="str">
            <v xml:space="preserve">  AL-BASIT COTTON GINNER'S</v>
          </cell>
          <cell r="D2391">
            <v>0</v>
          </cell>
          <cell r="E2391">
            <v>0</v>
          </cell>
          <cell r="F2391">
            <v>0</v>
          </cell>
          <cell r="G2391">
            <v>0</v>
          </cell>
        </row>
        <row r="2392">
          <cell r="A2392" t="str">
            <v>23-02-02-0081</v>
          </cell>
          <cell r="B2392">
            <v>0</v>
          </cell>
          <cell r="C2392" t="str">
            <v xml:space="preserve">  AZIZ COTTON GINNING AND PRESSING FACTO</v>
          </cell>
          <cell r="D2392">
            <v>0</v>
          </cell>
          <cell r="E2392">
            <v>0</v>
          </cell>
          <cell r="F2392">
            <v>0</v>
          </cell>
          <cell r="G2392">
            <v>0</v>
          </cell>
        </row>
        <row r="2393">
          <cell r="A2393" t="str">
            <v>23-02-02-0082</v>
          </cell>
          <cell r="B2393">
            <v>0</v>
          </cell>
          <cell r="C2393" t="str">
            <v xml:space="preserve">  KHAN PUR INDUSTRIES KHAN PUR</v>
          </cell>
          <cell r="D2393">
            <v>0</v>
          </cell>
          <cell r="E2393">
            <v>0</v>
          </cell>
          <cell r="F2393">
            <v>0</v>
          </cell>
          <cell r="G2393">
            <v>0</v>
          </cell>
        </row>
        <row r="2394">
          <cell r="A2394" t="str">
            <v>23-02-02-0083</v>
          </cell>
          <cell r="B2394">
            <v>0</v>
          </cell>
          <cell r="C2394" t="str">
            <v xml:space="preserve">  AWAMI COTTON FACTORY (PVT) LTD.</v>
          </cell>
          <cell r="D2394">
            <v>0</v>
          </cell>
          <cell r="E2394">
            <v>0</v>
          </cell>
          <cell r="F2394">
            <v>0</v>
          </cell>
          <cell r="G2394">
            <v>0</v>
          </cell>
        </row>
        <row r="2395">
          <cell r="A2395" t="str">
            <v>23-02-02-0084</v>
          </cell>
          <cell r="B2395">
            <v>0</v>
          </cell>
          <cell r="C2395" t="str">
            <v xml:space="preserve">  KHALID MODERN INDUSTRIES (PVT) LTD</v>
          </cell>
          <cell r="D2395">
            <v>0</v>
          </cell>
          <cell r="E2395">
            <v>0</v>
          </cell>
          <cell r="F2395">
            <v>0</v>
          </cell>
          <cell r="G2395">
            <v>0</v>
          </cell>
        </row>
        <row r="2396">
          <cell r="A2396" t="str">
            <v>23-02-02-0085</v>
          </cell>
          <cell r="B2396">
            <v>0</v>
          </cell>
          <cell r="C2396" t="str">
            <v xml:space="preserve">  KHAWAJA BASHIR AHMED  &amp; SONS</v>
          </cell>
          <cell r="D2396">
            <v>0</v>
          </cell>
          <cell r="E2396">
            <v>0</v>
          </cell>
          <cell r="F2396">
            <v>0</v>
          </cell>
          <cell r="G2396">
            <v>0</v>
          </cell>
        </row>
        <row r="2397">
          <cell r="A2397" t="str">
            <v>23-02-02-0086</v>
          </cell>
          <cell r="B2397">
            <v>0</v>
          </cell>
          <cell r="C2397" t="str">
            <v xml:space="preserve">  MIAN SADDRUDDIN &amp; CO COTTON GINNER'S</v>
          </cell>
          <cell r="D2397">
            <v>0</v>
          </cell>
          <cell r="E2397">
            <v>0</v>
          </cell>
          <cell r="F2397">
            <v>0</v>
          </cell>
          <cell r="G2397">
            <v>0</v>
          </cell>
        </row>
        <row r="2398">
          <cell r="A2398" t="str">
            <v>23-02-02-0087</v>
          </cell>
          <cell r="B2398">
            <v>0</v>
          </cell>
          <cell r="C2398" t="str">
            <v xml:space="preserve">  AL-NOOR COTTON GINNER'S</v>
          </cell>
          <cell r="D2398">
            <v>0</v>
          </cell>
          <cell r="E2398">
            <v>0</v>
          </cell>
          <cell r="F2398">
            <v>0</v>
          </cell>
          <cell r="G2398">
            <v>0</v>
          </cell>
        </row>
        <row r="2399">
          <cell r="A2399" t="str">
            <v>23-02-02-0088</v>
          </cell>
          <cell r="B2399">
            <v>0</v>
          </cell>
          <cell r="C2399" t="str">
            <v xml:space="preserve">  JAN &amp; CO COTTON GINNER'S CHISTIAN</v>
          </cell>
          <cell r="D2399">
            <v>0</v>
          </cell>
          <cell r="E2399">
            <v>0</v>
          </cell>
          <cell r="F2399">
            <v>0</v>
          </cell>
          <cell r="G2399">
            <v>0</v>
          </cell>
        </row>
        <row r="2400">
          <cell r="A2400" t="str">
            <v>23-02-02-0089</v>
          </cell>
          <cell r="B2400">
            <v>0</v>
          </cell>
          <cell r="C2400" t="str">
            <v xml:space="preserve">  S.Y COTTON INDUSTRIES</v>
          </cell>
          <cell r="D2400">
            <v>0</v>
          </cell>
          <cell r="E2400">
            <v>0</v>
          </cell>
          <cell r="F2400">
            <v>0</v>
          </cell>
          <cell r="G2400">
            <v>0</v>
          </cell>
        </row>
        <row r="2401">
          <cell r="A2401" t="str">
            <v>23-02-02-0090</v>
          </cell>
          <cell r="B2401">
            <v>0</v>
          </cell>
          <cell r="C2401" t="str">
            <v xml:space="preserve">  HAJI MUHAMMAD AMIN &amp; SONS</v>
          </cell>
          <cell r="D2401">
            <v>0</v>
          </cell>
          <cell r="E2401">
            <v>0</v>
          </cell>
          <cell r="F2401">
            <v>0</v>
          </cell>
          <cell r="G2401">
            <v>0</v>
          </cell>
        </row>
        <row r="2402">
          <cell r="A2402" t="str">
            <v>23-02-02-0091</v>
          </cell>
          <cell r="B2402">
            <v>0</v>
          </cell>
          <cell r="C2402" t="str">
            <v xml:space="preserve">  NAYAB COTTON GINNER'S</v>
          </cell>
          <cell r="D2402">
            <v>0</v>
          </cell>
          <cell r="E2402">
            <v>0</v>
          </cell>
          <cell r="F2402">
            <v>0</v>
          </cell>
          <cell r="G2402">
            <v>0</v>
          </cell>
        </row>
        <row r="2403">
          <cell r="A2403" t="str">
            <v>23-02-02-0092</v>
          </cell>
          <cell r="B2403">
            <v>0</v>
          </cell>
          <cell r="C2403" t="str">
            <v xml:space="preserve">  NATIONAL COTTON INDUSTRIES</v>
          </cell>
          <cell r="D2403">
            <v>0</v>
          </cell>
          <cell r="E2403">
            <v>0</v>
          </cell>
          <cell r="F2403">
            <v>0</v>
          </cell>
          <cell r="G2403">
            <v>0</v>
          </cell>
        </row>
        <row r="2404">
          <cell r="A2404" t="str">
            <v>23-02-02-0093</v>
          </cell>
          <cell r="B2404">
            <v>0</v>
          </cell>
          <cell r="C2404" t="str">
            <v xml:space="preserve">  SHEIKH MUHAMMAD NAWAZ &amp; COMPANY</v>
          </cell>
          <cell r="D2404">
            <v>0</v>
          </cell>
          <cell r="E2404">
            <v>0</v>
          </cell>
          <cell r="F2404">
            <v>0</v>
          </cell>
          <cell r="G2404">
            <v>0</v>
          </cell>
        </row>
        <row r="2405">
          <cell r="A2405" t="str">
            <v>23-02-02-0094</v>
          </cell>
          <cell r="B2405">
            <v>0</v>
          </cell>
          <cell r="C2405" t="str">
            <v xml:space="preserve">  MANZOOR NAWAZ COTTON GINNER'S</v>
          </cell>
          <cell r="D2405">
            <v>0</v>
          </cell>
          <cell r="E2405">
            <v>0</v>
          </cell>
          <cell r="F2405">
            <v>0</v>
          </cell>
          <cell r="G2405">
            <v>0</v>
          </cell>
        </row>
        <row r="2406">
          <cell r="A2406" t="str">
            <v>23-02-02-0095</v>
          </cell>
          <cell r="B2406">
            <v>0</v>
          </cell>
          <cell r="C2406" t="str">
            <v xml:space="preserve">  KHAN COTTON INDUSTRIES</v>
          </cell>
          <cell r="D2406">
            <v>0</v>
          </cell>
          <cell r="E2406">
            <v>0</v>
          </cell>
          <cell r="F2406">
            <v>0</v>
          </cell>
          <cell r="G2406">
            <v>0</v>
          </cell>
        </row>
        <row r="2407">
          <cell r="A2407" t="str">
            <v>23-02-02-0096</v>
          </cell>
          <cell r="B2407">
            <v>0</v>
          </cell>
          <cell r="C2407" t="str">
            <v xml:space="preserve">  WALI COTTON GINNING &amp; PRESSING &amp; OIL</v>
          </cell>
          <cell r="D2407">
            <v>0</v>
          </cell>
          <cell r="E2407">
            <v>0</v>
          </cell>
          <cell r="F2407">
            <v>0</v>
          </cell>
          <cell r="G2407">
            <v>0</v>
          </cell>
        </row>
        <row r="2408">
          <cell r="A2408" t="str">
            <v>23-02-02-0097</v>
          </cell>
          <cell r="B2408">
            <v>0</v>
          </cell>
          <cell r="C2408" t="str">
            <v xml:space="preserve">  FAIZ INDUSTRIES</v>
          </cell>
          <cell r="D2408">
            <v>0</v>
          </cell>
          <cell r="E2408">
            <v>0</v>
          </cell>
          <cell r="F2408">
            <v>0</v>
          </cell>
          <cell r="G2408">
            <v>0</v>
          </cell>
        </row>
        <row r="2409">
          <cell r="A2409" t="str">
            <v>23-02-02-0098</v>
          </cell>
          <cell r="B2409">
            <v>0</v>
          </cell>
          <cell r="C2409" t="str">
            <v xml:space="preserve">  A.A COTTON GINNER'S</v>
          </cell>
          <cell r="D2409">
            <v>0</v>
          </cell>
          <cell r="E2409">
            <v>17000.34</v>
          </cell>
          <cell r="F2409">
            <v>0</v>
          </cell>
          <cell r="G2409">
            <v>0</v>
          </cell>
        </row>
        <row r="2410">
          <cell r="A2410" t="str">
            <v>23-02-02-0099</v>
          </cell>
          <cell r="B2410">
            <v>0</v>
          </cell>
          <cell r="C2410" t="str">
            <v xml:space="preserve">  PURI IND COTTON GINNING &amp; PRESSING OIL</v>
          </cell>
          <cell r="D2410">
            <v>0</v>
          </cell>
          <cell r="E2410">
            <v>0</v>
          </cell>
          <cell r="F2410">
            <v>0</v>
          </cell>
          <cell r="G2410">
            <v>0</v>
          </cell>
        </row>
        <row r="2411">
          <cell r="A2411" t="str">
            <v>23-02-02-0100</v>
          </cell>
          <cell r="B2411">
            <v>0</v>
          </cell>
          <cell r="C2411" t="str">
            <v xml:space="preserve">  KHAWAJA BASHIR AHMED &amp; CO.</v>
          </cell>
          <cell r="D2411">
            <v>0</v>
          </cell>
          <cell r="E2411">
            <v>0</v>
          </cell>
          <cell r="F2411">
            <v>0</v>
          </cell>
          <cell r="G2411">
            <v>0</v>
          </cell>
        </row>
        <row r="2412">
          <cell r="A2412" t="str">
            <v>23-02-02-0101</v>
          </cell>
          <cell r="B2412">
            <v>0</v>
          </cell>
          <cell r="C2412" t="str">
            <v xml:space="preserve">  DERA BAKHA COTTON FACTORY</v>
          </cell>
          <cell r="D2412">
            <v>0</v>
          </cell>
          <cell r="E2412">
            <v>0</v>
          </cell>
          <cell r="F2412">
            <v>0</v>
          </cell>
          <cell r="G2412">
            <v>0</v>
          </cell>
        </row>
        <row r="2413">
          <cell r="A2413" t="str">
            <v>23-02-02-0102</v>
          </cell>
          <cell r="B2413">
            <v>0</v>
          </cell>
          <cell r="C2413" t="str">
            <v xml:space="preserve">  KAMRAN MODEL INDUSTRIES</v>
          </cell>
          <cell r="D2413">
            <v>0</v>
          </cell>
          <cell r="E2413">
            <v>0</v>
          </cell>
          <cell r="F2413">
            <v>0</v>
          </cell>
          <cell r="G2413">
            <v>0</v>
          </cell>
        </row>
        <row r="2414">
          <cell r="A2414" t="str">
            <v>23-02-02-0103</v>
          </cell>
          <cell r="B2414">
            <v>0</v>
          </cell>
          <cell r="C2414" t="str">
            <v xml:space="preserve">  NEW SHAHEEN COTTON G/P AND OIL MILL</v>
          </cell>
          <cell r="D2414">
            <v>0</v>
          </cell>
          <cell r="E2414">
            <v>0</v>
          </cell>
          <cell r="F2414">
            <v>0</v>
          </cell>
          <cell r="G2414">
            <v>0</v>
          </cell>
        </row>
        <row r="2415">
          <cell r="A2415" t="str">
            <v>23-02-02-0104</v>
          </cell>
          <cell r="B2415">
            <v>0</v>
          </cell>
          <cell r="C2415" t="str">
            <v xml:space="preserve">  SUN RISE GINNING PRESSING &amp; OIL MILLS</v>
          </cell>
          <cell r="D2415">
            <v>0</v>
          </cell>
          <cell r="E2415">
            <v>0</v>
          </cell>
          <cell r="F2415">
            <v>0</v>
          </cell>
          <cell r="G2415">
            <v>0</v>
          </cell>
        </row>
        <row r="2416">
          <cell r="A2416" t="str">
            <v>23-02-02-0105</v>
          </cell>
          <cell r="B2416">
            <v>0</v>
          </cell>
          <cell r="C2416" t="str">
            <v xml:space="preserve">  SUHAIL KASHIF COTTON FACTORY</v>
          </cell>
          <cell r="D2416">
            <v>0</v>
          </cell>
          <cell r="E2416">
            <v>0</v>
          </cell>
          <cell r="F2416">
            <v>0</v>
          </cell>
          <cell r="G2416">
            <v>0</v>
          </cell>
        </row>
        <row r="2417">
          <cell r="A2417" t="str">
            <v>23-02-02-0106</v>
          </cell>
          <cell r="B2417">
            <v>0</v>
          </cell>
          <cell r="C2417" t="str">
            <v xml:space="preserve">  RAHIM MODEL INDUSTRIES</v>
          </cell>
          <cell r="D2417">
            <v>0</v>
          </cell>
          <cell r="E2417">
            <v>0</v>
          </cell>
          <cell r="F2417">
            <v>0</v>
          </cell>
          <cell r="G2417">
            <v>0</v>
          </cell>
        </row>
        <row r="2418">
          <cell r="A2418" t="str">
            <v>23-02-02-0107</v>
          </cell>
          <cell r="B2418">
            <v>0</v>
          </cell>
          <cell r="C2418" t="str">
            <v xml:space="preserve">  YAZMAN COTTON FACTORY</v>
          </cell>
          <cell r="D2418">
            <v>0</v>
          </cell>
          <cell r="E2418">
            <v>0</v>
          </cell>
          <cell r="F2418">
            <v>0</v>
          </cell>
          <cell r="G2418">
            <v>0</v>
          </cell>
        </row>
        <row r="2419">
          <cell r="A2419" t="str">
            <v>23-02-02-0108</v>
          </cell>
          <cell r="B2419">
            <v>0</v>
          </cell>
          <cell r="C2419" t="str">
            <v xml:space="preserve">  DAD COTTON IND (PVT) LTD</v>
          </cell>
          <cell r="D2419">
            <v>0</v>
          </cell>
          <cell r="E2419">
            <v>0</v>
          </cell>
          <cell r="F2419">
            <v>0</v>
          </cell>
          <cell r="G2419">
            <v>0</v>
          </cell>
        </row>
        <row r="2420">
          <cell r="A2420" t="str">
            <v>23-02-02-0109</v>
          </cell>
          <cell r="B2420">
            <v>0</v>
          </cell>
          <cell r="C2420" t="str">
            <v xml:space="preserve">  NASIR COTTON GINNING PRESSING OIL MILL</v>
          </cell>
          <cell r="D2420">
            <v>0</v>
          </cell>
          <cell r="E2420">
            <v>0</v>
          </cell>
          <cell r="F2420">
            <v>0</v>
          </cell>
          <cell r="G2420">
            <v>0</v>
          </cell>
        </row>
        <row r="2421">
          <cell r="A2421" t="str">
            <v>23-02-02-0110</v>
          </cell>
          <cell r="B2421">
            <v>0</v>
          </cell>
          <cell r="C2421" t="str">
            <v xml:space="preserve">  KHAIRUL SANAT COTTON GINNER'S</v>
          </cell>
          <cell r="D2421">
            <v>0</v>
          </cell>
          <cell r="E2421">
            <v>0</v>
          </cell>
          <cell r="F2421">
            <v>0</v>
          </cell>
          <cell r="G2421">
            <v>0</v>
          </cell>
        </row>
        <row r="2422">
          <cell r="A2422" t="str">
            <v>23-02-02-0111</v>
          </cell>
          <cell r="B2422">
            <v>0</v>
          </cell>
          <cell r="C2422" t="str">
            <v xml:space="preserve">  ABDUL RASHEED COTTON FACTORY</v>
          </cell>
          <cell r="D2422">
            <v>0</v>
          </cell>
          <cell r="E2422">
            <v>0</v>
          </cell>
          <cell r="F2422">
            <v>0</v>
          </cell>
          <cell r="G2422">
            <v>0</v>
          </cell>
        </row>
        <row r="2423">
          <cell r="A2423" t="str">
            <v>23-02-02-0112</v>
          </cell>
          <cell r="B2423">
            <v>0</v>
          </cell>
          <cell r="C2423" t="str">
            <v xml:space="preserve">  BABA FARID MODEL GINNING FACTORY (PVT)</v>
          </cell>
          <cell r="D2423">
            <v>0</v>
          </cell>
          <cell r="E2423">
            <v>0</v>
          </cell>
          <cell r="F2423">
            <v>0</v>
          </cell>
          <cell r="G2423">
            <v>0</v>
          </cell>
        </row>
        <row r="2424">
          <cell r="A2424" t="str">
            <v>23-02-02-0113</v>
          </cell>
          <cell r="B2424">
            <v>0</v>
          </cell>
          <cell r="C2424" t="str">
            <v xml:space="preserve">  PAK ARAIN BROTHER COTTON FACTORY</v>
          </cell>
          <cell r="D2424">
            <v>0</v>
          </cell>
          <cell r="E2424">
            <v>0</v>
          </cell>
          <cell r="F2424">
            <v>0</v>
          </cell>
          <cell r="G2424">
            <v>0</v>
          </cell>
        </row>
        <row r="2425">
          <cell r="A2425" t="str">
            <v>23-02-02-0114</v>
          </cell>
          <cell r="B2425">
            <v>0</v>
          </cell>
          <cell r="C2425" t="str">
            <v xml:space="preserve">  PAK PUNJAB COTTON FACTORY</v>
          </cell>
          <cell r="D2425">
            <v>0</v>
          </cell>
          <cell r="E2425">
            <v>0</v>
          </cell>
          <cell r="F2425">
            <v>0</v>
          </cell>
          <cell r="G2425">
            <v>0</v>
          </cell>
        </row>
        <row r="2426">
          <cell r="A2426" t="str">
            <v>23-02-02-0115</v>
          </cell>
          <cell r="B2426">
            <v>0</v>
          </cell>
          <cell r="C2426" t="str">
            <v xml:space="preserve">  SHAN COTTON TRADING COMPANY</v>
          </cell>
          <cell r="D2426">
            <v>0</v>
          </cell>
          <cell r="E2426">
            <v>0</v>
          </cell>
          <cell r="F2426">
            <v>0</v>
          </cell>
          <cell r="G2426">
            <v>0</v>
          </cell>
        </row>
        <row r="2427">
          <cell r="A2427" t="str">
            <v>23-02-02-0116</v>
          </cell>
          <cell r="B2427">
            <v>0</v>
          </cell>
          <cell r="C2427" t="str">
            <v xml:space="preserve">  FIVE STAR CORPORATION LTD.</v>
          </cell>
          <cell r="D2427">
            <v>0</v>
          </cell>
          <cell r="E2427">
            <v>0</v>
          </cell>
          <cell r="F2427">
            <v>0</v>
          </cell>
          <cell r="G2427">
            <v>0</v>
          </cell>
        </row>
        <row r="2428">
          <cell r="A2428" t="str">
            <v>23-02-02-0117</v>
          </cell>
          <cell r="B2428">
            <v>0</v>
          </cell>
          <cell r="C2428" t="str">
            <v xml:space="preserve">  MOON STAR COTTON GINNER'S</v>
          </cell>
          <cell r="D2428">
            <v>0</v>
          </cell>
          <cell r="E2428">
            <v>0</v>
          </cell>
          <cell r="F2428">
            <v>0</v>
          </cell>
          <cell r="G2428">
            <v>0</v>
          </cell>
        </row>
        <row r="2429">
          <cell r="A2429" t="str">
            <v>23-02-02-0118</v>
          </cell>
          <cell r="B2429">
            <v>0</v>
          </cell>
          <cell r="C2429" t="str">
            <v xml:space="preserve">  UNITED COTTON FACTORY</v>
          </cell>
          <cell r="D2429">
            <v>0</v>
          </cell>
          <cell r="E2429">
            <v>0</v>
          </cell>
          <cell r="F2429">
            <v>0</v>
          </cell>
          <cell r="G2429">
            <v>0</v>
          </cell>
        </row>
        <row r="2430">
          <cell r="A2430" t="str">
            <v>23-02-02-0119</v>
          </cell>
          <cell r="B2430">
            <v>0</v>
          </cell>
          <cell r="C2430" t="str">
            <v xml:space="preserve">  AL-SHAHBAZ COTTON GINNER'S</v>
          </cell>
          <cell r="D2430">
            <v>0</v>
          </cell>
          <cell r="E2430">
            <v>0</v>
          </cell>
          <cell r="F2430">
            <v>0</v>
          </cell>
          <cell r="G2430">
            <v>0</v>
          </cell>
        </row>
        <row r="2431">
          <cell r="A2431" t="str">
            <v>23-02-02-0120</v>
          </cell>
          <cell r="B2431">
            <v>0</v>
          </cell>
          <cell r="C2431" t="str">
            <v xml:space="preserve">  MIAN RASHEED COTTON GINNER'S</v>
          </cell>
          <cell r="D2431">
            <v>0</v>
          </cell>
          <cell r="E2431">
            <v>0</v>
          </cell>
          <cell r="F2431">
            <v>0</v>
          </cell>
          <cell r="G2431">
            <v>0</v>
          </cell>
        </row>
        <row r="2432">
          <cell r="A2432" t="str">
            <v>23-02-02-0121</v>
          </cell>
          <cell r="B2432">
            <v>0</v>
          </cell>
          <cell r="C2432" t="str">
            <v xml:space="preserve">  BAJAWA COTTON GINNING PRESSING FACTORY</v>
          </cell>
          <cell r="D2432">
            <v>0</v>
          </cell>
          <cell r="E2432">
            <v>0</v>
          </cell>
          <cell r="F2432">
            <v>0</v>
          </cell>
          <cell r="G2432">
            <v>0</v>
          </cell>
        </row>
        <row r="2433">
          <cell r="A2433" t="str">
            <v>23-02-02-0122</v>
          </cell>
          <cell r="B2433">
            <v>0</v>
          </cell>
          <cell r="C2433" t="str">
            <v xml:space="preserve">  S.A.F INDUSTRIES</v>
          </cell>
          <cell r="D2433">
            <v>0</v>
          </cell>
          <cell r="E2433">
            <v>0</v>
          </cell>
          <cell r="F2433">
            <v>0</v>
          </cell>
          <cell r="G2433">
            <v>0</v>
          </cell>
        </row>
        <row r="2434">
          <cell r="A2434" t="str">
            <v>23-02-02-0123</v>
          </cell>
          <cell r="B2434">
            <v>0</v>
          </cell>
          <cell r="C2434" t="str">
            <v xml:space="preserve">  ABBAS COTTON FACTORY</v>
          </cell>
          <cell r="D2434">
            <v>0</v>
          </cell>
          <cell r="E2434">
            <v>0</v>
          </cell>
          <cell r="F2434">
            <v>0</v>
          </cell>
          <cell r="G2434">
            <v>0</v>
          </cell>
        </row>
        <row r="2435">
          <cell r="A2435" t="str">
            <v>23-02-02-0124</v>
          </cell>
          <cell r="B2435">
            <v>0</v>
          </cell>
          <cell r="C2435" t="str">
            <v xml:space="preserve">  RASHEED MODEL INDUSTRIES</v>
          </cell>
          <cell r="D2435">
            <v>0</v>
          </cell>
          <cell r="E2435">
            <v>0</v>
          </cell>
          <cell r="F2435">
            <v>0</v>
          </cell>
          <cell r="G2435">
            <v>0</v>
          </cell>
        </row>
        <row r="2436">
          <cell r="A2436" t="str">
            <v>23-02-02-0125</v>
          </cell>
          <cell r="B2436">
            <v>0</v>
          </cell>
          <cell r="C2436" t="str">
            <v xml:space="preserve">  DATA COTTON FACTORY</v>
          </cell>
          <cell r="D2436">
            <v>0</v>
          </cell>
          <cell r="E2436">
            <v>0</v>
          </cell>
          <cell r="F2436">
            <v>0</v>
          </cell>
          <cell r="G2436">
            <v>0</v>
          </cell>
        </row>
        <row r="2437">
          <cell r="A2437" t="str">
            <v>23-02-02-0126</v>
          </cell>
          <cell r="B2437">
            <v>0</v>
          </cell>
          <cell r="C2437" t="str">
            <v xml:space="preserve">  NADEEM PERVAIZ CORP</v>
          </cell>
          <cell r="D2437">
            <v>0</v>
          </cell>
          <cell r="E2437">
            <v>0</v>
          </cell>
          <cell r="F2437">
            <v>0</v>
          </cell>
          <cell r="G2437">
            <v>0</v>
          </cell>
        </row>
        <row r="2438">
          <cell r="A2438" t="str">
            <v>23-02-02-0127</v>
          </cell>
          <cell r="B2438">
            <v>0</v>
          </cell>
          <cell r="C2438" t="str">
            <v xml:space="preserve">  SHOAIB MODEL IND</v>
          </cell>
          <cell r="D2438">
            <v>0</v>
          </cell>
          <cell r="E2438">
            <v>0</v>
          </cell>
          <cell r="F2438">
            <v>0</v>
          </cell>
          <cell r="G2438">
            <v>0</v>
          </cell>
        </row>
        <row r="2439">
          <cell r="A2439" t="str">
            <v>23-02-02-0128</v>
          </cell>
          <cell r="B2439">
            <v>0</v>
          </cell>
          <cell r="C2439" t="str">
            <v xml:space="preserve">  REHMANIA ENTERPRISES</v>
          </cell>
          <cell r="D2439">
            <v>0</v>
          </cell>
          <cell r="E2439">
            <v>0</v>
          </cell>
          <cell r="F2439">
            <v>0</v>
          </cell>
          <cell r="G2439">
            <v>0</v>
          </cell>
        </row>
        <row r="2440">
          <cell r="A2440" t="str">
            <v>23-02-02-0129</v>
          </cell>
          <cell r="B2440">
            <v>0</v>
          </cell>
          <cell r="C2440" t="str">
            <v xml:space="preserve">  SHADAB GINNING IND (PVT) LTD.</v>
          </cell>
          <cell r="D2440">
            <v>0</v>
          </cell>
          <cell r="E2440">
            <v>0</v>
          </cell>
          <cell r="F2440">
            <v>0</v>
          </cell>
          <cell r="G2440">
            <v>0</v>
          </cell>
        </row>
        <row r="2441">
          <cell r="A2441" t="str">
            <v>23-02-02-0130</v>
          </cell>
          <cell r="B2441">
            <v>0</v>
          </cell>
          <cell r="C2441" t="str">
            <v xml:space="preserve">  DECENT COTTON GINNERS G/P &amp; OIL MILLS</v>
          </cell>
          <cell r="D2441">
            <v>0</v>
          </cell>
          <cell r="E2441">
            <v>0</v>
          </cell>
          <cell r="F2441">
            <v>0</v>
          </cell>
          <cell r="G2441">
            <v>0</v>
          </cell>
        </row>
        <row r="2442">
          <cell r="A2442" t="str">
            <v>23-02-02-0131</v>
          </cell>
          <cell r="B2442">
            <v>0</v>
          </cell>
          <cell r="C2442" t="str">
            <v xml:space="preserve">  ALI GINNING INDUSTRIES (PVT) LTD.</v>
          </cell>
          <cell r="D2442">
            <v>0</v>
          </cell>
          <cell r="E2442">
            <v>0</v>
          </cell>
          <cell r="F2442">
            <v>0</v>
          </cell>
          <cell r="G2442">
            <v>0</v>
          </cell>
        </row>
        <row r="2443">
          <cell r="A2443" t="str">
            <v>23-02-02-0132</v>
          </cell>
          <cell r="B2443">
            <v>0</v>
          </cell>
          <cell r="C2443" t="str">
            <v xml:space="preserve">  AL-KARAM COTTON &amp; OIL IND</v>
          </cell>
          <cell r="D2443">
            <v>0</v>
          </cell>
          <cell r="E2443">
            <v>0</v>
          </cell>
          <cell r="F2443">
            <v>0</v>
          </cell>
          <cell r="G2443">
            <v>0</v>
          </cell>
        </row>
        <row r="2444">
          <cell r="A2444" t="str">
            <v>23-02-02-0133</v>
          </cell>
          <cell r="B2444">
            <v>0</v>
          </cell>
          <cell r="C2444" t="str">
            <v xml:space="preserve">  ANMOL COTTON INDUSTRIES</v>
          </cell>
          <cell r="D2444">
            <v>0</v>
          </cell>
          <cell r="E2444">
            <v>0</v>
          </cell>
          <cell r="F2444">
            <v>0</v>
          </cell>
          <cell r="G2444">
            <v>0</v>
          </cell>
        </row>
        <row r="2445">
          <cell r="A2445" t="str">
            <v>23-02-02-0134</v>
          </cell>
          <cell r="B2445">
            <v>0</v>
          </cell>
          <cell r="C2445" t="str">
            <v xml:space="preserve">  AL-YASRAB COTTON FACTORY</v>
          </cell>
          <cell r="D2445">
            <v>0</v>
          </cell>
          <cell r="E2445">
            <v>0</v>
          </cell>
          <cell r="F2445">
            <v>0</v>
          </cell>
          <cell r="G2445">
            <v>0</v>
          </cell>
        </row>
        <row r="2446">
          <cell r="A2446" t="str">
            <v>23-02-02-0135</v>
          </cell>
          <cell r="B2446">
            <v>0</v>
          </cell>
          <cell r="C2446" t="str">
            <v xml:space="preserve">  MUSTAFA MUSA COTTON GINNERS</v>
          </cell>
          <cell r="D2446">
            <v>0</v>
          </cell>
          <cell r="E2446">
            <v>0</v>
          </cell>
          <cell r="F2446">
            <v>0</v>
          </cell>
          <cell r="G2446">
            <v>0</v>
          </cell>
        </row>
        <row r="2447">
          <cell r="A2447" t="str">
            <v>23-02-02-0136</v>
          </cell>
          <cell r="B2447">
            <v>0</v>
          </cell>
          <cell r="C2447" t="str">
            <v xml:space="preserve">  BAJWA MODEL COTTON GINNING &amp; PRESSING</v>
          </cell>
          <cell r="D2447">
            <v>0</v>
          </cell>
          <cell r="E2447">
            <v>0</v>
          </cell>
          <cell r="F2447">
            <v>0</v>
          </cell>
          <cell r="G2447">
            <v>0</v>
          </cell>
        </row>
        <row r="2448">
          <cell r="A2448" t="str">
            <v>23-02-02-0137</v>
          </cell>
          <cell r="B2448">
            <v>0</v>
          </cell>
          <cell r="C2448" t="str">
            <v xml:space="preserve">  AL-KARAM COTTON GINNERS</v>
          </cell>
          <cell r="D2448">
            <v>0</v>
          </cell>
          <cell r="E2448">
            <v>0</v>
          </cell>
          <cell r="F2448">
            <v>0</v>
          </cell>
          <cell r="G2448">
            <v>0</v>
          </cell>
        </row>
        <row r="2449">
          <cell r="A2449" t="str">
            <v>23-02-02-0138</v>
          </cell>
          <cell r="B2449">
            <v>0</v>
          </cell>
          <cell r="C2449" t="str">
            <v xml:space="preserve">  MOHSIN GINNING MODEL</v>
          </cell>
          <cell r="D2449">
            <v>0</v>
          </cell>
          <cell r="E2449">
            <v>0</v>
          </cell>
          <cell r="F2449">
            <v>0</v>
          </cell>
          <cell r="G2449">
            <v>0</v>
          </cell>
        </row>
        <row r="2450">
          <cell r="A2450" t="str">
            <v>23-02-02-0139</v>
          </cell>
          <cell r="B2450">
            <v>0</v>
          </cell>
          <cell r="C2450" t="str">
            <v xml:space="preserve">  ZAIN COTTON INDUSTRIES &amp; OIL MILLS</v>
          </cell>
          <cell r="D2450">
            <v>0</v>
          </cell>
          <cell r="E2450">
            <v>0</v>
          </cell>
          <cell r="F2450">
            <v>0</v>
          </cell>
          <cell r="G2450">
            <v>0</v>
          </cell>
        </row>
        <row r="2451">
          <cell r="A2451" t="str">
            <v>23-02-02-0140</v>
          </cell>
          <cell r="B2451">
            <v>0</v>
          </cell>
          <cell r="C2451" t="str">
            <v xml:space="preserve">  SHADAB COTTON FACTORY YAZMAN</v>
          </cell>
          <cell r="D2451">
            <v>0</v>
          </cell>
          <cell r="E2451">
            <v>0</v>
          </cell>
          <cell r="F2451">
            <v>0</v>
          </cell>
          <cell r="G2451">
            <v>0</v>
          </cell>
        </row>
        <row r="2452">
          <cell r="A2452" t="str">
            <v>23-02-02-0141</v>
          </cell>
          <cell r="B2452">
            <v>0</v>
          </cell>
          <cell r="C2452" t="str">
            <v xml:space="preserve">  AL-MURTAZA COTTON INDUSTRIES (PVT) LTD</v>
          </cell>
          <cell r="D2452">
            <v>0</v>
          </cell>
          <cell r="E2452">
            <v>0</v>
          </cell>
          <cell r="F2452">
            <v>0</v>
          </cell>
          <cell r="G2452">
            <v>0</v>
          </cell>
        </row>
        <row r="2453">
          <cell r="A2453" t="str">
            <v>23-02-02-0142</v>
          </cell>
          <cell r="B2453">
            <v>0</v>
          </cell>
          <cell r="C2453" t="str">
            <v xml:space="preserve">  ARAIN BROTHERS COTTON GINNER'S</v>
          </cell>
          <cell r="D2453">
            <v>0</v>
          </cell>
          <cell r="E2453">
            <v>0</v>
          </cell>
          <cell r="F2453">
            <v>0</v>
          </cell>
          <cell r="G2453">
            <v>0</v>
          </cell>
        </row>
        <row r="2454">
          <cell r="A2454" t="str">
            <v>23-02-02-0143</v>
          </cell>
          <cell r="B2454">
            <v>0</v>
          </cell>
          <cell r="C2454" t="str">
            <v xml:space="preserve">  AL-REHMAN MODEL INDUSTRIES</v>
          </cell>
          <cell r="D2454">
            <v>0</v>
          </cell>
          <cell r="E2454">
            <v>0</v>
          </cell>
          <cell r="F2454">
            <v>0</v>
          </cell>
          <cell r="G2454">
            <v>0</v>
          </cell>
        </row>
        <row r="2455">
          <cell r="A2455" t="str">
            <v>23-02-02-0144</v>
          </cell>
          <cell r="B2455">
            <v>0</v>
          </cell>
          <cell r="C2455" t="str">
            <v xml:space="preserve">  ZAFAR COTTON INDUSTRIES</v>
          </cell>
          <cell r="D2455">
            <v>0</v>
          </cell>
          <cell r="E2455">
            <v>0</v>
          </cell>
          <cell r="F2455">
            <v>0</v>
          </cell>
          <cell r="G2455">
            <v>0</v>
          </cell>
        </row>
        <row r="2456">
          <cell r="A2456" t="str">
            <v>23-02-02-0145</v>
          </cell>
          <cell r="B2456">
            <v>0</v>
          </cell>
          <cell r="C2456" t="str">
            <v xml:space="preserve">  SHABBIR GINNING &amp; OIL IND. (PVT) LTD</v>
          </cell>
          <cell r="D2456">
            <v>0</v>
          </cell>
          <cell r="E2456">
            <v>0</v>
          </cell>
          <cell r="F2456">
            <v>0</v>
          </cell>
          <cell r="G2456">
            <v>0</v>
          </cell>
        </row>
        <row r="2457">
          <cell r="A2457" t="str">
            <v>23-02-02-0146</v>
          </cell>
          <cell r="B2457">
            <v>0</v>
          </cell>
          <cell r="C2457" t="str">
            <v xml:space="preserve">  AFZAAL AMEER COTTON GINNERS</v>
          </cell>
          <cell r="D2457">
            <v>0</v>
          </cell>
          <cell r="E2457">
            <v>0</v>
          </cell>
          <cell r="F2457">
            <v>0</v>
          </cell>
          <cell r="G2457">
            <v>0</v>
          </cell>
        </row>
        <row r="2458">
          <cell r="A2458" t="str">
            <v>23-02-02-0147</v>
          </cell>
          <cell r="B2458">
            <v>0</v>
          </cell>
          <cell r="C2458" t="str">
            <v xml:space="preserve">  UMER JAMSHAID COTTON G/P FACTORY</v>
          </cell>
          <cell r="D2458">
            <v>0</v>
          </cell>
          <cell r="E2458">
            <v>0</v>
          </cell>
          <cell r="F2458">
            <v>0</v>
          </cell>
          <cell r="G2458">
            <v>0</v>
          </cell>
        </row>
        <row r="2459">
          <cell r="A2459" t="str">
            <v>23-02-02-0148</v>
          </cell>
          <cell r="B2459">
            <v>0</v>
          </cell>
          <cell r="C2459" t="str">
            <v xml:space="preserve">  MOON COTTON INDUSTRIES (PVT) LTD.</v>
          </cell>
          <cell r="D2459">
            <v>0</v>
          </cell>
          <cell r="E2459">
            <v>0</v>
          </cell>
          <cell r="F2459">
            <v>0</v>
          </cell>
          <cell r="G2459">
            <v>0</v>
          </cell>
        </row>
        <row r="2460">
          <cell r="A2460" t="str">
            <v>23-02-02-0149</v>
          </cell>
          <cell r="B2460">
            <v>0</v>
          </cell>
          <cell r="C2460" t="str">
            <v xml:space="preserve">  NEELAM COTTON INDUSTRIES.</v>
          </cell>
          <cell r="D2460">
            <v>0</v>
          </cell>
          <cell r="E2460">
            <v>0</v>
          </cell>
          <cell r="F2460">
            <v>0</v>
          </cell>
          <cell r="G2460">
            <v>0</v>
          </cell>
        </row>
        <row r="2461">
          <cell r="A2461" t="str">
            <v>23-02-02-0150</v>
          </cell>
          <cell r="B2461">
            <v>0</v>
          </cell>
          <cell r="C2461" t="str">
            <v xml:space="preserve">  TAHIR COTTON FACTORY</v>
          </cell>
          <cell r="D2461">
            <v>0</v>
          </cell>
          <cell r="E2461">
            <v>0</v>
          </cell>
          <cell r="F2461">
            <v>0</v>
          </cell>
          <cell r="G2461">
            <v>0</v>
          </cell>
        </row>
        <row r="2462">
          <cell r="A2462" t="str">
            <v>23-02-02-0151</v>
          </cell>
          <cell r="B2462">
            <v>0</v>
          </cell>
          <cell r="C2462" t="str">
            <v xml:space="preserve">  HAJI MUHAMMAD SIDDIQ COTTON GINNER'S</v>
          </cell>
          <cell r="D2462">
            <v>0</v>
          </cell>
          <cell r="E2462">
            <v>0</v>
          </cell>
          <cell r="F2462">
            <v>0</v>
          </cell>
          <cell r="G2462">
            <v>0</v>
          </cell>
        </row>
        <row r="2463">
          <cell r="A2463" t="str">
            <v>23-02-02-0152</v>
          </cell>
          <cell r="B2463">
            <v>0</v>
          </cell>
          <cell r="C2463" t="str">
            <v xml:space="preserve">  ZAHEER COTTON FACTORY</v>
          </cell>
          <cell r="D2463">
            <v>0</v>
          </cell>
          <cell r="E2463">
            <v>0</v>
          </cell>
          <cell r="F2463">
            <v>0</v>
          </cell>
          <cell r="G2463">
            <v>0</v>
          </cell>
        </row>
        <row r="2464">
          <cell r="A2464" t="str">
            <v>23-02-02-0153</v>
          </cell>
          <cell r="B2464">
            <v>0</v>
          </cell>
          <cell r="C2464" t="str">
            <v xml:space="preserve">  NASRULLAH BROTHER'S COTTON GINNER'S</v>
          </cell>
          <cell r="D2464">
            <v>0</v>
          </cell>
          <cell r="E2464">
            <v>0</v>
          </cell>
          <cell r="F2464">
            <v>0</v>
          </cell>
          <cell r="G2464">
            <v>0</v>
          </cell>
        </row>
        <row r="2465">
          <cell r="A2465" t="str">
            <v>23-02-02-0154</v>
          </cell>
          <cell r="B2465">
            <v>0</v>
          </cell>
          <cell r="C2465" t="str">
            <v xml:space="preserve">  NOOR HAYAT COTTON GINNER'S</v>
          </cell>
          <cell r="D2465">
            <v>0</v>
          </cell>
          <cell r="E2465">
            <v>0</v>
          </cell>
          <cell r="F2465">
            <v>0</v>
          </cell>
          <cell r="G2465">
            <v>0</v>
          </cell>
        </row>
        <row r="2466">
          <cell r="A2466" t="str">
            <v>23-02-02-0155</v>
          </cell>
          <cell r="B2466">
            <v>0</v>
          </cell>
          <cell r="C2466" t="str">
            <v xml:space="preserve">  KHAWER BALOCH SEED INDUSTRIES</v>
          </cell>
          <cell r="D2466">
            <v>0</v>
          </cell>
          <cell r="E2466">
            <v>0</v>
          </cell>
          <cell r="F2466">
            <v>0</v>
          </cell>
          <cell r="G2466">
            <v>0</v>
          </cell>
        </row>
        <row r="2467">
          <cell r="A2467" t="str">
            <v>23-02-02-0156</v>
          </cell>
          <cell r="B2467">
            <v>0</v>
          </cell>
          <cell r="C2467" t="str">
            <v xml:space="preserve">  ABDUL QAYYUM COTTON INDUSTRIES</v>
          </cell>
          <cell r="D2467">
            <v>0</v>
          </cell>
          <cell r="E2467">
            <v>0</v>
          </cell>
          <cell r="F2467">
            <v>0</v>
          </cell>
          <cell r="G2467">
            <v>0</v>
          </cell>
        </row>
        <row r="2468">
          <cell r="A2468" t="str">
            <v>23-02-02-0157</v>
          </cell>
          <cell r="B2468">
            <v>0</v>
          </cell>
          <cell r="C2468" t="str">
            <v xml:space="preserve">  AFZAL COTTON GINNER'S</v>
          </cell>
          <cell r="D2468">
            <v>0</v>
          </cell>
          <cell r="E2468">
            <v>0</v>
          </cell>
          <cell r="F2468">
            <v>0</v>
          </cell>
          <cell r="G2468">
            <v>0</v>
          </cell>
        </row>
        <row r="2469">
          <cell r="A2469" t="str">
            <v>23-02-02-0158</v>
          </cell>
          <cell r="B2469">
            <v>0</v>
          </cell>
          <cell r="C2469" t="str">
            <v xml:space="preserve">  CHOULISTAN COTTON FACTORY</v>
          </cell>
          <cell r="D2469">
            <v>0</v>
          </cell>
          <cell r="E2469">
            <v>0</v>
          </cell>
          <cell r="F2469">
            <v>0</v>
          </cell>
          <cell r="G2469">
            <v>0</v>
          </cell>
        </row>
        <row r="2470">
          <cell r="A2470" t="str">
            <v>23-02-02-0159</v>
          </cell>
          <cell r="B2470">
            <v>0</v>
          </cell>
          <cell r="C2470" t="str">
            <v xml:space="preserve">  MADINA COTTON G/P FACTORY (GARH MAHARA</v>
          </cell>
          <cell r="D2470">
            <v>0</v>
          </cell>
          <cell r="E2470">
            <v>0</v>
          </cell>
          <cell r="F2470">
            <v>0</v>
          </cell>
          <cell r="G2470">
            <v>0</v>
          </cell>
        </row>
        <row r="2471">
          <cell r="A2471" t="str">
            <v>23-02-02-0160</v>
          </cell>
          <cell r="B2471">
            <v>0</v>
          </cell>
          <cell r="C2471" t="str">
            <v xml:space="preserve">  ITTEFAQ CORPORATION</v>
          </cell>
          <cell r="D2471">
            <v>0</v>
          </cell>
          <cell r="E2471">
            <v>0</v>
          </cell>
          <cell r="F2471">
            <v>0</v>
          </cell>
          <cell r="G2471">
            <v>0</v>
          </cell>
        </row>
        <row r="2472">
          <cell r="A2472" t="str">
            <v>23-02-02-0161</v>
          </cell>
          <cell r="B2472">
            <v>0</v>
          </cell>
          <cell r="C2472" t="str">
            <v xml:space="preserve">  NATIONAL INDUSTRIES</v>
          </cell>
          <cell r="D2472">
            <v>0</v>
          </cell>
          <cell r="E2472">
            <v>0</v>
          </cell>
          <cell r="F2472">
            <v>0</v>
          </cell>
          <cell r="G2472">
            <v>0</v>
          </cell>
        </row>
        <row r="2473">
          <cell r="A2473" t="str">
            <v>23-02-02-0162</v>
          </cell>
          <cell r="B2473">
            <v>0</v>
          </cell>
          <cell r="C2473" t="str">
            <v xml:space="preserve">  DAHA BROTHER'S COTTON G/P FACTORY</v>
          </cell>
          <cell r="D2473">
            <v>0</v>
          </cell>
          <cell r="E2473">
            <v>0</v>
          </cell>
          <cell r="F2473">
            <v>0</v>
          </cell>
          <cell r="G2473">
            <v>0</v>
          </cell>
        </row>
        <row r="2474">
          <cell r="A2474" t="str">
            <v>23-02-02-0163</v>
          </cell>
          <cell r="B2474">
            <v>0</v>
          </cell>
          <cell r="C2474" t="str">
            <v xml:space="preserve">  NAJAF COTTON IND.G/P &amp; OIL MILLS ALI P</v>
          </cell>
          <cell r="D2474">
            <v>0</v>
          </cell>
          <cell r="E2474">
            <v>0</v>
          </cell>
          <cell r="F2474">
            <v>0</v>
          </cell>
          <cell r="G2474">
            <v>0</v>
          </cell>
        </row>
        <row r="2475">
          <cell r="A2475" t="str">
            <v>23-02-02-0164</v>
          </cell>
          <cell r="B2475">
            <v>0</v>
          </cell>
          <cell r="C2475" t="str">
            <v xml:space="preserve">  MIAN SONS COTTON FACTORY (PVT) LTD</v>
          </cell>
          <cell r="D2475">
            <v>0</v>
          </cell>
          <cell r="E2475">
            <v>0</v>
          </cell>
          <cell r="F2475">
            <v>0</v>
          </cell>
          <cell r="G2475">
            <v>0</v>
          </cell>
        </row>
        <row r="2476">
          <cell r="A2476" t="str">
            <v>23-02-02-0165</v>
          </cell>
          <cell r="B2476">
            <v>0</v>
          </cell>
          <cell r="C2476" t="str">
            <v xml:space="preserve">  AL-REHMAN COTTON INDUSTRIES</v>
          </cell>
          <cell r="D2476">
            <v>0</v>
          </cell>
          <cell r="E2476">
            <v>0</v>
          </cell>
          <cell r="F2476">
            <v>0</v>
          </cell>
          <cell r="G2476">
            <v>0</v>
          </cell>
        </row>
        <row r="2477">
          <cell r="A2477" t="str">
            <v>23-02-02-0166</v>
          </cell>
          <cell r="B2477">
            <v>0</v>
          </cell>
          <cell r="C2477" t="str">
            <v xml:space="preserve">  CHOUDHRY BROTHER'S COTTON G/P FACTORY</v>
          </cell>
          <cell r="D2477">
            <v>0</v>
          </cell>
          <cell r="E2477">
            <v>0</v>
          </cell>
          <cell r="F2477">
            <v>0</v>
          </cell>
          <cell r="G2477">
            <v>0</v>
          </cell>
        </row>
        <row r="2478">
          <cell r="A2478" t="str">
            <v>23-02-02-0167</v>
          </cell>
          <cell r="B2478">
            <v>0</v>
          </cell>
          <cell r="C2478" t="str">
            <v xml:space="preserve">  RANA COTTON GINNER'S</v>
          </cell>
          <cell r="D2478">
            <v>0</v>
          </cell>
          <cell r="E2478">
            <v>0</v>
          </cell>
          <cell r="F2478">
            <v>0</v>
          </cell>
          <cell r="G2478">
            <v>0</v>
          </cell>
        </row>
        <row r="2479">
          <cell r="A2479" t="str">
            <v>23-02-02-0168</v>
          </cell>
          <cell r="B2479">
            <v>0</v>
          </cell>
          <cell r="C2479" t="str">
            <v xml:space="preserve">  SAFDAR NOOR COTTON FACTORY</v>
          </cell>
          <cell r="D2479">
            <v>0</v>
          </cell>
          <cell r="E2479">
            <v>0</v>
          </cell>
          <cell r="F2479">
            <v>0</v>
          </cell>
          <cell r="G2479">
            <v>0</v>
          </cell>
        </row>
        <row r="2480">
          <cell r="A2480" t="str">
            <v>23-02-02-0169</v>
          </cell>
          <cell r="B2480">
            <v>0</v>
          </cell>
          <cell r="C2480" t="str">
            <v xml:space="preserve">  FATIMA COTTON GINNING &amp; PRESSING FACTO</v>
          </cell>
          <cell r="D2480">
            <v>0</v>
          </cell>
          <cell r="E2480">
            <v>0</v>
          </cell>
          <cell r="F2480">
            <v>0</v>
          </cell>
          <cell r="G2480">
            <v>0</v>
          </cell>
        </row>
        <row r="2481">
          <cell r="A2481" t="str">
            <v>23-02-02-0170</v>
          </cell>
          <cell r="B2481">
            <v>0</v>
          </cell>
          <cell r="C2481" t="str">
            <v xml:space="preserve">  NOOR HAYAT COTTON INDUSTRIES (ALIPUR)</v>
          </cell>
          <cell r="D2481">
            <v>0</v>
          </cell>
          <cell r="E2481">
            <v>0</v>
          </cell>
          <cell r="F2481">
            <v>0</v>
          </cell>
          <cell r="G2481">
            <v>0</v>
          </cell>
        </row>
        <row r="2482">
          <cell r="A2482" t="str">
            <v>23-02-02-0171</v>
          </cell>
          <cell r="B2482">
            <v>0</v>
          </cell>
          <cell r="C2482" t="str">
            <v xml:space="preserve">  AWAN COTTON GINNERS (KOT ADDU)</v>
          </cell>
          <cell r="D2482">
            <v>0</v>
          </cell>
          <cell r="E2482">
            <v>0</v>
          </cell>
          <cell r="F2482">
            <v>0</v>
          </cell>
          <cell r="G2482">
            <v>0</v>
          </cell>
        </row>
        <row r="2483">
          <cell r="A2483" t="str">
            <v>23-02-02-0172</v>
          </cell>
          <cell r="B2483">
            <v>0</v>
          </cell>
          <cell r="C2483" t="str">
            <v xml:space="preserve">  KHAN BROTHERS COTTON INDUSTRIES (ALIPU</v>
          </cell>
          <cell r="D2483">
            <v>0</v>
          </cell>
          <cell r="E2483">
            <v>0</v>
          </cell>
          <cell r="F2483">
            <v>0</v>
          </cell>
          <cell r="G2483">
            <v>0</v>
          </cell>
        </row>
        <row r="2484">
          <cell r="A2484" t="str">
            <v>23-02-02-0173</v>
          </cell>
          <cell r="B2484">
            <v>0</v>
          </cell>
          <cell r="C2484" t="str">
            <v xml:space="preserve">  BHATTI COTTON FACTORY (ALIPUR)</v>
          </cell>
          <cell r="D2484">
            <v>0</v>
          </cell>
          <cell r="E2484">
            <v>0</v>
          </cell>
          <cell r="F2484">
            <v>0</v>
          </cell>
          <cell r="G2484">
            <v>0</v>
          </cell>
        </row>
        <row r="2485">
          <cell r="A2485" t="str">
            <v>23-02-02-0174</v>
          </cell>
          <cell r="B2485">
            <v>0</v>
          </cell>
          <cell r="C2485" t="str">
            <v xml:space="preserve">  AL - RAZA INDUSTRIES (ALIPUR)</v>
          </cell>
          <cell r="D2485">
            <v>0</v>
          </cell>
          <cell r="E2485">
            <v>0</v>
          </cell>
          <cell r="F2485">
            <v>0</v>
          </cell>
          <cell r="G2485">
            <v>0</v>
          </cell>
        </row>
        <row r="2486">
          <cell r="A2486" t="str">
            <v>23-02-02-0175</v>
          </cell>
          <cell r="B2486">
            <v>0</v>
          </cell>
          <cell r="C2486" t="str">
            <v xml:space="preserve">  ZAFFAR COTTON INDUSTRIES (ALIPUR)</v>
          </cell>
          <cell r="D2486">
            <v>0</v>
          </cell>
          <cell r="E2486">
            <v>0</v>
          </cell>
          <cell r="F2486">
            <v>0</v>
          </cell>
          <cell r="G2486">
            <v>0</v>
          </cell>
        </row>
        <row r="2487">
          <cell r="A2487" t="str">
            <v>23-02-02-0176</v>
          </cell>
          <cell r="B2487">
            <v>0</v>
          </cell>
          <cell r="C2487" t="str">
            <v xml:space="preserve">  AL - SIRAT COTTON FACTORY</v>
          </cell>
          <cell r="D2487">
            <v>0</v>
          </cell>
          <cell r="E2487">
            <v>0</v>
          </cell>
          <cell r="F2487">
            <v>0</v>
          </cell>
          <cell r="G2487">
            <v>0</v>
          </cell>
        </row>
        <row r="2488">
          <cell r="A2488" t="str">
            <v>23-02-02-0177</v>
          </cell>
          <cell r="B2488">
            <v>0</v>
          </cell>
          <cell r="C2488" t="str">
            <v xml:space="preserve">  FEROZA COTTON GINNING PRESSING OIL MIL</v>
          </cell>
          <cell r="D2488">
            <v>0</v>
          </cell>
          <cell r="E2488">
            <v>0</v>
          </cell>
          <cell r="F2488">
            <v>0</v>
          </cell>
          <cell r="G2488">
            <v>0</v>
          </cell>
        </row>
        <row r="2489">
          <cell r="A2489" t="str">
            <v>23-02-02-0178</v>
          </cell>
          <cell r="B2489">
            <v>0</v>
          </cell>
          <cell r="C2489" t="str">
            <v xml:space="preserve">  BAJWA BROTHER'S COTTON G/P FACTORY</v>
          </cell>
          <cell r="D2489">
            <v>0</v>
          </cell>
          <cell r="E2489">
            <v>0</v>
          </cell>
          <cell r="F2489">
            <v>0</v>
          </cell>
          <cell r="G2489">
            <v>0</v>
          </cell>
        </row>
        <row r="2490">
          <cell r="A2490" t="str">
            <v>23-02-02-0179</v>
          </cell>
          <cell r="B2490">
            <v>0</v>
          </cell>
          <cell r="C2490" t="str">
            <v xml:space="preserve">  KOT ADDU INDUS COTTON INDUSTRIES (SHAD</v>
          </cell>
          <cell r="D2490">
            <v>0</v>
          </cell>
          <cell r="E2490">
            <v>0</v>
          </cell>
          <cell r="F2490">
            <v>0</v>
          </cell>
          <cell r="G2490">
            <v>0</v>
          </cell>
        </row>
        <row r="2491">
          <cell r="A2491" t="str">
            <v>23-02-02-0180</v>
          </cell>
          <cell r="B2491">
            <v>0</v>
          </cell>
          <cell r="C2491" t="str">
            <v xml:space="preserve">  AL HAIDER COTTON INDUSTRIES (KOT ADDU)</v>
          </cell>
          <cell r="D2491">
            <v>0</v>
          </cell>
          <cell r="E2491">
            <v>0</v>
          </cell>
          <cell r="F2491">
            <v>0</v>
          </cell>
          <cell r="G2491">
            <v>0</v>
          </cell>
        </row>
        <row r="2492">
          <cell r="A2492" t="str">
            <v>23-02-02-0181</v>
          </cell>
          <cell r="B2492">
            <v>0</v>
          </cell>
          <cell r="C2492" t="str">
            <v xml:space="preserve">  ZISHAN COTTON INDUSTRIES (ALIPUR)</v>
          </cell>
          <cell r="D2492">
            <v>0</v>
          </cell>
          <cell r="E2492">
            <v>0</v>
          </cell>
          <cell r="F2492">
            <v>0</v>
          </cell>
          <cell r="G2492">
            <v>0</v>
          </cell>
        </row>
        <row r="2493">
          <cell r="A2493" t="str">
            <v>23-02-02-0182</v>
          </cell>
          <cell r="B2493">
            <v>0</v>
          </cell>
          <cell r="C2493" t="str">
            <v xml:space="preserve">  AL-HUSSAIN COTTON GINNERS (UCH SHARIF)</v>
          </cell>
          <cell r="D2493">
            <v>0</v>
          </cell>
          <cell r="E2493">
            <v>0</v>
          </cell>
          <cell r="F2493">
            <v>0</v>
          </cell>
          <cell r="G2493">
            <v>0</v>
          </cell>
        </row>
        <row r="2494">
          <cell r="A2494" t="str">
            <v>23-02-02-0183</v>
          </cell>
          <cell r="B2494">
            <v>0</v>
          </cell>
          <cell r="C2494" t="str">
            <v xml:space="preserve">  SHAKIR EIJAZ ENTERPRISES (ALIPUR 1)</v>
          </cell>
          <cell r="D2494">
            <v>0</v>
          </cell>
          <cell r="E2494">
            <v>0</v>
          </cell>
          <cell r="F2494">
            <v>0</v>
          </cell>
          <cell r="G2494">
            <v>0</v>
          </cell>
        </row>
        <row r="2495">
          <cell r="A2495" t="str">
            <v>23-02-02-0184</v>
          </cell>
          <cell r="B2495">
            <v>0</v>
          </cell>
          <cell r="C2495" t="str">
            <v xml:space="preserve">  SHAKIR EIJAZ ENTERPRISES (JATOI 2)</v>
          </cell>
          <cell r="D2495">
            <v>0</v>
          </cell>
          <cell r="E2495">
            <v>0</v>
          </cell>
          <cell r="F2495">
            <v>0</v>
          </cell>
          <cell r="G2495">
            <v>0</v>
          </cell>
        </row>
        <row r="2496">
          <cell r="A2496" t="str">
            <v>23-02-02-0185</v>
          </cell>
          <cell r="B2496">
            <v>0</v>
          </cell>
          <cell r="C2496" t="str">
            <v xml:space="preserve">  NEW AL-KHAIR COTTON GINNERS &amp; OIL MILL</v>
          </cell>
          <cell r="D2496">
            <v>0</v>
          </cell>
          <cell r="E2496">
            <v>0</v>
          </cell>
          <cell r="F2496">
            <v>0</v>
          </cell>
          <cell r="G2496">
            <v>0</v>
          </cell>
        </row>
        <row r="2497">
          <cell r="A2497" t="str">
            <v>23-02-02-0186</v>
          </cell>
          <cell r="B2497">
            <v>0</v>
          </cell>
          <cell r="C2497" t="str">
            <v xml:space="preserve">  ASSK-SEEDS COTTON</v>
          </cell>
          <cell r="D2497">
            <v>0</v>
          </cell>
          <cell r="E2497">
            <v>0</v>
          </cell>
          <cell r="F2497">
            <v>0</v>
          </cell>
          <cell r="G2497">
            <v>0</v>
          </cell>
        </row>
        <row r="2498">
          <cell r="A2498" t="str">
            <v>23-02-02-0187</v>
          </cell>
          <cell r="B2498">
            <v>0</v>
          </cell>
          <cell r="C2498" t="str">
            <v xml:space="preserve">  AHBAB COTTON FACTORY</v>
          </cell>
          <cell r="D2498">
            <v>0</v>
          </cell>
          <cell r="E2498">
            <v>0</v>
          </cell>
          <cell r="F2498">
            <v>0</v>
          </cell>
          <cell r="G2498">
            <v>0</v>
          </cell>
        </row>
        <row r="2499">
          <cell r="A2499" t="str">
            <v>23-02-02-0188</v>
          </cell>
          <cell r="B2499">
            <v>0</v>
          </cell>
          <cell r="C2499" t="str">
            <v xml:space="preserve">  MASTOI COTTON FACTORY</v>
          </cell>
          <cell r="D2499">
            <v>0</v>
          </cell>
          <cell r="E2499">
            <v>0</v>
          </cell>
          <cell r="F2499">
            <v>0</v>
          </cell>
          <cell r="G2499">
            <v>0</v>
          </cell>
        </row>
        <row r="2500">
          <cell r="A2500" t="str">
            <v>23-02-02-0189</v>
          </cell>
          <cell r="B2500">
            <v>0</v>
          </cell>
          <cell r="C2500" t="str">
            <v xml:space="preserve">  CHEEMA BROTHERS COTTON GINNER</v>
          </cell>
          <cell r="D2500">
            <v>0</v>
          </cell>
          <cell r="E2500">
            <v>0</v>
          </cell>
          <cell r="F2500">
            <v>0</v>
          </cell>
          <cell r="G2500">
            <v>0</v>
          </cell>
        </row>
        <row r="2501">
          <cell r="A2501" t="str">
            <v>23-02-02-0190</v>
          </cell>
          <cell r="B2501">
            <v>0</v>
          </cell>
          <cell r="C2501" t="str">
            <v xml:space="preserve">  ROOMI COTTON GINNING IND (PVT) LTD</v>
          </cell>
          <cell r="D2501">
            <v>0</v>
          </cell>
          <cell r="E2501">
            <v>0</v>
          </cell>
          <cell r="F2501">
            <v>0</v>
          </cell>
          <cell r="G2501">
            <v>0</v>
          </cell>
        </row>
        <row r="2502">
          <cell r="A2502" t="str">
            <v>23-02-02-0191</v>
          </cell>
          <cell r="B2502">
            <v>0</v>
          </cell>
          <cell r="C2502" t="str">
            <v xml:space="preserve">  AL-AZIZ COTTON GINNERS</v>
          </cell>
          <cell r="D2502">
            <v>0</v>
          </cell>
          <cell r="E2502">
            <v>0</v>
          </cell>
          <cell r="F2502">
            <v>0</v>
          </cell>
          <cell r="G2502">
            <v>0</v>
          </cell>
        </row>
        <row r="2503">
          <cell r="A2503" t="str">
            <v>23-02-02-0192</v>
          </cell>
          <cell r="B2503">
            <v>0</v>
          </cell>
          <cell r="C2503" t="str">
            <v xml:space="preserve">  KHAN BROTHERS COTTON G/P &amp; OIL MILLS L</v>
          </cell>
          <cell r="D2503">
            <v>0</v>
          </cell>
          <cell r="E2503">
            <v>0</v>
          </cell>
          <cell r="F2503">
            <v>0</v>
          </cell>
          <cell r="G2503">
            <v>0</v>
          </cell>
        </row>
        <row r="2504">
          <cell r="A2504" t="str">
            <v>23-02-02-0193</v>
          </cell>
          <cell r="B2504">
            <v>0</v>
          </cell>
          <cell r="C2504" t="str">
            <v xml:space="preserve">  PANJNAD C / IND (PVT) LTD</v>
          </cell>
          <cell r="D2504">
            <v>0</v>
          </cell>
          <cell r="E2504">
            <v>0</v>
          </cell>
          <cell r="F2504">
            <v>0</v>
          </cell>
          <cell r="G2504">
            <v>0</v>
          </cell>
        </row>
        <row r="2505">
          <cell r="A2505" t="str">
            <v>23-02-02-0194</v>
          </cell>
          <cell r="B2505">
            <v>0</v>
          </cell>
          <cell r="C2505" t="str">
            <v xml:space="preserve">  AL-QADIR COTTON FACTORY</v>
          </cell>
          <cell r="D2505">
            <v>0</v>
          </cell>
          <cell r="E2505">
            <v>0</v>
          </cell>
          <cell r="F2505">
            <v>0</v>
          </cell>
          <cell r="G2505">
            <v>0</v>
          </cell>
        </row>
        <row r="2506">
          <cell r="A2506" t="str">
            <v>23-02-02-0195</v>
          </cell>
          <cell r="B2506">
            <v>0</v>
          </cell>
          <cell r="C2506" t="str">
            <v xml:space="preserve">  ABDUL RASHID COTTON FACTORY</v>
          </cell>
          <cell r="D2506">
            <v>0</v>
          </cell>
          <cell r="E2506">
            <v>0</v>
          </cell>
          <cell r="F2506">
            <v>0</v>
          </cell>
          <cell r="G2506">
            <v>0</v>
          </cell>
        </row>
        <row r="2507">
          <cell r="A2507" t="str">
            <v>23-02-02-0196</v>
          </cell>
          <cell r="B2507">
            <v>0</v>
          </cell>
          <cell r="C2507" t="str">
            <v xml:space="preserve">  KARIM COTTON GINNERS</v>
          </cell>
          <cell r="D2507">
            <v>0</v>
          </cell>
          <cell r="E2507">
            <v>0</v>
          </cell>
          <cell r="F2507">
            <v>0</v>
          </cell>
          <cell r="G2507">
            <v>0</v>
          </cell>
        </row>
        <row r="2508">
          <cell r="A2508" t="str">
            <v>23-02-02-0197</v>
          </cell>
          <cell r="B2508">
            <v>0</v>
          </cell>
          <cell r="C2508" t="str">
            <v xml:space="preserve">  MIAN &amp; COMPANY C/G</v>
          </cell>
          <cell r="D2508">
            <v>0</v>
          </cell>
          <cell r="E2508">
            <v>0</v>
          </cell>
          <cell r="F2508">
            <v>0</v>
          </cell>
          <cell r="G2508">
            <v>0</v>
          </cell>
        </row>
        <row r="2509">
          <cell r="A2509" t="str">
            <v>23-02-02-0198</v>
          </cell>
          <cell r="B2509">
            <v>0</v>
          </cell>
          <cell r="C2509" t="str">
            <v xml:space="preserve">  ABD-UL-KHALIQ &amp; CO. C/G</v>
          </cell>
          <cell r="D2509">
            <v>0</v>
          </cell>
          <cell r="E2509">
            <v>0</v>
          </cell>
          <cell r="F2509">
            <v>0</v>
          </cell>
          <cell r="G2509">
            <v>0</v>
          </cell>
        </row>
        <row r="2510">
          <cell r="A2510" t="str">
            <v>23-02-02-0199</v>
          </cell>
          <cell r="B2510">
            <v>0</v>
          </cell>
          <cell r="C2510" t="str">
            <v xml:space="preserve">  CHANAB C/G</v>
          </cell>
          <cell r="D2510">
            <v>0</v>
          </cell>
          <cell r="E2510">
            <v>0</v>
          </cell>
          <cell r="F2510">
            <v>0</v>
          </cell>
          <cell r="G2510">
            <v>0</v>
          </cell>
        </row>
        <row r="2511">
          <cell r="A2511" t="str">
            <v>23-02-02-0200</v>
          </cell>
          <cell r="B2511">
            <v>0</v>
          </cell>
          <cell r="C2511" t="str">
            <v xml:space="preserve">  CHANAB C/G UNIT-2</v>
          </cell>
          <cell r="D2511">
            <v>0</v>
          </cell>
          <cell r="E2511">
            <v>0</v>
          </cell>
          <cell r="F2511">
            <v>0</v>
          </cell>
          <cell r="G2511">
            <v>0</v>
          </cell>
        </row>
        <row r="2512">
          <cell r="A2512" t="str">
            <v>23-02-02-0201</v>
          </cell>
          <cell r="B2512">
            <v>0</v>
          </cell>
          <cell r="C2512" t="str">
            <v xml:space="preserve">  WAQAS FAREED C/G</v>
          </cell>
          <cell r="D2512">
            <v>0</v>
          </cell>
          <cell r="E2512">
            <v>0</v>
          </cell>
          <cell r="F2512">
            <v>0</v>
          </cell>
          <cell r="G2512">
            <v>0</v>
          </cell>
        </row>
        <row r="2513">
          <cell r="A2513" t="str">
            <v>23-02-02-0202</v>
          </cell>
          <cell r="B2513">
            <v>0</v>
          </cell>
          <cell r="C2513" t="str">
            <v xml:space="preserve">  MIAN MOHD. SHARIF CHAWLA SONS (PVT) LT</v>
          </cell>
          <cell r="D2513">
            <v>0</v>
          </cell>
          <cell r="E2513">
            <v>0</v>
          </cell>
          <cell r="F2513">
            <v>0</v>
          </cell>
          <cell r="G2513">
            <v>0</v>
          </cell>
        </row>
        <row r="2514">
          <cell r="A2514" t="str">
            <v>23-02-02-0203</v>
          </cell>
          <cell r="B2514">
            <v>0</v>
          </cell>
          <cell r="C2514" t="str">
            <v xml:space="preserve">  YOUNIS BROTHERS C/G</v>
          </cell>
          <cell r="D2514">
            <v>0</v>
          </cell>
          <cell r="E2514">
            <v>0</v>
          </cell>
          <cell r="F2514">
            <v>0</v>
          </cell>
          <cell r="G2514">
            <v>0</v>
          </cell>
        </row>
        <row r="2515">
          <cell r="A2515" t="str">
            <v>23-02-02-0204</v>
          </cell>
          <cell r="B2515">
            <v>0</v>
          </cell>
          <cell r="C2515" t="str">
            <v xml:space="preserve">  MAHR COTTON GINNER (KEHRORE PACCA)</v>
          </cell>
          <cell r="D2515">
            <v>0</v>
          </cell>
          <cell r="E2515">
            <v>0</v>
          </cell>
          <cell r="F2515">
            <v>0</v>
          </cell>
          <cell r="G2515">
            <v>0</v>
          </cell>
        </row>
        <row r="2516">
          <cell r="A2516" t="str">
            <v>23-02-02-0205</v>
          </cell>
          <cell r="B2516">
            <v>0</v>
          </cell>
          <cell r="C2516" t="str">
            <v xml:space="preserve">  MAKHDOOM COTTON GINNERS (FAZAL PUR)</v>
          </cell>
          <cell r="D2516">
            <v>0</v>
          </cell>
          <cell r="E2516">
            <v>0</v>
          </cell>
          <cell r="F2516">
            <v>0</v>
          </cell>
          <cell r="G2516">
            <v>0</v>
          </cell>
        </row>
        <row r="2517">
          <cell r="A2517" t="str">
            <v>23-02-02-0206</v>
          </cell>
          <cell r="B2517">
            <v>0</v>
          </cell>
          <cell r="C2517" t="str">
            <v xml:space="preserve">  ANMOL COTTON INDUSTRIES.</v>
          </cell>
          <cell r="D2517">
            <v>0</v>
          </cell>
          <cell r="E2517">
            <v>0</v>
          </cell>
          <cell r="F2517">
            <v>0</v>
          </cell>
          <cell r="G2517">
            <v>0</v>
          </cell>
        </row>
        <row r="2518">
          <cell r="A2518" t="str">
            <v>23-02-02-0207</v>
          </cell>
          <cell r="B2518">
            <v>0</v>
          </cell>
          <cell r="C2518" t="str">
            <v xml:space="preserve">  PUNJAB COTTON INDUSTRIES</v>
          </cell>
          <cell r="D2518">
            <v>0</v>
          </cell>
          <cell r="E2518">
            <v>0</v>
          </cell>
          <cell r="F2518">
            <v>0</v>
          </cell>
          <cell r="G2518">
            <v>0</v>
          </cell>
        </row>
        <row r="2519">
          <cell r="A2519" t="str">
            <v>23-02-02-0208</v>
          </cell>
          <cell r="B2519">
            <v>0</v>
          </cell>
          <cell r="C2519" t="str">
            <v xml:space="preserve">  YASRAB MODEL COTTON &amp; OIL MILLS.</v>
          </cell>
          <cell r="D2519">
            <v>0</v>
          </cell>
          <cell r="E2519">
            <v>0</v>
          </cell>
          <cell r="F2519">
            <v>0</v>
          </cell>
          <cell r="G2519">
            <v>0</v>
          </cell>
        </row>
        <row r="2520">
          <cell r="A2520" t="str">
            <v>23-02-02-0209</v>
          </cell>
          <cell r="B2520">
            <v>0</v>
          </cell>
          <cell r="C2520" t="str">
            <v xml:space="preserve">  AMJED FAROOQ COTTON INDUSTRIES (D.G KH</v>
          </cell>
          <cell r="D2520">
            <v>0</v>
          </cell>
          <cell r="E2520">
            <v>0</v>
          </cell>
          <cell r="F2520">
            <v>0</v>
          </cell>
          <cell r="G2520">
            <v>0</v>
          </cell>
        </row>
        <row r="2521">
          <cell r="A2521" t="str">
            <v>23-02-02-0210</v>
          </cell>
          <cell r="B2521">
            <v>0</v>
          </cell>
          <cell r="C2521" t="str">
            <v xml:space="preserve">  NET COT (PVT) LTD. ALIPUR</v>
          </cell>
          <cell r="D2521">
            <v>0</v>
          </cell>
          <cell r="E2521">
            <v>0</v>
          </cell>
          <cell r="F2521">
            <v>0</v>
          </cell>
          <cell r="G2521">
            <v>0</v>
          </cell>
        </row>
        <row r="2522">
          <cell r="A2522" t="str">
            <v>23-02-02-0211</v>
          </cell>
          <cell r="B2522">
            <v>0</v>
          </cell>
          <cell r="C2522" t="str">
            <v xml:space="preserve">  SULEMAN HAMID C/I</v>
          </cell>
          <cell r="D2522">
            <v>0</v>
          </cell>
          <cell r="E2522">
            <v>0</v>
          </cell>
          <cell r="F2522">
            <v>0</v>
          </cell>
          <cell r="G2522">
            <v>0</v>
          </cell>
        </row>
        <row r="2523">
          <cell r="A2523" t="str">
            <v>23-02-02-0212</v>
          </cell>
          <cell r="B2523">
            <v>0</v>
          </cell>
          <cell r="C2523" t="str">
            <v xml:space="preserve">  MACCA COTTON INDUSTRIES</v>
          </cell>
          <cell r="D2523">
            <v>0</v>
          </cell>
          <cell r="E2523">
            <v>0</v>
          </cell>
          <cell r="F2523">
            <v>0</v>
          </cell>
          <cell r="G2523">
            <v>0</v>
          </cell>
        </row>
        <row r="2524">
          <cell r="A2524" t="str">
            <v>23-02-02-0213</v>
          </cell>
          <cell r="B2524">
            <v>0</v>
          </cell>
          <cell r="C2524" t="str">
            <v xml:space="preserve">  ITTEHAD COTTON GINNERS</v>
          </cell>
          <cell r="D2524">
            <v>0</v>
          </cell>
          <cell r="E2524">
            <v>0</v>
          </cell>
          <cell r="F2524">
            <v>0</v>
          </cell>
          <cell r="G2524">
            <v>0</v>
          </cell>
        </row>
        <row r="2525">
          <cell r="A2525" t="str">
            <v>23-02-02-0214</v>
          </cell>
          <cell r="B2525">
            <v>0</v>
          </cell>
          <cell r="C2525" t="str">
            <v xml:space="preserve">  ASIF COTTON GINNERS</v>
          </cell>
          <cell r="D2525">
            <v>0</v>
          </cell>
          <cell r="E2525">
            <v>0</v>
          </cell>
          <cell r="F2525">
            <v>0</v>
          </cell>
          <cell r="G2525">
            <v>0</v>
          </cell>
        </row>
        <row r="2526">
          <cell r="A2526" t="str">
            <v>23-02-02-0215</v>
          </cell>
          <cell r="B2526">
            <v>0</v>
          </cell>
          <cell r="C2526" t="str">
            <v xml:space="preserve">  MAKKAH COTTON INDUSTRIES</v>
          </cell>
          <cell r="D2526">
            <v>0</v>
          </cell>
          <cell r="E2526">
            <v>0</v>
          </cell>
          <cell r="F2526">
            <v>0</v>
          </cell>
          <cell r="G2526">
            <v>0</v>
          </cell>
        </row>
        <row r="2527">
          <cell r="A2527" t="str">
            <v>23-02-02-0216</v>
          </cell>
          <cell r="B2527">
            <v>0</v>
          </cell>
          <cell r="C2527" t="str">
            <v xml:space="preserve">  SIRAJ BROTHER C/G</v>
          </cell>
          <cell r="D2527">
            <v>0</v>
          </cell>
          <cell r="E2527">
            <v>0</v>
          </cell>
          <cell r="F2527">
            <v>0</v>
          </cell>
          <cell r="G2527">
            <v>0</v>
          </cell>
        </row>
        <row r="2528">
          <cell r="A2528" t="str">
            <v>23-02-02-0217</v>
          </cell>
          <cell r="B2528">
            <v>0</v>
          </cell>
          <cell r="C2528" t="str">
            <v xml:space="preserve">  KHAIR MOHD INDUSTRIES</v>
          </cell>
          <cell r="D2528">
            <v>0</v>
          </cell>
          <cell r="E2528">
            <v>0</v>
          </cell>
          <cell r="F2528">
            <v>0</v>
          </cell>
          <cell r="G2528">
            <v>0</v>
          </cell>
        </row>
        <row r="2529">
          <cell r="A2529" t="str">
            <v>23-02-02-0218</v>
          </cell>
          <cell r="B2529">
            <v>0</v>
          </cell>
          <cell r="C2529" t="str">
            <v xml:space="preserve">  KARIM SARWAR COTTON FACT (MUHAMMAD PUR</v>
          </cell>
          <cell r="D2529">
            <v>0</v>
          </cell>
          <cell r="E2529">
            <v>0</v>
          </cell>
          <cell r="F2529">
            <v>0</v>
          </cell>
          <cell r="G2529">
            <v>0</v>
          </cell>
        </row>
        <row r="2530">
          <cell r="A2530" t="str">
            <v>23-02-02-0219</v>
          </cell>
          <cell r="B2530">
            <v>0</v>
          </cell>
          <cell r="C2530" t="str">
            <v xml:space="preserve">  FAISAL WAQAS COTTON INDUSTRIES (PVT) L</v>
          </cell>
          <cell r="D2530">
            <v>0</v>
          </cell>
          <cell r="E2530">
            <v>0</v>
          </cell>
          <cell r="F2530">
            <v>0</v>
          </cell>
          <cell r="G2530">
            <v>0</v>
          </cell>
        </row>
        <row r="2531">
          <cell r="A2531" t="str">
            <v>23-02-02-0220</v>
          </cell>
          <cell r="B2531">
            <v>0</v>
          </cell>
          <cell r="C2531" t="str">
            <v xml:space="preserve">  AL-HAMD COTTON INDUSTRIES</v>
          </cell>
          <cell r="D2531">
            <v>0</v>
          </cell>
          <cell r="E2531">
            <v>1823293.32</v>
          </cell>
          <cell r="F2531">
            <v>0</v>
          </cell>
          <cell r="G2531">
            <v>0</v>
          </cell>
        </row>
        <row r="2532">
          <cell r="A2532" t="str">
            <v>23-02-02-0221</v>
          </cell>
          <cell r="B2532">
            <v>0</v>
          </cell>
          <cell r="C2532" t="str">
            <v xml:space="preserve">  HAJI FAIZ MOHD &amp; SONS (PVT) LTD.</v>
          </cell>
          <cell r="D2532">
            <v>0</v>
          </cell>
          <cell r="E2532">
            <v>0</v>
          </cell>
          <cell r="F2532">
            <v>0</v>
          </cell>
          <cell r="G2532">
            <v>0</v>
          </cell>
        </row>
        <row r="2533">
          <cell r="A2533" t="str">
            <v>23-02-02-0222</v>
          </cell>
          <cell r="B2533">
            <v>0</v>
          </cell>
          <cell r="C2533" t="str">
            <v xml:space="preserve">  GOJRA COTTON GINNING</v>
          </cell>
          <cell r="D2533">
            <v>0</v>
          </cell>
          <cell r="E2533">
            <v>0</v>
          </cell>
          <cell r="F2533">
            <v>0</v>
          </cell>
          <cell r="G2533">
            <v>0</v>
          </cell>
        </row>
        <row r="2534">
          <cell r="A2534" t="str">
            <v>23-02-02-0223</v>
          </cell>
          <cell r="B2534">
            <v>0</v>
          </cell>
          <cell r="C2534" t="str">
            <v xml:space="preserve">  AZMAT COTTON INDUSTRIES</v>
          </cell>
          <cell r="D2534">
            <v>0</v>
          </cell>
          <cell r="E2534">
            <v>0</v>
          </cell>
          <cell r="F2534">
            <v>0</v>
          </cell>
          <cell r="G2534">
            <v>0</v>
          </cell>
        </row>
        <row r="2535">
          <cell r="A2535" t="str">
            <v>23-02-02-0224</v>
          </cell>
          <cell r="B2535">
            <v>0</v>
          </cell>
          <cell r="C2535" t="str">
            <v xml:space="preserve">  NASIR IQBAL COTTON INDUSTRIES (RAJANPU</v>
          </cell>
          <cell r="D2535">
            <v>0</v>
          </cell>
          <cell r="E2535">
            <v>0</v>
          </cell>
          <cell r="F2535">
            <v>0</v>
          </cell>
          <cell r="G2535">
            <v>0</v>
          </cell>
        </row>
        <row r="2536">
          <cell r="A2536" t="str">
            <v>23-02-02-0225</v>
          </cell>
          <cell r="B2536">
            <v>0</v>
          </cell>
          <cell r="C2536" t="str">
            <v xml:space="preserve">  DRASHAK COTTON INDUSTRIES (RAJANPUR)</v>
          </cell>
          <cell r="D2536">
            <v>0</v>
          </cell>
          <cell r="E2536">
            <v>0</v>
          </cell>
          <cell r="F2536">
            <v>0</v>
          </cell>
          <cell r="G2536">
            <v>0</v>
          </cell>
        </row>
        <row r="2537">
          <cell r="A2537" t="str">
            <v>23-02-02-0226</v>
          </cell>
          <cell r="B2537">
            <v>0</v>
          </cell>
          <cell r="C2537" t="str">
            <v xml:space="preserve">  BISMILLAH COTTON INDUSTRIES (RAJANPUR)</v>
          </cell>
          <cell r="D2537">
            <v>0</v>
          </cell>
          <cell r="E2537">
            <v>0</v>
          </cell>
          <cell r="F2537">
            <v>0</v>
          </cell>
          <cell r="G2537">
            <v>0</v>
          </cell>
        </row>
        <row r="2538">
          <cell r="A2538" t="str">
            <v>23-02-02-0227</v>
          </cell>
          <cell r="B2538">
            <v>0</v>
          </cell>
          <cell r="C2538" t="str">
            <v xml:space="preserve">  RASOOL MODEL INDUSTRIES (PVT) LIMITED</v>
          </cell>
          <cell r="D2538">
            <v>0</v>
          </cell>
          <cell r="E2538">
            <v>0</v>
          </cell>
          <cell r="F2538">
            <v>0</v>
          </cell>
          <cell r="G2538">
            <v>0</v>
          </cell>
        </row>
        <row r="2539">
          <cell r="A2539" t="str">
            <v>23-02-02-0228</v>
          </cell>
          <cell r="B2539">
            <v>0</v>
          </cell>
          <cell r="C2539" t="str">
            <v xml:space="preserve">  MILLAT COTTON GINNERS (FAZAL PUR)</v>
          </cell>
          <cell r="D2539">
            <v>0</v>
          </cell>
          <cell r="E2539">
            <v>0</v>
          </cell>
          <cell r="F2539">
            <v>0</v>
          </cell>
          <cell r="G2539">
            <v>0</v>
          </cell>
        </row>
        <row r="2540">
          <cell r="A2540" t="str">
            <v>23-02-02-0229</v>
          </cell>
          <cell r="B2540">
            <v>0</v>
          </cell>
          <cell r="C2540" t="str">
            <v xml:space="preserve">  RAMZAN COTTON FACTORY (FAZAL PUR)</v>
          </cell>
          <cell r="D2540">
            <v>0</v>
          </cell>
          <cell r="E2540">
            <v>0</v>
          </cell>
          <cell r="F2540">
            <v>0</v>
          </cell>
          <cell r="G2540">
            <v>0</v>
          </cell>
        </row>
        <row r="2541">
          <cell r="A2541" t="str">
            <v>23-02-02-0230</v>
          </cell>
          <cell r="B2541">
            <v>0</v>
          </cell>
          <cell r="C2541" t="str">
            <v xml:space="preserve">  NOOR HAYAT COTTON INDUSTRIES (FAZAL PU</v>
          </cell>
          <cell r="D2541">
            <v>0</v>
          </cell>
          <cell r="E2541">
            <v>0</v>
          </cell>
          <cell r="F2541">
            <v>0</v>
          </cell>
          <cell r="G2541">
            <v>0</v>
          </cell>
        </row>
        <row r="2542">
          <cell r="A2542" t="str">
            <v>23-02-02-0231</v>
          </cell>
          <cell r="B2542">
            <v>0</v>
          </cell>
          <cell r="C2542" t="str">
            <v xml:space="preserve">  KHAWAR BALOUCH COTTON INDUSTRIES RAJNP</v>
          </cell>
          <cell r="D2542">
            <v>0</v>
          </cell>
          <cell r="E2542">
            <v>0</v>
          </cell>
          <cell r="F2542">
            <v>0</v>
          </cell>
          <cell r="G2542">
            <v>0</v>
          </cell>
        </row>
        <row r="2543">
          <cell r="A2543" t="str">
            <v>23-02-02-0232</v>
          </cell>
          <cell r="B2543">
            <v>0</v>
          </cell>
          <cell r="C2543" t="str">
            <v xml:space="preserve">  NOOR TUFAIL COTTON INDUSTRIES(RAJAN PU</v>
          </cell>
          <cell r="D2543">
            <v>0</v>
          </cell>
          <cell r="E2543">
            <v>0</v>
          </cell>
          <cell r="F2543">
            <v>0</v>
          </cell>
          <cell r="G2543">
            <v>0</v>
          </cell>
        </row>
        <row r="2544">
          <cell r="A2544" t="str">
            <v>23-02-02-0233</v>
          </cell>
          <cell r="B2544">
            <v>0</v>
          </cell>
          <cell r="C2544" t="str">
            <v xml:space="preserve">  ZAMINDAR COTTON INDUSTRIES</v>
          </cell>
          <cell r="D2544">
            <v>0</v>
          </cell>
          <cell r="E2544">
            <v>0</v>
          </cell>
          <cell r="F2544">
            <v>0</v>
          </cell>
          <cell r="G2544">
            <v>0</v>
          </cell>
        </row>
        <row r="2545">
          <cell r="A2545" t="str">
            <v>23-02-02-0234</v>
          </cell>
          <cell r="B2545">
            <v>0</v>
          </cell>
          <cell r="C2545" t="str">
            <v xml:space="preserve">  KHAWAJA FAREED COTTON FACTORY (PVT) LT</v>
          </cell>
          <cell r="D2545">
            <v>0</v>
          </cell>
          <cell r="E2545">
            <v>0</v>
          </cell>
          <cell r="F2545">
            <v>0</v>
          </cell>
          <cell r="G2545">
            <v>0</v>
          </cell>
        </row>
        <row r="2546">
          <cell r="A2546" t="str">
            <v>23-02-02-0235</v>
          </cell>
          <cell r="B2546">
            <v>0</v>
          </cell>
          <cell r="C2546" t="str">
            <v xml:space="preserve">  MILLAT COTTON GINNERS</v>
          </cell>
          <cell r="D2546">
            <v>0</v>
          </cell>
          <cell r="E2546">
            <v>0</v>
          </cell>
          <cell r="F2546">
            <v>0</v>
          </cell>
          <cell r="G2546">
            <v>0</v>
          </cell>
        </row>
        <row r="2547">
          <cell r="A2547" t="str">
            <v>23-02-02-0236</v>
          </cell>
          <cell r="B2547">
            <v>0</v>
          </cell>
          <cell r="C2547" t="str">
            <v xml:space="preserve">  RAMZAN COTTON FACTORY</v>
          </cell>
          <cell r="D2547">
            <v>0</v>
          </cell>
          <cell r="E2547">
            <v>0</v>
          </cell>
          <cell r="F2547">
            <v>0</v>
          </cell>
          <cell r="G2547">
            <v>0</v>
          </cell>
        </row>
        <row r="2548">
          <cell r="A2548" t="str">
            <v>23-02-02-0237</v>
          </cell>
          <cell r="B2548">
            <v>0</v>
          </cell>
          <cell r="C2548" t="str">
            <v xml:space="preserve">  INAM COTTON INDUSTRIES (KOT ADDU)</v>
          </cell>
          <cell r="D2548">
            <v>0</v>
          </cell>
          <cell r="E2548">
            <v>0</v>
          </cell>
          <cell r="F2548">
            <v>0</v>
          </cell>
          <cell r="G2548">
            <v>0</v>
          </cell>
        </row>
        <row r="2549">
          <cell r="A2549" t="str">
            <v>23-02-02-0238</v>
          </cell>
          <cell r="B2549">
            <v>0</v>
          </cell>
          <cell r="C2549" t="str">
            <v xml:space="preserve">  YASRAB MODEL COTTON (RAJAN PUR)</v>
          </cell>
          <cell r="D2549">
            <v>0</v>
          </cell>
          <cell r="E2549">
            <v>0</v>
          </cell>
          <cell r="F2549">
            <v>0</v>
          </cell>
          <cell r="G2549">
            <v>0</v>
          </cell>
        </row>
        <row r="2550">
          <cell r="A2550" t="str">
            <v>23-02-02-0239</v>
          </cell>
          <cell r="B2550">
            <v>0</v>
          </cell>
          <cell r="C2550" t="str">
            <v xml:space="preserve">  ZAMINDARA COTTON INDUSTRIES (RAJAN PUR</v>
          </cell>
          <cell r="D2550">
            <v>0</v>
          </cell>
          <cell r="E2550">
            <v>0</v>
          </cell>
          <cell r="F2550">
            <v>0</v>
          </cell>
          <cell r="G2550">
            <v>0</v>
          </cell>
        </row>
        <row r="2551">
          <cell r="A2551" t="str">
            <v>23-02-02-0240</v>
          </cell>
          <cell r="B2551">
            <v>0</v>
          </cell>
          <cell r="C2551" t="str">
            <v xml:space="preserve">  HUSSAIN COTTON GINNERS</v>
          </cell>
          <cell r="D2551">
            <v>0</v>
          </cell>
          <cell r="E2551">
            <v>0</v>
          </cell>
          <cell r="F2551">
            <v>0</v>
          </cell>
          <cell r="G2551">
            <v>0</v>
          </cell>
        </row>
        <row r="2552">
          <cell r="A2552" t="str">
            <v>23-02-02-0241</v>
          </cell>
          <cell r="B2552">
            <v>0</v>
          </cell>
          <cell r="C2552" t="str">
            <v xml:space="preserve">  MASOOD &amp; COMPANY</v>
          </cell>
          <cell r="D2552">
            <v>0</v>
          </cell>
          <cell r="E2552">
            <v>0</v>
          </cell>
          <cell r="F2552">
            <v>0</v>
          </cell>
          <cell r="G2552">
            <v>0</v>
          </cell>
        </row>
        <row r="2553">
          <cell r="A2553" t="str">
            <v>23-02-02-0242</v>
          </cell>
          <cell r="B2553">
            <v>0</v>
          </cell>
          <cell r="C2553" t="str">
            <v xml:space="preserve">  ZISHAN COTTON FACTORY (RAJAN PUR)</v>
          </cell>
          <cell r="D2553">
            <v>0</v>
          </cell>
          <cell r="E2553">
            <v>0</v>
          </cell>
          <cell r="F2553">
            <v>0</v>
          </cell>
          <cell r="G2553">
            <v>0</v>
          </cell>
        </row>
        <row r="2554">
          <cell r="A2554" t="str">
            <v>23-02-02-0243</v>
          </cell>
          <cell r="B2554">
            <v>0</v>
          </cell>
          <cell r="C2554" t="str">
            <v xml:space="preserve">  ZIA &amp; CO.</v>
          </cell>
          <cell r="D2554">
            <v>0</v>
          </cell>
          <cell r="E2554">
            <v>0</v>
          </cell>
          <cell r="F2554">
            <v>0</v>
          </cell>
          <cell r="G2554">
            <v>0</v>
          </cell>
        </row>
        <row r="2555">
          <cell r="A2555" t="str">
            <v>23-02-02-0244</v>
          </cell>
          <cell r="B2555">
            <v>0</v>
          </cell>
          <cell r="C2555" t="str">
            <v xml:space="preserve">  IQRA COTTON INDUSTRIES</v>
          </cell>
          <cell r="D2555">
            <v>0</v>
          </cell>
          <cell r="E2555">
            <v>0</v>
          </cell>
          <cell r="F2555">
            <v>0</v>
          </cell>
          <cell r="G2555">
            <v>0</v>
          </cell>
        </row>
        <row r="2556">
          <cell r="A2556" t="str">
            <v>23-02-02-0245</v>
          </cell>
          <cell r="B2556">
            <v>0</v>
          </cell>
          <cell r="C2556" t="str">
            <v xml:space="preserve">  CHALLENGE COTTON INDUSTRIES</v>
          </cell>
          <cell r="D2556">
            <v>0</v>
          </cell>
          <cell r="E2556">
            <v>0</v>
          </cell>
          <cell r="F2556">
            <v>0</v>
          </cell>
          <cell r="G2556">
            <v>0</v>
          </cell>
        </row>
        <row r="2557">
          <cell r="A2557" t="str">
            <v>23-02-02-0246</v>
          </cell>
          <cell r="B2557">
            <v>0</v>
          </cell>
          <cell r="C2557" t="str">
            <v xml:space="preserve">  TARIQ ZAHOOR COTTON GINNERS</v>
          </cell>
          <cell r="D2557">
            <v>0</v>
          </cell>
          <cell r="E2557">
            <v>0</v>
          </cell>
          <cell r="F2557">
            <v>0</v>
          </cell>
          <cell r="G2557">
            <v>0</v>
          </cell>
        </row>
        <row r="2558">
          <cell r="A2558" t="str">
            <v>23-02-02-0247</v>
          </cell>
          <cell r="B2558">
            <v>0</v>
          </cell>
          <cell r="C2558" t="str">
            <v xml:space="preserve">  AKRAMIA COTTON FACTORY</v>
          </cell>
          <cell r="D2558">
            <v>0</v>
          </cell>
          <cell r="E2558">
            <v>0</v>
          </cell>
          <cell r="F2558">
            <v>0</v>
          </cell>
          <cell r="G2558">
            <v>0</v>
          </cell>
        </row>
        <row r="2559">
          <cell r="A2559" t="str">
            <v>23-02-02-0248</v>
          </cell>
          <cell r="B2559">
            <v>0</v>
          </cell>
          <cell r="C2559" t="str">
            <v xml:space="preserve">  KHAN BROTHERS COTTON FACTORY UNIT 2</v>
          </cell>
          <cell r="D2559">
            <v>0</v>
          </cell>
          <cell r="E2559">
            <v>0</v>
          </cell>
          <cell r="F2559">
            <v>0</v>
          </cell>
          <cell r="G2559">
            <v>0</v>
          </cell>
        </row>
        <row r="2560">
          <cell r="A2560" t="str">
            <v>23-02-02-0249</v>
          </cell>
          <cell r="B2560">
            <v>0</v>
          </cell>
          <cell r="C2560" t="str">
            <v xml:space="preserve">  DATA COTTON GINNERS (FAZIL PUR)</v>
          </cell>
          <cell r="D2560">
            <v>0</v>
          </cell>
          <cell r="E2560">
            <v>0</v>
          </cell>
          <cell r="F2560">
            <v>0</v>
          </cell>
          <cell r="G2560">
            <v>0</v>
          </cell>
        </row>
        <row r="2561">
          <cell r="A2561" t="str">
            <v>23-02-02-0250</v>
          </cell>
          <cell r="B2561">
            <v>0</v>
          </cell>
          <cell r="C2561" t="str">
            <v xml:space="preserve">  AL - HASSAN COTTON GINNERS</v>
          </cell>
          <cell r="D2561">
            <v>0</v>
          </cell>
          <cell r="E2561">
            <v>0</v>
          </cell>
          <cell r="F2561">
            <v>0</v>
          </cell>
          <cell r="G2561">
            <v>0</v>
          </cell>
        </row>
        <row r="2562">
          <cell r="A2562" t="str">
            <v>23-02-02-0251</v>
          </cell>
          <cell r="B2562">
            <v>0</v>
          </cell>
          <cell r="C2562" t="str">
            <v xml:space="preserve">  SHOUKAT DARWESH COTTON INDUSTRIES</v>
          </cell>
          <cell r="D2562">
            <v>0</v>
          </cell>
          <cell r="E2562">
            <v>0</v>
          </cell>
          <cell r="F2562">
            <v>0</v>
          </cell>
          <cell r="G2562">
            <v>0</v>
          </cell>
        </row>
        <row r="2563">
          <cell r="A2563" t="str">
            <v>23-02-02-0252</v>
          </cell>
          <cell r="B2563">
            <v>0</v>
          </cell>
          <cell r="C2563" t="str">
            <v xml:space="preserve">  MURID QADIR COTTON FACTORY</v>
          </cell>
          <cell r="D2563">
            <v>0</v>
          </cell>
          <cell r="E2563">
            <v>0</v>
          </cell>
          <cell r="F2563">
            <v>0</v>
          </cell>
          <cell r="G2563">
            <v>0</v>
          </cell>
        </row>
        <row r="2564">
          <cell r="A2564" t="str">
            <v>23-02-02-0253</v>
          </cell>
          <cell r="B2564">
            <v>0</v>
          </cell>
          <cell r="C2564" t="str">
            <v xml:space="preserve">  YASEEN ARSHAD INDUSTRIES</v>
          </cell>
          <cell r="D2564">
            <v>0</v>
          </cell>
          <cell r="E2564">
            <v>0</v>
          </cell>
          <cell r="F2564">
            <v>0</v>
          </cell>
          <cell r="G2564">
            <v>0</v>
          </cell>
        </row>
        <row r="2565">
          <cell r="A2565" t="str">
            <v>23-02-02-0254</v>
          </cell>
          <cell r="B2565">
            <v>0</v>
          </cell>
          <cell r="C2565" t="str">
            <v xml:space="preserve">  REHMAN COTTON INDUSTRIES (MUHAMMAD PUR</v>
          </cell>
          <cell r="D2565">
            <v>0</v>
          </cell>
          <cell r="E2565">
            <v>0</v>
          </cell>
          <cell r="F2565">
            <v>0</v>
          </cell>
          <cell r="G2565">
            <v>0</v>
          </cell>
        </row>
        <row r="2566">
          <cell r="A2566" t="str">
            <v>23-02-02-0255</v>
          </cell>
          <cell r="B2566">
            <v>0</v>
          </cell>
          <cell r="C2566" t="str">
            <v xml:space="preserve">  ATEEQ COTTON GINNER</v>
          </cell>
          <cell r="D2566">
            <v>0</v>
          </cell>
          <cell r="E2566">
            <v>0</v>
          </cell>
          <cell r="F2566">
            <v>0</v>
          </cell>
          <cell r="G2566">
            <v>0</v>
          </cell>
        </row>
        <row r="2567">
          <cell r="A2567" t="str">
            <v>23-02-02-0256</v>
          </cell>
          <cell r="B2567">
            <v>0</v>
          </cell>
          <cell r="C2567" t="str">
            <v xml:space="preserve">  EHSAN COTTON GINNER</v>
          </cell>
          <cell r="D2567">
            <v>0</v>
          </cell>
          <cell r="E2567">
            <v>0</v>
          </cell>
          <cell r="F2567">
            <v>0</v>
          </cell>
          <cell r="G2567">
            <v>0</v>
          </cell>
        </row>
        <row r="2568">
          <cell r="A2568" t="str">
            <v>23-02-02-0257</v>
          </cell>
          <cell r="B2568">
            <v>0</v>
          </cell>
          <cell r="C2568" t="str">
            <v xml:space="preserve">  ASIF COTTON GINNERS (MUHAMMED PUR)</v>
          </cell>
          <cell r="D2568">
            <v>0</v>
          </cell>
          <cell r="E2568">
            <v>0</v>
          </cell>
          <cell r="F2568">
            <v>0</v>
          </cell>
          <cell r="G2568">
            <v>0</v>
          </cell>
        </row>
        <row r="2569">
          <cell r="A2569" t="str">
            <v>23-02-02-0258</v>
          </cell>
          <cell r="B2569">
            <v>0</v>
          </cell>
          <cell r="C2569" t="str">
            <v xml:space="preserve">  HASSAN ZUBAIR COTTON INDUST (FAZAL PUR</v>
          </cell>
          <cell r="D2569">
            <v>0</v>
          </cell>
          <cell r="E2569">
            <v>0</v>
          </cell>
          <cell r="F2569">
            <v>0</v>
          </cell>
          <cell r="G2569">
            <v>0</v>
          </cell>
        </row>
        <row r="2570">
          <cell r="A2570" t="str">
            <v>23-02-02-0259</v>
          </cell>
          <cell r="B2570">
            <v>0</v>
          </cell>
          <cell r="C2570" t="str">
            <v xml:space="preserve">  FAYAZ COTTON INDUSTRIES (FAZAL PUR)</v>
          </cell>
          <cell r="D2570">
            <v>0</v>
          </cell>
          <cell r="E2570">
            <v>0</v>
          </cell>
          <cell r="F2570">
            <v>0</v>
          </cell>
          <cell r="G2570">
            <v>0</v>
          </cell>
        </row>
        <row r="2571">
          <cell r="A2571" t="str">
            <v>23-02-02-0260</v>
          </cell>
          <cell r="B2571">
            <v>0</v>
          </cell>
          <cell r="C2571" t="str">
            <v xml:space="preserve">  MANZOOR &amp; SONS (KOT ADDU)</v>
          </cell>
          <cell r="D2571">
            <v>0</v>
          </cell>
          <cell r="E2571">
            <v>0</v>
          </cell>
          <cell r="F2571">
            <v>0</v>
          </cell>
          <cell r="G2571">
            <v>0</v>
          </cell>
        </row>
        <row r="2572">
          <cell r="A2572" t="str">
            <v>23-02-02-0261</v>
          </cell>
          <cell r="B2572">
            <v>0</v>
          </cell>
          <cell r="C2572" t="str">
            <v xml:space="preserve">  KHAN ZADA COTTON INDUST (MUHAMMED PUR)</v>
          </cell>
          <cell r="D2572">
            <v>0</v>
          </cell>
          <cell r="E2572">
            <v>0</v>
          </cell>
          <cell r="F2572">
            <v>0</v>
          </cell>
          <cell r="G2572">
            <v>0</v>
          </cell>
        </row>
        <row r="2573">
          <cell r="A2573" t="str">
            <v>23-02-02-0262</v>
          </cell>
          <cell r="B2573">
            <v>0</v>
          </cell>
          <cell r="C2573" t="str">
            <v xml:space="preserve">  DECENT COTTON INDUSTRIES</v>
          </cell>
          <cell r="D2573">
            <v>0</v>
          </cell>
          <cell r="E2573">
            <v>0</v>
          </cell>
          <cell r="F2573">
            <v>0</v>
          </cell>
          <cell r="G2573">
            <v>0</v>
          </cell>
        </row>
        <row r="2574">
          <cell r="A2574" t="str">
            <v>23-02-02-0263</v>
          </cell>
          <cell r="B2574">
            <v>0</v>
          </cell>
          <cell r="C2574" t="str">
            <v xml:space="preserve">  NEW AMJAD FAROOQ COTTON INDUSTRIES</v>
          </cell>
          <cell r="D2574">
            <v>0</v>
          </cell>
          <cell r="E2574">
            <v>0</v>
          </cell>
          <cell r="F2574">
            <v>0</v>
          </cell>
          <cell r="G2574">
            <v>0</v>
          </cell>
        </row>
        <row r="2575">
          <cell r="A2575" t="str">
            <v>23-02-02-0264</v>
          </cell>
          <cell r="B2575">
            <v>0</v>
          </cell>
          <cell r="C2575" t="str">
            <v xml:space="preserve">  MOHSIN MODEL INDUSTRIES</v>
          </cell>
          <cell r="D2575">
            <v>0</v>
          </cell>
          <cell r="E2575">
            <v>0</v>
          </cell>
          <cell r="F2575">
            <v>0</v>
          </cell>
          <cell r="G2575">
            <v>0</v>
          </cell>
        </row>
        <row r="2576">
          <cell r="A2576" t="str">
            <v>23-02-02-0265</v>
          </cell>
          <cell r="B2576">
            <v>0</v>
          </cell>
          <cell r="C2576" t="str">
            <v xml:space="preserve">  AL-MANZOOR COTTON INDUSTRIES</v>
          </cell>
          <cell r="D2576">
            <v>0</v>
          </cell>
          <cell r="E2576">
            <v>0</v>
          </cell>
          <cell r="F2576">
            <v>0</v>
          </cell>
          <cell r="G2576">
            <v>0</v>
          </cell>
        </row>
        <row r="2577">
          <cell r="A2577" t="str">
            <v>23-02-02-0266</v>
          </cell>
          <cell r="B2577">
            <v>0</v>
          </cell>
          <cell r="C2577" t="str">
            <v xml:space="preserve">  VALI COTTON INDUSTRIES</v>
          </cell>
          <cell r="D2577">
            <v>0</v>
          </cell>
          <cell r="E2577">
            <v>0</v>
          </cell>
          <cell r="F2577">
            <v>0</v>
          </cell>
          <cell r="G2577">
            <v>0</v>
          </cell>
        </row>
        <row r="2578">
          <cell r="A2578" t="str">
            <v>23-02-02-0267</v>
          </cell>
          <cell r="B2578">
            <v>0</v>
          </cell>
          <cell r="C2578" t="str">
            <v xml:space="preserve">  WASEEM COTTON INDUSTRIES</v>
          </cell>
          <cell r="D2578">
            <v>0</v>
          </cell>
          <cell r="E2578">
            <v>0</v>
          </cell>
          <cell r="F2578">
            <v>0</v>
          </cell>
          <cell r="G2578">
            <v>0</v>
          </cell>
        </row>
        <row r="2579">
          <cell r="A2579" t="str">
            <v>23-02-02-0268</v>
          </cell>
          <cell r="B2579">
            <v>0</v>
          </cell>
          <cell r="C2579" t="str">
            <v xml:space="preserve">  AAMIR COTTON GINNERS</v>
          </cell>
          <cell r="D2579">
            <v>0</v>
          </cell>
          <cell r="E2579">
            <v>0</v>
          </cell>
          <cell r="F2579">
            <v>0</v>
          </cell>
          <cell r="G2579">
            <v>0</v>
          </cell>
        </row>
        <row r="2580">
          <cell r="A2580" t="str">
            <v>23-02-02-0269</v>
          </cell>
          <cell r="B2580">
            <v>0</v>
          </cell>
          <cell r="C2580" t="str">
            <v xml:space="preserve">  MUSLIM GINNING INDUSTRIES</v>
          </cell>
          <cell r="D2580">
            <v>0</v>
          </cell>
          <cell r="E2580">
            <v>0</v>
          </cell>
          <cell r="F2580">
            <v>0</v>
          </cell>
          <cell r="G2580">
            <v>0</v>
          </cell>
        </row>
        <row r="2581">
          <cell r="A2581" t="str">
            <v>23-02-02-0270</v>
          </cell>
          <cell r="B2581">
            <v>0</v>
          </cell>
          <cell r="C2581" t="str">
            <v xml:space="preserve">  PAK ASIA ENTERPRISES</v>
          </cell>
          <cell r="D2581">
            <v>0</v>
          </cell>
          <cell r="E2581">
            <v>0</v>
          </cell>
          <cell r="F2581">
            <v>0</v>
          </cell>
          <cell r="G2581">
            <v>0</v>
          </cell>
        </row>
        <row r="2582">
          <cell r="A2582" t="str">
            <v>23-02-02-0271</v>
          </cell>
          <cell r="B2582">
            <v>0</v>
          </cell>
          <cell r="C2582" t="str">
            <v xml:space="preserve">  FAZAL COTTON GINNERS (MUHAMMAD PUR)</v>
          </cell>
          <cell r="D2582">
            <v>0</v>
          </cell>
          <cell r="E2582">
            <v>0</v>
          </cell>
          <cell r="F2582">
            <v>0</v>
          </cell>
          <cell r="G2582">
            <v>0</v>
          </cell>
        </row>
        <row r="2583">
          <cell r="A2583" t="str">
            <v>23-02-02-0272</v>
          </cell>
          <cell r="B2583">
            <v>0</v>
          </cell>
          <cell r="C2583" t="str">
            <v xml:space="preserve">  AL-SAUDIA COTTON FACTORY (SHUJA ABAD)</v>
          </cell>
          <cell r="D2583">
            <v>0</v>
          </cell>
          <cell r="E2583">
            <v>0</v>
          </cell>
          <cell r="F2583">
            <v>0</v>
          </cell>
          <cell r="G2583">
            <v>0</v>
          </cell>
        </row>
        <row r="2584">
          <cell r="A2584" t="str">
            <v>23-02-02-0273</v>
          </cell>
          <cell r="B2584">
            <v>0</v>
          </cell>
          <cell r="C2584" t="str">
            <v xml:space="preserve">  SALMAN HAMID COTTON INDUS (RAJAN PUR)</v>
          </cell>
          <cell r="D2584">
            <v>0</v>
          </cell>
          <cell r="E2584">
            <v>0</v>
          </cell>
          <cell r="F2584">
            <v>0</v>
          </cell>
          <cell r="G2584">
            <v>0</v>
          </cell>
        </row>
        <row r="2585">
          <cell r="A2585" t="str">
            <v>23-02-02-0274</v>
          </cell>
          <cell r="B2585">
            <v>0</v>
          </cell>
          <cell r="C2585" t="str">
            <v xml:space="preserve">  IRSHAD YOUSUF INDUSTRIES (MUHAMMAD PUR</v>
          </cell>
          <cell r="D2585">
            <v>0</v>
          </cell>
          <cell r="E2585">
            <v>0</v>
          </cell>
          <cell r="F2585">
            <v>0</v>
          </cell>
          <cell r="G2585">
            <v>0</v>
          </cell>
        </row>
        <row r="2586">
          <cell r="A2586" t="str">
            <v>23-02-02-0275</v>
          </cell>
          <cell r="B2586">
            <v>0</v>
          </cell>
          <cell r="C2586" t="str">
            <v xml:space="preserve">  ABBAS COTTON FACTORY (BAHAWAL PUR)</v>
          </cell>
          <cell r="D2586">
            <v>0</v>
          </cell>
          <cell r="E2586">
            <v>0</v>
          </cell>
          <cell r="F2586">
            <v>0</v>
          </cell>
          <cell r="G2586">
            <v>0</v>
          </cell>
        </row>
        <row r="2587">
          <cell r="A2587" t="str">
            <v>23-02-02-0276</v>
          </cell>
          <cell r="B2587">
            <v>0</v>
          </cell>
          <cell r="C2587" t="str">
            <v xml:space="preserve">  DERA BAKHA COTTON FACTORY (BAHAWAL PUR</v>
          </cell>
          <cell r="D2587">
            <v>0</v>
          </cell>
          <cell r="E2587">
            <v>0</v>
          </cell>
          <cell r="F2587">
            <v>0</v>
          </cell>
          <cell r="G2587">
            <v>0</v>
          </cell>
        </row>
        <row r="2588">
          <cell r="A2588" t="str">
            <v>23-02-02-0277</v>
          </cell>
          <cell r="B2588">
            <v>0</v>
          </cell>
          <cell r="C2588" t="str">
            <v xml:space="preserve">  SALMAN COTTON INDUSTRIES (JALAL PUR)</v>
          </cell>
          <cell r="D2588">
            <v>0</v>
          </cell>
          <cell r="E2588">
            <v>0</v>
          </cell>
          <cell r="F2588">
            <v>0</v>
          </cell>
          <cell r="G2588">
            <v>0</v>
          </cell>
        </row>
        <row r="2589">
          <cell r="A2589" t="str">
            <v>23-02-02-0278</v>
          </cell>
          <cell r="B2589">
            <v>0</v>
          </cell>
          <cell r="C2589" t="str">
            <v xml:space="preserve">  MUNEER &amp; CO. (BAHAWAL PUR)</v>
          </cell>
          <cell r="D2589">
            <v>0</v>
          </cell>
          <cell r="E2589">
            <v>0</v>
          </cell>
          <cell r="F2589">
            <v>0</v>
          </cell>
          <cell r="G2589">
            <v>0</v>
          </cell>
        </row>
        <row r="2590">
          <cell r="A2590" t="str">
            <v>23-02-02-0279</v>
          </cell>
          <cell r="B2590">
            <v>0</v>
          </cell>
          <cell r="C2590" t="str">
            <v xml:space="preserve">  MOHKAM COTTON FACTORY (BAHAWAL PUR)</v>
          </cell>
          <cell r="D2590">
            <v>0</v>
          </cell>
          <cell r="E2590">
            <v>0</v>
          </cell>
          <cell r="F2590">
            <v>0</v>
          </cell>
          <cell r="G2590">
            <v>0</v>
          </cell>
        </row>
        <row r="2591">
          <cell r="A2591" t="str">
            <v>23-02-02-0280</v>
          </cell>
          <cell r="B2591">
            <v>0</v>
          </cell>
          <cell r="C2591" t="str">
            <v xml:space="preserve">  RAJPUT COTTON FACTORY (BAHAWAL PUR)</v>
          </cell>
          <cell r="D2591">
            <v>0</v>
          </cell>
          <cell r="E2591">
            <v>0</v>
          </cell>
          <cell r="F2591">
            <v>0</v>
          </cell>
          <cell r="G2591">
            <v>0</v>
          </cell>
        </row>
        <row r="2592">
          <cell r="A2592" t="str">
            <v>23-02-02-0281</v>
          </cell>
          <cell r="B2592">
            <v>0</v>
          </cell>
          <cell r="C2592" t="str">
            <v xml:space="preserve">  BABAR CORPORATION (BAHAWAL PUR)</v>
          </cell>
          <cell r="D2592">
            <v>0</v>
          </cell>
          <cell r="E2592">
            <v>0</v>
          </cell>
          <cell r="F2592">
            <v>0</v>
          </cell>
          <cell r="G2592">
            <v>0</v>
          </cell>
        </row>
        <row r="2593">
          <cell r="A2593" t="str">
            <v>23-02-02-0282</v>
          </cell>
          <cell r="B2593">
            <v>0</v>
          </cell>
          <cell r="C2593" t="str">
            <v xml:space="preserve">  SAAD RAHEEL COTTON GINNERS</v>
          </cell>
          <cell r="D2593">
            <v>0</v>
          </cell>
          <cell r="E2593">
            <v>0</v>
          </cell>
          <cell r="F2593">
            <v>0</v>
          </cell>
          <cell r="G2593">
            <v>0</v>
          </cell>
        </row>
        <row r="2594">
          <cell r="A2594" t="str">
            <v>23-02-02-0283</v>
          </cell>
          <cell r="B2594">
            <v>0</v>
          </cell>
          <cell r="C2594" t="str">
            <v xml:space="preserve">  KHURRAM ISHAQ TRADERS</v>
          </cell>
          <cell r="D2594">
            <v>0</v>
          </cell>
          <cell r="E2594">
            <v>0</v>
          </cell>
          <cell r="F2594">
            <v>0</v>
          </cell>
          <cell r="G2594">
            <v>0</v>
          </cell>
        </row>
        <row r="2595">
          <cell r="A2595" t="str">
            <v>23-02-02-0284</v>
          </cell>
          <cell r="B2595">
            <v>0</v>
          </cell>
          <cell r="C2595" t="str">
            <v xml:space="preserve">  MASTOI COTTON GINNERS (MUHAMMAD PUR)</v>
          </cell>
          <cell r="D2595">
            <v>0</v>
          </cell>
          <cell r="E2595">
            <v>0</v>
          </cell>
          <cell r="F2595">
            <v>0</v>
          </cell>
          <cell r="G2595">
            <v>0</v>
          </cell>
        </row>
        <row r="2596">
          <cell r="A2596" t="str">
            <v>23-02-02-0285</v>
          </cell>
          <cell r="B2596">
            <v>0</v>
          </cell>
          <cell r="C2596" t="str">
            <v xml:space="preserve">  MAKKAH COTTON INDUSTRIES (MUHAMMAD PUR</v>
          </cell>
          <cell r="D2596">
            <v>0</v>
          </cell>
          <cell r="E2596">
            <v>0</v>
          </cell>
          <cell r="F2596">
            <v>0</v>
          </cell>
          <cell r="G2596">
            <v>0</v>
          </cell>
        </row>
        <row r="2597">
          <cell r="A2597" t="str">
            <v>23-02-02-0286</v>
          </cell>
          <cell r="B2597">
            <v>0</v>
          </cell>
          <cell r="C2597" t="str">
            <v xml:space="preserve">  MEHAR ABDUL MAJEED HAFEEZ COTTON GINNE</v>
          </cell>
          <cell r="D2597">
            <v>0</v>
          </cell>
          <cell r="E2597">
            <v>0</v>
          </cell>
          <cell r="F2597">
            <v>0</v>
          </cell>
          <cell r="G2597">
            <v>0</v>
          </cell>
        </row>
        <row r="2598">
          <cell r="A2598" t="str">
            <v>23-02-02-0287</v>
          </cell>
          <cell r="B2598">
            <v>0</v>
          </cell>
          <cell r="C2598" t="str">
            <v xml:space="preserve">  BAHAWAL PUR MODEL GINNING &amp; OIL MILLS</v>
          </cell>
          <cell r="D2598">
            <v>0</v>
          </cell>
          <cell r="E2598">
            <v>0</v>
          </cell>
          <cell r="F2598">
            <v>0</v>
          </cell>
          <cell r="G2598">
            <v>0</v>
          </cell>
        </row>
        <row r="2599">
          <cell r="A2599" t="str">
            <v>23-02-02-0288</v>
          </cell>
          <cell r="B2599">
            <v>0</v>
          </cell>
          <cell r="C2599" t="str">
            <v xml:space="preserve">  UNITED COTTON GINNER'S</v>
          </cell>
          <cell r="D2599">
            <v>0</v>
          </cell>
          <cell r="E2599">
            <v>0</v>
          </cell>
          <cell r="F2599">
            <v>0</v>
          </cell>
          <cell r="G2599">
            <v>0</v>
          </cell>
        </row>
        <row r="2600">
          <cell r="A2600" t="str">
            <v>23-02-02-0289</v>
          </cell>
          <cell r="B2600">
            <v>0</v>
          </cell>
          <cell r="C2600" t="str">
            <v xml:space="preserve">  AWAMI COTTON INDUSTRIES</v>
          </cell>
          <cell r="D2600">
            <v>0</v>
          </cell>
          <cell r="E2600">
            <v>0</v>
          </cell>
          <cell r="F2600">
            <v>0</v>
          </cell>
          <cell r="G2600">
            <v>0</v>
          </cell>
        </row>
        <row r="2601">
          <cell r="A2601" t="str">
            <v>23-02-02-0290</v>
          </cell>
          <cell r="B2601">
            <v>0</v>
          </cell>
          <cell r="C2601" t="str">
            <v xml:space="preserve">  KHAN BROTHER'S COTTON GINNING FACT NO-</v>
          </cell>
          <cell r="D2601">
            <v>0</v>
          </cell>
          <cell r="E2601">
            <v>0</v>
          </cell>
          <cell r="F2601">
            <v>0</v>
          </cell>
          <cell r="G2601">
            <v>0</v>
          </cell>
        </row>
        <row r="2602">
          <cell r="A2602" t="str">
            <v>23-02-02-0291</v>
          </cell>
          <cell r="B2602">
            <v>0</v>
          </cell>
          <cell r="C2602" t="str">
            <v xml:space="preserve">  DECENT COTTON GINNER'S</v>
          </cell>
          <cell r="D2602">
            <v>0</v>
          </cell>
          <cell r="E2602">
            <v>0</v>
          </cell>
          <cell r="F2602">
            <v>0</v>
          </cell>
          <cell r="G2602">
            <v>0</v>
          </cell>
        </row>
        <row r="2603">
          <cell r="A2603" t="str">
            <v>23-02-02-0292</v>
          </cell>
          <cell r="B2603">
            <v>0</v>
          </cell>
          <cell r="C2603" t="str">
            <v xml:space="preserve">  LODHRAN FIBER COTTON GINNER'S</v>
          </cell>
          <cell r="D2603">
            <v>0</v>
          </cell>
          <cell r="E2603">
            <v>0</v>
          </cell>
          <cell r="F2603">
            <v>0</v>
          </cell>
          <cell r="G2603">
            <v>0</v>
          </cell>
        </row>
        <row r="2604">
          <cell r="A2604" t="str">
            <v>23-02-02-0293</v>
          </cell>
          <cell r="B2604">
            <v>0</v>
          </cell>
          <cell r="C2604" t="str">
            <v xml:space="preserve">  JALAL PUR COTTON FACTORY</v>
          </cell>
          <cell r="D2604">
            <v>0</v>
          </cell>
          <cell r="E2604">
            <v>0</v>
          </cell>
          <cell r="F2604">
            <v>0</v>
          </cell>
          <cell r="G2604">
            <v>0</v>
          </cell>
        </row>
        <row r="2605">
          <cell r="A2605" t="str">
            <v>23-02-02-0294</v>
          </cell>
          <cell r="B2605">
            <v>0</v>
          </cell>
          <cell r="C2605" t="str">
            <v xml:space="preserve">  DIAN-E-GHANI COTTON GINN PRES &amp; OIL MI</v>
          </cell>
          <cell r="D2605">
            <v>0</v>
          </cell>
          <cell r="E2605">
            <v>0</v>
          </cell>
          <cell r="F2605">
            <v>0</v>
          </cell>
          <cell r="G2605">
            <v>0</v>
          </cell>
        </row>
        <row r="2606">
          <cell r="A2606" t="str">
            <v>23-02-02-0295</v>
          </cell>
          <cell r="B2606">
            <v>0</v>
          </cell>
          <cell r="C2606" t="str">
            <v xml:space="preserve">  SHAHBAZ SOHAIB COTTON GINNERS</v>
          </cell>
          <cell r="D2606">
            <v>0</v>
          </cell>
          <cell r="E2606">
            <v>0</v>
          </cell>
          <cell r="F2606">
            <v>0</v>
          </cell>
          <cell r="G2606">
            <v>0</v>
          </cell>
        </row>
        <row r="2607">
          <cell r="A2607" t="str">
            <v>23-02-02-0296</v>
          </cell>
          <cell r="B2607">
            <v>0</v>
          </cell>
          <cell r="C2607" t="str">
            <v xml:space="preserve">  SETH FAQIR MOHAMMAD INDUS (PVT) LTD</v>
          </cell>
          <cell r="D2607">
            <v>0</v>
          </cell>
          <cell r="E2607">
            <v>0</v>
          </cell>
          <cell r="F2607">
            <v>0</v>
          </cell>
          <cell r="G2607">
            <v>0</v>
          </cell>
        </row>
        <row r="2608">
          <cell r="A2608" t="str">
            <v>23-02-02-0297</v>
          </cell>
          <cell r="B2608">
            <v>0</v>
          </cell>
          <cell r="C2608" t="str">
            <v xml:space="preserve">  TRADING CORPORATION OF PAKISTAN PVT LT</v>
          </cell>
          <cell r="D2608">
            <v>0</v>
          </cell>
          <cell r="E2608">
            <v>0</v>
          </cell>
          <cell r="F2608">
            <v>0</v>
          </cell>
          <cell r="G2608">
            <v>0</v>
          </cell>
        </row>
        <row r="2609">
          <cell r="A2609" t="str">
            <v>23-02-02-0298</v>
          </cell>
          <cell r="B2609">
            <v>0</v>
          </cell>
          <cell r="C2609" t="str">
            <v xml:space="preserve">  DOSSA COTTON</v>
          </cell>
          <cell r="D2609">
            <v>0</v>
          </cell>
          <cell r="E2609">
            <v>0</v>
          </cell>
          <cell r="F2609">
            <v>0</v>
          </cell>
          <cell r="G2609">
            <v>0</v>
          </cell>
        </row>
        <row r="2610">
          <cell r="A2610" t="str">
            <v>23-02-02-0299</v>
          </cell>
          <cell r="B2610">
            <v>0</v>
          </cell>
          <cell r="C2610" t="str">
            <v xml:space="preserve">  KARIM SARWAR COTTON FACTORY (PVT) LTD</v>
          </cell>
          <cell r="D2610">
            <v>0</v>
          </cell>
          <cell r="E2610">
            <v>0</v>
          </cell>
          <cell r="F2610">
            <v>0</v>
          </cell>
          <cell r="G2610">
            <v>0</v>
          </cell>
        </row>
        <row r="2611">
          <cell r="A2611" t="str">
            <v>23-02-02-0300</v>
          </cell>
          <cell r="B2611">
            <v>0</v>
          </cell>
          <cell r="C2611" t="str">
            <v xml:space="preserve">  GHAFOOR COTTON MILLS (PVT) LTD</v>
          </cell>
          <cell r="D2611">
            <v>0</v>
          </cell>
          <cell r="E2611">
            <v>0</v>
          </cell>
          <cell r="F2611">
            <v>0</v>
          </cell>
          <cell r="G2611">
            <v>0</v>
          </cell>
        </row>
        <row r="2612">
          <cell r="A2612" t="str">
            <v>23-02-02-0301</v>
          </cell>
          <cell r="B2612">
            <v>0</v>
          </cell>
          <cell r="C2612" t="str">
            <v xml:space="preserve">  FAROOQ MANSOOR COTTON GINNERS</v>
          </cell>
          <cell r="D2612">
            <v>0</v>
          </cell>
          <cell r="E2612">
            <v>0</v>
          </cell>
          <cell r="F2612">
            <v>0</v>
          </cell>
          <cell r="G2612">
            <v>0</v>
          </cell>
        </row>
        <row r="2613">
          <cell r="A2613" t="str">
            <v>23-02-02-0302</v>
          </cell>
          <cell r="B2613">
            <v>0</v>
          </cell>
          <cell r="C2613" t="str">
            <v xml:space="preserve">  RAFIQUE COTTON GINNERS</v>
          </cell>
          <cell r="D2613">
            <v>0</v>
          </cell>
          <cell r="E2613">
            <v>0</v>
          </cell>
          <cell r="F2613">
            <v>0</v>
          </cell>
          <cell r="G2613">
            <v>0</v>
          </cell>
        </row>
        <row r="2614">
          <cell r="A2614" t="str">
            <v>23-02-02-0303</v>
          </cell>
          <cell r="B2614">
            <v>0</v>
          </cell>
          <cell r="C2614" t="str">
            <v xml:space="preserve">  AL-RAHIM COTTON INDUSTRIES</v>
          </cell>
          <cell r="D2614">
            <v>0</v>
          </cell>
          <cell r="E2614">
            <v>0</v>
          </cell>
          <cell r="F2614">
            <v>0</v>
          </cell>
          <cell r="G2614">
            <v>0</v>
          </cell>
        </row>
        <row r="2615">
          <cell r="A2615" t="str">
            <v>23-02-02-0304</v>
          </cell>
          <cell r="B2615">
            <v>0</v>
          </cell>
          <cell r="C2615" t="str">
            <v xml:space="preserve">  ALLAH TAWAKEL COTTON GINNERS</v>
          </cell>
          <cell r="D2615">
            <v>0</v>
          </cell>
          <cell r="E2615">
            <v>0</v>
          </cell>
          <cell r="F2615">
            <v>0</v>
          </cell>
          <cell r="G2615">
            <v>0</v>
          </cell>
        </row>
        <row r="2616">
          <cell r="A2616" t="str">
            <v>23-02-02-0305</v>
          </cell>
          <cell r="B2616">
            <v>0</v>
          </cell>
          <cell r="C2616" t="str">
            <v xml:space="preserve">  WAHAB COTTON FACTORY</v>
          </cell>
          <cell r="D2616">
            <v>0</v>
          </cell>
          <cell r="E2616">
            <v>0</v>
          </cell>
          <cell r="F2616">
            <v>0</v>
          </cell>
          <cell r="G2616">
            <v>0</v>
          </cell>
        </row>
        <row r="2617">
          <cell r="A2617" t="str">
            <v>23-02-02-0306</v>
          </cell>
          <cell r="B2617">
            <v>0</v>
          </cell>
          <cell r="C2617" t="str">
            <v xml:space="preserve">  AMJED MUSTAFA COTTON GINNERS</v>
          </cell>
          <cell r="D2617">
            <v>0</v>
          </cell>
          <cell r="E2617">
            <v>0</v>
          </cell>
          <cell r="F2617">
            <v>0</v>
          </cell>
          <cell r="G2617">
            <v>0</v>
          </cell>
        </row>
        <row r="2618">
          <cell r="A2618" t="str">
            <v>23-02-02-0307</v>
          </cell>
          <cell r="B2618">
            <v>0</v>
          </cell>
          <cell r="C2618" t="str">
            <v xml:space="preserve">  LODHRAN FIBRE</v>
          </cell>
          <cell r="D2618">
            <v>0</v>
          </cell>
          <cell r="E2618">
            <v>0</v>
          </cell>
          <cell r="F2618">
            <v>0</v>
          </cell>
          <cell r="G2618">
            <v>0</v>
          </cell>
        </row>
        <row r="2619">
          <cell r="A2619" t="str">
            <v>23-02-02-0308</v>
          </cell>
          <cell r="B2619">
            <v>0</v>
          </cell>
          <cell r="C2619" t="str">
            <v xml:space="preserve">  CHANGWANI COTTON GINNERS</v>
          </cell>
          <cell r="D2619">
            <v>0</v>
          </cell>
          <cell r="E2619">
            <v>0</v>
          </cell>
          <cell r="F2619">
            <v>0</v>
          </cell>
          <cell r="G2619">
            <v>0</v>
          </cell>
        </row>
        <row r="2620">
          <cell r="A2620" t="str">
            <v>23-02-02-0309</v>
          </cell>
          <cell r="B2620">
            <v>0</v>
          </cell>
          <cell r="C2620" t="str">
            <v xml:space="preserve">  NEW BUZDAR COTTON INDUSTRIES</v>
          </cell>
          <cell r="D2620">
            <v>0</v>
          </cell>
          <cell r="E2620">
            <v>0</v>
          </cell>
          <cell r="F2620">
            <v>0</v>
          </cell>
          <cell r="G2620">
            <v>0</v>
          </cell>
        </row>
        <row r="2621">
          <cell r="A2621" t="str">
            <v>23-02-02-0310</v>
          </cell>
          <cell r="B2621">
            <v>0</v>
          </cell>
          <cell r="C2621" t="str">
            <v xml:space="preserve">  ALYANI COTTON FACTORY</v>
          </cell>
          <cell r="D2621">
            <v>0</v>
          </cell>
          <cell r="E2621">
            <v>0</v>
          </cell>
          <cell r="F2621">
            <v>0</v>
          </cell>
          <cell r="G2621">
            <v>0</v>
          </cell>
        </row>
        <row r="2622">
          <cell r="A2622" t="str">
            <v>23-02-02-0311</v>
          </cell>
          <cell r="B2622">
            <v>0</v>
          </cell>
          <cell r="C2622" t="str">
            <v xml:space="preserve">  MOHSAN GINNING MODEL INDUSTRIES</v>
          </cell>
          <cell r="D2622">
            <v>0</v>
          </cell>
          <cell r="E2622">
            <v>0</v>
          </cell>
          <cell r="F2622">
            <v>0</v>
          </cell>
          <cell r="G2622">
            <v>0</v>
          </cell>
        </row>
        <row r="2623">
          <cell r="A2623" t="str">
            <v>23-02-02-0312</v>
          </cell>
          <cell r="B2623">
            <v>0</v>
          </cell>
          <cell r="C2623" t="str">
            <v xml:space="preserve">  HASSAN EHSAN COTTON GINNERS</v>
          </cell>
          <cell r="D2623">
            <v>0</v>
          </cell>
          <cell r="E2623">
            <v>0</v>
          </cell>
          <cell r="F2623">
            <v>0</v>
          </cell>
          <cell r="G2623">
            <v>0</v>
          </cell>
        </row>
        <row r="2624">
          <cell r="A2624" t="str">
            <v>23-02-02-0313</v>
          </cell>
          <cell r="B2624">
            <v>0</v>
          </cell>
          <cell r="C2624" t="str">
            <v xml:space="preserve">  ABDUL QADIR KHAN COTTON FACTORY</v>
          </cell>
          <cell r="D2624">
            <v>0</v>
          </cell>
          <cell r="E2624">
            <v>0</v>
          </cell>
          <cell r="F2624">
            <v>0</v>
          </cell>
          <cell r="G2624">
            <v>0</v>
          </cell>
        </row>
        <row r="2625">
          <cell r="A2625" t="str">
            <v>23-02-02-0314</v>
          </cell>
          <cell r="B2625">
            <v>0</v>
          </cell>
          <cell r="C2625" t="str">
            <v xml:space="preserve">  AL-HASNAIN COTTON INDUSTRIES</v>
          </cell>
          <cell r="D2625">
            <v>0</v>
          </cell>
          <cell r="E2625">
            <v>0</v>
          </cell>
          <cell r="F2625">
            <v>0</v>
          </cell>
          <cell r="G2625">
            <v>0</v>
          </cell>
        </row>
        <row r="2626">
          <cell r="A2626" t="str">
            <v>23-02-02-0315</v>
          </cell>
          <cell r="B2626">
            <v>0</v>
          </cell>
          <cell r="C2626" t="str">
            <v xml:space="preserve">  WASIM COTTON INDUSTRIES</v>
          </cell>
          <cell r="D2626">
            <v>0</v>
          </cell>
          <cell r="E2626">
            <v>0</v>
          </cell>
          <cell r="F2626">
            <v>0</v>
          </cell>
          <cell r="G2626">
            <v>0</v>
          </cell>
        </row>
        <row r="2627">
          <cell r="A2627" t="str">
            <v>23-02-02-0316</v>
          </cell>
          <cell r="B2627">
            <v>0</v>
          </cell>
          <cell r="C2627" t="str">
            <v xml:space="preserve">  AWAMI COTTON FACTORY</v>
          </cell>
          <cell r="D2627">
            <v>0</v>
          </cell>
          <cell r="E2627">
            <v>0</v>
          </cell>
          <cell r="F2627">
            <v>0</v>
          </cell>
          <cell r="G2627">
            <v>0</v>
          </cell>
        </row>
        <row r="2628">
          <cell r="A2628" t="str">
            <v>23-02-02-0317</v>
          </cell>
          <cell r="B2628">
            <v>0</v>
          </cell>
          <cell r="C2628" t="str">
            <v xml:space="preserve">  RIAZ ZAFAR COTTON FACTORY</v>
          </cell>
          <cell r="D2628">
            <v>0</v>
          </cell>
          <cell r="E2628">
            <v>0</v>
          </cell>
          <cell r="F2628">
            <v>0</v>
          </cell>
          <cell r="G2628">
            <v>0</v>
          </cell>
        </row>
        <row r="2629">
          <cell r="A2629" t="str">
            <v>23-02-02-0318</v>
          </cell>
          <cell r="B2629">
            <v>0</v>
          </cell>
          <cell r="C2629" t="str">
            <v xml:space="preserve">  DAD COTTON FACTORY</v>
          </cell>
          <cell r="D2629">
            <v>0</v>
          </cell>
          <cell r="E2629">
            <v>0</v>
          </cell>
          <cell r="F2629">
            <v>0</v>
          </cell>
          <cell r="G2629">
            <v>0</v>
          </cell>
        </row>
        <row r="2630">
          <cell r="A2630" t="str">
            <v>23-02-02-0319</v>
          </cell>
          <cell r="B2630">
            <v>0</v>
          </cell>
          <cell r="C2630" t="str">
            <v xml:space="preserve">  KHALIL COTTON INDUSTRIES</v>
          </cell>
          <cell r="D2630">
            <v>0</v>
          </cell>
          <cell r="E2630">
            <v>0</v>
          </cell>
          <cell r="F2630">
            <v>0</v>
          </cell>
          <cell r="G2630">
            <v>0</v>
          </cell>
        </row>
        <row r="2631">
          <cell r="A2631" t="str">
            <v>23-02-02-0320</v>
          </cell>
          <cell r="B2631">
            <v>0</v>
          </cell>
          <cell r="C2631" t="str">
            <v xml:space="preserve">  AMJAD FAROOQ COTTON INDUSTRIES</v>
          </cell>
          <cell r="D2631">
            <v>0</v>
          </cell>
          <cell r="E2631">
            <v>0</v>
          </cell>
          <cell r="F2631">
            <v>0</v>
          </cell>
          <cell r="G2631">
            <v>0</v>
          </cell>
        </row>
        <row r="2632">
          <cell r="A2632" t="str">
            <v>23-02-02-0321</v>
          </cell>
          <cell r="B2632">
            <v>0</v>
          </cell>
          <cell r="C2632" t="str">
            <v xml:space="preserve">  MADINA COTTON GINNERS</v>
          </cell>
          <cell r="D2632">
            <v>0</v>
          </cell>
          <cell r="E2632">
            <v>0</v>
          </cell>
          <cell r="F2632">
            <v>0</v>
          </cell>
          <cell r="G2632">
            <v>0</v>
          </cell>
        </row>
        <row r="2633">
          <cell r="A2633" t="str">
            <v>23-02-02-0322</v>
          </cell>
          <cell r="B2633">
            <v>0</v>
          </cell>
          <cell r="C2633" t="str">
            <v xml:space="preserve">  BABA FAREED COTTON INDUSTRIES (RAJANPU</v>
          </cell>
          <cell r="D2633">
            <v>0</v>
          </cell>
          <cell r="E2633">
            <v>0</v>
          </cell>
          <cell r="F2633">
            <v>0</v>
          </cell>
          <cell r="G2633">
            <v>0</v>
          </cell>
        </row>
        <row r="2634">
          <cell r="A2634" t="str">
            <v>23-02-02-0323</v>
          </cell>
          <cell r="B2634">
            <v>0</v>
          </cell>
          <cell r="C2634" t="str">
            <v xml:space="preserve">  AL-KARAM COTTON FACTORY (ALI PUR)</v>
          </cell>
          <cell r="D2634">
            <v>0</v>
          </cell>
          <cell r="E2634">
            <v>0</v>
          </cell>
          <cell r="F2634">
            <v>0</v>
          </cell>
          <cell r="G2634">
            <v>0</v>
          </cell>
        </row>
        <row r="2635">
          <cell r="A2635" t="str">
            <v>23-02-02-0324</v>
          </cell>
          <cell r="B2635">
            <v>0</v>
          </cell>
          <cell r="C2635" t="str">
            <v xml:space="preserve">  AL-HAMD COTTON FACTORY (ALI PUR)</v>
          </cell>
          <cell r="D2635">
            <v>0</v>
          </cell>
          <cell r="E2635">
            <v>0</v>
          </cell>
          <cell r="F2635">
            <v>0</v>
          </cell>
          <cell r="G2635">
            <v>0</v>
          </cell>
        </row>
        <row r="2636">
          <cell r="A2636" t="str">
            <v>23-02-02-0325</v>
          </cell>
          <cell r="B2636">
            <v>0</v>
          </cell>
          <cell r="C2636" t="str">
            <v xml:space="preserve">  AL-RAHEEM COTTON FACTORY (ALI PUR)</v>
          </cell>
          <cell r="D2636">
            <v>0</v>
          </cell>
          <cell r="E2636">
            <v>0</v>
          </cell>
          <cell r="F2636">
            <v>0</v>
          </cell>
          <cell r="G2636">
            <v>0</v>
          </cell>
        </row>
        <row r="2637">
          <cell r="A2637" t="str">
            <v>23-02-02-0326</v>
          </cell>
          <cell r="B2637">
            <v>0</v>
          </cell>
          <cell r="C2637" t="str">
            <v xml:space="preserve">  NOOR TUFAIL COTTON FACTORY</v>
          </cell>
          <cell r="D2637">
            <v>0</v>
          </cell>
          <cell r="E2637">
            <v>0</v>
          </cell>
          <cell r="F2637">
            <v>0</v>
          </cell>
          <cell r="G2637">
            <v>0</v>
          </cell>
        </row>
        <row r="2638">
          <cell r="A2638" t="str">
            <v>23-02-02-0327</v>
          </cell>
          <cell r="B2638">
            <v>0</v>
          </cell>
          <cell r="C2638" t="str">
            <v xml:space="preserve">  RAMZAN COTTON FACTORY (FAZIL PUR)</v>
          </cell>
          <cell r="D2638">
            <v>0</v>
          </cell>
          <cell r="E2638">
            <v>0</v>
          </cell>
          <cell r="F2638">
            <v>0</v>
          </cell>
          <cell r="G2638">
            <v>0</v>
          </cell>
        </row>
        <row r="2639">
          <cell r="A2639" t="str">
            <v>23-02-02-0328</v>
          </cell>
          <cell r="B2639">
            <v>0</v>
          </cell>
          <cell r="C2639" t="str">
            <v xml:space="preserve">  IQBAL INDUSTRIES</v>
          </cell>
          <cell r="D2639">
            <v>0</v>
          </cell>
          <cell r="E2639">
            <v>0</v>
          </cell>
          <cell r="F2639">
            <v>0</v>
          </cell>
          <cell r="G2639">
            <v>0</v>
          </cell>
        </row>
        <row r="2640">
          <cell r="A2640" t="str">
            <v>23-02-02-0329</v>
          </cell>
          <cell r="B2640">
            <v>0</v>
          </cell>
          <cell r="C2640" t="str">
            <v xml:space="preserve">  HIRAJ COTTON (PVT) LTD</v>
          </cell>
          <cell r="D2640">
            <v>0</v>
          </cell>
          <cell r="E2640">
            <v>0</v>
          </cell>
          <cell r="F2640">
            <v>0</v>
          </cell>
          <cell r="G2640">
            <v>0</v>
          </cell>
        </row>
        <row r="2641">
          <cell r="A2641" t="str">
            <v>23-02-02-0330</v>
          </cell>
          <cell r="B2641">
            <v>0</v>
          </cell>
          <cell r="C2641" t="str">
            <v xml:space="preserve">  QADIR BROTHERS COTTON FACTORY</v>
          </cell>
          <cell r="D2641">
            <v>0</v>
          </cell>
          <cell r="E2641">
            <v>0</v>
          </cell>
          <cell r="F2641">
            <v>0</v>
          </cell>
          <cell r="G2641">
            <v>0</v>
          </cell>
        </row>
        <row r="2642">
          <cell r="A2642" t="str">
            <v>23-02-02-0331</v>
          </cell>
          <cell r="B2642">
            <v>0</v>
          </cell>
          <cell r="C2642" t="str">
            <v xml:space="preserve">  YASRAB TRADERS</v>
          </cell>
          <cell r="D2642">
            <v>0</v>
          </cell>
          <cell r="E2642">
            <v>0</v>
          </cell>
          <cell r="F2642">
            <v>0</v>
          </cell>
          <cell r="G2642">
            <v>0</v>
          </cell>
        </row>
        <row r="2643">
          <cell r="A2643" t="str">
            <v>23-02-02-0332</v>
          </cell>
          <cell r="B2643">
            <v>0</v>
          </cell>
          <cell r="C2643" t="str">
            <v xml:space="preserve">  SARMAD RAFIQUE COTTON FACTORY</v>
          </cell>
          <cell r="D2643">
            <v>0</v>
          </cell>
          <cell r="E2643">
            <v>0</v>
          </cell>
          <cell r="F2643">
            <v>0</v>
          </cell>
          <cell r="G2643">
            <v>0</v>
          </cell>
        </row>
        <row r="2644">
          <cell r="A2644" t="str">
            <v>23-02-02-0333</v>
          </cell>
          <cell r="B2644">
            <v>0</v>
          </cell>
          <cell r="C2644" t="str">
            <v xml:space="preserve">  JAM COTTON INDUSTRIES</v>
          </cell>
          <cell r="D2644">
            <v>0</v>
          </cell>
          <cell r="E2644">
            <v>0</v>
          </cell>
          <cell r="F2644">
            <v>0</v>
          </cell>
          <cell r="G2644">
            <v>0</v>
          </cell>
        </row>
        <row r="2645">
          <cell r="A2645" t="str">
            <v>23-02-02-0334</v>
          </cell>
          <cell r="B2645">
            <v>0</v>
          </cell>
          <cell r="C2645" t="str">
            <v xml:space="preserve">  GAZI AGRICULTURAL (CHOTI)</v>
          </cell>
          <cell r="D2645">
            <v>0</v>
          </cell>
          <cell r="E2645">
            <v>0</v>
          </cell>
          <cell r="F2645">
            <v>0</v>
          </cell>
          <cell r="G2645">
            <v>0</v>
          </cell>
        </row>
        <row r="2646">
          <cell r="A2646" t="str">
            <v>23-02-02-0335</v>
          </cell>
          <cell r="B2646">
            <v>0</v>
          </cell>
          <cell r="C2646" t="str">
            <v xml:space="preserve">  AL-HUSSAIN COTTON FACTORY</v>
          </cell>
          <cell r="D2646">
            <v>0</v>
          </cell>
          <cell r="E2646">
            <v>0</v>
          </cell>
          <cell r="F2646">
            <v>0</v>
          </cell>
          <cell r="G2646">
            <v>0</v>
          </cell>
        </row>
        <row r="2647">
          <cell r="A2647" t="str">
            <v>23-02-02-0336</v>
          </cell>
          <cell r="B2647">
            <v>0</v>
          </cell>
          <cell r="C2647" t="str">
            <v xml:space="preserve">  KHALIL COTTON GINNERS</v>
          </cell>
          <cell r="D2647">
            <v>0</v>
          </cell>
          <cell r="E2647">
            <v>0</v>
          </cell>
          <cell r="F2647">
            <v>0</v>
          </cell>
          <cell r="G2647">
            <v>0</v>
          </cell>
        </row>
        <row r="2648">
          <cell r="A2648" t="str">
            <v>23-02-02-0337</v>
          </cell>
          <cell r="B2648">
            <v>0</v>
          </cell>
          <cell r="C2648" t="str">
            <v xml:space="preserve">  TARIQ FAREED COTTON INDUSTRIES</v>
          </cell>
          <cell r="D2648">
            <v>19792.3</v>
          </cell>
          <cell r="E2648">
            <v>0</v>
          </cell>
          <cell r="F2648">
            <v>0</v>
          </cell>
          <cell r="G2648">
            <v>0</v>
          </cell>
        </row>
        <row r="2649">
          <cell r="A2649" t="str">
            <v>23-02-02-0338</v>
          </cell>
          <cell r="B2649">
            <v>0</v>
          </cell>
          <cell r="C2649" t="str">
            <v xml:space="preserve">  BUSHRA ENTERPRISES COTTON INDUSTRIES</v>
          </cell>
          <cell r="D2649">
            <v>0</v>
          </cell>
          <cell r="E2649">
            <v>0</v>
          </cell>
          <cell r="F2649">
            <v>0</v>
          </cell>
          <cell r="G2649">
            <v>0</v>
          </cell>
        </row>
        <row r="2650">
          <cell r="A2650" t="str">
            <v>23-02-02-0339</v>
          </cell>
          <cell r="B2650">
            <v>0</v>
          </cell>
          <cell r="C2650" t="str">
            <v xml:space="preserve">  ZEESHAN COTTON INDUSTRIES (PVT) LTD</v>
          </cell>
          <cell r="D2650">
            <v>48142.12</v>
          </cell>
          <cell r="E2650">
            <v>0</v>
          </cell>
          <cell r="F2650">
            <v>0</v>
          </cell>
          <cell r="G2650">
            <v>0</v>
          </cell>
        </row>
        <row r="2651">
          <cell r="A2651" t="str">
            <v>23-02-02-0340</v>
          </cell>
          <cell r="B2651">
            <v>0</v>
          </cell>
          <cell r="C2651" t="str">
            <v xml:space="preserve">  SOHAIL COTTON GINNER</v>
          </cell>
          <cell r="D2651">
            <v>0</v>
          </cell>
          <cell r="E2651">
            <v>0</v>
          </cell>
          <cell r="F2651">
            <v>0</v>
          </cell>
          <cell r="G2651">
            <v>0</v>
          </cell>
        </row>
        <row r="2652">
          <cell r="A2652" t="str">
            <v>23-02-02-0341</v>
          </cell>
          <cell r="B2652">
            <v>0</v>
          </cell>
          <cell r="C2652" t="str">
            <v xml:space="preserve">  INDUS DYEING &amp; MANUFACTURING CO. LTD</v>
          </cell>
          <cell r="D2652">
            <v>0</v>
          </cell>
          <cell r="E2652">
            <v>0</v>
          </cell>
          <cell r="F2652">
            <v>0</v>
          </cell>
          <cell r="G2652">
            <v>0</v>
          </cell>
        </row>
        <row r="2653">
          <cell r="A2653" t="str">
            <v>23-02-02-0342</v>
          </cell>
          <cell r="B2653">
            <v>0</v>
          </cell>
          <cell r="C2653" t="str">
            <v xml:space="preserve">  YOUSUF TEXTILE MILLS LTD</v>
          </cell>
          <cell r="D2653">
            <v>0</v>
          </cell>
          <cell r="E2653">
            <v>0</v>
          </cell>
          <cell r="F2653">
            <v>0</v>
          </cell>
          <cell r="G2653">
            <v>0</v>
          </cell>
        </row>
        <row r="2654">
          <cell r="A2654" t="str">
            <v>23-02-02-0343</v>
          </cell>
          <cell r="B2654">
            <v>0</v>
          </cell>
          <cell r="C2654" t="str">
            <v xml:space="preserve">  SUN RAYS TEXTILE MILLS LTD</v>
          </cell>
          <cell r="D2654">
            <v>0</v>
          </cell>
          <cell r="E2654">
            <v>0</v>
          </cell>
          <cell r="F2654">
            <v>0</v>
          </cell>
          <cell r="G2654">
            <v>0</v>
          </cell>
        </row>
        <row r="2655">
          <cell r="A2655" t="str">
            <v>23-02-02-0344</v>
          </cell>
          <cell r="B2655">
            <v>0</v>
          </cell>
          <cell r="C2655" t="str">
            <v xml:space="preserve">  AL-ABBAS FAIZ COTTON INDS (PVT) LTD</v>
          </cell>
          <cell r="D2655">
            <v>0</v>
          </cell>
          <cell r="E2655">
            <v>0</v>
          </cell>
          <cell r="F2655">
            <v>0</v>
          </cell>
          <cell r="G2655">
            <v>0</v>
          </cell>
        </row>
        <row r="2656">
          <cell r="A2656" t="str">
            <v>23-02-02-0345</v>
          </cell>
          <cell r="B2656">
            <v>0</v>
          </cell>
          <cell r="C2656" t="str">
            <v xml:space="preserve">  HAJI FAIZ AND SONS (PVT) LTD (ALI PUR)</v>
          </cell>
          <cell r="D2656">
            <v>0</v>
          </cell>
          <cell r="E2656">
            <v>0</v>
          </cell>
          <cell r="F2656">
            <v>0</v>
          </cell>
          <cell r="G2656">
            <v>0</v>
          </cell>
        </row>
        <row r="2657">
          <cell r="A2657" t="str">
            <v>23-02-02-0346</v>
          </cell>
          <cell r="B2657">
            <v>0</v>
          </cell>
          <cell r="C2657" t="str">
            <v xml:space="preserve">  YASIR SHAHZAD COTTON GINNERS</v>
          </cell>
          <cell r="D2657">
            <v>0</v>
          </cell>
          <cell r="E2657">
            <v>0</v>
          </cell>
          <cell r="F2657">
            <v>0</v>
          </cell>
          <cell r="G2657">
            <v>0</v>
          </cell>
        </row>
        <row r="2658">
          <cell r="A2658" t="str">
            <v>23-02-02-0347</v>
          </cell>
          <cell r="B2658">
            <v>0</v>
          </cell>
          <cell r="C2658" t="str">
            <v xml:space="preserve">  NASIR BROTHERS COTTON GINNERS</v>
          </cell>
          <cell r="D2658">
            <v>0</v>
          </cell>
          <cell r="E2658">
            <v>0</v>
          </cell>
          <cell r="F2658">
            <v>0</v>
          </cell>
          <cell r="G2658">
            <v>0</v>
          </cell>
        </row>
        <row r="2659">
          <cell r="A2659" t="str">
            <v>23-02-02-0348</v>
          </cell>
          <cell r="B2659">
            <v>0</v>
          </cell>
          <cell r="C2659" t="str">
            <v xml:space="preserve">  MOAZ AHMAD COTTON INDUSTRIES</v>
          </cell>
          <cell r="D2659">
            <v>0</v>
          </cell>
          <cell r="E2659">
            <v>0</v>
          </cell>
          <cell r="F2659">
            <v>0</v>
          </cell>
          <cell r="G2659">
            <v>0</v>
          </cell>
        </row>
        <row r="2660">
          <cell r="A2660" t="str">
            <v>23-02-02-0349</v>
          </cell>
          <cell r="B2660">
            <v>0</v>
          </cell>
          <cell r="C2660" t="str">
            <v xml:space="preserve">  INDUS COTTON &amp; OIL INDUSTRIES (PVT) LT</v>
          </cell>
          <cell r="D2660">
            <v>0</v>
          </cell>
          <cell r="E2660">
            <v>0</v>
          </cell>
          <cell r="F2660">
            <v>0</v>
          </cell>
          <cell r="G2660">
            <v>0</v>
          </cell>
        </row>
        <row r="2661">
          <cell r="A2661" t="str">
            <v>23-02-02-0350</v>
          </cell>
          <cell r="B2661">
            <v>0</v>
          </cell>
          <cell r="C2661" t="str">
            <v xml:space="preserve">  MOOSA MUSTAFA COTTON GINNERS</v>
          </cell>
          <cell r="D2661">
            <v>0</v>
          </cell>
          <cell r="E2661">
            <v>0</v>
          </cell>
          <cell r="F2661">
            <v>0</v>
          </cell>
          <cell r="G2661">
            <v>0</v>
          </cell>
        </row>
        <row r="2662">
          <cell r="A2662" t="str">
            <v>23-02-02-0351</v>
          </cell>
          <cell r="B2662">
            <v>0</v>
          </cell>
          <cell r="C2662" t="str">
            <v xml:space="preserve">  MADNI COTTON INDUSTRIES (PVT) LTD</v>
          </cell>
          <cell r="D2662">
            <v>0</v>
          </cell>
          <cell r="E2662">
            <v>0</v>
          </cell>
          <cell r="F2662">
            <v>0</v>
          </cell>
          <cell r="G2662">
            <v>0</v>
          </cell>
        </row>
        <row r="2663">
          <cell r="A2663" t="str">
            <v>23-02-02-0352</v>
          </cell>
          <cell r="B2663">
            <v>0</v>
          </cell>
          <cell r="C2663" t="str">
            <v xml:space="preserve">  MEHRAN COTTON GINNERS</v>
          </cell>
          <cell r="D2663">
            <v>0</v>
          </cell>
          <cell r="E2663">
            <v>0</v>
          </cell>
          <cell r="F2663">
            <v>0</v>
          </cell>
          <cell r="G2663">
            <v>0</v>
          </cell>
        </row>
        <row r="2664">
          <cell r="A2664" t="str">
            <v>23-02-02-0353</v>
          </cell>
          <cell r="B2664">
            <v>0</v>
          </cell>
          <cell r="C2664" t="str">
            <v xml:space="preserve">  ABDULLAH HASEEB COTTON FACTORY</v>
          </cell>
          <cell r="D2664">
            <v>0</v>
          </cell>
          <cell r="E2664">
            <v>0</v>
          </cell>
          <cell r="F2664">
            <v>0</v>
          </cell>
          <cell r="G2664">
            <v>0</v>
          </cell>
        </row>
        <row r="2665">
          <cell r="A2665" t="str">
            <v>23-02-02-0354</v>
          </cell>
          <cell r="B2665">
            <v>0</v>
          </cell>
          <cell r="C2665" t="str">
            <v xml:space="preserve">  INAM-UL-LAH COTTON FACTORY</v>
          </cell>
          <cell r="D2665">
            <v>0</v>
          </cell>
          <cell r="E2665">
            <v>0</v>
          </cell>
          <cell r="F2665">
            <v>0</v>
          </cell>
          <cell r="G2665">
            <v>0</v>
          </cell>
        </row>
        <row r="2666">
          <cell r="A2666" t="str">
            <v>23-02-02-0355</v>
          </cell>
          <cell r="B2666">
            <v>0</v>
          </cell>
          <cell r="C2666" t="str">
            <v xml:space="preserve">  ZIKRIA COTTON FACTORY</v>
          </cell>
          <cell r="D2666">
            <v>0</v>
          </cell>
          <cell r="E2666">
            <v>0</v>
          </cell>
          <cell r="F2666">
            <v>0</v>
          </cell>
          <cell r="G2666">
            <v>0</v>
          </cell>
        </row>
        <row r="2667">
          <cell r="A2667" t="str">
            <v>23-02-02-0356</v>
          </cell>
          <cell r="B2667">
            <v>0</v>
          </cell>
          <cell r="C2667" t="str">
            <v xml:space="preserve">  MURID QADAR INDUSTRIES (RAJAN PUR)</v>
          </cell>
          <cell r="D2667">
            <v>0</v>
          </cell>
          <cell r="E2667">
            <v>0</v>
          </cell>
          <cell r="F2667">
            <v>0</v>
          </cell>
          <cell r="G2667">
            <v>0</v>
          </cell>
        </row>
        <row r="2668">
          <cell r="A2668" t="str">
            <v>23-02-02-0357</v>
          </cell>
          <cell r="B2668">
            <v>0</v>
          </cell>
          <cell r="C2668" t="str">
            <v xml:space="preserve">  INDUS COTTON FACTORY (PVT) LTD</v>
          </cell>
          <cell r="D2668">
            <v>0</v>
          </cell>
          <cell r="E2668">
            <v>0</v>
          </cell>
          <cell r="F2668">
            <v>0</v>
          </cell>
          <cell r="G2668">
            <v>0</v>
          </cell>
        </row>
        <row r="2669">
          <cell r="A2669" t="str">
            <v>23-02-02-0358</v>
          </cell>
          <cell r="B2669">
            <v>0</v>
          </cell>
          <cell r="C2669" t="str">
            <v xml:space="preserve">  BISMILLAH TRADERS COTTON GINNERS</v>
          </cell>
          <cell r="D2669">
            <v>0</v>
          </cell>
          <cell r="E2669">
            <v>0</v>
          </cell>
          <cell r="F2669">
            <v>0</v>
          </cell>
          <cell r="G2669">
            <v>0</v>
          </cell>
        </row>
        <row r="2670">
          <cell r="A2670" t="str">
            <v>23-02-02-0359</v>
          </cell>
          <cell r="B2670">
            <v>0</v>
          </cell>
          <cell r="C2670" t="str">
            <v xml:space="preserve">  SHEHZAD TRADERS COTTON GINNERS</v>
          </cell>
          <cell r="D2670">
            <v>0</v>
          </cell>
          <cell r="E2670">
            <v>0</v>
          </cell>
          <cell r="F2670">
            <v>0</v>
          </cell>
          <cell r="G2670">
            <v>0</v>
          </cell>
        </row>
        <row r="2671">
          <cell r="A2671" t="str">
            <v>23-02-02-0360</v>
          </cell>
          <cell r="B2671">
            <v>0</v>
          </cell>
          <cell r="C2671" t="str">
            <v xml:space="preserve">  SUBAN COTTON INDUSTRIES</v>
          </cell>
          <cell r="D2671">
            <v>0</v>
          </cell>
          <cell r="E2671">
            <v>0</v>
          </cell>
          <cell r="F2671">
            <v>0</v>
          </cell>
          <cell r="G2671">
            <v>0</v>
          </cell>
        </row>
        <row r="2672">
          <cell r="A2672" t="str">
            <v>23-02-02-0361</v>
          </cell>
          <cell r="B2672">
            <v>0</v>
          </cell>
          <cell r="C2672" t="str">
            <v xml:space="preserve">  AL-HAMD INDUSTRIES</v>
          </cell>
          <cell r="D2672">
            <v>0</v>
          </cell>
          <cell r="E2672">
            <v>0</v>
          </cell>
          <cell r="F2672">
            <v>0</v>
          </cell>
          <cell r="G2672">
            <v>0</v>
          </cell>
        </row>
        <row r="2673">
          <cell r="A2673" t="str">
            <v>23-02-02-0362</v>
          </cell>
          <cell r="B2673">
            <v>0</v>
          </cell>
          <cell r="C2673" t="str">
            <v xml:space="preserve">  NEW CHALLENGE COTTON FACTORY</v>
          </cell>
          <cell r="D2673">
            <v>0</v>
          </cell>
          <cell r="E2673">
            <v>0</v>
          </cell>
          <cell r="F2673">
            <v>0</v>
          </cell>
          <cell r="G2673">
            <v>0</v>
          </cell>
        </row>
        <row r="2674">
          <cell r="A2674" t="str">
            <v>23-02-02-0363</v>
          </cell>
          <cell r="B2674">
            <v>0</v>
          </cell>
          <cell r="C2674" t="str">
            <v xml:space="preserve">  MUNEER COTTON GINNERS</v>
          </cell>
          <cell r="D2674">
            <v>0</v>
          </cell>
          <cell r="E2674">
            <v>0</v>
          </cell>
          <cell r="F2674">
            <v>0</v>
          </cell>
          <cell r="G2674">
            <v>0</v>
          </cell>
        </row>
        <row r="2675">
          <cell r="A2675" t="str">
            <v>23-02-02-0364</v>
          </cell>
          <cell r="B2675">
            <v>0</v>
          </cell>
          <cell r="C2675" t="str">
            <v xml:space="preserve">  HAMEED &amp; CO. COTTON GINNERS</v>
          </cell>
          <cell r="D2675">
            <v>0</v>
          </cell>
          <cell r="E2675">
            <v>0</v>
          </cell>
          <cell r="F2675">
            <v>0</v>
          </cell>
          <cell r="G2675">
            <v>0</v>
          </cell>
        </row>
        <row r="2676">
          <cell r="A2676" t="str">
            <v>23-02-02-0365</v>
          </cell>
          <cell r="B2676">
            <v>0</v>
          </cell>
          <cell r="C2676" t="str">
            <v xml:space="preserve">  WAZIR COTTON GINNERS</v>
          </cell>
          <cell r="D2676">
            <v>0</v>
          </cell>
          <cell r="E2676">
            <v>0</v>
          </cell>
          <cell r="F2676">
            <v>0</v>
          </cell>
          <cell r="G2676">
            <v>0</v>
          </cell>
        </row>
        <row r="2677">
          <cell r="A2677" t="str">
            <v>23-02-02-0366</v>
          </cell>
          <cell r="B2677">
            <v>0</v>
          </cell>
          <cell r="C2677" t="str">
            <v xml:space="preserve">  ASAD &amp; CO.</v>
          </cell>
          <cell r="D2677">
            <v>0</v>
          </cell>
          <cell r="E2677">
            <v>0</v>
          </cell>
          <cell r="F2677">
            <v>0</v>
          </cell>
          <cell r="G2677">
            <v>0</v>
          </cell>
        </row>
        <row r="2678">
          <cell r="A2678" t="str">
            <v>23-02-02-0367</v>
          </cell>
          <cell r="B2678">
            <v>0</v>
          </cell>
          <cell r="C2678" t="str">
            <v xml:space="preserve">  ALEEM MODEL FACTORY</v>
          </cell>
          <cell r="D2678">
            <v>0</v>
          </cell>
          <cell r="E2678">
            <v>0</v>
          </cell>
          <cell r="F2678">
            <v>0</v>
          </cell>
          <cell r="G2678">
            <v>0</v>
          </cell>
        </row>
        <row r="2679">
          <cell r="A2679" t="str">
            <v>23-02-02-0368</v>
          </cell>
          <cell r="B2679">
            <v>0</v>
          </cell>
          <cell r="C2679" t="str">
            <v xml:space="preserve">  NATIONAL COTTON INDUSTRY</v>
          </cell>
          <cell r="D2679">
            <v>0</v>
          </cell>
          <cell r="E2679">
            <v>0</v>
          </cell>
          <cell r="F2679">
            <v>0</v>
          </cell>
          <cell r="G2679">
            <v>0</v>
          </cell>
        </row>
        <row r="2680">
          <cell r="A2680" t="str">
            <v>23-02-02-0369</v>
          </cell>
          <cell r="B2680">
            <v>0</v>
          </cell>
          <cell r="C2680" t="str">
            <v xml:space="preserve">  GILL BROTHERS (PVT) LTD COTTON GINNERS</v>
          </cell>
          <cell r="D2680">
            <v>0</v>
          </cell>
          <cell r="E2680">
            <v>0</v>
          </cell>
          <cell r="F2680">
            <v>0</v>
          </cell>
          <cell r="G2680">
            <v>0</v>
          </cell>
        </row>
        <row r="2681">
          <cell r="A2681" t="str">
            <v>23-02-02-0370</v>
          </cell>
          <cell r="B2681">
            <v>0</v>
          </cell>
          <cell r="C2681" t="str">
            <v xml:space="preserve">  R.C.A. LTD</v>
          </cell>
          <cell r="D2681">
            <v>0</v>
          </cell>
          <cell r="E2681">
            <v>0</v>
          </cell>
          <cell r="F2681">
            <v>0</v>
          </cell>
          <cell r="G2681">
            <v>0</v>
          </cell>
        </row>
        <row r="2682">
          <cell r="A2682" t="str">
            <v>23-02-02-0371</v>
          </cell>
          <cell r="B2682">
            <v>0</v>
          </cell>
          <cell r="C2682" t="str">
            <v xml:space="preserve">  QURNIRID SEED CORPOTION</v>
          </cell>
          <cell r="D2682">
            <v>0</v>
          </cell>
          <cell r="E2682">
            <v>0</v>
          </cell>
          <cell r="F2682">
            <v>0</v>
          </cell>
          <cell r="G2682">
            <v>0</v>
          </cell>
        </row>
        <row r="2683">
          <cell r="A2683" t="str">
            <v>23-02-02-0372</v>
          </cell>
          <cell r="B2683">
            <v>0</v>
          </cell>
          <cell r="C2683" t="str">
            <v xml:space="preserve">  REHMAT COTTON FACTORY</v>
          </cell>
          <cell r="D2683">
            <v>0</v>
          </cell>
          <cell r="E2683">
            <v>0</v>
          </cell>
          <cell r="F2683">
            <v>0</v>
          </cell>
          <cell r="G2683">
            <v>0</v>
          </cell>
        </row>
        <row r="2684">
          <cell r="A2684" t="str">
            <v>23-02-02-0373</v>
          </cell>
          <cell r="B2684">
            <v>0</v>
          </cell>
          <cell r="C2684" t="str">
            <v xml:space="preserve">  MUSLIM COTTON GINNING INDUSTRIES</v>
          </cell>
          <cell r="D2684">
            <v>0</v>
          </cell>
          <cell r="E2684">
            <v>0</v>
          </cell>
          <cell r="F2684">
            <v>0</v>
          </cell>
          <cell r="G2684">
            <v>0</v>
          </cell>
        </row>
        <row r="2685">
          <cell r="A2685" t="str">
            <v>23-02-02-0374</v>
          </cell>
          <cell r="B2685">
            <v>0</v>
          </cell>
          <cell r="C2685" t="str">
            <v xml:space="preserve">  MILLAT SEED CORPORATION</v>
          </cell>
          <cell r="D2685">
            <v>0</v>
          </cell>
          <cell r="E2685">
            <v>0</v>
          </cell>
          <cell r="F2685">
            <v>0</v>
          </cell>
          <cell r="G2685">
            <v>0</v>
          </cell>
        </row>
        <row r="2686">
          <cell r="A2686" t="str">
            <v>23-02-02-0375</v>
          </cell>
          <cell r="B2686">
            <v>0</v>
          </cell>
          <cell r="C2686" t="str">
            <v xml:space="preserve">  MILLAT COTTON FACTORY</v>
          </cell>
          <cell r="D2686">
            <v>0</v>
          </cell>
          <cell r="E2686">
            <v>0</v>
          </cell>
          <cell r="F2686">
            <v>0</v>
          </cell>
          <cell r="G2686">
            <v>0</v>
          </cell>
        </row>
        <row r="2687">
          <cell r="A2687" t="str">
            <v>23-02-02-0376</v>
          </cell>
          <cell r="B2687">
            <v>0</v>
          </cell>
          <cell r="C2687" t="str">
            <v xml:space="preserve">  ALI COTTON FACTORY</v>
          </cell>
          <cell r="D2687">
            <v>0</v>
          </cell>
          <cell r="E2687">
            <v>0</v>
          </cell>
          <cell r="F2687">
            <v>0</v>
          </cell>
          <cell r="G2687">
            <v>0</v>
          </cell>
        </row>
        <row r="2688">
          <cell r="A2688" t="str">
            <v>23-02-02-0377</v>
          </cell>
          <cell r="B2688">
            <v>0</v>
          </cell>
          <cell r="C2688" t="str">
            <v xml:space="preserve">  AL-HASEEB COTTON INDUSTRIES</v>
          </cell>
          <cell r="D2688">
            <v>0</v>
          </cell>
          <cell r="E2688">
            <v>0</v>
          </cell>
          <cell r="F2688">
            <v>0</v>
          </cell>
          <cell r="G2688">
            <v>0</v>
          </cell>
        </row>
        <row r="2689">
          <cell r="A2689" t="str">
            <v>23-02-02-0378</v>
          </cell>
          <cell r="B2689">
            <v>0</v>
          </cell>
          <cell r="C2689" t="str">
            <v xml:space="preserve">  AWAN COTTON GINNERS (SHADUN LUND)</v>
          </cell>
          <cell r="D2689">
            <v>0</v>
          </cell>
          <cell r="E2689">
            <v>0</v>
          </cell>
          <cell r="F2689">
            <v>0</v>
          </cell>
          <cell r="G2689">
            <v>0</v>
          </cell>
        </row>
        <row r="2690">
          <cell r="A2690" t="str">
            <v>23-02-02-0379</v>
          </cell>
          <cell r="B2690">
            <v>0</v>
          </cell>
          <cell r="C2690" t="str">
            <v xml:space="preserve">  M. USMAN COTTON FACTORY</v>
          </cell>
          <cell r="D2690">
            <v>1780000</v>
          </cell>
          <cell r="E2690">
            <v>0</v>
          </cell>
          <cell r="F2690">
            <v>0</v>
          </cell>
          <cell r="G2690">
            <v>0</v>
          </cell>
        </row>
        <row r="2691">
          <cell r="A2691" t="str">
            <v>23-02-02-0380</v>
          </cell>
          <cell r="B2691">
            <v>0</v>
          </cell>
          <cell r="C2691" t="str">
            <v xml:space="preserve">  PRIME COTTON INDUSTRIES.</v>
          </cell>
          <cell r="D2691">
            <v>0</v>
          </cell>
          <cell r="E2691">
            <v>0</v>
          </cell>
          <cell r="F2691">
            <v>0</v>
          </cell>
          <cell r="G2691">
            <v>0</v>
          </cell>
        </row>
        <row r="2692">
          <cell r="A2692" t="str">
            <v>23-02-02-0381</v>
          </cell>
          <cell r="B2692">
            <v>0</v>
          </cell>
          <cell r="C2692" t="str">
            <v xml:space="preserve">  MOON MODEL INDUSTRIES (PVT) LTD</v>
          </cell>
          <cell r="D2692">
            <v>0</v>
          </cell>
          <cell r="E2692">
            <v>0</v>
          </cell>
          <cell r="F2692">
            <v>0</v>
          </cell>
          <cell r="G2692">
            <v>0</v>
          </cell>
        </row>
        <row r="2693">
          <cell r="A2693" t="str">
            <v>23-02-02-0382</v>
          </cell>
          <cell r="B2693">
            <v>0</v>
          </cell>
          <cell r="C2693" t="str">
            <v xml:space="preserve">  CHOUDHRY COTTON GINNERS (SHUJA ABAD)</v>
          </cell>
          <cell r="D2693">
            <v>0</v>
          </cell>
          <cell r="E2693">
            <v>0</v>
          </cell>
          <cell r="F2693">
            <v>0</v>
          </cell>
          <cell r="G2693">
            <v>0</v>
          </cell>
        </row>
        <row r="2694">
          <cell r="A2694" t="str">
            <v>23-02-02-0383</v>
          </cell>
          <cell r="B2694">
            <v>0</v>
          </cell>
          <cell r="C2694" t="str">
            <v xml:space="preserve">  ROOMI COTTON FACTORY</v>
          </cell>
          <cell r="D2694">
            <v>0</v>
          </cell>
          <cell r="E2694">
            <v>0</v>
          </cell>
          <cell r="F2694">
            <v>0</v>
          </cell>
          <cell r="G2694">
            <v>0</v>
          </cell>
        </row>
        <row r="2695">
          <cell r="A2695" t="str">
            <v>23-02-02-0384</v>
          </cell>
          <cell r="B2695">
            <v>0</v>
          </cell>
          <cell r="C2695" t="str">
            <v xml:space="preserve">  AL-RAHIM COTTON FACTORY</v>
          </cell>
          <cell r="D2695">
            <v>0</v>
          </cell>
          <cell r="E2695">
            <v>0</v>
          </cell>
          <cell r="F2695">
            <v>0</v>
          </cell>
          <cell r="G2695">
            <v>0</v>
          </cell>
        </row>
        <row r="2696">
          <cell r="A2696" t="str">
            <v>23-02-02-0385</v>
          </cell>
          <cell r="B2696">
            <v>0</v>
          </cell>
          <cell r="C2696" t="str">
            <v xml:space="preserve">  NAFEES COTTON GINNERS</v>
          </cell>
          <cell r="D2696">
            <v>0</v>
          </cell>
          <cell r="E2696">
            <v>0</v>
          </cell>
          <cell r="F2696">
            <v>0</v>
          </cell>
          <cell r="G2696">
            <v>0</v>
          </cell>
        </row>
        <row r="2697">
          <cell r="A2697" t="str">
            <v>23-02-02-0386</v>
          </cell>
          <cell r="B2697">
            <v>0</v>
          </cell>
          <cell r="C2697" t="str">
            <v xml:space="preserve">  FAISAL BILAL &amp; CO. COTTON GINNERS</v>
          </cell>
          <cell r="D2697">
            <v>0</v>
          </cell>
          <cell r="E2697">
            <v>0</v>
          </cell>
          <cell r="F2697">
            <v>0</v>
          </cell>
          <cell r="G2697">
            <v>0</v>
          </cell>
        </row>
        <row r="2698">
          <cell r="A2698" t="str">
            <v>23-02-02-0387</v>
          </cell>
          <cell r="B2698">
            <v>0</v>
          </cell>
          <cell r="C2698" t="str">
            <v xml:space="preserve">  IKHLAQ BROTHERS COTTON GINNERS</v>
          </cell>
          <cell r="D2698">
            <v>0</v>
          </cell>
          <cell r="E2698">
            <v>0</v>
          </cell>
          <cell r="F2698">
            <v>0</v>
          </cell>
          <cell r="G2698">
            <v>0</v>
          </cell>
        </row>
        <row r="2699">
          <cell r="A2699" t="str">
            <v>23-02-02-0388</v>
          </cell>
          <cell r="B2699">
            <v>0</v>
          </cell>
          <cell r="C2699" t="str">
            <v xml:space="preserve">  BARAT AND BROTHER'S COTTON FACTORY</v>
          </cell>
          <cell r="D2699">
            <v>0</v>
          </cell>
          <cell r="E2699">
            <v>0</v>
          </cell>
          <cell r="F2699">
            <v>0</v>
          </cell>
          <cell r="G2699">
            <v>0</v>
          </cell>
        </row>
        <row r="2700">
          <cell r="A2700" t="str">
            <v>23-02-02-0389</v>
          </cell>
          <cell r="B2700">
            <v>0</v>
          </cell>
          <cell r="C2700" t="str">
            <v xml:space="preserve">  SALEEM SULEMAN INDUSTRIES</v>
          </cell>
          <cell r="D2700">
            <v>0</v>
          </cell>
          <cell r="E2700">
            <v>0</v>
          </cell>
          <cell r="F2700">
            <v>0</v>
          </cell>
          <cell r="G2700">
            <v>0</v>
          </cell>
        </row>
        <row r="2701">
          <cell r="A2701" t="str">
            <v>23-02-02-0390</v>
          </cell>
          <cell r="B2701">
            <v>0</v>
          </cell>
          <cell r="C2701" t="str">
            <v xml:space="preserve">  MIAN EHTESHAM-UL-HAQ &amp; BROTHERS C/G</v>
          </cell>
          <cell r="D2701">
            <v>0</v>
          </cell>
          <cell r="E2701">
            <v>0</v>
          </cell>
          <cell r="F2701">
            <v>0</v>
          </cell>
          <cell r="G2701">
            <v>0</v>
          </cell>
        </row>
        <row r="2702">
          <cell r="A2702" t="str">
            <v>23-02-02-0391</v>
          </cell>
          <cell r="B2702">
            <v>0</v>
          </cell>
          <cell r="C2702" t="str">
            <v xml:space="preserve">  FAZAL EJAZ COTTON FACTORY</v>
          </cell>
          <cell r="D2702">
            <v>0</v>
          </cell>
          <cell r="E2702">
            <v>0</v>
          </cell>
          <cell r="F2702">
            <v>0</v>
          </cell>
          <cell r="G2702">
            <v>0</v>
          </cell>
        </row>
        <row r="2703">
          <cell r="A2703" t="str">
            <v>23-02-02-0392</v>
          </cell>
          <cell r="B2703">
            <v>0</v>
          </cell>
          <cell r="C2703" t="str">
            <v xml:space="preserve">  NASIR COTTON FACTORY</v>
          </cell>
          <cell r="D2703">
            <v>0</v>
          </cell>
          <cell r="E2703">
            <v>0</v>
          </cell>
          <cell r="F2703">
            <v>0</v>
          </cell>
          <cell r="G2703">
            <v>0</v>
          </cell>
        </row>
        <row r="2704">
          <cell r="A2704" t="str">
            <v>23-02-02-0393</v>
          </cell>
          <cell r="B2704">
            <v>0</v>
          </cell>
          <cell r="C2704" t="str">
            <v xml:space="preserve">  NASRULLAH BROTHERS COTTON GINN FACTORY</v>
          </cell>
          <cell r="D2704">
            <v>1696285.82</v>
          </cell>
          <cell r="E2704">
            <v>0</v>
          </cell>
          <cell r="F2704">
            <v>0</v>
          </cell>
          <cell r="G2704">
            <v>0</v>
          </cell>
        </row>
        <row r="2705">
          <cell r="A2705" t="str">
            <v>23-02-02-0394</v>
          </cell>
          <cell r="B2705">
            <v>0</v>
          </cell>
          <cell r="C2705" t="str">
            <v xml:space="preserve">  ABDULLAH HASEEB COTTTON INDUS PVT LTD</v>
          </cell>
          <cell r="D2705">
            <v>0</v>
          </cell>
          <cell r="E2705">
            <v>0</v>
          </cell>
          <cell r="F2705">
            <v>0</v>
          </cell>
          <cell r="G2705">
            <v>0</v>
          </cell>
        </row>
        <row r="2706">
          <cell r="A2706" t="str">
            <v>23-02-02-0395</v>
          </cell>
          <cell r="B2706">
            <v>0</v>
          </cell>
          <cell r="C2706" t="str">
            <v xml:space="preserve">  ZIKRIA COTTON INDUSTRIES</v>
          </cell>
          <cell r="D2706">
            <v>0</v>
          </cell>
          <cell r="E2706">
            <v>0</v>
          </cell>
          <cell r="F2706">
            <v>0</v>
          </cell>
          <cell r="G2706">
            <v>0</v>
          </cell>
        </row>
        <row r="2707">
          <cell r="A2707" t="str">
            <v>23-02-02-0396</v>
          </cell>
          <cell r="B2707">
            <v>0</v>
          </cell>
          <cell r="C2707" t="str">
            <v xml:space="preserve">  A.A. COTTON FACTORY</v>
          </cell>
          <cell r="D2707">
            <v>0</v>
          </cell>
          <cell r="E2707">
            <v>89327.46</v>
          </cell>
          <cell r="F2707">
            <v>0</v>
          </cell>
          <cell r="G2707">
            <v>0</v>
          </cell>
        </row>
        <row r="2708">
          <cell r="A2708" t="str">
            <v>23-02-02-0397</v>
          </cell>
          <cell r="B2708">
            <v>0</v>
          </cell>
          <cell r="C2708" t="str">
            <v xml:space="preserve">  INAMULLAH BROTHER'S COTTON GINNER'S</v>
          </cell>
          <cell r="D2708">
            <v>0</v>
          </cell>
          <cell r="E2708">
            <v>0</v>
          </cell>
          <cell r="F2708">
            <v>0</v>
          </cell>
          <cell r="G2708">
            <v>0</v>
          </cell>
        </row>
        <row r="2709">
          <cell r="A2709" t="str">
            <v>23-02-02-0398</v>
          </cell>
          <cell r="B2709">
            <v>0</v>
          </cell>
          <cell r="C2709" t="str">
            <v xml:space="preserve">  M.USMAN COTTON FACTORY (PVT) LTD.</v>
          </cell>
          <cell r="D2709">
            <v>0</v>
          </cell>
          <cell r="E2709">
            <v>0</v>
          </cell>
          <cell r="F2709">
            <v>0</v>
          </cell>
          <cell r="G2709">
            <v>0</v>
          </cell>
        </row>
        <row r="2710">
          <cell r="A2710" t="str">
            <v>23-02-02-0399</v>
          </cell>
          <cell r="B2710">
            <v>0</v>
          </cell>
          <cell r="C2710" t="str">
            <v xml:space="preserve">  PAK MILLAT COTTON FACTORY</v>
          </cell>
          <cell r="D2710">
            <v>0</v>
          </cell>
          <cell r="E2710">
            <v>1989529.01</v>
          </cell>
          <cell r="F2710">
            <v>0</v>
          </cell>
          <cell r="G2710">
            <v>0</v>
          </cell>
        </row>
        <row r="2711">
          <cell r="A2711" t="str">
            <v>23-02-02-0400</v>
          </cell>
          <cell r="B2711">
            <v>0</v>
          </cell>
          <cell r="C2711" t="str">
            <v xml:space="preserve">  AL-NAJAF COTTON FACTORY</v>
          </cell>
          <cell r="D2711">
            <v>0</v>
          </cell>
          <cell r="E2711">
            <v>98062.45</v>
          </cell>
          <cell r="F2711">
            <v>0</v>
          </cell>
          <cell r="G2711">
            <v>0</v>
          </cell>
        </row>
        <row r="2712">
          <cell r="A2712" t="str">
            <v>23-02-02-0401</v>
          </cell>
          <cell r="B2712">
            <v>0</v>
          </cell>
          <cell r="C2712" t="str">
            <v xml:space="preserve">  ITTEFAQ COTTON FACTORY</v>
          </cell>
          <cell r="D2712">
            <v>0</v>
          </cell>
          <cell r="E2712">
            <v>0</v>
          </cell>
          <cell r="F2712">
            <v>0</v>
          </cell>
          <cell r="G2712">
            <v>0</v>
          </cell>
        </row>
        <row r="2713">
          <cell r="A2713" t="str">
            <v>23-02-02-0402</v>
          </cell>
          <cell r="B2713">
            <v>0</v>
          </cell>
          <cell r="C2713" t="str">
            <v xml:space="preserve">  SUN RISE SILVER COTTON PVT LTD</v>
          </cell>
          <cell r="D2713">
            <v>0</v>
          </cell>
          <cell r="E2713">
            <v>0</v>
          </cell>
          <cell r="F2713">
            <v>0</v>
          </cell>
          <cell r="G2713">
            <v>0</v>
          </cell>
        </row>
        <row r="2714">
          <cell r="A2714" t="str">
            <v>23-02-02-0403</v>
          </cell>
          <cell r="B2714">
            <v>0</v>
          </cell>
          <cell r="C2714" t="str">
            <v xml:space="preserve">  AL-HAMMAD COTTON INDUSTRIES</v>
          </cell>
          <cell r="D2714">
            <v>0</v>
          </cell>
          <cell r="E2714">
            <v>0</v>
          </cell>
          <cell r="F2714">
            <v>0</v>
          </cell>
          <cell r="G2714">
            <v>0</v>
          </cell>
        </row>
        <row r="2715">
          <cell r="A2715" t="str">
            <v>23-02-02-0404</v>
          </cell>
          <cell r="B2715">
            <v>0</v>
          </cell>
          <cell r="C2715" t="str">
            <v xml:space="preserve">  SHAKIR MODEL INDUSTRY (PVT) LTD</v>
          </cell>
          <cell r="D2715">
            <v>0</v>
          </cell>
          <cell r="E2715">
            <v>0</v>
          </cell>
          <cell r="F2715">
            <v>0</v>
          </cell>
          <cell r="G2715">
            <v>0</v>
          </cell>
        </row>
        <row r="2716">
          <cell r="A2716" t="str">
            <v>23-02-02-0405</v>
          </cell>
          <cell r="B2716">
            <v>0</v>
          </cell>
          <cell r="C2716" t="str">
            <v xml:space="preserve">  KHALID SAIF COTTON INDUSTRIES</v>
          </cell>
          <cell r="D2716">
            <v>1720000</v>
          </cell>
          <cell r="E2716">
            <v>0</v>
          </cell>
          <cell r="F2716">
            <v>0</v>
          </cell>
          <cell r="G2716">
            <v>0</v>
          </cell>
        </row>
        <row r="2717">
          <cell r="A2717" t="str">
            <v>23-02-02-0406</v>
          </cell>
          <cell r="B2717">
            <v>0</v>
          </cell>
          <cell r="C2717" t="str">
            <v xml:space="preserve">  LATIF BROTHER'S COTTON GINNERS</v>
          </cell>
          <cell r="D2717">
            <v>0</v>
          </cell>
          <cell r="E2717">
            <v>86483.23</v>
          </cell>
          <cell r="F2717">
            <v>0</v>
          </cell>
          <cell r="G2717">
            <v>0</v>
          </cell>
        </row>
        <row r="2718">
          <cell r="A2718" t="str">
            <v>23-02-02-0407</v>
          </cell>
          <cell r="B2718">
            <v>0</v>
          </cell>
          <cell r="C2718" t="str">
            <v xml:space="preserve">  SAFDAR-KAMRAN COTTON GINNER'S</v>
          </cell>
          <cell r="D2718">
            <v>1740000</v>
          </cell>
          <cell r="E2718">
            <v>0</v>
          </cell>
          <cell r="F2718">
            <v>0</v>
          </cell>
          <cell r="G2718">
            <v>0</v>
          </cell>
        </row>
        <row r="2719">
          <cell r="A2719" t="str">
            <v>23-02-02-0408</v>
          </cell>
          <cell r="B2719">
            <v>0</v>
          </cell>
          <cell r="C2719" t="str">
            <v xml:space="preserve">  SHEIKH COTTON FACTORY</v>
          </cell>
          <cell r="D2719">
            <v>0</v>
          </cell>
          <cell r="E2719">
            <v>61301.27</v>
          </cell>
          <cell r="F2719">
            <v>0</v>
          </cell>
          <cell r="G2719">
            <v>0</v>
          </cell>
        </row>
        <row r="2720">
          <cell r="A2720" t="str">
            <v>23-02-02-0409</v>
          </cell>
          <cell r="B2720">
            <v>0</v>
          </cell>
          <cell r="C2720" t="str">
            <v xml:space="preserve">  CH-NAZIR AHMAD &amp; COMPANY</v>
          </cell>
          <cell r="D2720">
            <v>0</v>
          </cell>
          <cell r="E2720">
            <v>0</v>
          </cell>
          <cell r="F2720">
            <v>0</v>
          </cell>
          <cell r="G2720">
            <v>0</v>
          </cell>
        </row>
        <row r="2721">
          <cell r="A2721" t="str">
            <v>23-02-02-0410</v>
          </cell>
          <cell r="B2721">
            <v>0</v>
          </cell>
          <cell r="C2721" t="str">
            <v xml:space="preserve">  OWAIS COTTON FACTORY</v>
          </cell>
          <cell r="D2721">
            <v>1620000</v>
          </cell>
          <cell r="E2721">
            <v>0</v>
          </cell>
          <cell r="F2721">
            <v>0</v>
          </cell>
          <cell r="G2721">
            <v>0</v>
          </cell>
        </row>
        <row r="2722">
          <cell r="A2722" t="str">
            <v>23-02-02-0411</v>
          </cell>
          <cell r="B2722">
            <v>0</v>
          </cell>
          <cell r="C2722" t="str">
            <v xml:space="preserve">  JABBAR COTTON INDUSTRIES</v>
          </cell>
          <cell r="D2722">
            <v>0</v>
          </cell>
          <cell r="E2722">
            <v>73223.740000000005</v>
          </cell>
          <cell r="F2722">
            <v>0</v>
          </cell>
          <cell r="G2722">
            <v>0</v>
          </cell>
        </row>
        <row r="2723">
          <cell r="A2723" t="str">
            <v>23-02-02-0412</v>
          </cell>
          <cell r="B2723">
            <v>0</v>
          </cell>
          <cell r="C2723" t="str">
            <v xml:space="preserve">  SHAH JAMAL COTTON GINNING FACTORY</v>
          </cell>
          <cell r="D2723">
            <v>0</v>
          </cell>
          <cell r="E2723">
            <v>161031.51</v>
          </cell>
          <cell r="F2723">
            <v>0</v>
          </cell>
          <cell r="G2723">
            <v>0</v>
          </cell>
        </row>
        <row r="2724">
          <cell r="A2724" t="str">
            <v>23-02-02-0413</v>
          </cell>
          <cell r="B2724">
            <v>0</v>
          </cell>
          <cell r="C2724" t="str">
            <v xml:space="preserve">  AWAIS COTTON FACTORY</v>
          </cell>
          <cell r="D2724">
            <v>0</v>
          </cell>
          <cell r="E2724">
            <v>0</v>
          </cell>
          <cell r="F2724">
            <v>0</v>
          </cell>
          <cell r="G2724">
            <v>0</v>
          </cell>
        </row>
        <row r="2725">
          <cell r="A2725" t="str">
            <v>23-02-02-0414</v>
          </cell>
          <cell r="B2725">
            <v>0</v>
          </cell>
          <cell r="C2725" t="str">
            <v xml:space="preserve">  SHAHZAD TRADERS</v>
          </cell>
          <cell r="D2725">
            <v>0</v>
          </cell>
          <cell r="E2725">
            <v>0</v>
          </cell>
          <cell r="F2725">
            <v>0</v>
          </cell>
          <cell r="G2725">
            <v>0</v>
          </cell>
        </row>
        <row r="2726">
          <cell r="A2726" t="str">
            <v>23-02-02-0415</v>
          </cell>
          <cell r="B2726">
            <v>0</v>
          </cell>
          <cell r="C2726" t="str">
            <v xml:space="preserve">  KASHMIR COTTON FACTORY</v>
          </cell>
          <cell r="D2726">
            <v>0</v>
          </cell>
          <cell r="E2726">
            <v>0</v>
          </cell>
          <cell r="F2726">
            <v>0</v>
          </cell>
          <cell r="G2726">
            <v>0</v>
          </cell>
        </row>
        <row r="2727">
          <cell r="A2727" t="str">
            <v>23-02-02-0416</v>
          </cell>
          <cell r="B2727">
            <v>0</v>
          </cell>
          <cell r="C2727" t="str">
            <v xml:space="preserve">  AL-TALIB COTTON FACTORY</v>
          </cell>
          <cell r="D2727">
            <v>0</v>
          </cell>
          <cell r="E2727">
            <v>0</v>
          </cell>
          <cell r="F2727">
            <v>0</v>
          </cell>
          <cell r="G2727">
            <v>0</v>
          </cell>
        </row>
        <row r="2728">
          <cell r="A2728" t="str">
            <v>23-02-02-0417</v>
          </cell>
          <cell r="B2728">
            <v>0</v>
          </cell>
          <cell r="C2728" t="str">
            <v xml:space="preserve">  AL-RAZZAK COTTON INDUSTRIES</v>
          </cell>
          <cell r="D2728">
            <v>0</v>
          </cell>
          <cell r="E2728">
            <v>0</v>
          </cell>
          <cell r="F2728">
            <v>0</v>
          </cell>
          <cell r="G2728">
            <v>0</v>
          </cell>
        </row>
        <row r="2729">
          <cell r="A2729" t="str">
            <v>23-02-02-0418</v>
          </cell>
          <cell r="B2729">
            <v>0</v>
          </cell>
          <cell r="C2729" t="str">
            <v xml:space="preserve">  BISMA INDUSTRIES</v>
          </cell>
          <cell r="D2729">
            <v>0</v>
          </cell>
          <cell r="E2729">
            <v>0</v>
          </cell>
          <cell r="F2729">
            <v>0</v>
          </cell>
          <cell r="G2729">
            <v>0</v>
          </cell>
        </row>
        <row r="2730">
          <cell r="A2730" t="str">
            <v>23-02-02-0419</v>
          </cell>
          <cell r="B2730">
            <v>0</v>
          </cell>
          <cell r="C2730" t="str">
            <v xml:space="preserve">  ZAHEER ABAD SEED CORPORATION</v>
          </cell>
          <cell r="D2730">
            <v>0</v>
          </cell>
          <cell r="E2730">
            <v>0</v>
          </cell>
          <cell r="F2730">
            <v>0</v>
          </cell>
          <cell r="G2730">
            <v>0</v>
          </cell>
        </row>
        <row r="2731">
          <cell r="A2731" t="str">
            <v>23-02-02-0420</v>
          </cell>
          <cell r="B2731">
            <v>0</v>
          </cell>
          <cell r="C2731" t="str">
            <v xml:space="preserve">  MALIK BROTHERS COTTON GINNERS</v>
          </cell>
          <cell r="D2731">
            <v>0</v>
          </cell>
          <cell r="E2731">
            <v>0</v>
          </cell>
          <cell r="F2731">
            <v>0</v>
          </cell>
          <cell r="G2731">
            <v>0</v>
          </cell>
        </row>
        <row r="2732">
          <cell r="A2732" t="str">
            <v>23-02-02-0421</v>
          </cell>
          <cell r="B2732">
            <v>0</v>
          </cell>
          <cell r="C2732" t="str">
            <v xml:space="preserve">  KHAN BROTHERS COTTON INDUSTRIES</v>
          </cell>
          <cell r="D2732">
            <v>0</v>
          </cell>
          <cell r="E2732">
            <v>0</v>
          </cell>
          <cell r="F2732">
            <v>0</v>
          </cell>
          <cell r="G2732">
            <v>0</v>
          </cell>
        </row>
        <row r="2733">
          <cell r="A2733" t="str">
            <v>23-02-02-0422</v>
          </cell>
          <cell r="B2733">
            <v>0</v>
          </cell>
          <cell r="C2733" t="str">
            <v xml:space="preserve">  NEELUM COTTON INDUSTRIES</v>
          </cell>
          <cell r="D2733">
            <v>0</v>
          </cell>
          <cell r="E2733">
            <v>0</v>
          </cell>
          <cell r="F2733">
            <v>0</v>
          </cell>
          <cell r="G2733">
            <v>0</v>
          </cell>
        </row>
        <row r="2734">
          <cell r="A2734" t="str">
            <v>23-02-02-0423</v>
          </cell>
          <cell r="B2734">
            <v>0</v>
          </cell>
          <cell r="C2734" t="str">
            <v xml:space="preserve">  ALI HUSSAIN COTTON FACTORY (UCH SHARIF</v>
          </cell>
          <cell r="D2734">
            <v>0</v>
          </cell>
          <cell r="E2734">
            <v>0</v>
          </cell>
          <cell r="F2734">
            <v>0</v>
          </cell>
          <cell r="G2734">
            <v>0</v>
          </cell>
        </row>
        <row r="2735">
          <cell r="A2735" t="str">
            <v>23-02-02-0424</v>
          </cell>
          <cell r="B2735">
            <v>0</v>
          </cell>
          <cell r="C2735" t="str">
            <v xml:space="preserve">  ALI HUSSAIN COTTON FACTORY (ALI PUR)</v>
          </cell>
          <cell r="D2735">
            <v>0</v>
          </cell>
          <cell r="E2735">
            <v>0</v>
          </cell>
          <cell r="F2735">
            <v>0</v>
          </cell>
          <cell r="G2735">
            <v>0</v>
          </cell>
        </row>
        <row r="2736">
          <cell r="A2736" t="str">
            <v>23-02-02-0425</v>
          </cell>
          <cell r="B2736">
            <v>0</v>
          </cell>
          <cell r="C2736" t="str">
            <v xml:space="preserve">  AL NASR COTTON FACTORY (KHANEWAL)</v>
          </cell>
          <cell r="D2736">
            <v>0</v>
          </cell>
          <cell r="E2736">
            <v>0</v>
          </cell>
          <cell r="F2736">
            <v>0</v>
          </cell>
          <cell r="G2736">
            <v>0</v>
          </cell>
        </row>
        <row r="2737">
          <cell r="A2737" t="str">
            <v>23-02-02-0426</v>
          </cell>
          <cell r="B2737">
            <v>0</v>
          </cell>
          <cell r="C2737" t="str">
            <v xml:space="preserve">  FRIENDS COTTON GINNERS</v>
          </cell>
          <cell r="D2737">
            <v>0</v>
          </cell>
          <cell r="E2737">
            <v>0</v>
          </cell>
          <cell r="F2737">
            <v>0</v>
          </cell>
          <cell r="G2737">
            <v>0</v>
          </cell>
        </row>
        <row r="2738">
          <cell r="A2738" t="str">
            <v>23-02-02-0427</v>
          </cell>
          <cell r="B2738">
            <v>0</v>
          </cell>
          <cell r="C2738" t="str">
            <v xml:space="preserve">  CHEEMA COTTON FACTORY</v>
          </cell>
          <cell r="D2738">
            <v>0</v>
          </cell>
          <cell r="E2738">
            <v>0</v>
          </cell>
          <cell r="F2738">
            <v>0</v>
          </cell>
          <cell r="G2738">
            <v>0</v>
          </cell>
        </row>
        <row r="2739">
          <cell r="A2739" t="str">
            <v>23-02-02-0428</v>
          </cell>
          <cell r="B2739">
            <v>0</v>
          </cell>
          <cell r="C2739" t="str">
            <v xml:space="preserve">  MUDASSAR IQBAL COTTON INDUSTRIES</v>
          </cell>
          <cell r="D2739">
            <v>0</v>
          </cell>
          <cell r="E2739">
            <v>0</v>
          </cell>
          <cell r="F2739">
            <v>0</v>
          </cell>
          <cell r="G2739">
            <v>0</v>
          </cell>
        </row>
        <row r="2740">
          <cell r="A2740" t="str">
            <v>23-02-02-0429</v>
          </cell>
          <cell r="B2740">
            <v>0</v>
          </cell>
          <cell r="C2740" t="str">
            <v xml:space="preserve">  BUKHARI INDUSTRIES</v>
          </cell>
          <cell r="D2740">
            <v>0</v>
          </cell>
          <cell r="E2740">
            <v>0</v>
          </cell>
          <cell r="F2740">
            <v>0</v>
          </cell>
          <cell r="G2740">
            <v>0</v>
          </cell>
        </row>
        <row r="2741">
          <cell r="A2741" t="str">
            <v>23-02-02-0430</v>
          </cell>
          <cell r="B2741">
            <v>0</v>
          </cell>
          <cell r="C2741" t="str">
            <v xml:space="preserve">  AL NASR COTTON GINNERS</v>
          </cell>
          <cell r="D2741">
            <v>0</v>
          </cell>
          <cell r="E2741">
            <v>0</v>
          </cell>
          <cell r="F2741">
            <v>0</v>
          </cell>
          <cell r="G2741">
            <v>0</v>
          </cell>
        </row>
        <row r="2742">
          <cell r="A2742" t="str">
            <v>23-02-02-0431</v>
          </cell>
          <cell r="B2742">
            <v>0</v>
          </cell>
          <cell r="C2742" t="str">
            <v xml:space="preserve">  SABA INDUSTRIES COTTON FACTORY</v>
          </cell>
          <cell r="D2742">
            <v>0</v>
          </cell>
          <cell r="E2742">
            <v>0</v>
          </cell>
          <cell r="F2742">
            <v>0</v>
          </cell>
          <cell r="G2742">
            <v>0</v>
          </cell>
        </row>
        <row r="2743">
          <cell r="A2743" t="str">
            <v>23-02-02-0432</v>
          </cell>
          <cell r="B2743">
            <v>0</v>
          </cell>
          <cell r="C2743" t="str">
            <v xml:space="preserve">  SALEEM AFZAL INDUSTRIES</v>
          </cell>
          <cell r="D2743">
            <v>0</v>
          </cell>
          <cell r="E2743">
            <v>0</v>
          </cell>
          <cell r="F2743">
            <v>0</v>
          </cell>
          <cell r="G2743">
            <v>0</v>
          </cell>
        </row>
        <row r="2744">
          <cell r="A2744" t="str">
            <v>23-02-02-0433</v>
          </cell>
          <cell r="B2744">
            <v>0</v>
          </cell>
          <cell r="C2744" t="str">
            <v xml:space="preserve">  JHANDEER COTTON GINNERS</v>
          </cell>
          <cell r="D2744">
            <v>0</v>
          </cell>
          <cell r="E2744">
            <v>0</v>
          </cell>
          <cell r="F2744">
            <v>0</v>
          </cell>
          <cell r="G2744">
            <v>0</v>
          </cell>
        </row>
        <row r="2745">
          <cell r="A2745" t="str">
            <v>23-02-02-0434</v>
          </cell>
          <cell r="B2745">
            <v>0</v>
          </cell>
          <cell r="C2745" t="str">
            <v xml:space="preserve">  CHOUDHRY COTTON FACTORY</v>
          </cell>
          <cell r="D2745">
            <v>0</v>
          </cell>
          <cell r="E2745">
            <v>0</v>
          </cell>
          <cell r="F2745">
            <v>0</v>
          </cell>
          <cell r="G2745">
            <v>0</v>
          </cell>
        </row>
        <row r="2746">
          <cell r="A2746" t="str">
            <v>23-02-02-0435</v>
          </cell>
          <cell r="B2746">
            <v>0</v>
          </cell>
          <cell r="C2746" t="str">
            <v xml:space="preserve">  REHMANIA COTTON GINNING FACTORY</v>
          </cell>
          <cell r="D2746">
            <v>0</v>
          </cell>
          <cell r="E2746">
            <v>0</v>
          </cell>
          <cell r="F2746">
            <v>0</v>
          </cell>
          <cell r="G2746">
            <v>0</v>
          </cell>
        </row>
        <row r="2747">
          <cell r="A2747" t="str">
            <v>23-02-02-0436</v>
          </cell>
          <cell r="B2747">
            <v>0</v>
          </cell>
          <cell r="C2747" t="str">
            <v xml:space="preserve">  BAJWA COTTON FACTORY</v>
          </cell>
          <cell r="D2747">
            <v>0</v>
          </cell>
          <cell r="E2747">
            <v>0</v>
          </cell>
          <cell r="F2747">
            <v>0</v>
          </cell>
          <cell r="G2747">
            <v>0</v>
          </cell>
        </row>
        <row r="2748">
          <cell r="A2748" t="str">
            <v>23-02-02-0437</v>
          </cell>
          <cell r="B2748">
            <v>0</v>
          </cell>
          <cell r="C2748" t="str">
            <v xml:space="preserve">  AL-NOOR COTTON FACTORY</v>
          </cell>
          <cell r="D2748">
            <v>0</v>
          </cell>
          <cell r="E2748">
            <v>0</v>
          </cell>
          <cell r="F2748">
            <v>0</v>
          </cell>
          <cell r="G2748">
            <v>0</v>
          </cell>
        </row>
        <row r="2749">
          <cell r="A2749" t="str">
            <v>23-02-02-0438</v>
          </cell>
          <cell r="B2749">
            <v>0</v>
          </cell>
          <cell r="C2749" t="str">
            <v xml:space="preserve">  AL-TALIB COTTON INDUSTRIES</v>
          </cell>
          <cell r="D2749">
            <v>0</v>
          </cell>
          <cell r="E2749">
            <v>0</v>
          </cell>
          <cell r="F2749">
            <v>0</v>
          </cell>
          <cell r="G2749">
            <v>0</v>
          </cell>
        </row>
        <row r="2750">
          <cell r="A2750" t="str">
            <v>23-02-02-0439</v>
          </cell>
          <cell r="B2750">
            <v>0</v>
          </cell>
          <cell r="C2750" t="str">
            <v xml:space="preserve">  FAISAL WAQAS COTTON FACTORY</v>
          </cell>
          <cell r="D2750">
            <v>0</v>
          </cell>
          <cell r="E2750">
            <v>0</v>
          </cell>
          <cell r="F2750">
            <v>0</v>
          </cell>
          <cell r="G2750">
            <v>0</v>
          </cell>
        </row>
        <row r="2751">
          <cell r="A2751" t="str">
            <v>23-02-02-0440</v>
          </cell>
          <cell r="B2751">
            <v>0</v>
          </cell>
          <cell r="C2751" t="str">
            <v xml:space="preserve">  NAJAF COTTON INDUSTRIES</v>
          </cell>
          <cell r="D2751">
            <v>0</v>
          </cell>
          <cell r="E2751">
            <v>0</v>
          </cell>
          <cell r="F2751">
            <v>0</v>
          </cell>
          <cell r="G2751">
            <v>0</v>
          </cell>
        </row>
        <row r="2752">
          <cell r="A2752" t="str">
            <v>23-02-02-0441</v>
          </cell>
          <cell r="B2752">
            <v>0</v>
          </cell>
          <cell r="C2752" t="str">
            <v xml:space="preserve">  MALIK DILAWAR KHAN COTTON GINNERS</v>
          </cell>
          <cell r="D2752">
            <v>0</v>
          </cell>
          <cell r="E2752">
            <v>0</v>
          </cell>
          <cell r="F2752">
            <v>0</v>
          </cell>
          <cell r="G2752">
            <v>0</v>
          </cell>
        </row>
        <row r="2753">
          <cell r="A2753" t="str">
            <v>23-02-02-0442</v>
          </cell>
          <cell r="B2753">
            <v>0</v>
          </cell>
          <cell r="C2753" t="str">
            <v xml:space="preserve">  MEHRAN COTTON FACTORY</v>
          </cell>
          <cell r="D2753">
            <v>0</v>
          </cell>
          <cell r="E2753">
            <v>0</v>
          </cell>
          <cell r="F2753">
            <v>0</v>
          </cell>
          <cell r="G2753">
            <v>0</v>
          </cell>
        </row>
        <row r="2754">
          <cell r="A2754" t="str">
            <v>23-02-02-0443</v>
          </cell>
          <cell r="B2754">
            <v>0</v>
          </cell>
          <cell r="C2754" t="str">
            <v xml:space="preserve">  NEELUM COTTON GINNERS</v>
          </cell>
          <cell r="D2754">
            <v>0</v>
          </cell>
          <cell r="E2754">
            <v>0</v>
          </cell>
          <cell r="F2754">
            <v>0</v>
          </cell>
          <cell r="G2754">
            <v>0</v>
          </cell>
        </row>
        <row r="2755">
          <cell r="A2755" t="str">
            <v>23-02-02-0444</v>
          </cell>
          <cell r="B2755">
            <v>0</v>
          </cell>
          <cell r="C2755" t="str">
            <v xml:space="preserve">  AKRAM &amp; BROTHERS COTTON GINNERS</v>
          </cell>
          <cell r="D2755">
            <v>0</v>
          </cell>
          <cell r="E2755">
            <v>0</v>
          </cell>
          <cell r="F2755">
            <v>0</v>
          </cell>
          <cell r="G2755">
            <v>0</v>
          </cell>
        </row>
        <row r="2756">
          <cell r="A2756" t="str">
            <v>23-02-02-0445</v>
          </cell>
          <cell r="B2756">
            <v>0</v>
          </cell>
          <cell r="C2756" t="str">
            <v xml:space="preserve">  S.Y COTTON FACTORY</v>
          </cell>
          <cell r="D2756">
            <v>0</v>
          </cell>
          <cell r="E2756">
            <v>0</v>
          </cell>
          <cell r="F2756">
            <v>0</v>
          </cell>
          <cell r="G2756">
            <v>0</v>
          </cell>
        </row>
        <row r="2757">
          <cell r="A2757" t="str">
            <v>23-02-02-0446</v>
          </cell>
          <cell r="B2757">
            <v>0</v>
          </cell>
          <cell r="C2757" t="str">
            <v xml:space="preserve">  CHAUDHARY COTTON GINNERS</v>
          </cell>
          <cell r="D2757">
            <v>0</v>
          </cell>
          <cell r="E2757">
            <v>0</v>
          </cell>
          <cell r="F2757">
            <v>0</v>
          </cell>
          <cell r="G2757">
            <v>0</v>
          </cell>
        </row>
        <row r="2758">
          <cell r="A2758" t="str">
            <v>23-02-02-0447</v>
          </cell>
          <cell r="B2758">
            <v>0</v>
          </cell>
          <cell r="C2758" t="str">
            <v xml:space="preserve">  AL BARKAT COTTON INDUSTRIES</v>
          </cell>
          <cell r="D2758">
            <v>0</v>
          </cell>
          <cell r="E2758">
            <v>0</v>
          </cell>
          <cell r="F2758">
            <v>0</v>
          </cell>
          <cell r="G2758">
            <v>0</v>
          </cell>
        </row>
        <row r="2759">
          <cell r="A2759" t="str">
            <v>23-02-02-0448</v>
          </cell>
          <cell r="B2759">
            <v>0</v>
          </cell>
          <cell r="C2759" t="str">
            <v xml:space="preserve">  KARMAWALA MODEL INDUSTRIES</v>
          </cell>
          <cell r="D2759">
            <v>0</v>
          </cell>
          <cell r="E2759">
            <v>0</v>
          </cell>
          <cell r="F2759">
            <v>0</v>
          </cell>
          <cell r="G2759">
            <v>0</v>
          </cell>
        </row>
        <row r="2760">
          <cell r="A2760" t="str">
            <v>23-02-02-0449</v>
          </cell>
          <cell r="B2760">
            <v>0</v>
          </cell>
          <cell r="C2760" t="str">
            <v xml:space="preserve">  DE BECRA INDUSTRIES CHICHAWATNI</v>
          </cell>
          <cell r="D2760">
            <v>0</v>
          </cell>
          <cell r="E2760">
            <v>0</v>
          </cell>
          <cell r="F2760">
            <v>0</v>
          </cell>
          <cell r="G2760">
            <v>0</v>
          </cell>
        </row>
        <row r="2761">
          <cell r="A2761" t="str">
            <v>23-02-02-0450</v>
          </cell>
          <cell r="B2761">
            <v>0</v>
          </cell>
          <cell r="C2761" t="str">
            <v xml:space="preserve">  HABIB COTTON INDUSTRIES</v>
          </cell>
          <cell r="D2761">
            <v>0</v>
          </cell>
          <cell r="E2761">
            <v>0</v>
          </cell>
          <cell r="F2761">
            <v>0</v>
          </cell>
          <cell r="G2761">
            <v>0</v>
          </cell>
        </row>
        <row r="2762">
          <cell r="A2762" t="str">
            <v>23-02-02-0451</v>
          </cell>
          <cell r="B2762">
            <v>0</v>
          </cell>
          <cell r="C2762" t="str">
            <v xml:space="preserve">  SILVER FIBER COTTON INDUSTRIES</v>
          </cell>
          <cell r="D2762">
            <v>0</v>
          </cell>
          <cell r="E2762">
            <v>0</v>
          </cell>
          <cell r="F2762">
            <v>0</v>
          </cell>
          <cell r="G2762">
            <v>0</v>
          </cell>
        </row>
        <row r="2763">
          <cell r="A2763" t="str">
            <v>23-02-02-0452</v>
          </cell>
          <cell r="B2763">
            <v>0</v>
          </cell>
          <cell r="C2763" t="str">
            <v xml:space="preserve">  SHARIF COTTON INDUSTRIES</v>
          </cell>
          <cell r="D2763">
            <v>0</v>
          </cell>
          <cell r="E2763">
            <v>0</v>
          </cell>
          <cell r="F2763">
            <v>0</v>
          </cell>
          <cell r="G2763">
            <v>0</v>
          </cell>
        </row>
        <row r="2764">
          <cell r="A2764" t="str">
            <v>23-02-02-0453</v>
          </cell>
          <cell r="B2764">
            <v>0</v>
          </cell>
          <cell r="C2764" t="str">
            <v xml:space="preserve">  ZOHAIB MODEL INDUSTRY (PVT) LTD</v>
          </cell>
          <cell r="D2764">
            <v>0</v>
          </cell>
          <cell r="E2764">
            <v>0</v>
          </cell>
          <cell r="F2764">
            <v>0</v>
          </cell>
          <cell r="G2764">
            <v>0</v>
          </cell>
        </row>
        <row r="2765">
          <cell r="A2765" t="str">
            <v>23-02-02-0454</v>
          </cell>
          <cell r="B2765">
            <v>0</v>
          </cell>
          <cell r="C2765" t="str">
            <v xml:space="preserve">  MALIK CORPORATION CHICHAWATNI</v>
          </cell>
          <cell r="D2765">
            <v>0</v>
          </cell>
          <cell r="E2765">
            <v>0</v>
          </cell>
          <cell r="F2765">
            <v>0</v>
          </cell>
          <cell r="G2765">
            <v>0</v>
          </cell>
        </row>
        <row r="2766">
          <cell r="A2766" t="str">
            <v>23-02-02-0455</v>
          </cell>
          <cell r="B2766">
            <v>0</v>
          </cell>
          <cell r="C2766" t="str">
            <v xml:space="preserve">  M.N.A INDUSTRIES</v>
          </cell>
          <cell r="D2766">
            <v>0</v>
          </cell>
          <cell r="E2766">
            <v>0</v>
          </cell>
          <cell r="F2766">
            <v>0</v>
          </cell>
          <cell r="G2766">
            <v>0</v>
          </cell>
        </row>
        <row r="2767">
          <cell r="A2767" t="str">
            <v>23-02-02-0456</v>
          </cell>
          <cell r="B2767">
            <v>0</v>
          </cell>
          <cell r="C2767" t="str">
            <v xml:space="preserve">  GULSHAN COTTON FACTORY</v>
          </cell>
          <cell r="D2767">
            <v>0</v>
          </cell>
          <cell r="E2767">
            <v>0</v>
          </cell>
          <cell r="F2767">
            <v>0</v>
          </cell>
          <cell r="G2767">
            <v>0</v>
          </cell>
        </row>
        <row r="2768">
          <cell r="A2768" t="str">
            <v>23-02-02-0457</v>
          </cell>
          <cell r="B2768">
            <v>0</v>
          </cell>
          <cell r="C2768" t="str">
            <v xml:space="preserve">  AZAD COTTON INDUSTRIES</v>
          </cell>
          <cell r="D2768">
            <v>0</v>
          </cell>
          <cell r="E2768">
            <v>0</v>
          </cell>
          <cell r="F2768">
            <v>0</v>
          </cell>
          <cell r="G2768">
            <v>0</v>
          </cell>
        </row>
        <row r="2769">
          <cell r="A2769" t="str">
            <v>23-02-02-0458</v>
          </cell>
          <cell r="B2769">
            <v>0</v>
          </cell>
          <cell r="C2769" t="str">
            <v xml:space="preserve">  AZAD COTTON FACTORY</v>
          </cell>
          <cell r="D2769">
            <v>0</v>
          </cell>
          <cell r="E2769">
            <v>0</v>
          </cell>
          <cell r="F2769">
            <v>0</v>
          </cell>
          <cell r="G2769">
            <v>0</v>
          </cell>
        </row>
        <row r="2770">
          <cell r="A2770" t="str">
            <v>23-02-02-0459</v>
          </cell>
          <cell r="B2770">
            <v>0</v>
          </cell>
          <cell r="C2770" t="str">
            <v xml:space="preserve">  UMER COTTON FACTORY</v>
          </cell>
          <cell r="D2770">
            <v>0</v>
          </cell>
          <cell r="E2770">
            <v>0</v>
          </cell>
          <cell r="F2770">
            <v>0</v>
          </cell>
          <cell r="G2770">
            <v>0</v>
          </cell>
        </row>
        <row r="2771">
          <cell r="A2771" t="str">
            <v>23-02-02-0460</v>
          </cell>
          <cell r="B2771">
            <v>0</v>
          </cell>
          <cell r="C2771" t="str">
            <v xml:space="preserve">  HAMID COTTON FACTORY</v>
          </cell>
          <cell r="D2771">
            <v>0</v>
          </cell>
          <cell r="E2771">
            <v>0</v>
          </cell>
          <cell r="F2771">
            <v>0</v>
          </cell>
          <cell r="G2771">
            <v>0</v>
          </cell>
        </row>
        <row r="2772">
          <cell r="A2772" t="str">
            <v>23-02-02-0461</v>
          </cell>
          <cell r="B2772">
            <v>0</v>
          </cell>
          <cell r="C2772" t="str">
            <v xml:space="preserve">  IRSHAD COTTON GINNERS</v>
          </cell>
          <cell r="D2772">
            <v>0</v>
          </cell>
          <cell r="E2772">
            <v>0</v>
          </cell>
          <cell r="F2772">
            <v>0</v>
          </cell>
          <cell r="G2772">
            <v>0</v>
          </cell>
        </row>
        <row r="2773">
          <cell r="A2773" t="str">
            <v>23-02-02-0462</v>
          </cell>
          <cell r="B2773">
            <v>0</v>
          </cell>
          <cell r="C2773" t="str">
            <v xml:space="preserve">  NEW PUNJAB COTTON GINNERS</v>
          </cell>
          <cell r="D2773">
            <v>0</v>
          </cell>
          <cell r="E2773">
            <v>0</v>
          </cell>
          <cell r="F2773">
            <v>0</v>
          </cell>
          <cell r="G2773">
            <v>0</v>
          </cell>
        </row>
        <row r="2774">
          <cell r="A2774" t="str">
            <v>23-02-02-0463</v>
          </cell>
          <cell r="B2774">
            <v>0</v>
          </cell>
          <cell r="C2774" t="str">
            <v xml:space="preserve">  BAHU COTTON FACTORY</v>
          </cell>
          <cell r="D2774">
            <v>0</v>
          </cell>
          <cell r="E2774">
            <v>0</v>
          </cell>
          <cell r="F2774">
            <v>0</v>
          </cell>
          <cell r="G2774">
            <v>0</v>
          </cell>
        </row>
        <row r="2775">
          <cell r="A2775" t="str">
            <v>23-02-02-0464</v>
          </cell>
          <cell r="B2775">
            <v>0</v>
          </cell>
          <cell r="C2775" t="str">
            <v xml:space="preserve">  ALI COTTON GINNERS</v>
          </cell>
          <cell r="D2775">
            <v>0</v>
          </cell>
          <cell r="E2775">
            <v>0</v>
          </cell>
          <cell r="F2775">
            <v>0</v>
          </cell>
          <cell r="G2775">
            <v>0</v>
          </cell>
        </row>
        <row r="2776">
          <cell r="A2776" t="str">
            <v>23-02-02-0465</v>
          </cell>
          <cell r="B2776">
            <v>0</v>
          </cell>
          <cell r="C2776" t="str">
            <v xml:space="preserve">  FAIZ COTTON FACTORY</v>
          </cell>
          <cell r="D2776">
            <v>0</v>
          </cell>
          <cell r="E2776">
            <v>0</v>
          </cell>
          <cell r="F2776">
            <v>0</v>
          </cell>
          <cell r="G2776">
            <v>0</v>
          </cell>
        </row>
        <row r="2777">
          <cell r="A2777" t="str">
            <v>23-02-02-0466</v>
          </cell>
          <cell r="B2777">
            <v>0</v>
          </cell>
          <cell r="C2777" t="str">
            <v xml:space="preserve">  MALIK SAIFULLAH &amp; BROTHERS</v>
          </cell>
          <cell r="D2777">
            <v>0</v>
          </cell>
          <cell r="E2777">
            <v>0</v>
          </cell>
          <cell r="F2777">
            <v>0</v>
          </cell>
          <cell r="G2777">
            <v>0</v>
          </cell>
        </row>
        <row r="2778">
          <cell r="A2778" t="str">
            <v>23-02-02-0467</v>
          </cell>
          <cell r="B2778">
            <v>0</v>
          </cell>
          <cell r="C2778" t="str">
            <v xml:space="preserve">  M. RAFI COTTON GINNERS</v>
          </cell>
          <cell r="D2778">
            <v>0</v>
          </cell>
          <cell r="E2778">
            <v>0</v>
          </cell>
          <cell r="F2778">
            <v>0</v>
          </cell>
          <cell r="G2778">
            <v>0</v>
          </cell>
        </row>
        <row r="2779">
          <cell r="A2779" t="str">
            <v>23-02-02-0468</v>
          </cell>
          <cell r="B2779">
            <v>0</v>
          </cell>
          <cell r="C2779" t="str">
            <v xml:space="preserve">  AL-FAZAL COTTON GINNERS</v>
          </cell>
          <cell r="D2779">
            <v>0</v>
          </cell>
          <cell r="E2779">
            <v>0</v>
          </cell>
          <cell r="F2779">
            <v>0</v>
          </cell>
          <cell r="G2779">
            <v>0</v>
          </cell>
        </row>
        <row r="2780">
          <cell r="A2780" t="str">
            <v>23-02-02-0469</v>
          </cell>
          <cell r="B2780">
            <v>0</v>
          </cell>
          <cell r="C2780" t="str">
            <v xml:space="preserve">  AMJAD COTTON GINNERS</v>
          </cell>
          <cell r="D2780">
            <v>0</v>
          </cell>
          <cell r="E2780">
            <v>0</v>
          </cell>
          <cell r="F2780">
            <v>0</v>
          </cell>
          <cell r="G2780">
            <v>0</v>
          </cell>
        </row>
        <row r="2781">
          <cell r="A2781" t="str">
            <v>23-02-02-0470</v>
          </cell>
          <cell r="B2781">
            <v>0</v>
          </cell>
          <cell r="C2781" t="str">
            <v xml:space="preserve">  SHALIMAR COTTON INDUSTRIES (PVT) LTD.</v>
          </cell>
          <cell r="D2781">
            <v>0</v>
          </cell>
          <cell r="E2781">
            <v>0</v>
          </cell>
          <cell r="F2781">
            <v>0</v>
          </cell>
          <cell r="G2781">
            <v>0</v>
          </cell>
        </row>
        <row r="2782">
          <cell r="A2782" t="str">
            <v>23-02-02-0471</v>
          </cell>
          <cell r="B2782">
            <v>0</v>
          </cell>
          <cell r="C2782" t="str">
            <v xml:space="preserve">  SHABBIR COTTON INDUSTRIES (PVT) LTD.</v>
          </cell>
          <cell r="D2782">
            <v>0</v>
          </cell>
          <cell r="E2782">
            <v>0</v>
          </cell>
          <cell r="F2782">
            <v>0</v>
          </cell>
          <cell r="G2782">
            <v>0</v>
          </cell>
        </row>
        <row r="2783">
          <cell r="A2783" t="str">
            <v>23-02-02-0472</v>
          </cell>
          <cell r="B2783">
            <v>0</v>
          </cell>
          <cell r="C2783" t="str">
            <v xml:space="preserve">  ROOMI COTTON FACTORY NO.2</v>
          </cell>
          <cell r="D2783">
            <v>0</v>
          </cell>
          <cell r="E2783">
            <v>0</v>
          </cell>
          <cell r="F2783">
            <v>0</v>
          </cell>
          <cell r="G2783">
            <v>0</v>
          </cell>
        </row>
        <row r="2784">
          <cell r="A2784" t="str">
            <v>23-02-02-0473</v>
          </cell>
          <cell r="B2784">
            <v>0</v>
          </cell>
          <cell r="C2784" t="str">
            <v xml:space="preserve">  BAJWA COTTON INDUSTRIES</v>
          </cell>
          <cell r="D2784">
            <v>0</v>
          </cell>
          <cell r="E2784">
            <v>0</v>
          </cell>
          <cell r="F2784">
            <v>0</v>
          </cell>
          <cell r="G2784">
            <v>0</v>
          </cell>
        </row>
        <row r="2785">
          <cell r="A2785" t="str">
            <v>23-02-02-0474</v>
          </cell>
          <cell r="B2785">
            <v>0</v>
          </cell>
          <cell r="C2785" t="str">
            <v xml:space="preserve">  MUHAMMAD RASHEED ENTERPRISES</v>
          </cell>
          <cell r="D2785">
            <v>0</v>
          </cell>
          <cell r="E2785">
            <v>0</v>
          </cell>
          <cell r="F2785">
            <v>0</v>
          </cell>
          <cell r="G2785">
            <v>0</v>
          </cell>
        </row>
        <row r="2786">
          <cell r="A2786" t="str">
            <v>23-02-02-0475</v>
          </cell>
          <cell r="B2786">
            <v>0</v>
          </cell>
          <cell r="C2786" t="str">
            <v xml:space="preserve">  ITTEFAQ COTTON GINNER'S</v>
          </cell>
          <cell r="D2786">
            <v>0</v>
          </cell>
          <cell r="E2786">
            <v>0</v>
          </cell>
          <cell r="F2786">
            <v>0</v>
          </cell>
          <cell r="G2786">
            <v>0</v>
          </cell>
        </row>
        <row r="2787">
          <cell r="A2787" t="str">
            <v>23-02-02-0476</v>
          </cell>
          <cell r="B2787">
            <v>0</v>
          </cell>
          <cell r="C2787" t="str">
            <v xml:space="preserve">  HAJI FAIZ MOHD ENTERPRISES</v>
          </cell>
          <cell r="D2787">
            <v>0</v>
          </cell>
          <cell r="E2787">
            <v>0</v>
          </cell>
          <cell r="F2787">
            <v>0</v>
          </cell>
          <cell r="G2787">
            <v>0</v>
          </cell>
        </row>
        <row r="2788">
          <cell r="A2788" t="str">
            <v>23-02-02-0477</v>
          </cell>
          <cell r="B2788">
            <v>0</v>
          </cell>
          <cell r="C2788" t="str">
            <v xml:space="preserve">  AL-KHALID COTTON GINNERS</v>
          </cell>
          <cell r="D2788">
            <v>0</v>
          </cell>
          <cell r="E2788">
            <v>0</v>
          </cell>
          <cell r="F2788">
            <v>0</v>
          </cell>
          <cell r="G2788">
            <v>0</v>
          </cell>
        </row>
        <row r="2789">
          <cell r="A2789" t="str">
            <v>23-02-02-0478</v>
          </cell>
          <cell r="B2789">
            <v>0</v>
          </cell>
          <cell r="C2789" t="str">
            <v xml:space="preserve">  AL-FAISAL COTTON GINNERS</v>
          </cell>
          <cell r="D2789">
            <v>0</v>
          </cell>
          <cell r="E2789">
            <v>0</v>
          </cell>
          <cell r="F2789">
            <v>0</v>
          </cell>
          <cell r="G2789">
            <v>0</v>
          </cell>
        </row>
        <row r="2790">
          <cell r="A2790" t="str">
            <v>23-02-02-0479</v>
          </cell>
          <cell r="B2790">
            <v>0</v>
          </cell>
          <cell r="C2790" t="str">
            <v xml:space="preserve">  FAZAL BASHIR COTTON GINNERS</v>
          </cell>
          <cell r="D2790">
            <v>0</v>
          </cell>
          <cell r="E2790">
            <v>0</v>
          </cell>
          <cell r="F2790">
            <v>0</v>
          </cell>
          <cell r="G2790">
            <v>0</v>
          </cell>
        </row>
        <row r="2791">
          <cell r="A2791" t="str">
            <v>23-02-02-0480</v>
          </cell>
          <cell r="B2791">
            <v>0</v>
          </cell>
          <cell r="C2791" t="str">
            <v xml:space="preserve">  AL-REHMAT COTTON GINNERS</v>
          </cell>
          <cell r="D2791">
            <v>0</v>
          </cell>
          <cell r="E2791">
            <v>0</v>
          </cell>
          <cell r="F2791">
            <v>0</v>
          </cell>
          <cell r="G2791">
            <v>0</v>
          </cell>
        </row>
        <row r="2792">
          <cell r="A2792" t="str">
            <v>23-02-02-0481</v>
          </cell>
          <cell r="B2792">
            <v>0</v>
          </cell>
          <cell r="C2792" t="str">
            <v xml:space="preserve">  ARSHAD INDUSTRIES</v>
          </cell>
          <cell r="D2792">
            <v>0</v>
          </cell>
          <cell r="E2792">
            <v>0</v>
          </cell>
          <cell r="F2792">
            <v>0</v>
          </cell>
          <cell r="G2792">
            <v>0</v>
          </cell>
        </row>
        <row r="2793">
          <cell r="A2793" t="str">
            <v>23-02-03</v>
          </cell>
          <cell r="B2793">
            <v>0</v>
          </cell>
          <cell r="C2793" t="str">
            <v>***FOREIGN SUPPLIER</v>
          </cell>
          <cell r="D2793">
            <v>0</v>
          </cell>
          <cell r="E2793">
            <v>14389498.390000001</v>
          </cell>
          <cell r="F2793">
            <v>0</v>
          </cell>
          <cell r="G2793">
            <v>14389498.390000001</v>
          </cell>
        </row>
        <row r="2794">
          <cell r="A2794" t="str">
            <v>23-02-03-0001</v>
          </cell>
          <cell r="B2794">
            <v>14389496</v>
          </cell>
          <cell r="C2794" t="str">
            <v xml:space="preserve">  LC DOCUMENTS PAYABLE</v>
          </cell>
          <cell r="D2794">
            <v>0</v>
          </cell>
          <cell r="E2794">
            <v>14389498.390000001</v>
          </cell>
          <cell r="F2794">
            <v>0</v>
          </cell>
          <cell r="G2794">
            <v>0</v>
          </cell>
        </row>
        <row r="2795">
          <cell r="A2795" t="str">
            <v>23-02-03-0002</v>
          </cell>
          <cell r="B2795">
            <v>0</v>
          </cell>
          <cell r="C2795" t="str">
            <v xml:space="preserve">  MONTIFIBRE ITALY.</v>
          </cell>
          <cell r="D2795">
            <v>0</v>
          </cell>
          <cell r="E2795">
            <v>0</v>
          </cell>
          <cell r="F2795">
            <v>0</v>
          </cell>
          <cell r="G2795">
            <v>0</v>
          </cell>
        </row>
        <row r="2796">
          <cell r="A2796" t="str">
            <v>23-03</v>
          </cell>
          <cell r="B2796">
            <v>0</v>
          </cell>
          <cell r="C2796" t="str">
            <v>**SERVICE RENDERING PARTIES &amp; OTHERS</v>
          </cell>
          <cell r="D2796">
            <v>0</v>
          </cell>
          <cell r="E2796">
            <v>9955143.2599999998</v>
          </cell>
          <cell r="F2796">
            <v>2005153.5</v>
          </cell>
          <cell r="G2796">
            <v>11960296.76</v>
          </cell>
        </row>
        <row r="2797">
          <cell r="A2797" t="str">
            <v>23-03-01</v>
          </cell>
          <cell r="B2797">
            <v>11960296</v>
          </cell>
          <cell r="C2797" t="str">
            <v>***SERVICE RENDERING PARTIES</v>
          </cell>
          <cell r="D2797">
            <v>0</v>
          </cell>
          <cell r="E2797">
            <v>4976100.26</v>
          </cell>
          <cell r="F2797">
            <v>2005153.5</v>
          </cell>
          <cell r="G2797">
            <v>6981253.7599999998</v>
          </cell>
        </row>
        <row r="2798">
          <cell r="A2798" t="str">
            <v>23-03-01-0001</v>
          </cell>
          <cell r="B2798">
            <v>6981252</v>
          </cell>
          <cell r="C2798" t="str">
            <v xml:space="preserve">  ABDUL HAMID QURESHI</v>
          </cell>
          <cell r="D2798">
            <v>0</v>
          </cell>
          <cell r="E2798">
            <v>0</v>
          </cell>
          <cell r="F2798">
            <v>0</v>
          </cell>
          <cell r="G2798">
            <v>0</v>
          </cell>
        </row>
        <row r="2799">
          <cell r="A2799" t="str">
            <v>23-03-01-0002</v>
          </cell>
          <cell r="B2799">
            <v>0</v>
          </cell>
          <cell r="C2799" t="str">
            <v xml:space="preserve">  ABDUL LATIF YOUSAFZAI</v>
          </cell>
          <cell r="D2799">
            <v>0</v>
          </cell>
          <cell r="E2799">
            <v>0</v>
          </cell>
          <cell r="F2799">
            <v>0</v>
          </cell>
          <cell r="G2799">
            <v>0</v>
          </cell>
        </row>
        <row r="2800">
          <cell r="A2800" t="str">
            <v>23-03-01-0003</v>
          </cell>
          <cell r="B2800">
            <v>0</v>
          </cell>
          <cell r="C2800" t="str">
            <v xml:space="preserve">  REHAN ENTERPRISE</v>
          </cell>
          <cell r="D2800">
            <v>0</v>
          </cell>
          <cell r="E2800">
            <v>0</v>
          </cell>
          <cell r="F2800">
            <v>0</v>
          </cell>
          <cell r="G2800">
            <v>0</v>
          </cell>
        </row>
        <row r="2801">
          <cell r="A2801" t="str">
            <v>23-03-01-0004</v>
          </cell>
          <cell r="B2801">
            <v>0</v>
          </cell>
          <cell r="C2801" t="str">
            <v xml:space="preserve">  A.P.T.M.A.</v>
          </cell>
          <cell r="D2801">
            <v>0</v>
          </cell>
          <cell r="E2801">
            <v>0</v>
          </cell>
          <cell r="F2801">
            <v>0</v>
          </cell>
          <cell r="G2801">
            <v>0</v>
          </cell>
        </row>
        <row r="2802">
          <cell r="A2802" t="str">
            <v>23-03-01-0005</v>
          </cell>
          <cell r="B2802">
            <v>0</v>
          </cell>
          <cell r="C2802" t="str">
            <v xml:space="preserve">  AZAD HAZARA GOODS TPT KHI</v>
          </cell>
          <cell r="D2802">
            <v>0</v>
          </cell>
          <cell r="E2802">
            <v>0</v>
          </cell>
          <cell r="F2802">
            <v>0</v>
          </cell>
          <cell r="G2802">
            <v>0</v>
          </cell>
        </row>
        <row r="2803">
          <cell r="A2803" t="str">
            <v>23-03-01-0006</v>
          </cell>
          <cell r="B2803">
            <v>0</v>
          </cell>
          <cell r="C2803" t="str">
            <v xml:space="preserve">  A.AZIZ SAVUL AND CO.</v>
          </cell>
          <cell r="D2803">
            <v>0</v>
          </cell>
          <cell r="E2803">
            <v>0</v>
          </cell>
          <cell r="F2803">
            <v>0</v>
          </cell>
          <cell r="G2803">
            <v>0</v>
          </cell>
        </row>
        <row r="2804">
          <cell r="A2804" t="str">
            <v>23-03-01-0007</v>
          </cell>
          <cell r="B2804">
            <v>0</v>
          </cell>
          <cell r="C2804" t="str">
            <v xml:space="preserve">  BUSINESS RECORDER KHI</v>
          </cell>
          <cell r="D2804">
            <v>0</v>
          </cell>
          <cell r="E2804">
            <v>0</v>
          </cell>
          <cell r="F2804">
            <v>0</v>
          </cell>
          <cell r="G2804">
            <v>0</v>
          </cell>
        </row>
        <row r="2805">
          <cell r="A2805" t="str">
            <v>23-03-01-0008</v>
          </cell>
          <cell r="B2805">
            <v>0</v>
          </cell>
          <cell r="C2805" t="str">
            <v xml:space="preserve">  C &amp; K MANAGEMENT ASSOCIATE (PVT) LTD K</v>
          </cell>
          <cell r="D2805">
            <v>0</v>
          </cell>
          <cell r="E2805">
            <v>0</v>
          </cell>
          <cell r="F2805">
            <v>0</v>
          </cell>
          <cell r="G2805">
            <v>0</v>
          </cell>
        </row>
        <row r="2806">
          <cell r="A2806" t="str">
            <v>23-03-01-0009</v>
          </cell>
          <cell r="B2806">
            <v>0</v>
          </cell>
          <cell r="C2806" t="str">
            <v xml:space="preserve">  G.S. INTERNATIONAL KARACHI</v>
          </cell>
          <cell r="D2806">
            <v>0</v>
          </cell>
          <cell r="E2806">
            <v>0</v>
          </cell>
          <cell r="F2806">
            <v>0</v>
          </cell>
          <cell r="G2806">
            <v>0</v>
          </cell>
        </row>
        <row r="2807">
          <cell r="A2807" t="str">
            <v>23-03-01-0010</v>
          </cell>
          <cell r="B2807">
            <v>0</v>
          </cell>
          <cell r="C2807" t="str">
            <v xml:space="preserve">  E F U LIFE INSURANCE LIMITED</v>
          </cell>
          <cell r="D2807">
            <v>0</v>
          </cell>
          <cell r="E2807">
            <v>0</v>
          </cell>
          <cell r="F2807">
            <v>0</v>
          </cell>
          <cell r="G2807">
            <v>0</v>
          </cell>
        </row>
        <row r="2808">
          <cell r="A2808" t="str">
            <v>23-03-01-0011</v>
          </cell>
          <cell r="B2808">
            <v>0</v>
          </cell>
          <cell r="C2808" t="str">
            <v xml:space="preserve">  FAIR INTERNATIONAL BROKER</v>
          </cell>
          <cell r="D2808">
            <v>0</v>
          </cell>
          <cell r="E2808">
            <v>0</v>
          </cell>
          <cell r="F2808">
            <v>0</v>
          </cell>
          <cell r="G2808">
            <v>0</v>
          </cell>
        </row>
        <row r="2809">
          <cell r="A2809" t="str">
            <v>23-03-01-0012</v>
          </cell>
          <cell r="B2809">
            <v>0</v>
          </cell>
          <cell r="C2809" t="str">
            <v xml:space="preserve">  HAMEED CHAUDHRI AND COMPANY</v>
          </cell>
          <cell r="D2809">
            <v>0</v>
          </cell>
          <cell r="E2809">
            <v>175000</v>
          </cell>
          <cell r="F2809">
            <v>0</v>
          </cell>
          <cell r="G2809">
            <v>0</v>
          </cell>
        </row>
        <row r="2810">
          <cell r="A2810" t="str">
            <v>23-03-01-0013</v>
          </cell>
          <cell r="B2810">
            <v>0</v>
          </cell>
          <cell r="C2810" t="str">
            <v xml:space="preserve">  INTERNATIONAL BUSINESS TRADERS.</v>
          </cell>
          <cell r="D2810">
            <v>1000</v>
          </cell>
          <cell r="E2810">
            <v>0</v>
          </cell>
          <cell r="F2810">
            <v>0</v>
          </cell>
          <cell r="G2810">
            <v>0</v>
          </cell>
        </row>
        <row r="2811">
          <cell r="A2811" t="str">
            <v>23-03-01-0014</v>
          </cell>
          <cell r="B2811">
            <v>0</v>
          </cell>
          <cell r="C2811" t="str">
            <v xml:space="preserve">  JAVAID UMER ENTERPRISE MCB A/C # 1830-</v>
          </cell>
          <cell r="D2811">
            <v>0</v>
          </cell>
          <cell r="E2811">
            <v>1524195</v>
          </cell>
          <cell r="F2811">
            <v>0</v>
          </cell>
          <cell r="G2811">
            <v>0</v>
          </cell>
        </row>
        <row r="2812">
          <cell r="A2812" t="str">
            <v>23-03-01-0015</v>
          </cell>
          <cell r="B2812">
            <v>0</v>
          </cell>
          <cell r="C2812" t="str">
            <v xml:space="preserve">  D.H.L. PAKISTAN (PVT) LTD.</v>
          </cell>
          <cell r="D2812">
            <v>0</v>
          </cell>
          <cell r="E2812">
            <v>188955.06</v>
          </cell>
          <cell r="F2812">
            <v>0</v>
          </cell>
          <cell r="G2812">
            <v>0</v>
          </cell>
        </row>
        <row r="2813">
          <cell r="A2813" t="str">
            <v>23-03-01-0016</v>
          </cell>
          <cell r="B2813">
            <v>0</v>
          </cell>
          <cell r="C2813" t="str">
            <v xml:space="preserve">  KUNDI SERVICES</v>
          </cell>
          <cell r="D2813">
            <v>0</v>
          </cell>
          <cell r="E2813">
            <v>0</v>
          </cell>
          <cell r="F2813">
            <v>0</v>
          </cell>
          <cell r="G2813">
            <v>0</v>
          </cell>
        </row>
        <row r="2814">
          <cell r="A2814" t="str">
            <v>23-03-01-0017</v>
          </cell>
          <cell r="B2814">
            <v>0</v>
          </cell>
          <cell r="C2814" t="str">
            <v xml:space="preserve">  LEOPARDS COURIER SERVICE</v>
          </cell>
          <cell r="D2814">
            <v>0</v>
          </cell>
          <cell r="E2814">
            <v>50999</v>
          </cell>
          <cell r="F2814">
            <v>0</v>
          </cell>
          <cell r="G2814">
            <v>0</v>
          </cell>
        </row>
        <row r="2815">
          <cell r="A2815" t="str">
            <v>23-03-01-0018</v>
          </cell>
          <cell r="B2815">
            <v>0</v>
          </cell>
          <cell r="C2815" t="str">
            <v xml:space="preserve">  LHR SCALESMEN (Pvt) Ltd.</v>
          </cell>
          <cell r="D2815">
            <v>0</v>
          </cell>
          <cell r="E2815">
            <v>0</v>
          </cell>
          <cell r="F2815">
            <v>0</v>
          </cell>
          <cell r="G2815">
            <v>0</v>
          </cell>
        </row>
        <row r="2816">
          <cell r="A2816" t="str">
            <v>23-03-01-0019</v>
          </cell>
          <cell r="B2816">
            <v>0</v>
          </cell>
          <cell r="C2816" t="str">
            <v xml:space="preserve">  MARINE SERVICES PVT LTD</v>
          </cell>
          <cell r="D2816">
            <v>0</v>
          </cell>
          <cell r="E2816">
            <v>0</v>
          </cell>
          <cell r="F2816">
            <v>0</v>
          </cell>
          <cell r="G2816">
            <v>0</v>
          </cell>
        </row>
        <row r="2817">
          <cell r="A2817" t="str">
            <v>23-03-01-0020</v>
          </cell>
          <cell r="B2817">
            <v>0</v>
          </cell>
          <cell r="C2817" t="str">
            <v xml:space="preserve">  ADAMJEE INSURANCE CO. LTD</v>
          </cell>
          <cell r="D2817">
            <v>0</v>
          </cell>
          <cell r="E2817">
            <v>500000</v>
          </cell>
          <cell r="F2817">
            <v>0</v>
          </cell>
          <cell r="G2817">
            <v>0</v>
          </cell>
        </row>
        <row r="2818">
          <cell r="A2818" t="str">
            <v>23-03-01-0021</v>
          </cell>
          <cell r="B2818">
            <v>0</v>
          </cell>
          <cell r="C2818" t="str">
            <v xml:space="preserve">  INSPECTORATE PAKISTAN (PVT) LTD</v>
          </cell>
          <cell r="D2818">
            <v>0</v>
          </cell>
          <cell r="E2818">
            <v>0</v>
          </cell>
          <cell r="F2818">
            <v>0</v>
          </cell>
          <cell r="G2818">
            <v>0</v>
          </cell>
        </row>
        <row r="2819">
          <cell r="A2819" t="str">
            <v>23-03-01-0022</v>
          </cell>
          <cell r="B2819">
            <v>0</v>
          </cell>
          <cell r="C2819" t="str">
            <v xml:space="preserve">  NISAR AHMAD ADVOCATE</v>
          </cell>
          <cell r="D2819">
            <v>0</v>
          </cell>
          <cell r="E2819">
            <v>0</v>
          </cell>
          <cell r="F2819">
            <v>0</v>
          </cell>
          <cell r="G2819">
            <v>0</v>
          </cell>
        </row>
        <row r="2820">
          <cell r="A2820" t="str">
            <v>23-03-01-0023</v>
          </cell>
          <cell r="B2820">
            <v>0</v>
          </cell>
          <cell r="C2820" t="str">
            <v xml:space="preserve">  NATIONAL CARGO PVT LTD</v>
          </cell>
          <cell r="D2820">
            <v>0</v>
          </cell>
          <cell r="E2820">
            <v>0</v>
          </cell>
          <cell r="F2820">
            <v>0</v>
          </cell>
          <cell r="G2820">
            <v>0</v>
          </cell>
        </row>
        <row r="2821">
          <cell r="A2821" t="str">
            <v>23-03-01-0024</v>
          </cell>
          <cell r="B2821">
            <v>0</v>
          </cell>
          <cell r="C2821" t="str">
            <v xml:space="preserve">  NEW MARWAT ENTERPRISES KARACHI</v>
          </cell>
          <cell r="D2821">
            <v>0</v>
          </cell>
          <cell r="E2821">
            <v>0</v>
          </cell>
          <cell r="F2821">
            <v>0</v>
          </cell>
          <cell r="G2821">
            <v>0</v>
          </cell>
        </row>
        <row r="2822">
          <cell r="A2822" t="str">
            <v>23-03-01-0025</v>
          </cell>
          <cell r="B2822">
            <v>0</v>
          </cell>
          <cell r="C2822" t="str">
            <v xml:space="preserve">  N.L.C.</v>
          </cell>
          <cell r="D2822">
            <v>0</v>
          </cell>
          <cell r="E2822">
            <v>0</v>
          </cell>
          <cell r="F2822">
            <v>0</v>
          </cell>
          <cell r="G2822">
            <v>0</v>
          </cell>
        </row>
        <row r="2823">
          <cell r="A2823" t="str">
            <v>23-03-01-0026</v>
          </cell>
          <cell r="B2823">
            <v>0</v>
          </cell>
          <cell r="C2823" t="str">
            <v xml:space="preserve">  PAKISTAN GENERAL INSURANCE CO LTD</v>
          </cell>
          <cell r="D2823">
            <v>0</v>
          </cell>
          <cell r="E2823">
            <v>0</v>
          </cell>
          <cell r="F2823">
            <v>0</v>
          </cell>
          <cell r="G2823">
            <v>0</v>
          </cell>
        </row>
        <row r="2824">
          <cell r="A2824" t="str">
            <v>23-03-01-0027</v>
          </cell>
          <cell r="B2824">
            <v>0</v>
          </cell>
          <cell r="C2824" t="str">
            <v xml:space="preserve">  PAKISTAN HERALD PUBLICATION</v>
          </cell>
          <cell r="D2824">
            <v>0</v>
          </cell>
          <cell r="E2824">
            <v>0</v>
          </cell>
          <cell r="F2824">
            <v>0</v>
          </cell>
          <cell r="G2824">
            <v>0</v>
          </cell>
        </row>
        <row r="2825">
          <cell r="A2825" t="str">
            <v>23-03-01-0028</v>
          </cell>
          <cell r="B2825">
            <v>0</v>
          </cell>
          <cell r="C2825" t="str">
            <v xml:space="preserve">  PAKTEL LTD</v>
          </cell>
          <cell r="D2825">
            <v>0</v>
          </cell>
          <cell r="E2825">
            <v>5135</v>
          </cell>
          <cell r="F2825">
            <v>0</v>
          </cell>
          <cell r="G2825">
            <v>0</v>
          </cell>
        </row>
        <row r="2826">
          <cell r="A2826" t="str">
            <v>23-03-01-0029</v>
          </cell>
          <cell r="B2826">
            <v>0</v>
          </cell>
          <cell r="C2826" t="str">
            <v xml:space="preserve">  PEARL CONTINENTAL HOTEL</v>
          </cell>
          <cell r="D2826">
            <v>0</v>
          </cell>
          <cell r="E2826">
            <v>33280.449999999997</v>
          </cell>
          <cell r="F2826">
            <v>0</v>
          </cell>
          <cell r="G2826">
            <v>0</v>
          </cell>
        </row>
        <row r="2827">
          <cell r="A2827" t="str">
            <v>23-03-01-0030</v>
          </cell>
          <cell r="B2827">
            <v>0</v>
          </cell>
          <cell r="C2827" t="str">
            <v xml:space="preserve">  PARDESI TRAVELS</v>
          </cell>
          <cell r="D2827">
            <v>0</v>
          </cell>
          <cell r="E2827">
            <v>0</v>
          </cell>
          <cell r="F2827">
            <v>0</v>
          </cell>
          <cell r="G2827">
            <v>0</v>
          </cell>
        </row>
        <row r="2828">
          <cell r="A2828" t="str">
            <v>23-03-01-0031</v>
          </cell>
          <cell r="B2828">
            <v>0</v>
          </cell>
          <cell r="C2828" t="str">
            <v xml:space="preserve">  PROMISE ADVERTISING SERVICE R. PINDI</v>
          </cell>
          <cell r="D2828">
            <v>0</v>
          </cell>
          <cell r="E2828">
            <v>0</v>
          </cell>
          <cell r="F2828">
            <v>0</v>
          </cell>
          <cell r="G2828">
            <v>0</v>
          </cell>
        </row>
        <row r="2829">
          <cell r="A2829" t="str">
            <v>23-03-01-0032</v>
          </cell>
          <cell r="B2829">
            <v>0</v>
          </cell>
          <cell r="C2829" t="str">
            <v xml:space="preserve">  RELIANCE INSURANCE</v>
          </cell>
          <cell r="D2829">
            <v>0</v>
          </cell>
          <cell r="E2829">
            <v>0</v>
          </cell>
          <cell r="F2829">
            <v>0</v>
          </cell>
          <cell r="G2829">
            <v>0</v>
          </cell>
        </row>
        <row r="2830">
          <cell r="A2830" t="str">
            <v>23-03-01-0033</v>
          </cell>
          <cell r="B2830">
            <v>0</v>
          </cell>
          <cell r="C2830" t="str">
            <v xml:space="preserve">  SARDAR KHAN</v>
          </cell>
          <cell r="D2830">
            <v>0</v>
          </cell>
          <cell r="E2830">
            <v>0</v>
          </cell>
          <cell r="F2830">
            <v>0</v>
          </cell>
          <cell r="G2830">
            <v>0</v>
          </cell>
        </row>
        <row r="2831">
          <cell r="A2831" t="str">
            <v>23-03-01-0034</v>
          </cell>
          <cell r="B2831">
            <v>0</v>
          </cell>
          <cell r="C2831" t="str">
            <v xml:space="preserve">  S.M.S. COURIER SERVICE PSH</v>
          </cell>
          <cell r="D2831">
            <v>0</v>
          </cell>
          <cell r="E2831">
            <v>0</v>
          </cell>
          <cell r="F2831">
            <v>0</v>
          </cell>
          <cell r="G2831">
            <v>0</v>
          </cell>
        </row>
        <row r="2832">
          <cell r="A2832" t="str">
            <v>23-03-01-0035</v>
          </cell>
          <cell r="B2832">
            <v>0</v>
          </cell>
          <cell r="C2832" t="str">
            <v xml:space="preserve">  TARIQ JAVAID ADVOCATE</v>
          </cell>
          <cell r="D2832">
            <v>0</v>
          </cell>
          <cell r="E2832">
            <v>0</v>
          </cell>
          <cell r="F2832">
            <v>0</v>
          </cell>
          <cell r="G2832">
            <v>0</v>
          </cell>
        </row>
        <row r="2833">
          <cell r="A2833" t="str">
            <v>23-03-01-0036</v>
          </cell>
          <cell r="B2833">
            <v>0</v>
          </cell>
          <cell r="C2833" t="str">
            <v xml:space="preserve">  UNITED TRAVEL PVT LTD</v>
          </cell>
          <cell r="D2833">
            <v>0</v>
          </cell>
          <cell r="E2833">
            <v>0</v>
          </cell>
          <cell r="F2833">
            <v>0</v>
          </cell>
          <cell r="G2833">
            <v>0</v>
          </cell>
        </row>
        <row r="2834">
          <cell r="A2834" t="str">
            <v>23-03-01-0037</v>
          </cell>
          <cell r="B2834">
            <v>0</v>
          </cell>
          <cell r="C2834" t="str">
            <v xml:space="preserve">  UNIVERSAL INSURANCE COMPANY LIMITED</v>
          </cell>
          <cell r="D2834">
            <v>0</v>
          </cell>
          <cell r="E2834">
            <v>0</v>
          </cell>
          <cell r="F2834">
            <v>0</v>
          </cell>
          <cell r="G2834">
            <v>0</v>
          </cell>
        </row>
        <row r="2835">
          <cell r="A2835" t="str">
            <v>23-03-01-0038</v>
          </cell>
          <cell r="B2835">
            <v>0</v>
          </cell>
          <cell r="C2835" t="str">
            <v xml:space="preserve">  UNIVERSAL SCALES PVT LTD</v>
          </cell>
          <cell r="D2835">
            <v>0</v>
          </cell>
          <cell r="E2835">
            <v>37250</v>
          </cell>
          <cell r="F2835">
            <v>0</v>
          </cell>
          <cell r="G2835">
            <v>0</v>
          </cell>
        </row>
        <row r="2836">
          <cell r="A2836" t="str">
            <v>23-03-01-0039</v>
          </cell>
          <cell r="B2836">
            <v>0</v>
          </cell>
          <cell r="C2836" t="str">
            <v xml:space="preserve">  ABM DATA SYSTEM (PVT) LIMITED</v>
          </cell>
          <cell r="D2836">
            <v>0</v>
          </cell>
          <cell r="E2836">
            <v>15000</v>
          </cell>
          <cell r="F2836">
            <v>0</v>
          </cell>
          <cell r="G2836">
            <v>0</v>
          </cell>
        </row>
        <row r="2837">
          <cell r="A2837" t="str">
            <v>23-03-01-0040</v>
          </cell>
          <cell r="B2837">
            <v>0</v>
          </cell>
          <cell r="C2837" t="str">
            <v xml:space="preserve">  NEW HAJI ABBAS GOODS TRANSPORT CO.</v>
          </cell>
          <cell r="D2837">
            <v>0</v>
          </cell>
          <cell r="E2837">
            <v>0</v>
          </cell>
          <cell r="F2837">
            <v>0</v>
          </cell>
          <cell r="G2837">
            <v>0</v>
          </cell>
        </row>
        <row r="2838">
          <cell r="A2838" t="str">
            <v>23-03-01-0041</v>
          </cell>
          <cell r="B2838">
            <v>0</v>
          </cell>
          <cell r="C2838" t="str">
            <v xml:space="preserve">  MEMON ASSOCIATES</v>
          </cell>
          <cell r="D2838">
            <v>0</v>
          </cell>
          <cell r="E2838">
            <v>0</v>
          </cell>
          <cell r="F2838">
            <v>0</v>
          </cell>
          <cell r="G2838">
            <v>0</v>
          </cell>
        </row>
        <row r="2839">
          <cell r="A2839" t="str">
            <v>23-03-01-0042</v>
          </cell>
          <cell r="B2839">
            <v>0</v>
          </cell>
          <cell r="C2839" t="str">
            <v xml:space="preserve">  INT'L TRANSPORT SERVICES</v>
          </cell>
          <cell r="D2839">
            <v>0</v>
          </cell>
          <cell r="E2839">
            <v>0</v>
          </cell>
          <cell r="F2839">
            <v>0</v>
          </cell>
          <cell r="G2839">
            <v>0</v>
          </cell>
        </row>
        <row r="2840">
          <cell r="A2840" t="str">
            <v>23-03-01-0043</v>
          </cell>
          <cell r="B2840">
            <v>0</v>
          </cell>
          <cell r="C2840" t="str">
            <v xml:space="preserve">  MCM ADVERTISING</v>
          </cell>
          <cell r="D2840">
            <v>0</v>
          </cell>
          <cell r="E2840">
            <v>0</v>
          </cell>
          <cell r="F2840">
            <v>0</v>
          </cell>
          <cell r="G2840">
            <v>0</v>
          </cell>
        </row>
        <row r="2841">
          <cell r="A2841" t="str">
            <v>23-03-01-0044</v>
          </cell>
          <cell r="B2841">
            <v>0</v>
          </cell>
          <cell r="C2841" t="str">
            <v xml:space="preserve">  AYUB GOODS TRANSPORT COMPANY</v>
          </cell>
          <cell r="D2841">
            <v>0</v>
          </cell>
          <cell r="E2841">
            <v>1752400</v>
          </cell>
          <cell r="F2841">
            <v>0</v>
          </cell>
          <cell r="G2841">
            <v>0</v>
          </cell>
        </row>
        <row r="2842">
          <cell r="A2842" t="str">
            <v>23-03-01-0045</v>
          </cell>
          <cell r="B2842">
            <v>0</v>
          </cell>
          <cell r="C2842" t="str">
            <v xml:space="preserve">  DHORAJI ASSOCIATION</v>
          </cell>
          <cell r="D2842">
            <v>0</v>
          </cell>
          <cell r="E2842">
            <v>0</v>
          </cell>
          <cell r="F2842">
            <v>0</v>
          </cell>
          <cell r="G2842">
            <v>0</v>
          </cell>
        </row>
        <row r="2843">
          <cell r="A2843" t="str">
            <v>23-03-01-0046</v>
          </cell>
          <cell r="B2843">
            <v>0</v>
          </cell>
          <cell r="C2843" t="str">
            <v xml:space="preserve">  INSPECTORATE CORP. INTERNATIONAL (P) L</v>
          </cell>
          <cell r="D2843">
            <v>0</v>
          </cell>
          <cell r="E2843">
            <v>0</v>
          </cell>
          <cell r="F2843">
            <v>0</v>
          </cell>
          <cell r="G2843">
            <v>0</v>
          </cell>
        </row>
        <row r="2844">
          <cell r="A2844" t="str">
            <v>23-03-01-0047</v>
          </cell>
          <cell r="B2844">
            <v>0</v>
          </cell>
          <cell r="C2844" t="str">
            <v xml:space="preserve">  THE DAILY AAJ PESHAWAR.</v>
          </cell>
          <cell r="D2844">
            <v>0</v>
          </cell>
          <cell r="E2844">
            <v>0</v>
          </cell>
          <cell r="F2844">
            <v>0</v>
          </cell>
          <cell r="G2844">
            <v>0</v>
          </cell>
        </row>
        <row r="2845">
          <cell r="A2845" t="str">
            <v>23-03-01-0048</v>
          </cell>
          <cell r="B2845">
            <v>0</v>
          </cell>
          <cell r="C2845" t="str">
            <v xml:space="preserve">  MIAN FASIH-UL-MULK</v>
          </cell>
          <cell r="D2845">
            <v>0</v>
          </cell>
          <cell r="E2845">
            <v>0</v>
          </cell>
          <cell r="F2845">
            <v>0</v>
          </cell>
          <cell r="G2845">
            <v>0</v>
          </cell>
        </row>
        <row r="2846">
          <cell r="A2846" t="str">
            <v>23-03-01-0049</v>
          </cell>
          <cell r="B2846">
            <v>0</v>
          </cell>
          <cell r="C2846" t="str">
            <v xml:space="preserve">  KARACHI STOCK EXCHANGE (GUARANTEE) LTD</v>
          </cell>
          <cell r="D2846">
            <v>0</v>
          </cell>
          <cell r="E2846">
            <v>0</v>
          </cell>
          <cell r="F2846">
            <v>0</v>
          </cell>
          <cell r="G2846">
            <v>0</v>
          </cell>
        </row>
        <row r="2847">
          <cell r="A2847" t="str">
            <v>23-03-01-0050</v>
          </cell>
          <cell r="B2847">
            <v>0</v>
          </cell>
          <cell r="C2847" t="str">
            <v xml:space="preserve">  COLLECTOR OF TEXTILE CESS</v>
          </cell>
          <cell r="D2847">
            <v>0</v>
          </cell>
          <cell r="E2847">
            <v>0</v>
          </cell>
          <cell r="F2847">
            <v>0</v>
          </cell>
          <cell r="G2847">
            <v>0</v>
          </cell>
        </row>
        <row r="2848">
          <cell r="A2848" t="str">
            <v>23-03-01-0051</v>
          </cell>
          <cell r="B2848">
            <v>0</v>
          </cell>
          <cell r="C2848" t="str">
            <v xml:space="preserve">  SILVER STAR INSURANCE COMPANY LIMITED</v>
          </cell>
          <cell r="D2848">
            <v>0</v>
          </cell>
          <cell r="E2848">
            <v>0</v>
          </cell>
          <cell r="F2848">
            <v>0</v>
          </cell>
          <cell r="G2848">
            <v>0</v>
          </cell>
        </row>
        <row r="2849">
          <cell r="A2849" t="str">
            <v>23-03-01-0052</v>
          </cell>
          <cell r="B2849">
            <v>0</v>
          </cell>
          <cell r="C2849" t="str">
            <v xml:space="preserve">  M.YUSUF YARN &amp; FIBRE BROKER</v>
          </cell>
          <cell r="D2849">
            <v>0</v>
          </cell>
          <cell r="E2849">
            <v>0</v>
          </cell>
          <cell r="F2849">
            <v>0</v>
          </cell>
          <cell r="G2849">
            <v>0</v>
          </cell>
        </row>
        <row r="2850">
          <cell r="A2850" t="str">
            <v>23-03-01-0053</v>
          </cell>
          <cell r="B2850">
            <v>0</v>
          </cell>
          <cell r="C2850" t="str">
            <v xml:space="preserve">  MOHAMMAD IDRESS (BROKER)</v>
          </cell>
          <cell r="D2850">
            <v>0</v>
          </cell>
          <cell r="E2850">
            <v>0</v>
          </cell>
          <cell r="F2850">
            <v>0</v>
          </cell>
          <cell r="G2850">
            <v>0</v>
          </cell>
        </row>
        <row r="2851">
          <cell r="A2851" t="str">
            <v>23-03-01-0054</v>
          </cell>
          <cell r="B2851">
            <v>0</v>
          </cell>
          <cell r="C2851" t="str">
            <v xml:space="preserve">  SHELTON HOUSE</v>
          </cell>
          <cell r="D2851">
            <v>0</v>
          </cell>
          <cell r="E2851">
            <v>0</v>
          </cell>
          <cell r="F2851">
            <v>0</v>
          </cell>
          <cell r="G2851">
            <v>0</v>
          </cell>
        </row>
        <row r="2852">
          <cell r="A2852" t="str">
            <v>23-03-01-0055</v>
          </cell>
          <cell r="B2852">
            <v>0</v>
          </cell>
          <cell r="C2852" t="str">
            <v xml:space="preserve">  M. SUBHAN &amp; SONS</v>
          </cell>
          <cell r="D2852">
            <v>0</v>
          </cell>
          <cell r="E2852">
            <v>3939</v>
          </cell>
          <cell r="F2852">
            <v>0</v>
          </cell>
          <cell r="G2852">
            <v>0</v>
          </cell>
        </row>
        <row r="2853">
          <cell r="A2853" t="str">
            <v>23-03-01-0056</v>
          </cell>
          <cell r="B2853">
            <v>0</v>
          </cell>
          <cell r="C2853" t="str">
            <v xml:space="preserve">  GREEN HOTEL, PEHSHAWAR</v>
          </cell>
          <cell r="D2853">
            <v>0</v>
          </cell>
          <cell r="E2853">
            <v>0</v>
          </cell>
          <cell r="F2853">
            <v>0</v>
          </cell>
          <cell r="G2853">
            <v>0</v>
          </cell>
        </row>
        <row r="2854">
          <cell r="A2854" t="str">
            <v>23-03-01-0057</v>
          </cell>
          <cell r="B2854">
            <v>0</v>
          </cell>
          <cell r="C2854" t="str">
            <v xml:space="preserve">  MRS.PMB DALAL K-013  KSE MEMBER</v>
          </cell>
          <cell r="D2854">
            <v>0</v>
          </cell>
          <cell r="E2854">
            <v>0</v>
          </cell>
          <cell r="F2854">
            <v>0</v>
          </cell>
          <cell r="G2854">
            <v>0</v>
          </cell>
        </row>
        <row r="2855">
          <cell r="A2855" t="str">
            <v>23-03-01-0058</v>
          </cell>
          <cell r="B2855">
            <v>0</v>
          </cell>
          <cell r="C2855" t="str">
            <v xml:space="preserve">  MR. AMIR HUSSAIN K-027  KSE MEMBER</v>
          </cell>
          <cell r="D2855">
            <v>0</v>
          </cell>
          <cell r="E2855">
            <v>0</v>
          </cell>
          <cell r="F2855">
            <v>0</v>
          </cell>
          <cell r="G2855">
            <v>0</v>
          </cell>
        </row>
        <row r="2856">
          <cell r="A2856" t="str">
            <v>23-03-01-0059</v>
          </cell>
          <cell r="B2856">
            <v>0</v>
          </cell>
          <cell r="C2856" t="str">
            <v xml:space="preserve">  MR. M.JAWED A.SATTAR K-049  KSE MEMBER</v>
          </cell>
          <cell r="D2856">
            <v>0</v>
          </cell>
          <cell r="E2856">
            <v>0</v>
          </cell>
          <cell r="F2856">
            <v>0</v>
          </cell>
          <cell r="G2856">
            <v>0</v>
          </cell>
        </row>
        <row r="2857">
          <cell r="A2857" t="str">
            <v>23-03-01-0060</v>
          </cell>
          <cell r="B2857">
            <v>0</v>
          </cell>
          <cell r="C2857" t="str">
            <v xml:space="preserve">  MR. HOSHANY BEHRANA K-053  KSE MEMBER</v>
          </cell>
          <cell r="D2857">
            <v>0</v>
          </cell>
          <cell r="E2857">
            <v>0</v>
          </cell>
          <cell r="F2857">
            <v>0</v>
          </cell>
          <cell r="G2857">
            <v>0</v>
          </cell>
        </row>
        <row r="2858">
          <cell r="A2858" t="str">
            <v>23-03-01-0061</v>
          </cell>
          <cell r="B2858">
            <v>0</v>
          </cell>
          <cell r="C2858" t="str">
            <v xml:space="preserve">  MR. M.ASHRAF HUSSAIN K-122  KSE MEMBER</v>
          </cell>
          <cell r="D2858">
            <v>0</v>
          </cell>
          <cell r="E2858">
            <v>0</v>
          </cell>
          <cell r="F2858">
            <v>0</v>
          </cell>
          <cell r="G2858">
            <v>0</v>
          </cell>
        </row>
        <row r="2859">
          <cell r="A2859" t="str">
            <v>23-03-01-0062</v>
          </cell>
          <cell r="B2859">
            <v>0</v>
          </cell>
          <cell r="C2859" t="str">
            <v xml:space="preserve">  MR. KHAWAJA M.JAWAID K-138  KSE MEMBER</v>
          </cell>
          <cell r="D2859">
            <v>0</v>
          </cell>
          <cell r="E2859">
            <v>0</v>
          </cell>
          <cell r="F2859">
            <v>0</v>
          </cell>
          <cell r="G2859">
            <v>0</v>
          </cell>
        </row>
        <row r="2860">
          <cell r="A2860" t="str">
            <v>23-03-01-0063</v>
          </cell>
          <cell r="B2860">
            <v>0</v>
          </cell>
          <cell r="C2860" t="str">
            <v xml:space="preserve">  MR. M.RASHEED ASHRAF L-107  KSE MEMBER</v>
          </cell>
          <cell r="D2860">
            <v>0</v>
          </cell>
          <cell r="E2860">
            <v>0</v>
          </cell>
          <cell r="F2860">
            <v>0</v>
          </cell>
          <cell r="G2860">
            <v>0</v>
          </cell>
        </row>
        <row r="2861">
          <cell r="A2861" t="str">
            <v>23-03-01-0064</v>
          </cell>
          <cell r="B2861">
            <v>0</v>
          </cell>
          <cell r="C2861" t="str">
            <v xml:space="preserve">  MR. ISMAIL ABBAS L-111  KSE MEMBER</v>
          </cell>
          <cell r="D2861">
            <v>0</v>
          </cell>
          <cell r="E2861">
            <v>0</v>
          </cell>
          <cell r="F2861">
            <v>0</v>
          </cell>
          <cell r="G2861">
            <v>0</v>
          </cell>
        </row>
        <row r="2862">
          <cell r="A2862" t="str">
            <v>23-03-01-0065</v>
          </cell>
          <cell r="B2862">
            <v>0</v>
          </cell>
          <cell r="C2862" t="str">
            <v xml:space="preserve">  MR. MUHAMMAD HANIF</v>
          </cell>
          <cell r="D2862">
            <v>0</v>
          </cell>
          <cell r="E2862">
            <v>0</v>
          </cell>
          <cell r="F2862">
            <v>0</v>
          </cell>
          <cell r="G2862">
            <v>0</v>
          </cell>
        </row>
        <row r="2863">
          <cell r="A2863" t="str">
            <v>23-03-01-0066</v>
          </cell>
          <cell r="B2863">
            <v>0</v>
          </cell>
          <cell r="C2863" t="str">
            <v xml:space="preserve">  ISLAMABAD STOCK EXCHANGE (GUARANTEE) L</v>
          </cell>
          <cell r="D2863">
            <v>0</v>
          </cell>
          <cell r="E2863">
            <v>0</v>
          </cell>
          <cell r="F2863">
            <v>0</v>
          </cell>
          <cell r="G2863">
            <v>0</v>
          </cell>
        </row>
        <row r="2864">
          <cell r="A2864" t="str">
            <v>23-03-01-0067</v>
          </cell>
          <cell r="B2864">
            <v>0</v>
          </cell>
          <cell r="C2864" t="str">
            <v xml:space="preserve">  M. FAROOQ - BROKER</v>
          </cell>
          <cell r="D2864">
            <v>0</v>
          </cell>
          <cell r="E2864">
            <v>0</v>
          </cell>
          <cell r="F2864">
            <v>0</v>
          </cell>
          <cell r="G2864">
            <v>0</v>
          </cell>
        </row>
        <row r="2865">
          <cell r="A2865" t="str">
            <v>23-03-01-0068</v>
          </cell>
          <cell r="B2865">
            <v>0</v>
          </cell>
          <cell r="C2865" t="str">
            <v xml:space="preserve">  SGS PAKISTAN (PRIVATE) LIMITED</v>
          </cell>
          <cell r="D2865">
            <v>0</v>
          </cell>
          <cell r="E2865">
            <v>3980</v>
          </cell>
          <cell r="F2865">
            <v>0</v>
          </cell>
          <cell r="G2865">
            <v>0</v>
          </cell>
        </row>
        <row r="2866">
          <cell r="A2866" t="str">
            <v>23-03-01-0069</v>
          </cell>
          <cell r="B2866">
            <v>0</v>
          </cell>
          <cell r="C2866" t="str">
            <v xml:space="preserve">  BEACON TRADING CO.</v>
          </cell>
          <cell r="D2866">
            <v>0</v>
          </cell>
          <cell r="E2866">
            <v>0</v>
          </cell>
          <cell r="F2866">
            <v>0</v>
          </cell>
          <cell r="G2866">
            <v>0</v>
          </cell>
        </row>
        <row r="2867">
          <cell r="A2867" t="str">
            <v>23-03-01-0070</v>
          </cell>
          <cell r="B2867">
            <v>0</v>
          </cell>
          <cell r="C2867" t="str">
            <v xml:space="preserve">  GADOON CHAMBER OF INDUSTRIES &amp; C</v>
          </cell>
          <cell r="D2867">
            <v>0</v>
          </cell>
          <cell r="E2867">
            <v>0</v>
          </cell>
          <cell r="F2867">
            <v>0</v>
          </cell>
          <cell r="G2867">
            <v>0</v>
          </cell>
        </row>
        <row r="2868">
          <cell r="A2868" t="str">
            <v>23-03-01-0071</v>
          </cell>
          <cell r="B2868">
            <v>0</v>
          </cell>
          <cell r="C2868" t="str">
            <v xml:space="preserve">  ABM INFO TECH (PVT) LTD</v>
          </cell>
          <cell r="D2868">
            <v>0</v>
          </cell>
          <cell r="E2868">
            <v>0</v>
          </cell>
          <cell r="F2868">
            <v>0</v>
          </cell>
          <cell r="G2868">
            <v>0</v>
          </cell>
        </row>
        <row r="2869">
          <cell r="A2869" t="str">
            <v>23-03-01-0072</v>
          </cell>
          <cell r="B2869">
            <v>0</v>
          </cell>
          <cell r="C2869" t="str">
            <v xml:space="preserve">  MALIK MUSHTAQ GOODS TRANSPORT COMPANY</v>
          </cell>
          <cell r="D2869">
            <v>0</v>
          </cell>
          <cell r="E2869">
            <v>0</v>
          </cell>
          <cell r="F2869">
            <v>0</v>
          </cell>
          <cell r="G2869">
            <v>0</v>
          </cell>
        </row>
        <row r="2870">
          <cell r="A2870" t="str">
            <v>23-03-01-0073</v>
          </cell>
          <cell r="B2870">
            <v>0</v>
          </cell>
          <cell r="C2870" t="str">
            <v xml:space="preserve">  WELLTRONICS</v>
          </cell>
          <cell r="D2870">
            <v>0</v>
          </cell>
          <cell r="E2870">
            <v>0</v>
          </cell>
          <cell r="F2870">
            <v>0</v>
          </cell>
          <cell r="G2870">
            <v>0</v>
          </cell>
        </row>
        <row r="2871">
          <cell r="A2871" t="str">
            <v>23-03-01-0074</v>
          </cell>
          <cell r="B2871">
            <v>0</v>
          </cell>
          <cell r="C2871" t="str">
            <v xml:space="preserve">  GHULAM MUHAMMAD - COMMISSION AGENT</v>
          </cell>
          <cell r="D2871">
            <v>0</v>
          </cell>
          <cell r="E2871">
            <v>0</v>
          </cell>
          <cell r="F2871">
            <v>0</v>
          </cell>
          <cell r="G2871">
            <v>0</v>
          </cell>
        </row>
        <row r="2872">
          <cell r="A2872" t="str">
            <v>23-03-01-0075</v>
          </cell>
          <cell r="B2872">
            <v>0</v>
          </cell>
          <cell r="C2872" t="str">
            <v xml:space="preserve">  INTERNATIONAL COMPUTER SERVICES.</v>
          </cell>
          <cell r="D2872">
            <v>0</v>
          </cell>
          <cell r="E2872">
            <v>0</v>
          </cell>
          <cell r="F2872">
            <v>0</v>
          </cell>
          <cell r="G2872">
            <v>0</v>
          </cell>
        </row>
        <row r="2873">
          <cell r="A2873" t="str">
            <v>23-03-01-0076</v>
          </cell>
          <cell r="B2873">
            <v>0</v>
          </cell>
          <cell r="C2873" t="str">
            <v xml:space="preserve">  AL-SAYED TRAVELS</v>
          </cell>
          <cell r="D2873">
            <v>0</v>
          </cell>
          <cell r="E2873">
            <v>0</v>
          </cell>
          <cell r="F2873">
            <v>0</v>
          </cell>
          <cell r="G2873">
            <v>0</v>
          </cell>
        </row>
        <row r="2874">
          <cell r="A2874" t="str">
            <v>23-03-01-0077</v>
          </cell>
          <cell r="B2874">
            <v>0</v>
          </cell>
          <cell r="C2874" t="str">
            <v xml:space="preserve">  TEXTILE MARKETING CORPORATION.</v>
          </cell>
          <cell r="D2874">
            <v>0</v>
          </cell>
          <cell r="E2874">
            <v>0</v>
          </cell>
          <cell r="F2874">
            <v>0</v>
          </cell>
          <cell r="G2874">
            <v>0</v>
          </cell>
        </row>
        <row r="2875">
          <cell r="A2875" t="str">
            <v>23-03-01-0078</v>
          </cell>
          <cell r="B2875">
            <v>0</v>
          </cell>
          <cell r="C2875" t="str">
            <v xml:space="preserve">  THE AZAD CHAUDHRY GOODS TRANSPORT CO.R</v>
          </cell>
          <cell r="D2875">
            <v>0</v>
          </cell>
          <cell r="E2875">
            <v>0</v>
          </cell>
          <cell r="F2875">
            <v>0</v>
          </cell>
          <cell r="G2875">
            <v>0</v>
          </cell>
        </row>
        <row r="2876">
          <cell r="A2876" t="str">
            <v>23-03-01-0079</v>
          </cell>
          <cell r="B2876">
            <v>0</v>
          </cell>
          <cell r="C2876" t="str">
            <v xml:space="preserve">  YMNA CORPORATION</v>
          </cell>
          <cell r="D2876">
            <v>0</v>
          </cell>
          <cell r="E2876">
            <v>0</v>
          </cell>
          <cell r="F2876">
            <v>0</v>
          </cell>
          <cell r="G2876">
            <v>0</v>
          </cell>
        </row>
        <row r="2877">
          <cell r="A2877" t="str">
            <v>23-03-01-0080</v>
          </cell>
          <cell r="B2877">
            <v>0</v>
          </cell>
          <cell r="C2877" t="str">
            <v xml:space="preserve">  SHABBIR ENGINEERING WORKS, FAISALABAD.</v>
          </cell>
          <cell r="D2877">
            <v>0</v>
          </cell>
          <cell r="E2877">
            <v>0</v>
          </cell>
          <cell r="F2877">
            <v>0</v>
          </cell>
          <cell r="G2877">
            <v>0</v>
          </cell>
        </row>
        <row r="2878">
          <cell r="A2878" t="str">
            <v>23-03-01-0081</v>
          </cell>
          <cell r="B2878">
            <v>0</v>
          </cell>
          <cell r="C2878" t="str">
            <v xml:space="preserve">  ELECTRONIC OFFICE EQUIPMENTS KARACHI.</v>
          </cell>
          <cell r="D2878">
            <v>0</v>
          </cell>
          <cell r="E2878">
            <v>0</v>
          </cell>
          <cell r="F2878">
            <v>0</v>
          </cell>
          <cell r="G2878">
            <v>0</v>
          </cell>
        </row>
        <row r="2879">
          <cell r="A2879" t="str">
            <v>23-03-01-0082</v>
          </cell>
          <cell r="B2879">
            <v>0</v>
          </cell>
          <cell r="C2879" t="str">
            <v xml:space="preserve">  AZAD GOODS TRANSPORT CO. (REGD.)</v>
          </cell>
          <cell r="D2879">
            <v>0</v>
          </cell>
          <cell r="E2879">
            <v>0</v>
          </cell>
          <cell r="F2879">
            <v>0</v>
          </cell>
          <cell r="G2879">
            <v>0</v>
          </cell>
        </row>
        <row r="2880">
          <cell r="A2880" t="str">
            <v>23-03-01-0083</v>
          </cell>
          <cell r="B2880">
            <v>0</v>
          </cell>
          <cell r="C2880" t="str">
            <v xml:space="preserve">  ELECTRO SALES &amp; SERVICES</v>
          </cell>
          <cell r="D2880">
            <v>0</v>
          </cell>
          <cell r="E2880">
            <v>0</v>
          </cell>
          <cell r="F2880">
            <v>0</v>
          </cell>
          <cell r="G2880">
            <v>0</v>
          </cell>
        </row>
        <row r="2881">
          <cell r="A2881" t="str">
            <v>23-03-01-0084</v>
          </cell>
          <cell r="B2881">
            <v>0</v>
          </cell>
          <cell r="C2881" t="str">
            <v xml:space="preserve">  HUSSAIN KHAN ADVOCATE</v>
          </cell>
          <cell r="D2881">
            <v>0</v>
          </cell>
          <cell r="E2881">
            <v>0</v>
          </cell>
          <cell r="F2881">
            <v>0</v>
          </cell>
          <cell r="G2881">
            <v>0</v>
          </cell>
        </row>
        <row r="2882">
          <cell r="A2882" t="str">
            <v>23-03-01-0085</v>
          </cell>
          <cell r="B2882">
            <v>0</v>
          </cell>
          <cell r="C2882" t="str">
            <v xml:space="preserve">  AL-MADINA PRINTERS</v>
          </cell>
          <cell r="D2882">
            <v>0</v>
          </cell>
          <cell r="E2882">
            <v>0</v>
          </cell>
          <cell r="F2882">
            <v>0</v>
          </cell>
          <cell r="G2882">
            <v>0</v>
          </cell>
        </row>
        <row r="2883">
          <cell r="A2883" t="str">
            <v>23-03-01-0086</v>
          </cell>
          <cell r="B2883">
            <v>0</v>
          </cell>
          <cell r="C2883" t="str">
            <v xml:space="preserve">  PARACHA BROTHERS</v>
          </cell>
          <cell r="D2883">
            <v>0</v>
          </cell>
          <cell r="E2883">
            <v>0</v>
          </cell>
          <cell r="F2883">
            <v>0</v>
          </cell>
          <cell r="G2883">
            <v>0</v>
          </cell>
        </row>
        <row r="2884">
          <cell r="A2884" t="str">
            <v>23-03-01-0087</v>
          </cell>
          <cell r="B2884">
            <v>0</v>
          </cell>
          <cell r="C2884" t="str">
            <v xml:space="preserve">  AL-REHMAN CUSTOM AGENCY</v>
          </cell>
          <cell r="D2884">
            <v>0</v>
          </cell>
          <cell r="E2884">
            <v>0</v>
          </cell>
          <cell r="F2884">
            <v>0</v>
          </cell>
          <cell r="G2884">
            <v>0</v>
          </cell>
        </row>
        <row r="2885">
          <cell r="A2885" t="str">
            <v>23-03-01-0088</v>
          </cell>
          <cell r="B2885">
            <v>0</v>
          </cell>
          <cell r="C2885" t="str">
            <v xml:space="preserve">  ABM INFO TECH (PVT) LTD.</v>
          </cell>
          <cell r="D2885">
            <v>0</v>
          </cell>
          <cell r="E2885">
            <v>0</v>
          </cell>
          <cell r="F2885">
            <v>0</v>
          </cell>
          <cell r="G2885">
            <v>0</v>
          </cell>
        </row>
        <row r="2886">
          <cell r="A2886" t="str">
            <v>23-03-01-0089</v>
          </cell>
          <cell r="B2886">
            <v>0</v>
          </cell>
          <cell r="C2886" t="str">
            <v xml:space="preserve">  POWERTECH GENERATOR SERVICES</v>
          </cell>
          <cell r="D2886">
            <v>0</v>
          </cell>
          <cell r="E2886">
            <v>0</v>
          </cell>
          <cell r="F2886">
            <v>0</v>
          </cell>
          <cell r="G2886">
            <v>0</v>
          </cell>
        </row>
        <row r="2887">
          <cell r="A2887" t="str">
            <v>23-03-01-0090</v>
          </cell>
          <cell r="B2887">
            <v>0</v>
          </cell>
          <cell r="C2887" t="str">
            <v xml:space="preserve">  GHAUSIA IMPEX (PVT) LIMITED.</v>
          </cell>
          <cell r="D2887">
            <v>0</v>
          </cell>
          <cell r="E2887">
            <v>0</v>
          </cell>
          <cell r="F2887">
            <v>0</v>
          </cell>
          <cell r="G2887">
            <v>0</v>
          </cell>
        </row>
        <row r="2888">
          <cell r="A2888" t="str">
            <v>23-03-01-0091</v>
          </cell>
          <cell r="B2888">
            <v>0</v>
          </cell>
          <cell r="C2888" t="str">
            <v xml:space="preserve">  PAK DATA WALE GOODS TRANSPORT COMPANY.</v>
          </cell>
          <cell r="D2888">
            <v>0</v>
          </cell>
          <cell r="E2888">
            <v>0</v>
          </cell>
          <cell r="F2888">
            <v>0</v>
          </cell>
          <cell r="G2888">
            <v>0</v>
          </cell>
        </row>
        <row r="2889">
          <cell r="A2889" t="str">
            <v>23-03-01-0092</v>
          </cell>
          <cell r="B2889">
            <v>0</v>
          </cell>
          <cell r="C2889" t="str">
            <v xml:space="preserve">  ASLAM SALEEM &amp; COMPANY.</v>
          </cell>
          <cell r="D2889">
            <v>0</v>
          </cell>
          <cell r="E2889">
            <v>0</v>
          </cell>
          <cell r="F2889">
            <v>0</v>
          </cell>
          <cell r="G2889">
            <v>0</v>
          </cell>
        </row>
        <row r="2890">
          <cell r="A2890" t="str">
            <v>23-03-01-0093</v>
          </cell>
          <cell r="B2890">
            <v>0</v>
          </cell>
          <cell r="C2890" t="str">
            <v xml:space="preserve">  PESHAWAR FLYING CLUB.</v>
          </cell>
          <cell r="D2890">
            <v>0</v>
          </cell>
          <cell r="E2890">
            <v>0</v>
          </cell>
          <cell r="F2890">
            <v>0</v>
          </cell>
          <cell r="G2890">
            <v>0</v>
          </cell>
        </row>
        <row r="2891">
          <cell r="A2891" t="str">
            <v>23-03-01-0094</v>
          </cell>
          <cell r="B2891">
            <v>0</v>
          </cell>
          <cell r="C2891" t="str">
            <v xml:space="preserve">  KAUSAR ABBAS BHAYANI</v>
          </cell>
          <cell r="D2891">
            <v>0</v>
          </cell>
          <cell r="E2891">
            <v>0</v>
          </cell>
          <cell r="F2891">
            <v>0</v>
          </cell>
          <cell r="G2891">
            <v>0</v>
          </cell>
        </row>
        <row r="2892">
          <cell r="A2892" t="str">
            <v>23-03-01-0095</v>
          </cell>
          <cell r="B2892">
            <v>0</v>
          </cell>
          <cell r="C2892" t="str">
            <v xml:space="preserve">  CYBER INTERNET SERVICES (PRIVATE) LTD.</v>
          </cell>
          <cell r="D2892">
            <v>0</v>
          </cell>
          <cell r="E2892">
            <v>0</v>
          </cell>
          <cell r="F2892">
            <v>0</v>
          </cell>
          <cell r="G2892">
            <v>0</v>
          </cell>
        </row>
        <row r="2893">
          <cell r="A2893" t="str">
            <v>23-03-01-0097</v>
          </cell>
          <cell r="B2893">
            <v>0</v>
          </cell>
          <cell r="C2893" t="str">
            <v xml:space="preserve">  ZEE &amp; ZEE COMPANY.</v>
          </cell>
          <cell r="D2893">
            <v>0</v>
          </cell>
          <cell r="E2893">
            <v>0</v>
          </cell>
          <cell r="F2893">
            <v>0</v>
          </cell>
          <cell r="G2893">
            <v>0</v>
          </cell>
        </row>
        <row r="2894">
          <cell r="A2894" t="str">
            <v>23-03-01-0098</v>
          </cell>
          <cell r="B2894">
            <v>0</v>
          </cell>
          <cell r="C2894" t="str">
            <v xml:space="preserve">  M.S.KHATTAK-ADVOCATE.</v>
          </cell>
          <cell r="D2894">
            <v>0</v>
          </cell>
          <cell r="E2894">
            <v>0</v>
          </cell>
          <cell r="F2894">
            <v>0</v>
          </cell>
          <cell r="G2894">
            <v>0</v>
          </cell>
        </row>
        <row r="2895">
          <cell r="A2895" t="str">
            <v>23-03-01-0100</v>
          </cell>
          <cell r="B2895">
            <v>0</v>
          </cell>
          <cell r="C2895" t="str">
            <v xml:space="preserve">  WAJID FURNITURE HOUSE</v>
          </cell>
          <cell r="D2895">
            <v>0</v>
          </cell>
          <cell r="E2895">
            <v>0</v>
          </cell>
          <cell r="F2895">
            <v>0</v>
          </cell>
          <cell r="G2895">
            <v>0</v>
          </cell>
        </row>
        <row r="2896">
          <cell r="A2896" t="str">
            <v>23-03-01-0101</v>
          </cell>
          <cell r="B2896">
            <v>0</v>
          </cell>
          <cell r="C2896" t="str">
            <v xml:space="preserve">  SHAHEEN INSURANCE COMPANY LIMITED.</v>
          </cell>
          <cell r="D2896">
            <v>0</v>
          </cell>
          <cell r="E2896">
            <v>0</v>
          </cell>
          <cell r="F2896">
            <v>0</v>
          </cell>
          <cell r="G2896">
            <v>0</v>
          </cell>
        </row>
        <row r="2897">
          <cell r="A2897" t="str">
            <v>23-03-01-0102</v>
          </cell>
          <cell r="B2897">
            <v>0</v>
          </cell>
          <cell r="C2897" t="str">
            <v xml:space="preserve">  ATTARA COPIES &amp; STATIONERY</v>
          </cell>
          <cell r="D2897">
            <v>0</v>
          </cell>
          <cell r="E2897">
            <v>0</v>
          </cell>
          <cell r="F2897">
            <v>0</v>
          </cell>
          <cell r="G2897">
            <v>0</v>
          </cell>
        </row>
        <row r="2898">
          <cell r="A2898" t="str">
            <v>23-03-01-0103</v>
          </cell>
          <cell r="B2898">
            <v>0</v>
          </cell>
          <cell r="C2898" t="str">
            <v xml:space="preserve">  M/S VITAL INFO</v>
          </cell>
          <cell r="D2898">
            <v>0</v>
          </cell>
          <cell r="E2898">
            <v>0</v>
          </cell>
          <cell r="F2898">
            <v>0</v>
          </cell>
          <cell r="G2898">
            <v>0</v>
          </cell>
        </row>
        <row r="2899">
          <cell r="A2899" t="str">
            <v>23-03-01-0104</v>
          </cell>
          <cell r="B2899">
            <v>0</v>
          </cell>
          <cell r="C2899" t="str">
            <v xml:space="preserve">  COSMOS TRAVELS (PVT) LIMITED</v>
          </cell>
          <cell r="D2899">
            <v>0</v>
          </cell>
          <cell r="E2899">
            <v>0</v>
          </cell>
          <cell r="F2899">
            <v>0</v>
          </cell>
          <cell r="G2899">
            <v>0</v>
          </cell>
        </row>
        <row r="2900">
          <cell r="A2900" t="str">
            <v>23-03-01-0105</v>
          </cell>
          <cell r="B2900">
            <v>0</v>
          </cell>
          <cell r="C2900" t="str">
            <v xml:space="preserve">  UNITY ENTERPRISES</v>
          </cell>
          <cell r="D2900">
            <v>0</v>
          </cell>
          <cell r="E2900">
            <v>0</v>
          </cell>
          <cell r="F2900">
            <v>0</v>
          </cell>
          <cell r="G2900">
            <v>0</v>
          </cell>
        </row>
        <row r="2901">
          <cell r="A2901" t="str">
            <v>23-03-01-0106</v>
          </cell>
          <cell r="B2901">
            <v>0</v>
          </cell>
          <cell r="C2901" t="str">
            <v xml:space="preserve">  ME CONSULT  (PRIVATE ) LIMITED.</v>
          </cell>
          <cell r="D2901">
            <v>0</v>
          </cell>
          <cell r="E2901">
            <v>0</v>
          </cell>
          <cell r="F2901">
            <v>0</v>
          </cell>
          <cell r="G2901">
            <v>0</v>
          </cell>
        </row>
        <row r="2902">
          <cell r="A2902" t="str">
            <v>23-03-01-0107</v>
          </cell>
          <cell r="B2902">
            <v>0</v>
          </cell>
          <cell r="C2902" t="str">
            <v xml:space="preserve">  ECONOMIC REVIEW</v>
          </cell>
          <cell r="D2902">
            <v>0</v>
          </cell>
          <cell r="E2902">
            <v>0</v>
          </cell>
          <cell r="F2902">
            <v>0</v>
          </cell>
          <cell r="G2902">
            <v>0</v>
          </cell>
        </row>
        <row r="2903">
          <cell r="A2903" t="str">
            <v>23-03-01-0108</v>
          </cell>
          <cell r="B2903">
            <v>0</v>
          </cell>
          <cell r="C2903" t="str">
            <v xml:space="preserve">  MADINA STATIONERS</v>
          </cell>
          <cell r="D2903">
            <v>0</v>
          </cell>
          <cell r="E2903">
            <v>0</v>
          </cell>
          <cell r="F2903">
            <v>0</v>
          </cell>
          <cell r="G2903">
            <v>0</v>
          </cell>
        </row>
        <row r="2904">
          <cell r="A2904" t="str">
            <v>23-03-01-0109</v>
          </cell>
          <cell r="B2904">
            <v>0</v>
          </cell>
          <cell r="C2904" t="str">
            <v xml:space="preserve">  AL-ABID GOODS TRANSOPORT COMPANY.</v>
          </cell>
          <cell r="D2904">
            <v>0</v>
          </cell>
          <cell r="E2904">
            <v>0</v>
          </cell>
          <cell r="F2904">
            <v>0</v>
          </cell>
          <cell r="G2904">
            <v>0</v>
          </cell>
        </row>
        <row r="2905">
          <cell r="A2905" t="str">
            <v>23-03-01-0110</v>
          </cell>
          <cell r="B2905">
            <v>0</v>
          </cell>
          <cell r="C2905" t="str">
            <v xml:space="preserve">  KODWAVI PRINTING SERVICES</v>
          </cell>
          <cell r="D2905">
            <v>0</v>
          </cell>
          <cell r="E2905">
            <v>0</v>
          </cell>
          <cell r="F2905">
            <v>0</v>
          </cell>
          <cell r="G2905">
            <v>0</v>
          </cell>
        </row>
        <row r="2906">
          <cell r="A2906" t="str">
            <v>23-03-01-0111</v>
          </cell>
          <cell r="B2906">
            <v>0</v>
          </cell>
          <cell r="C2906" t="str">
            <v xml:space="preserve">  M.MUSHTAQ COMPANY.</v>
          </cell>
          <cell r="D2906">
            <v>0</v>
          </cell>
          <cell r="E2906">
            <v>0</v>
          </cell>
          <cell r="F2906">
            <v>0</v>
          </cell>
          <cell r="G2906">
            <v>0</v>
          </cell>
        </row>
        <row r="2907">
          <cell r="A2907" t="str">
            <v>23-03-01-0112</v>
          </cell>
          <cell r="B2907">
            <v>0</v>
          </cell>
          <cell r="C2907" t="str">
            <v xml:space="preserve">  HOLIDAY INN CROWNE PLAZA</v>
          </cell>
          <cell r="D2907">
            <v>0</v>
          </cell>
          <cell r="E2907">
            <v>0</v>
          </cell>
          <cell r="F2907">
            <v>0</v>
          </cell>
          <cell r="G2907">
            <v>0</v>
          </cell>
        </row>
        <row r="2908">
          <cell r="A2908" t="str">
            <v>23-03-01-0113</v>
          </cell>
          <cell r="B2908">
            <v>0</v>
          </cell>
          <cell r="C2908" t="str">
            <v xml:space="preserve">  AMANULLAH KHAN</v>
          </cell>
          <cell r="D2908">
            <v>0</v>
          </cell>
          <cell r="E2908">
            <v>0</v>
          </cell>
          <cell r="F2908">
            <v>0</v>
          </cell>
          <cell r="G2908">
            <v>0</v>
          </cell>
        </row>
        <row r="2909">
          <cell r="A2909" t="str">
            <v>23-03-01-0114</v>
          </cell>
          <cell r="B2909">
            <v>0</v>
          </cell>
          <cell r="C2909" t="str">
            <v xml:space="preserve">  YASIR ENTERPRISES</v>
          </cell>
          <cell r="D2909">
            <v>0</v>
          </cell>
          <cell r="E2909">
            <v>0</v>
          </cell>
          <cell r="F2909">
            <v>0</v>
          </cell>
          <cell r="G2909">
            <v>0</v>
          </cell>
        </row>
        <row r="2910">
          <cell r="A2910" t="str">
            <v>23-03-01-0115</v>
          </cell>
          <cell r="B2910">
            <v>0</v>
          </cell>
          <cell r="C2910" t="str">
            <v xml:space="preserve">  ZUBAIR AHMED</v>
          </cell>
          <cell r="D2910">
            <v>0</v>
          </cell>
          <cell r="E2910">
            <v>0</v>
          </cell>
          <cell r="F2910">
            <v>0</v>
          </cell>
          <cell r="G2910">
            <v>0</v>
          </cell>
        </row>
        <row r="2911">
          <cell r="A2911" t="str">
            <v>23-03-01-0116</v>
          </cell>
          <cell r="B2911">
            <v>0</v>
          </cell>
          <cell r="C2911" t="str">
            <v xml:space="preserve">  ABDUL RASHEED STAMP VENDOR</v>
          </cell>
          <cell r="D2911">
            <v>0</v>
          </cell>
          <cell r="E2911">
            <v>0</v>
          </cell>
          <cell r="F2911">
            <v>0</v>
          </cell>
          <cell r="G2911">
            <v>0</v>
          </cell>
        </row>
        <row r="2912">
          <cell r="A2912" t="str">
            <v>23-03-01-0117</v>
          </cell>
          <cell r="B2912">
            <v>0</v>
          </cell>
          <cell r="C2912" t="str">
            <v xml:space="preserve">  SAJID GOODS TRANSPORT COMPANY.</v>
          </cell>
          <cell r="D2912">
            <v>0</v>
          </cell>
          <cell r="E2912">
            <v>0</v>
          </cell>
          <cell r="F2912">
            <v>0</v>
          </cell>
          <cell r="G2912">
            <v>0</v>
          </cell>
        </row>
        <row r="2913">
          <cell r="A2913" t="str">
            <v>23-03-01-0118</v>
          </cell>
          <cell r="B2913">
            <v>0</v>
          </cell>
          <cell r="C2913" t="str">
            <v xml:space="preserve">  PEARL PRINTERS</v>
          </cell>
          <cell r="D2913">
            <v>0</v>
          </cell>
          <cell r="E2913">
            <v>0</v>
          </cell>
          <cell r="F2913">
            <v>0</v>
          </cell>
          <cell r="G2913">
            <v>0</v>
          </cell>
        </row>
        <row r="2914">
          <cell r="A2914" t="str">
            <v>23-03-01-0119</v>
          </cell>
          <cell r="B2914">
            <v>0</v>
          </cell>
          <cell r="C2914" t="str">
            <v xml:space="preserve">  RIAZ MANZOOR CORPORATION</v>
          </cell>
          <cell r="D2914">
            <v>0</v>
          </cell>
          <cell r="E2914">
            <v>0</v>
          </cell>
          <cell r="F2914">
            <v>0</v>
          </cell>
          <cell r="G2914">
            <v>0</v>
          </cell>
        </row>
        <row r="2915">
          <cell r="A2915" t="str">
            <v>23-03-01-0120</v>
          </cell>
          <cell r="B2915">
            <v>0</v>
          </cell>
          <cell r="C2915" t="str">
            <v xml:space="preserve">  BILGRAMI AND FARUQUE</v>
          </cell>
          <cell r="D2915">
            <v>0</v>
          </cell>
          <cell r="E2915">
            <v>0</v>
          </cell>
          <cell r="F2915">
            <v>0</v>
          </cell>
          <cell r="G2915">
            <v>0</v>
          </cell>
        </row>
        <row r="2916">
          <cell r="A2916" t="str">
            <v>23-03-01-0121</v>
          </cell>
          <cell r="B2916">
            <v>0</v>
          </cell>
          <cell r="C2916" t="str">
            <v xml:space="preserve">  KARACHI CHAMBER OF COMMERCE &amp; INDUSTRI</v>
          </cell>
          <cell r="D2916">
            <v>0</v>
          </cell>
          <cell r="E2916">
            <v>0</v>
          </cell>
          <cell r="F2916">
            <v>0</v>
          </cell>
          <cell r="G2916">
            <v>0</v>
          </cell>
        </row>
        <row r="2917">
          <cell r="A2917" t="str">
            <v>23-03-01-0122</v>
          </cell>
          <cell r="B2917">
            <v>0</v>
          </cell>
          <cell r="C2917" t="str">
            <v xml:space="preserve">  MARRIOTT  HOTEL</v>
          </cell>
          <cell r="D2917">
            <v>0</v>
          </cell>
          <cell r="E2917">
            <v>0</v>
          </cell>
          <cell r="F2917">
            <v>0</v>
          </cell>
          <cell r="G2917">
            <v>0</v>
          </cell>
        </row>
        <row r="2918">
          <cell r="A2918" t="str">
            <v>23-03-01-0123</v>
          </cell>
          <cell r="B2918">
            <v>0</v>
          </cell>
          <cell r="C2918" t="str">
            <v xml:space="preserve">  CRESCENT CARRIERS</v>
          </cell>
          <cell r="D2918">
            <v>0</v>
          </cell>
          <cell r="E2918">
            <v>0</v>
          </cell>
          <cell r="F2918">
            <v>0</v>
          </cell>
          <cell r="G2918">
            <v>0</v>
          </cell>
        </row>
        <row r="2919">
          <cell r="A2919" t="str">
            <v>23-03-01-0124</v>
          </cell>
          <cell r="B2919">
            <v>0</v>
          </cell>
          <cell r="C2919" t="str">
            <v xml:space="preserve">  MUHAMMED ISHAQ KHATTAK</v>
          </cell>
          <cell r="D2919">
            <v>0</v>
          </cell>
          <cell r="E2919">
            <v>0</v>
          </cell>
          <cell r="F2919">
            <v>0</v>
          </cell>
          <cell r="G2919">
            <v>0</v>
          </cell>
        </row>
        <row r="2920">
          <cell r="A2920" t="str">
            <v>23-03-01-0125</v>
          </cell>
          <cell r="B2920">
            <v>0</v>
          </cell>
          <cell r="C2920" t="str">
            <v xml:space="preserve">  MEHRAN ENTERPRISES</v>
          </cell>
          <cell r="D2920">
            <v>0</v>
          </cell>
          <cell r="E2920">
            <v>0</v>
          </cell>
          <cell r="F2920">
            <v>0</v>
          </cell>
          <cell r="G2920">
            <v>0</v>
          </cell>
        </row>
        <row r="2921">
          <cell r="A2921" t="str">
            <v>23-03-01-0126</v>
          </cell>
          <cell r="B2921">
            <v>0</v>
          </cell>
          <cell r="C2921" t="str">
            <v xml:space="preserve">  -</v>
          </cell>
          <cell r="D2921">
            <v>0</v>
          </cell>
          <cell r="E2921">
            <v>0</v>
          </cell>
          <cell r="F2921">
            <v>0</v>
          </cell>
          <cell r="G2921">
            <v>0</v>
          </cell>
        </row>
        <row r="2922">
          <cell r="A2922" t="str">
            <v>23-03-01-0127</v>
          </cell>
          <cell r="B2922">
            <v>0</v>
          </cell>
          <cell r="C2922" t="str">
            <v xml:space="preserve">  AL-GHAZI TRAVELS</v>
          </cell>
          <cell r="D2922">
            <v>0</v>
          </cell>
          <cell r="E2922">
            <v>0</v>
          </cell>
          <cell r="F2922">
            <v>0</v>
          </cell>
          <cell r="G2922">
            <v>0</v>
          </cell>
        </row>
        <row r="2923">
          <cell r="A2923" t="str">
            <v>23-03-01-0128</v>
          </cell>
          <cell r="B2923">
            <v>0</v>
          </cell>
          <cell r="C2923" t="str">
            <v xml:space="preserve">  HAFEEZ PIR ZADA LAW ASSOCIATES</v>
          </cell>
          <cell r="D2923">
            <v>0</v>
          </cell>
          <cell r="E2923">
            <v>0</v>
          </cell>
          <cell r="F2923">
            <v>0</v>
          </cell>
          <cell r="G2923">
            <v>0</v>
          </cell>
        </row>
        <row r="2924">
          <cell r="A2924" t="str">
            <v>23-03-01-0129</v>
          </cell>
          <cell r="B2924">
            <v>0</v>
          </cell>
          <cell r="C2924" t="str">
            <v xml:space="preserve">  JANA IMPEX</v>
          </cell>
          <cell r="D2924">
            <v>0</v>
          </cell>
          <cell r="E2924">
            <v>0</v>
          </cell>
          <cell r="F2924">
            <v>0</v>
          </cell>
          <cell r="G2924">
            <v>0</v>
          </cell>
        </row>
        <row r="2925">
          <cell r="A2925" t="str">
            <v>23-03-01-0130</v>
          </cell>
          <cell r="B2925">
            <v>0</v>
          </cell>
          <cell r="C2925" t="str">
            <v xml:space="preserve">  MUHAMMED ISHAQ KHATTAK</v>
          </cell>
          <cell r="D2925">
            <v>0</v>
          </cell>
          <cell r="E2925">
            <v>0</v>
          </cell>
          <cell r="F2925">
            <v>0</v>
          </cell>
          <cell r="G2925">
            <v>0</v>
          </cell>
        </row>
        <row r="2926">
          <cell r="A2926" t="str">
            <v>23-03-01-0131</v>
          </cell>
          <cell r="B2926">
            <v>0</v>
          </cell>
          <cell r="C2926" t="str">
            <v xml:space="preserve">  AFRIDI, SHAH &amp; MINALLAH</v>
          </cell>
          <cell r="D2926">
            <v>0</v>
          </cell>
          <cell r="E2926">
            <v>0</v>
          </cell>
          <cell r="F2926">
            <v>0</v>
          </cell>
          <cell r="G2926">
            <v>0</v>
          </cell>
        </row>
        <row r="2927">
          <cell r="A2927" t="str">
            <v>23-03-01-0133</v>
          </cell>
          <cell r="B2927">
            <v>0</v>
          </cell>
          <cell r="C2927" t="str">
            <v xml:space="preserve">  M.RIAZ S/O IBRAHIM HAJI QASIM.</v>
          </cell>
          <cell r="D2927">
            <v>0</v>
          </cell>
          <cell r="E2927">
            <v>0</v>
          </cell>
          <cell r="F2927">
            <v>0</v>
          </cell>
          <cell r="G2927">
            <v>0</v>
          </cell>
        </row>
        <row r="2928">
          <cell r="A2928" t="str">
            <v>23-03-01-0134</v>
          </cell>
          <cell r="B2928">
            <v>0</v>
          </cell>
          <cell r="C2928" t="str">
            <v xml:space="preserve">  ASIAN INSPECTION SERVICES (PVT) LTD.</v>
          </cell>
          <cell r="D2928">
            <v>0</v>
          </cell>
          <cell r="E2928">
            <v>0</v>
          </cell>
          <cell r="F2928">
            <v>0</v>
          </cell>
          <cell r="G2928">
            <v>0</v>
          </cell>
        </row>
        <row r="2929">
          <cell r="A2929" t="str">
            <v>23-03-01-0135</v>
          </cell>
          <cell r="B2929">
            <v>0</v>
          </cell>
          <cell r="C2929" t="str">
            <v xml:space="preserve">  BHOMBAL AND COMPANY (PVT) LIMITED</v>
          </cell>
          <cell r="D2929">
            <v>0</v>
          </cell>
          <cell r="E2929">
            <v>0</v>
          </cell>
          <cell r="F2929">
            <v>0</v>
          </cell>
          <cell r="G2929">
            <v>0</v>
          </cell>
        </row>
        <row r="2930">
          <cell r="A2930" t="str">
            <v>23-03-01-0136</v>
          </cell>
          <cell r="B2930">
            <v>0</v>
          </cell>
          <cell r="C2930" t="str">
            <v xml:space="preserve">  ARTICOTT FIBRES (PVT)LTD</v>
          </cell>
          <cell r="D2930">
            <v>0</v>
          </cell>
          <cell r="E2930">
            <v>0</v>
          </cell>
          <cell r="F2930">
            <v>0</v>
          </cell>
          <cell r="G2930">
            <v>0</v>
          </cell>
        </row>
        <row r="2931">
          <cell r="A2931" t="str">
            <v>23-03-01-0137</v>
          </cell>
          <cell r="B2931">
            <v>0</v>
          </cell>
          <cell r="C2931" t="str">
            <v xml:space="preserve">  CLIFF COMPUTERS</v>
          </cell>
          <cell r="D2931">
            <v>0</v>
          </cell>
          <cell r="E2931">
            <v>0</v>
          </cell>
          <cell r="F2931">
            <v>0</v>
          </cell>
          <cell r="G2931">
            <v>0</v>
          </cell>
        </row>
        <row r="2932">
          <cell r="A2932" t="str">
            <v>23-03-01-0138</v>
          </cell>
          <cell r="B2932">
            <v>0</v>
          </cell>
          <cell r="C2932" t="str">
            <v xml:space="preserve">  MABSON GRAPHICS</v>
          </cell>
          <cell r="D2932">
            <v>0</v>
          </cell>
          <cell r="E2932">
            <v>0</v>
          </cell>
          <cell r="F2932">
            <v>0</v>
          </cell>
          <cell r="G2932">
            <v>0</v>
          </cell>
        </row>
        <row r="2933">
          <cell r="A2933" t="str">
            <v>23-03-01-0139</v>
          </cell>
          <cell r="B2933">
            <v>0</v>
          </cell>
          <cell r="C2933" t="str">
            <v xml:space="preserve">  A.H.S ENTERPRISES</v>
          </cell>
          <cell r="D2933">
            <v>0</v>
          </cell>
          <cell r="E2933">
            <v>0</v>
          </cell>
          <cell r="F2933">
            <v>0</v>
          </cell>
          <cell r="G2933">
            <v>0</v>
          </cell>
        </row>
        <row r="2934">
          <cell r="A2934" t="str">
            <v>23-03-01-0140</v>
          </cell>
          <cell r="B2934">
            <v>0</v>
          </cell>
          <cell r="C2934" t="str">
            <v xml:space="preserve">  MANZOOR CORPORATION</v>
          </cell>
          <cell r="D2934">
            <v>0</v>
          </cell>
          <cell r="E2934">
            <v>0</v>
          </cell>
          <cell r="F2934">
            <v>0</v>
          </cell>
          <cell r="G2934">
            <v>0</v>
          </cell>
        </row>
        <row r="2935">
          <cell r="A2935" t="str">
            <v>23-03-01-0141</v>
          </cell>
          <cell r="B2935">
            <v>0</v>
          </cell>
          <cell r="C2935" t="str">
            <v xml:space="preserve">  GHULAM ABBAS PACKING CONTRACTOR</v>
          </cell>
          <cell r="D2935">
            <v>0</v>
          </cell>
          <cell r="E2935">
            <v>0</v>
          </cell>
          <cell r="F2935">
            <v>0</v>
          </cell>
          <cell r="G2935">
            <v>0</v>
          </cell>
        </row>
        <row r="2936">
          <cell r="A2936" t="str">
            <v>23-03-01-0142</v>
          </cell>
          <cell r="B2936">
            <v>0</v>
          </cell>
          <cell r="C2936" t="str">
            <v xml:space="preserve">  AL-REHMAN TRADERS</v>
          </cell>
          <cell r="D2936">
            <v>0</v>
          </cell>
          <cell r="E2936">
            <v>0</v>
          </cell>
          <cell r="F2936">
            <v>0</v>
          </cell>
          <cell r="G2936">
            <v>0</v>
          </cell>
        </row>
        <row r="2937">
          <cell r="A2937" t="str">
            <v>23-03-01-0143</v>
          </cell>
          <cell r="B2937">
            <v>0</v>
          </cell>
          <cell r="C2937" t="str">
            <v xml:space="preserve">  PARACHA CORPORATION</v>
          </cell>
          <cell r="D2937">
            <v>0</v>
          </cell>
          <cell r="E2937">
            <v>0</v>
          </cell>
          <cell r="F2937">
            <v>0</v>
          </cell>
          <cell r="G2937">
            <v>0</v>
          </cell>
        </row>
        <row r="2938">
          <cell r="A2938" t="str">
            <v>23-03-01-0144</v>
          </cell>
          <cell r="B2938">
            <v>0</v>
          </cell>
          <cell r="C2938" t="str">
            <v xml:space="preserve">  INTERNATIONAL CARGO SERVICES</v>
          </cell>
          <cell r="D2938">
            <v>0</v>
          </cell>
          <cell r="E2938">
            <v>0</v>
          </cell>
          <cell r="F2938">
            <v>0</v>
          </cell>
          <cell r="G2938">
            <v>0</v>
          </cell>
        </row>
        <row r="2939">
          <cell r="A2939" t="str">
            <v>23-03-01-0145</v>
          </cell>
          <cell r="B2939">
            <v>0</v>
          </cell>
          <cell r="C2939" t="str">
            <v xml:space="preserve">  ZGL TRANSFORMER SERVICES</v>
          </cell>
          <cell r="D2939">
            <v>0</v>
          </cell>
          <cell r="E2939">
            <v>0</v>
          </cell>
          <cell r="F2939">
            <v>0</v>
          </cell>
          <cell r="G2939">
            <v>0</v>
          </cell>
        </row>
        <row r="2940">
          <cell r="A2940" t="str">
            <v>23-03-01-0146</v>
          </cell>
          <cell r="B2940">
            <v>0</v>
          </cell>
          <cell r="C2940" t="str">
            <v xml:space="preserve">  THE EXECUTIVE'S</v>
          </cell>
          <cell r="D2940">
            <v>0</v>
          </cell>
          <cell r="E2940">
            <v>0</v>
          </cell>
          <cell r="F2940">
            <v>0</v>
          </cell>
          <cell r="G2940">
            <v>0</v>
          </cell>
        </row>
        <row r="2941">
          <cell r="A2941" t="str">
            <v>23-03-01-0147</v>
          </cell>
          <cell r="B2941">
            <v>0</v>
          </cell>
          <cell r="C2941" t="str">
            <v xml:space="preserve">  BEG ASSOCIATES</v>
          </cell>
          <cell r="D2941">
            <v>0</v>
          </cell>
          <cell r="E2941">
            <v>0</v>
          </cell>
          <cell r="F2941">
            <v>0</v>
          </cell>
          <cell r="G2941">
            <v>0</v>
          </cell>
        </row>
        <row r="2942">
          <cell r="A2942" t="str">
            <v>23-03-01-0148</v>
          </cell>
          <cell r="B2942">
            <v>0</v>
          </cell>
          <cell r="C2942" t="str">
            <v xml:space="preserve">  SHAH ENTERPRISES</v>
          </cell>
          <cell r="D2942">
            <v>0</v>
          </cell>
          <cell r="E2942">
            <v>0</v>
          </cell>
          <cell r="F2942">
            <v>0</v>
          </cell>
          <cell r="G2942">
            <v>0</v>
          </cell>
        </row>
        <row r="2943">
          <cell r="A2943" t="str">
            <v>23-03-01-0149</v>
          </cell>
          <cell r="B2943">
            <v>0</v>
          </cell>
          <cell r="C2943" t="str">
            <v xml:space="preserve">  HABIB INSURANCE COMPANY LIMITED</v>
          </cell>
          <cell r="D2943">
            <v>0</v>
          </cell>
          <cell r="E2943">
            <v>0</v>
          </cell>
          <cell r="F2943">
            <v>0</v>
          </cell>
          <cell r="G2943">
            <v>0</v>
          </cell>
        </row>
        <row r="2944">
          <cell r="A2944" t="str">
            <v>23-03-01-0150</v>
          </cell>
          <cell r="B2944">
            <v>0</v>
          </cell>
          <cell r="C2944" t="str">
            <v xml:space="preserve">  NASEEM USMAN AND SONS (COTTON BROKER)</v>
          </cell>
          <cell r="D2944">
            <v>0</v>
          </cell>
          <cell r="E2944">
            <v>0</v>
          </cell>
          <cell r="F2944">
            <v>0</v>
          </cell>
          <cell r="G2944">
            <v>0</v>
          </cell>
        </row>
        <row r="2945">
          <cell r="A2945" t="str">
            <v>23-03-01-0151</v>
          </cell>
          <cell r="B2945">
            <v>0</v>
          </cell>
          <cell r="C2945" t="str">
            <v xml:space="preserve">  JUBILEE MOTORS</v>
          </cell>
          <cell r="D2945">
            <v>0</v>
          </cell>
          <cell r="E2945">
            <v>0</v>
          </cell>
          <cell r="F2945">
            <v>0</v>
          </cell>
          <cell r="G2945">
            <v>0</v>
          </cell>
        </row>
        <row r="2946">
          <cell r="A2946" t="str">
            <v>23-03-01-0152</v>
          </cell>
          <cell r="B2946">
            <v>0</v>
          </cell>
          <cell r="C2946" t="str">
            <v xml:space="preserve">  EXPORT PROMOTION BUREAU</v>
          </cell>
          <cell r="D2946">
            <v>0</v>
          </cell>
          <cell r="E2946">
            <v>0</v>
          </cell>
          <cell r="F2946">
            <v>0</v>
          </cell>
          <cell r="G2946">
            <v>0</v>
          </cell>
        </row>
        <row r="2947">
          <cell r="A2947" t="str">
            <v>23-03-01-0153</v>
          </cell>
          <cell r="B2947">
            <v>0</v>
          </cell>
          <cell r="C2947" t="str">
            <v xml:space="preserve">  OCS PAKISTAN (PVT) LIMITED</v>
          </cell>
          <cell r="D2947">
            <v>0</v>
          </cell>
          <cell r="E2947">
            <v>5157.75</v>
          </cell>
          <cell r="F2947">
            <v>0</v>
          </cell>
          <cell r="G2947">
            <v>0</v>
          </cell>
        </row>
        <row r="2948">
          <cell r="A2948" t="str">
            <v>23-03-01-0154</v>
          </cell>
          <cell r="B2948">
            <v>0</v>
          </cell>
          <cell r="C2948" t="str">
            <v xml:space="preserve">  EURO TECH</v>
          </cell>
          <cell r="D2948">
            <v>0</v>
          </cell>
          <cell r="E2948">
            <v>0</v>
          </cell>
          <cell r="F2948">
            <v>0</v>
          </cell>
          <cell r="G2948">
            <v>0</v>
          </cell>
        </row>
        <row r="2949">
          <cell r="A2949" t="str">
            <v>23-03-01-0155</v>
          </cell>
          <cell r="B2949">
            <v>0</v>
          </cell>
          <cell r="C2949" t="str">
            <v xml:space="preserve">  FRIENDS ENGINEERING &amp; SERVICES</v>
          </cell>
          <cell r="D2949">
            <v>0</v>
          </cell>
          <cell r="E2949">
            <v>0</v>
          </cell>
          <cell r="F2949">
            <v>0</v>
          </cell>
          <cell r="G2949">
            <v>0</v>
          </cell>
        </row>
        <row r="2950">
          <cell r="A2950" t="str">
            <v>23-03-01-0156</v>
          </cell>
          <cell r="B2950">
            <v>0</v>
          </cell>
          <cell r="C2950" t="str">
            <v xml:space="preserve">  SORTEX ENTERPRISES</v>
          </cell>
          <cell r="D2950">
            <v>0</v>
          </cell>
          <cell r="E2950">
            <v>2269041.5</v>
          </cell>
          <cell r="F2950">
            <v>0</v>
          </cell>
          <cell r="G2950">
            <v>0</v>
          </cell>
        </row>
        <row r="2951">
          <cell r="A2951" t="str">
            <v>23-03-01-0157</v>
          </cell>
          <cell r="B2951">
            <v>0</v>
          </cell>
          <cell r="C2951" t="str">
            <v xml:space="preserve">  MAHABA HOTEL</v>
          </cell>
          <cell r="D2951">
            <v>0</v>
          </cell>
          <cell r="E2951">
            <v>0</v>
          </cell>
          <cell r="F2951">
            <v>0</v>
          </cell>
          <cell r="G2951">
            <v>0</v>
          </cell>
        </row>
        <row r="2952">
          <cell r="A2952" t="str">
            <v>23-03-01-0158</v>
          </cell>
          <cell r="B2952">
            <v>0</v>
          </cell>
          <cell r="C2952" t="str">
            <v xml:space="preserve">  BRINKS PAKISTAN (PVT) LIMITED</v>
          </cell>
          <cell r="D2952">
            <v>0</v>
          </cell>
          <cell r="E2952">
            <v>0</v>
          </cell>
          <cell r="F2952">
            <v>0</v>
          </cell>
          <cell r="G2952">
            <v>0</v>
          </cell>
        </row>
        <row r="2953">
          <cell r="A2953" t="str">
            <v>23-03-01-0159</v>
          </cell>
          <cell r="B2953">
            <v>0</v>
          </cell>
          <cell r="C2953" t="str">
            <v xml:space="preserve">  KAREGAR ASSOCIATE</v>
          </cell>
          <cell r="D2953">
            <v>0</v>
          </cell>
          <cell r="E2953">
            <v>0</v>
          </cell>
          <cell r="F2953">
            <v>0</v>
          </cell>
          <cell r="G2953">
            <v>0</v>
          </cell>
        </row>
        <row r="2954">
          <cell r="A2954" t="str">
            <v>23-03-01-0160</v>
          </cell>
          <cell r="B2954">
            <v>0</v>
          </cell>
          <cell r="C2954" t="str">
            <v xml:space="preserve">  NEELUM COTTON (PVT) LTD.</v>
          </cell>
          <cell r="D2954">
            <v>0</v>
          </cell>
          <cell r="E2954">
            <v>0</v>
          </cell>
          <cell r="F2954">
            <v>0</v>
          </cell>
          <cell r="G2954">
            <v>0</v>
          </cell>
        </row>
        <row r="2955">
          <cell r="A2955" t="str">
            <v>23-03-01-0161</v>
          </cell>
          <cell r="B2955">
            <v>0</v>
          </cell>
          <cell r="C2955" t="str">
            <v xml:space="preserve">  FABRICOT INTERNATIONAL (BROKER)</v>
          </cell>
          <cell r="D2955">
            <v>0</v>
          </cell>
          <cell r="E2955">
            <v>0</v>
          </cell>
          <cell r="F2955">
            <v>0</v>
          </cell>
          <cell r="G2955">
            <v>0</v>
          </cell>
        </row>
        <row r="2956">
          <cell r="A2956" t="str">
            <v>23-03-01-0162</v>
          </cell>
          <cell r="B2956">
            <v>0</v>
          </cell>
          <cell r="C2956" t="str">
            <v xml:space="preserve">  AVARI LAHORE</v>
          </cell>
          <cell r="D2956">
            <v>0</v>
          </cell>
          <cell r="E2956">
            <v>0</v>
          </cell>
          <cell r="F2956">
            <v>0</v>
          </cell>
          <cell r="G2956">
            <v>0</v>
          </cell>
        </row>
        <row r="2957">
          <cell r="A2957" t="str">
            <v>23-03-01-0163</v>
          </cell>
          <cell r="B2957">
            <v>0</v>
          </cell>
          <cell r="C2957" t="str">
            <v xml:space="preserve">  HYDER BHIMJI &amp; COMPANY</v>
          </cell>
          <cell r="D2957">
            <v>0</v>
          </cell>
          <cell r="E2957">
            <v>0</v>
          </cell>
          <cell r="F2957">
            <v>0</v>
          </cell>
          <cell r="G2957">
            <v>0</v>
          </cell>
        </row>
        <row r="2958">
          <cell r="A2958" t="str">
            <v>23-03-01-0164</v>
          </cell>
          <cell r="B2958">
            <v>0</v>
          </cell>
          <cell r="C2958" t="str">
            <v xml:space="preserve">  JAWED FUMIGATION CORPORATION</v>
          </cell>
          <cell r="D2958">
            <v>0</v>
          </cell>
          <cell r="E2958">
            <v>0</v>
          </cell>
          <cell r="F2958">
            <v>0</v>
          </cell>
          <cell r="G2958">
            <v>0</v>
          </cell>
        </row>
        <row r="2959">
          <cell r="A2959" t="str">
            <v>23-03-01-0165</v>
          </cell>
          <cell r="B2959">
            <v>0</v>
          </cell>
          <cell r="C2959" t="str">
            <v xml:space="preserve">  PAK ELEKTRON LIMITED</v>
          </cell>
          <cell r="D2959">
            <v>0</v>
          </cell>
          <cell r="E2959">
            <v>24000</v>
          </cell>
          <cell r="F2959">
            <v>0</v>
          </cell>
          <cell r="G2959">
            <v>0</v>
          </cell>
        </row>
        <row r="2960">
          <cell r="A2960" t="str">
            <v>23-03-01-0166</v>
          </cell>
          <cell r="B2960">
            <v>0</v>
          </cell>
          <cell r="C2960" t="str">
            <v xml:space="preserve">  ADIL ENTERPRISES</v>
          </cell>
          <cell r="D2960">
            <v>0</v>
          </cell>
          <cell r="E2960">
            <v>0</v>
          </cell>
          <cell r="F2960">
            <v>0</v>
          </cell>
          <cell r="G2960">
            <v>0</v>
          </cell>
        </row>
        <row r="2961">
          <cell r="A2961" t="str">
            <v>23-03-01-0167</v>
          </cell>
          <cell r="B2961">
            <v>0</v>
          </cell>
          <cell r="C2961" t="str">
            <v xml:space="preserve">  LIMTON INNOVATION SYSTEMS</v>
          </cell>
          <cell r="D2961">
            <v>0</v>
          </cell>
          <cell r="E2961">
            <v>0</v>
          </cell>
          <cell r="F2961">
            <v>0</v>
          </cell>
          <cell r="G2961">
            <v>0</v>
          </cell>
        </row>
        <row r="2962">
          <cell r="A2962" t="str">
            <v>23-03-01-0168</v>
          </cell>
          <cell r="B2962">
            <v>0</v>
          </cell>
          <cell r="C2962" t="str">
            <v xml:space="preserve">  RIZVI &amp; COMPANY</v>
          </cell>
          <cell r="D2962">
            <v>0</v>
          </cell>
          <cell r="E2962">
            <v>0</v>
          </cell>
          <cell r="F2962">
            <v>0</v>
          </cell>
          <cell r="G2962">
            <v>0</v>
          </cell>
        </row>
        <row r="2963">
          <cell r="A2963" t="str">
            <v>23-03-01-0169</v>
          </cell>
          <cell r="B2963">
            <v>0</v>
          </cell>
          <cell r="C2963" t="str">
            <v xml:space="preserve">  ISAAC ALI QAZI</v>
          </cell>
          <cell r="D2963">
            <v>0</v>
          </cell>
          <cell r="E2963">
            <v>0</v>
          </cell>
          <cell r="F2963">
            <v>0</v>
          </cell>
          <cell r="G2963">
            <v>0</v>
          </cell>
        </row>
        <row r="2964">
          <cell r="A2964" t="str">
            <v>23-03-01-0170</v>
          </cell>
          <cell r="B2964">
            <v>0</v>
          </cell>
          <cell r="C2964" t="str">
            <v xml:space="preserve">  PARAMOUNT PUBLISHING ENTERPRISE</v>
          </cell>
          <cell r="D2964">
            <v>0</v>
          </cell>
          <cell r="E2964">
            <v>0</v>
          </cell>
          <cell r="F2964">
            <v>0</v>
          </cell>
          <cell r="G2964">
            <v>0</v>
          </cell>
        </row>
        <row r="2965">
          <cell r="A2965" t="str">
            <v>23-03-01-0171</v>
          </cell>
          <cell r="B2965">
            <v>0</v>
          </cell>
          <cell r="C2965" t="str">
            <v xml:space="preserve">  THOMAS &amp; THOMAS</v>
          </cell>
          <cell r="D2965">
            <v>0</v>
          </cell>
          <cell r="E2965">
            <v>0</v>
          </cell>
          <cell r="F2965">
            <v>0</v>
          </cell>
          <cell r="G2965">
            <v>0</v>
          </cell>
        </row>
        <row r="2966">
          <cell r="A2966" t="str">
            <v>23-03-01-0172</v>
          </cell>
          <cell r="B2966">
            <v>0</v>
          </cell>
          <cell r="C2966" t="str">
            <v xml:space="preserve">  SIRAJUL HAQUE &amp; CO.</v>
          </cell>
          <cell r="D2966">
            <v>0</v>
          </cell>
          <cell r="E2966">
            <v>0</v>
          </cell>
          <cell r="F2966">
            <v>0</v>
          </cell>
          <cell r="G2966">
            <v>0</v>
          </cell>
        </row>
        <row r="2967">
          <cell r="A2967" t="str">
            <v>23-03-01-0173</v>
          </cell>
          <cell r="B2967">
            <v>0</v>
          </cell>
          <cell r="C2967" t="str">
            <v xml:space="preserve">  THE PROFESSIOANLS AIR CONDITIONING</v>
          </cell>
          <cell r="D2967">
            <v>0</v>
          </cell>
          <cell r="E2967">
            <v>0</v>
          </cell>
          <cell r="F2967">
            <v>0</v>
          </cell>
          <cell r="G2967">
            <v>0</v>
          </cell>
        </row>
        <row r="2968">
          <cell r="A2968" t="str">
            <v>23-03-01-0174</v>
          </cell>
          <cell r="B2968">
            <v>0</v>
          </cell>
          <cell r="C2968" t="str">
            <v xml:space="preserve">  HAJI KHUDABUX AMIR UMAR</v>
          </cell>
          <cell r="D2968">
            <v>0</v>
          </cell>
          <cell r="E2968">
            <v>0</v>
          </cell>
          <cell r="F2968">
            <v>0</v>
          </cell>
          <cell r="G2968">
            <v>0</v>
          </cell>
        </row>
        <row r="2969">
          <cell r="A2969" t="str">
            <v>23-03-01-0175</v>
          </cell>
          <cell r="B2969">
            <v>0</v>
          </cell>
          <cell r="C2969" t="str">
            <v xml:space="preserve">  SIDDIQUE TRADING COMPANY</v>
          </cell>
          <cell r="D2969">
            <v>0</v>
          </cell>
          <cell r="E2969">
            <v>0</v>
          </cell>
          <cell r="F2969">
            <v>0</v>
          </cell>
          <cell r="G2969">
            <v>0</v>
          </cell>
        </row>
        <row r="2970">
          <cell r="A2970" t="str">
            <v>23-03-01-0176</v>
          </cell>
          <cell r="B2970">
            <v>0</v>
          </cell>
          <cell r="C2970" t="str">
            <v xml:space="preserve">  G.A.JAHANGIR &amp; ASSOCIATES</v>
          </cell>
          <cell r="D2970">
            <v>0</v>
          </cell>
          <cell r="E2970">
            <v>0</v>
          </cell>
          <cell r="F2970">
            <v>0</v>
          </cell>
          <cell r="G2970">
            <v>0</v>
          </cell>
        </row>
        <row r="2971">
          <cell r="A2971" t="str">
            <v>23-03-01-0177</v>
          </cell>
          <cell r="B2971">
            <v>0</v>
          </cell>
          <cell r="C2971" t="str">
            <v xml:space="preserve">  CENTRAL DEPOSITORY CO.OF PAKISTAN LTD</v>
          </cell>
          <cell r="D2971">
            <v>0</v>
          </cell>
          <cell r="E2971">
            <v>0</v>
          </cell>
          <cell r="F2971">
            <v>0</v>
          </cell>
          <cell r="G2971">
            <v>0</v>
          </cell>
        </row>
        <row r="2972">
          <cell r="A2972" t="str">
            <v>23-03-01-0178</v>
          </cell>
          <cell r="B2972">
            <v>0</v>
          </cell>
          <cell r="C2972" t="str">
            <v xml:space="preserve">  VIGOUR IMPEX</v>
          </cell>
          <cell r="D2972">
            <v>0</v>
          </cell>
          <cell r="E2972">
            <v>0</v>
          </cell>
          <cell r="F2972">
            <v>0</v>
          </cell>
          <cell r="G2972">
            <v>0</v>
          </cell>
        </row>
        <row r="2973">
          <cell r="A2973" t="str">
            <v>23-03-01-0179</v>
          </cell>
          <cell r="B2973">
            <v>0</v>
          </cell>
          <cell r="C2973" t="str">
            <v xml:space="preserve">  GOL INTERNET SERVICES</v>
          </cell>
          <cell r="D2973">
            <v>0</v>
          </cell>
          <cell r="E2973">
            <v>0</v>
          </cell>
          <cell r="F2973">
            <v>0</v>
          </cell>
          <cell r="G2973">
            <v>0</v>
          </cell>
        </row>
        <row r="2974">
          <cell r="A2974" t="str">
            <v>23-03-01-0180</v>
          </cell>
          <cell r="B2974">
            <v>0</v>
          </cell>
          <cell r="C2974" t="str">
            <v xml:space="preserve">  QUICK PRINTERS</v>
          </cell>
          <cell r="D2974">
            <v>0</v>
          </cell>
          <cell r="E2974">
            <v>0</v>
          </cell>
          <cell r="F2974">
            <v>0</v>
          </cell>
          <cell r="G2974">
            <v>0</v>
          </cell>
        </row>
        <row r="2975">
          <cell r="A2975" t="str">
            <v>23-03-01-0181</v>
          </cell>
          <cell r="B2975">
            <v>0</v>
          </cell>
          <cell r="C2975" t="str">
            <v xml:space="preserve">  FEROZE A.ANSARI</v>
          </cell>
          <cell r="D2975">
            <v>0</v>
          </cell>
          <cell r="E2975">
            <v>0</v>
          </cell>
          <cell r="F2975">
            <v>0</v>
          </cell>
          <cell r="G2975">
            <v>0</v>
          </cell>
        </row>
        <row r="2976">
          <cell r="A2976" t="str">
            <v>23-03-01-0182</v>
          </cell>
          <cell r="B2976">
            <v>0</v>
          </cell>
          <cell r="C2976" t="str">
            <v xml:space="preserve">  COTTON MASTERS</v>
          </cell>
          <cell r="D2976">
            <v>0</v>
          </cell>
          <cell r="E2976">
            <v>0</v>
          </cell>
          <cell r="F2976">
            <v>0</v>
          </cell>
          <cell r="G2976">
            <v>0</v>
          </cell>
        </row>
        <row r="2977">
          <cell r="A2977" t="str">
            <v>23-03-01-0183</v>
          </cell>
          <cell r="B2977">
            <v>0</v>
          </cell>
          <cell r="C2977" t="str">
            <v xml:space="preserve">  PAKISTAN COTTON SERVICE</v>
          </cell>
          <cell r="D2977">
            <v>0</v>
          </cell>
          <cell r="E2977">
            <v>0</v>
          </cell>
          <cell r="F2977">
            <v>0</v>
          </cell>
          <cell r="G2977">
            <v>0</v>
          </cell>
        </row>
        <row r="2978">
          <cell r="A2978" t="str">
            <v>23-03-01-0184</v>
          </cell>
          <cell r="B2978">
            <v>0</v>
          </cell>
          <cell r="C2978" t="str">
            <v xml:space="preserve">  S.S. BROTHERS</v>
          </cell>
          <cell r="D2978">
            <v>0</v>
          </cell>
          <cell r="E2978">
            <v>0</v>
          </cell>
          <cell r="F2978">
            <v>0</v>
          </cell>
          <cell r="G2978">
            <v>0</v>
          </cell>
        </row>
        <row r="2979">
          <cell r="A2979" t="str">
            <v>23-03-01-0185</v>
          </cell>
          <cell r="B2979">
            <v>0</v>
          </cell>
          <cell r="C2979" t="str">
            <v xml:space="preserve">  MUHAMMAD HASNAIN</v>
          </cell>
          <cell r="D2979">
            <v>0</v>
          </cell>
          <cell r="E2979">
            <v>0</v>
          </cell>
          <cell r="F2979">
            <v>0</v>
          </cell>
          <cell r="G2979">
            <v>0</v>
          </cell>
        </row>
        <row r="2980">
          <cell r="A2980" t="str">
            <v>23-03-01-0186</v>
          </cell>
          <cell r="B2980">
            <v>0</v>
          </cell>
          <cell r="C2980" t="str">
            <v xml:space="preserve">  ADIL BINDING</v>
          </cell>
          <cell r="D2980">
            <v>0</v>
          </cell>
          <cell r="E2980">
            <v>0</v>
          </cell>
          <cell r="F2980">
            <v>0</v>
          </cell>
          <cell r="G2980">
            <v>0</v>
          </cell>
        </row>
        <row r="2981">
          <cell r="A2981" t="str">
            <v>23-03-01-0187</v>
          </cell>
          <cell r="B2981">
            <v>0</v>
          </cell>
          <cell r="C2981" t="str">
            <v xml:space="preserve">  AQUA TEXTILES</v>
          </cell>
          <cell r="D2981">
            <v>0</v>
          </cell>
          <cell r="E2981">
            <v>0</v>
          </cell>
          <cell r="F2981">
            <v>0</v>
          </cell>
          <cell r="G2981">
            <v>0</v>
          </cell>
        </row>
        <row r="2982">
          <cell r="A2982" t="str">
            <v>23-03-01-0188</v>
          </cell>
          <cell r="B2982">
            <v>0</v>
          </cell>
          <cell r="C2982" t="str">
            <v xml:space="preserve">  HYUNDAI SHAHRAH-E-FAISAL MOTORS</v>
          </cell>
          <cell r="D2982">
            <v>0</v>
          </cell>
          <cell r="E2982">
            <v>0</v>
          </cell>
          <cell r="F2982">
            <v>0</v>
          </cell>
          <cell r="G2982">
            <v>0</v>
          </cell>
        </row>
        <row r="2983">
          <cell r="A2983" t="str">
            <v>23-03-01-0189</v>
          </cell>
          <cell r="B2983">
            <v>0</v>
          </cell>
          <cell r="C2983" t="str">
            <v xml:space="preserve">  SPACESAVER</v>
          </cell>
          <cell r="D2983">
            <v>0</v>
          </cell>
          <cell r="E2983">
            <v>0</v>
          </cell>
          <cell r="F2983">
            <v>0</v>
          </cell>
          <cell r="G2983">
            <v>0</v>
          </cell>
        </row>
        <row r="2984">
          <cell r="A2984" t="str">
            <v>23-03-01-0190</v>
          </cell>
          <cell r="B2984">
            <v>0</v>
          </cell>
          <cell r="C2984" t="str">
            <v xml:space="preserve">  PAKISTAN FUMIGATION CORP.(PVT) LTD.</v>
          </cell>
          <cell r="D2984">
            <v>0</v>
          </cell>
          <cell r="E2984">
            <v>0</v>
          </cell>
          <cell r="F2984">
            <v>0</v>
          </cell>
          <cell r="G2984">
            <v>0</v>
          </cell>
        </row>
        <row r="2985">
          <cell r="A2985" t="str">
            <v>23-03-01-0191</v>
          </cell>
          <cell r="B2985">
            <v>0</v>
          </cell>
          <cell r="C2985" t="str">
            <v xml:space="preserve">  HUSAIN RAHMAN</v>
          </cell>
          <cell r="D2985">
            <v>0</v>
          </cell>
          <cell r="E2985">
            <v>0</v>
          </cell>
          <cell r="F2985">
            <v>0</v>
          </cell>
          <cell r="G2985">
            <v>0</v>
          </cell>
        </row>
        <row r="2986">
          <cell r="A2986" t="str">
            <v>23-03-01-0192</v>
          </cell>
          <cell r="B2986">
            <v>0</v>
          </cell>
          <cell r="C2986" t="str">
            <v xml:space="preserve">  SIRAJ UD DIN</v>
          </cell>
          <cell r="D2986">
            <v>0</v>
          </cell>
          <cell r="E2986">
            <v>0</v>
          </cell>
          <cell r="F2986">
            <v>0</v>
          </cell>
          <cell r="G2986">
            <v>0</v>
          </cell>
        </row>
        <row r="2987">
          <cell r="A2987" t="str">
            <v>23-03-01-0194</v>
          </cell>
          <cell r="B2987">
            <v>0</v>
          </cell>
          <cell r="C2987" t="str">
            <v xml:space="preserve">  ASIAN COMPUTERS</v>
          </cell>
          <cell r="D2987">
            <v>0</v>
          </cell>
          <cell r="E2987">
            <v>0</v>
          </cell>
          <cell r="F2987">
            <v>0</v>
          </cell>
          <cell r="G2987">
            <v>0</v>
          </cell>
        </row>
        <row r="2988">
          <cell r="A2988" t="str">
            <v>23-03-01-0195</v>
          </cell>
          <cell r="B2988">
            <v>0</v>
          </cell>
          <cell r="C2988" t="str">
            <v xml:space="preserve">  RAAZIQ INTERNATIONAL (PVT) LIMITED</v>
          </cell>
          <cell r="D2988">
            <v>0</v>
          </cell>
          <cell r="E2988">
            <v>0</v>
          </cell>
          <cell r="F2988">
            <v>0</v>
          </cell>
          <cell r="G2988">
            <v>0</v>
          </cell>
        </row>
        <row r="2989">
          <cell r="A2989" t="str">
            <v>23-03-01-0196</v>
          </cell>
          <cell r="B2989">
            <v>0</v>
          </cell>
          <cell r="C2989" t="str">
            <v xml:space="preserve">  G.N.CORPORATION</v>
          </cell>
          <cell r="D2989">
            <v>0</v>
          </cell>
          <cell r="E2989">
            <v>149802</v>
          </cell>
          <cell r="F2989">
            <v>0</v>
          </cell>
          <cell r="G2989">
            <v>0</v>
          </cell>
        </row>
        <row r="2990">
          <cell r="A2990" t="str">
            <v>23-03-01-0197</v>
          </cell>
          <cell r="B2990">
            <v>0</v>
          </cell>
          <cell r="C2990" t="str">
            <v xml:space="preserve">  M.S.KHATTAK</v>
          </cell>
          <cell r="D2990">
            <v>0</v>
          </cell>
          <cell r="E2990">
            <v>0</v>
          </cell>
          <cell r="F2990">
            <v>0</v>
          </cell>
          <cell r="G2990">
            <v>0</v>
          </cell>
        </row>
        <row r="2991">
          <cell r="A2991" t="str">
            <v>23-03-01-0198</v>
          </cell>
          <cell r="B2991">
            <v>0</v>
          </cell>
          <cell r="C2991" t="str">
            <v xml:space="preserve">  PHOENIX ARMOUR (PVT) LIMITED</v>
          </cell>
          <cell r="D2991">
            <v>0</v>
          </cell>
          <cell r="E2991">
            <v>19235</v>
          </cell>
          <cell r="F2991">
            <v>0</v>
          </cell>
          <cell r="G2991">
            <v>0</v>
          </cell>
        </row>
        <row r="2992">
          <cell r="A2992" t="str">
            <v>23-03-01-0199</v>
          </cell>
          <cell r="B2992">
            <v>0</v>
          </cell>
          <cell r="C2992" t="str">
            <v xml:space="preserve">  AFTAB HUSSAIN QURESHI.</v>
          </cell>
          <cell r="D2992">
            <v>0</v>
          </cell>
          <cell r="E2992">
            <v>0</v>
          </cell>
          <cell r="F2992">
            <v>0</v>
          </cell>
          <cell r="G2992">
            <v>0</v>
          </cell>
        </row>
        <row r="2993">
          <cell r="A2993" t="str">
            <v>23-03-01-0200</v>
          </cell>
          <cell r="B2993">
            <v>0</v>
          </cell>
          <cell r="C2993" t="str">
            <v xml:space="preserve">  GOLD MOHUR CORPORATION</v>
          </cell>
          <cell r="D2993">
            <v>0</v>
          </cell>
          <cell r="E2993">
            <v>0</v>
          </cell>
          <cell r="F2993">
            <v>0</v>
          </cell>
          <cell r="G2993">
            <v>0</v>
          </cell>
        </row>
        <row r="2994">
          <cell r="A2994" t="str">
            <v>23-03-01-0201</v>
          </cell>
          <cell r="B2994">
            <v>0</v>
          </cell>
          <cell r="C2994" t="str">
            <v xml:space="preserve">  SHABBIR H.USMAN (BROKERAGE)</v>
          </cell>
          <cell r="D2994">
            <v>0</v>
          </cell>
          <cell r="E2994">
            <v>0</v>
          </cell>
          <cell r="F2994">
            <v>0</v>
          </cell>
          <cell r="G2994">
            <v>0</v>
          </cell>
        </row>
        <row r="2995">
          <cell r="A2995" t="str">
            <v>23-03-01-0202</v>
          </cell>
          <cell r="B2995">
            <v>0</v>
          </cell>
          <cell r="C2995" t="str">
            <v xml:space="preserve">  AMIR ALI TRANSPORT</v>
          </cell>
          <cell r="D2995">
            <v>0</v>
          </cell>
          <cell r="E2995">
            <v>0</v>
          </cell>
          <cell r="F2995">
            <v>0</v>
          </cell>
          <cell r="G2995">
            <v>0</v>
          </cell>
        </row>
        <row r="2996">
          <cell r="A2996" t="str">
            <v>23-03-01-0203</v>
          </cell>
          <cell r="B2996">
            <v>0</v>
          </cell>
          <cell r="C2996" t="str">
            <v xml:space="preserve">  MUHAMMAD RAFIQ NOOR AHMED</v>
          </cell>
          <cell r="D2996">
            <v>0</v>
          </cell>
          <cell r="E2996">
            <v>0</v>
          </cell>
          <cell r="F2996">
            <v>0</v>
          </cell>
          <cell r="G2996">
            <v>0</v>
          </cell>
        </row>
        <row r="2997">
          <cell r="A2997" t="str">
            <v>23-03-01-0204</v>
          </cell>
          <cell r="B2997">
            <v>0</v>
          </cell>
          <cell r="C2997" t="str">
            <v xml:space="preserve">  UMER ENTERPRISES</v>
          </cell>
          <cell r="D2997">
            <v>0</v>
          </cell>
          <cell r="E2997">
            <v>0</v>
          </cell>
          <cell r="F2997">
            <v>0</v>
          </cell>
          <cell r="G2997">
            <v>0</v>
          </cell>
        </row>
        <row r="2998">
          <cell r="A2998" t="str">
            <v>23-03-01-0205</v>
          </cell>
          <cell r="B2998">
            <v>0</v>
          </cell>
          <cell r="C2998" t="str">
            <v xml:space="preserve">  TIME COOL SERVICE</v>
          </cell>
          <cell r="D2998">
            <v>0</v>
          </cell>
          <cell r="E2998">
            <v>0</v>
          </cell>
          <cell r="F2998">
            <v>0</v>
          </cell>
          <cell r="G2998">
            <v>0</v>
          </cell>
        </row>
        <row r="2999">
          <cell r="A2999" t="str">
            <v>23-03-01-0206</v>
          </cell>
          <cell r="B2999">
            <v>0</v>
          </cell>
          <cell r="C2999" t="str">
            <v xml:space="preserve">  ISLAMABAD SERENA HOTEL</v>
          </cell>
          <cell r="D2999">
            <v>0</v>
          </cell>
          <cell r="E2999">
            <v>0</v>
          </cell>
          <cell r="F2999">
            <v>0</v>
          </cell>
          <cell r="G2999">
            <v>0</v>
          </cell>
        </row>
        <row r="3000">
          <cell r="A3000" t="str">
            <v>23-03-01-0207</v>
          </cell>
          <cell r="B3000">
            <v>0</v>
          </cell>
          <cell r="C3000" t="str">
            <v xml:space="preserve">  TEXTILE TESTING LABORATORY</v>
          </cell>
          <cell r="D3000">
            <v>0</v>
          </cell>
          <cell r="E3000">
            <v>0</v>
          </cell>
          <cell r="F3000">
            <v>0</v>
          </cell>
          <cell r="G3000">
            <v>0</v>
          </cell>
        </row>
        <row r="3001">
          <cell r="A3001" t="str">
            <v>23-03-01-0208</v>
          </cell>
          <cell r="B3001">
            <v>0</v>
          </cell>
          <cell r="C3001" t="str">
            <v xml:space="preserve">  PETROCHEM ENGG. &amp; INDUSTRIAL CONSULTAN</v>
          </cell>
          <cell r="D3001">
            <v>0</v>
          </cell>
          <cell r="E3001">
            <v>0</v>
          </cell>
          <cell r="F3001">
            <v>0</v>
          </cell>
          <cell r="G3001">
            <v>0</v>
          </cell>
        </row>
        <row r="3002">
          <cell r="A3002" t="str">
            <v>23-03-01-0209</v>
          </cell>
          <cell r="B3002">
            <v>0</v>
          </cell>
          <cell r="C3002" t="str">
            <v xml:space="preserve">  TEXPORT CORPORATION</v>
          </cell>
          <cell r="D3002">
            <v>0</v>
          </cell>
          <cell r="E3002">
            <v>0</v>
          </cell>
          <cell r="F3002">
            <v>0</v>
          </cell>
          <cell r="G3002">
            <v>0</v>
          </cell>
        </row>
        <row r="3003">
          <cell r="A3003" t="str">
            <v>23-03-01-0210</v>
          </cell>
          <cell r="B3003">
            <v>0</v>
          </cell>
          <cell r="C3003" t="str">
            <v xml:space="preserve">  PRIME COMPUTER SERVICES</v>
          </cell>
          <cell r="D3003">
            <v>0</v>
          </cell>
          <cell r="E3003">
            <v>0</v>
          </cell>
          <cell r="F3003">
            <v>0</v>
          </cell>
          <cell r="G3003">
            <v>0</v>
          </cell>
        </row>
        <row r="3004">
          <cell r="A3004" t="str">
            <v>23-03-01-0211</v>
          </cell>
          <cell r="B3004">
            <v>0</v>
          </cell>
          <cell r="C3004" t="str">
            <v xml:space="preserve">  MANDVIWALLA &amp; ZAFAR</v>
          </cell>
          <cell r="D3004">
            <v>0</v>
          </cell>
          <cell r="E3004">
            <v>0</v>
          </cell>
          <cell r="F3004">
            <v>0</v>
          </cell>
          <cell r="G3004">
            <v>0</v>
          </cell>
        </row>
        <row r="3005">
          <cell r="A3005" t="str">
            <v>23-03-01-0212</v>
          </cell>
          <cell r="B3005">
            <v>0</v>
          </cell>
          <cell r="C3005" t="str">
            <v xml:space="preserve">  RELIANCE CONTROL SERVICES</v>
          </cell>
          <cell r="D3005">
            <v>0</v>
          </cell>
          <cell r="E3005">
            <v>0</v>
          </cell>
          <cell r="F3005">
            <v>0</v>
          </cell>
          <cell r="G3005">
            <v>0</v>
          </cell>
        </row>
        <row r="3006">
          <cell r="A3006" t="str">
            <v>23-03-01-0213</v>
          </cell>
          <cell r="B3006">
            <v>0</v>
          </cell>
          <cell r="C3006" t="str">
            <v xml:space="preserve">  NAUMAN ASSOCIATES</v>
          </cell>
          <cell r="D3006">
            <v>0</v>
          </cell>
          <cell r="E3006">
            <v>0</v>
          </cell>
          <cell r="F3006">
            <v>0</v>
          </cell>
          <cell r="G3006">
            <v>0</v>
          </cell>
        </row>
        <row r="3007">
          <cell r="A3007" t="str">
            <v>23-03-01-0214</v>
          </cell>
          <cell r="B3007">
            <v>0</v>
          </cell>
          <cell r="C3007" t="str">
            <v xml:space="preserve">  MUHAMMAD AFZAL &amp; COMPANY</v>
          </cell>
          <cell r="D3007">
            <v>0</v>
          </cell>
          <cell r="E3007">
            <v>0</v>
          </cell>
          <cell r="F3007">
            <v>0</v>
          </cell>
          <cell r="G3007">
            <v>0</v>
          </cell>
        </row>
        <row r="3008">
          <cell r="A3008" t="str">
            <v>23-03-01-0215</v>
          </cell>
          <cell r="B3008">
            <v>0</v>
          </cell>
          <cell r="C3008" t="str">
            <v xml:space="preserve">  MASOOD AZIZ ASSOCIATES</v>
          </cell>
          <cell r="D3008">
            <v>0</v>
          </cell>
          <cell r="E3008">
            <v>0</v>
          </cell>
          <cell r="F3008">
            <v>0</v>
          </cell>
          <cell r="G3008">
            <v>0</v>
          </cell>
        </row>
        <row r="3009">
          <cell r="A3009" t="str">
            <v>23-03-01-0216</v>
          </cell>
          <cell r="B3009">
            <v>0</v>
          </cell>
          <cell r="C3009" t="str">
            <v xml:space="preserve">  SAAF CONSULT</v>
          </cell>
          <cell r="D3009">
            <v>0</v>
          </cell>
          <cell r="E3009">
            <v>0</v>
          </cell>
          <cell r="F3009">
            <v>0</v>
          </cell>
          <cell r="G3009">
            <v>0</v>
          </cell>
        </row>
        <row r="3010">
          <cell r="A3010" t="str">
            <v>23-03-01-0217</v>
          </cell>
          <cell r="B3010">
            <v>0</v>
          </cell>
          <cell r="C3010" t="str">
            <v xml:space="preserve">  MIDLAND MOTORS PAKISTAN (PRIVATE) LTD.</v>
          </cell>
          <cell r="D3010">
            <v>0</v>
          </cell>
          <cell r="E3010">
            <v>0</v>
          </cell>
          <cell r="F3010">
            <v>0</v>
          </cell>
          <cell r="G3010">
            <v>0</v>
          </cell>
        </row>
        <row r="3011">
          <cell r="A3011" t="str">
            <v>23-03-01-0218</v>
          </cell>
          <cell r="B3011">
            <v>0</v>
          </cell>
          <cell r="C3011" t="str">
            <v xml:space="preserve">  HASEEB ULLAH KHAN</v>
          </cell>
          <cell r="D3011">
            <v>0</v>
          </cell>
          <cell r="E3011">
            <v>0</v>
          </cell>
          <cell r="F3011">
            <v>0</v>
          </cell>
          <cell r="G3011">
            <v>0</v>
          </cell>
        </row>
        <row r="3012">
          <cell r="A3012" t="str">
            <v>23-03-01-0219</v>
          </cell>
          <cell r="B3012">
            <v>0</v>
          </cell>
          <cell r="C3012" t="str">
            <v xml:space="preserve">  LUCKY FASHION'S</v>
          </cell>
          <cell r="D3012">
            <v>0</v>
          </cell>
          <cell r="E3012">
            <v>0</v>
          </cell>
          <cell r="F3012">
            <v>0</v>
          </cell>
          <cell r="G3012">
            <v>0</v>
          </cell>
        </row>
        <row r="3013">
          <cell r="A3013" t="str">
            <v>23-03-01-0220</v>
          </cell>
          <cell r="B3013">
            <v>0</v>
          </cell>
          <cell r="C3013" t="str">
            <v xml:space="preserve">  KHALID MAJID REHMAN SARFRAZ TAX CONSUL</v>
          </cell>
          <cell r="D3013">
            <v>0</v>
          </cell>
          <cell r="E3013">
            <v>0</v>
          </cell>
          <cell r="F3013">
            <v>0</v>
          </cell>
          <cell r="G3013">
            <v>0</v>
          </cell>
        </row>
        <row r="3014">
          <cell r="A3014" t="str">
            <v>23-03-01-0221</v>
          </cell>
          <cell r="B3014">
            <v>0</v>
          </cell>
          <cell r="C3014" t="str">
            <v xml:space="preserve">  OCEAN OFFICE AUTOMATION</v>
          </cell>
          <cell r="D3014">
            <v>0</v>
          </cell>
          <cell r="E3014">
            <v>0</v>
          </cell>
          <cell r="F3014">
            <v>0</v>
          </cell>
          <cell r="G3014">
            <v>0</v>
          </cell>
        </row>
        <row r="3015">
          <cell r="A3015" t="str">
            <v>23-03-01-0222</v>
          </cell>
          <cell r="B3015">
            <v>0</v>
          </cell>
          <cell r="C3015" t="str">
            <v xml:space="preserve">  BYTELINKSINTERNET SERVICES</v>
          </cell>
          <cell r="D3015">
            <v>0</v>
          </cell>
          <cell r="E3015">
            <v>0</v>
          </cell>
          <cell r="F3015">
            <v>0</v>
          </cell>
          <cell r="G3015">
            <v>0</v>
          </cell>
        </row>
        <row r="3016">
          <cell r="A3016" t="str">
            <v>23-03-01-0223</v>
          </cell>
          <cell r="B3016">
            <v>0</v>
          </cell>
          <cell r="C3016" t="str">
            <v xml:space="preserve">  ORIENT ADVERTISING (PVT) LIMITED</v>
          </cell>
          <cell r="D3016">
            <v>0</v>
          </cell>
          <cell r="E3016">
            <v>0</v>
          </cell>
          <cell r="F3016">
            <v>0</v>
          </cell>
          <cell r="G3016">
            <v>0</v>
          </cell>
        </row>
        <row r="3017">
          <cell r="A3017" t="str">
            <v>23-03-01-0224</v>
          </cell>
          <cell r="B3017">
            <v>0</v>
          </cell>
          <cell r="C3017" t="str">
            <v xml:space="preserve">  JAVAID UMAR LAW ASSOCIATES</v>
          </cell>
          <cell r="D3017">
            <v>0</v>
          </cell>
          <cell r="E3017">
            <v>0</v>
          </cell>
          <cell r="F3017">
            <v>0</v>
          </cell>
          <cell r="G3017">
            <v>0</v>
          </cell>
        </row>
        <row r="3018">
          <cell r="A3018" t="str">
            <v>23-03-01-0225</v>
          </cell>
          <cell r="B3018">
            <v>0</v>
          </cell>
          <cell r="C3018" t="str">
            <v xml:space="preserve">  SARDAR KHAN NIAZI</v>
          </cell>
          <cell r="D3018">
            <v>0</v>
          </cell>
          <cell r="E3018">
            <v>0</v>
          </cell>
          <cell r="F3018">
            <v>0</v>
          </cell>
          <cell r="G3018">
            <v>0</v>
          </cell>
        </row>
        <row r="3019">
          <cell r="A3019" t="str">
            <v>23-03-01-0226</v>
          </cell>
          <cell r="B3019">
            <v>0</v>
          </cell>
          <cell r="C3019" t="str">
            <v xml:space="preserve">  CHAUDHRY MOTORS</v>
          </cell>
          <cell r="D3019">
            <v>0</v>
          </cell>
          <cell r="E3019">
            <v>0</v>
          </cell>
          <cell r="F3019">
            <v>0</v>
          </cell>
          <cell r="G3019">
            <v>0</v>
          </cell>
        </row>
        <row r="3020">
          <cell r="A3020" t="str">
            <v>23-03-01-0227</v>
          </cell>
          <cell r="B3020">
            <v>0</v>
          </cell>
          <cell r="C3020" t="str">
            <v xml:space="preserve">  SULTAN MUHAMMAD DRILLING CONTRACTOR</v>
          </cell>
          <cell r="D3020">
            <v>0</v>
          </cell>
          <cell r="E3020">
            <v>0</v>
          </cell>
          <cell r="F3020">
            <v>0</v>
          </cell>
          <cell r="G3020">
            <v>0</v>
          </cell>
        </row>
        <row r="3021">
          <cell r="A3021" t="str">
            <v>23-03-01-0228</v>
          </cell>
          <cell r="B3021">
            <v>0</v>
          </cell>
          <cell r="C3021" t="str">
            <v xml:space="preserve">  MUSHTAQ AKBAR &amp; COMPANY</v>
          </cell>
          <cell r="D3021">
            <v>0</v>
          </cell>
          <cell r="E3021">
            <v>0</v>
          </cell>
          <cell r="F3021">
            <v>0</v>
          </cell>
          <cell r="G3021">
            <v>0</v>
          </cell>
        </row>
        <row r="3022">
          <cell r="A3022" t="str">
            <v>23-03-01-0229</v>
          </cell>
          <cell r="B3022">
            <v>0</v>
          </cell>
          <cell r="C3022" t="str">
            <v xml:space="preserve">  ANWAR AYUB</v>
          </cell>
          <cell r="D3022">
            <v>0</v>
          </cell>
          <cell r="E3022">
            <v>0</v>
          </cell>
          <cell r="F3022">
            <v>0</v>
          </cell>
          <cell r="G3022">
            <v>0</v>
          </cell>
        </row>
        <row r="3023">
          <cell r="A3023" t="str">
            <v>23-03-01-0230</v>
          </cell>
          <cell r="B3023">
            <v>0</v>
          </cell>
          <cell r="C3023" t="str">
            <v xml:space="preserve">  IKON TECHNOLOGIES</v>
          </cell>
          <cell r="D3023">
            <v>0</v>
          </cell>
          <cell r="E3023">
            <v>0</v>
          </cell>
          <cell r="F3023">
            <v>0</v>
          </cell>
          <cell r="G3023">
            <v>0</v>
          </cell>
        </row>
        <row r="3024">
          <cell r="A3024" t="str">
            <v>23-03-01-0231</v>
          </cell>
          <cell r="B3024">
            <v>0</v>
          </cell>
          <cell r="C3024" t="str">
            <v xml:space="preserve">  NATIONAL ART PRESS</v>
          </cell>
          <cell r="D3024">
            <v>0</v>
          </cell>
          <cell r="E3024">
            <v>0</v>
          </cell>
          <cell r="F3024">
            <v>0</v>
          </cell>
          <cell r="G3024">
            <v>0</v>
          </cell>
        </row>
        <row r="3025">
          <cell r="A3025" t="str">
            <v>23-03-01-0232</v>
          </cell>
          <cell r="B3025">
            <v>0</v>
          </cell>
          <cell r="C3025" t="str">
            <v xml:space="preserve">  ANSARI COTTON SERVICES</v>
          </cell>
          <cell r="D3025">
            <v>0</v>
          </cell>
          <cell r="E3025">
            <v>0</v>
          </cell>
          <cell r="F3025">
            <v>0</v>
          </cell>
          <cell r="G3025">
            <v>0</v>
          </cell>
        </row>
        <row r="3026">
          <cell r="A3026" t="str">
            <v>23-03-01-0233</v>
          </cell>
          <cell r="B3026">
            <v>0</v>
          </cell>
          <cell r="C3026" t="str">
            <v xml:space="preserve">  MIAN COTTON TRADERS</v>
          </cell>
          <cell r="D3026">
            <v>0</v>
          </cell>
          <cell r="E3026">
            <v>0</v>
          </cell>
          <cell r="F3026">
            <v>0</v>
          </cell>
          <cell r="G3026">
            <v>0</v>
          </cell>
        </row>
        <row r="3027">
          <cell r="A3027" t="str">
            <v>23-03-01-0234</v>
          </cell>
          <cell r="B3027">
            <v>0</v>
          </cell>
          <cell r="C3027" t="str">
            <v xml:space="preserve">  MULTAN COTTON CORPORATION</v>
          </cell>
          <cell r="D3027">
            <v>0</v>
          </cell>
          <cell r="E3027">
            <v>0</v>
          </cell>
          <cell r="F3027">
            <v>0</v>
          </cell>
          <cell r="G3027">
            <v>0</v>
          </cell>
        </row>
        <row r="3028">
          <cell r="A3028" t="str">
            <v>23-03-01-0235</v>
          </cell>
          <cell r="B3028">
            <v>0</v>
          </cell>
          <cell r="C3028" t="str">
            <v xml:space="preserve">  QUALITY CONSULT</v>
          </cell>
          <cell r="D3028">
            <v>0</v>
          </cell>
          <cell r="E3028">
            <v>296</v>
          </cell>
          <cell r="F3028">
            <v>0</v>
          </cell>
          <cell r="G3028">
            <v>0</v>
          </cell>
        </row>
        <row r="3029">
          <cell r="A3029" t="str">
            <v>23-03-01-0236</v>
          </cell>
          <cell r="B3029">
            <v>0</v>
          </cell>
          <cell r="C3029" t="str">
            <v xml:space="preserve">  ARIF HABIB SECURITIES LIMITED</v>
          </cell>
          <cell r="D3029">
            <v>0</v>
          </cell>
          <cell r="E3029">
            <v>0</v>
          </cell>
          <cell r="F3029">
            <v>0</v>
          </cell>
          <cell r="G3029">
            <v>0</v>
          </cell>
        </row>
        <row r="3030">
          <cell r="A3030" t="str">
            <v>23-03-01-0237</v>
          </cell>
          <cell r="B3030">
            <v>0</v>
          </cell>
          <cell r="C3030" t="str">
            <v xml:space="preserve">  ROYAL CASTLE GUEST HOUSE</v>
          </cell>
          <cell r="D3030">
            <v>0</v>
          </cell>
          <cell r="E3030">
            <v>0</v>
          </cell>
          <cell r="F3030">
            <v>0</v>
          </cell>
          <cell r="G3030">
            <v>0</v>
          </cell>
        </row>
        <row r="3031">
          <cell r="A3031" t="str">
            <v>23-03-01-0238</v>
          </cell>
          <cell r="B3031">
            <v>0</v>
          </cell>
          <cell r="C3031" t="str">
            <v xml:space="preserve">  HYDROCARBON DEVELOPMENT INSTITUTE OF P</v>
          </cell>
          <cell r="D3031">
            <v>0</v>
          </cell>
          <cell r="E3031">
            <v>0</v>
          </cell>
          <cell r="F3031">
            <v>0</v>
          </cell>
          <cell r="G3031">
            <v>0</v>
          </cell>
        </row>
        <row r="3032">
          <cell r="A3032" t="str">
            <v>23-03-01-0239</v>
          </cell>
          <cell r="B3032">
            <v>0</v>
          </cell>
          <cell r="C3032" t="str">
            <v xml:space="preserve">  FATIMID'S TRAVELS (PVT) LIMITED</v>
          </cell>
          <cell r="D3032">
            <v>0</v>
          </cell>
          <cell r="E3032">
            <v>0</v>
          </cell>
          <cell r="F3032">
            <v>0</v>
          </cell>
          <cell r="G3032">
            <v>0</v>
          </cell>
        </row>
        <row r="3033">
          <cell r="A3033" t="str">
            <v>23-03-01-0240</v>
          </cell>
          <cell r="B3033">
            <v>0</v>
          </cell>
          <cell r="C3033" t="str">
            <v xml:space="preserve">  MEHDI STATIONERS &amp; SUPPLIERS</v>
          </cell>
          <cell r="D3033">
            <v>0</v>
          </cell>
          <cell r="E3033">
            <v>0</v>
          </cell>
          <cell r="F3033">
            <v>0</v>
          </cell>
          <cell r="G3033">
            <v>0</v>
          </cell>
        </row>
        <row r="3034">
          <cell r="A3034" t="str">
            <v>23-03-01-0241</v>
          </cell>
          <cell r="B3034">
            <v>0</v>
          </cell>
          <cell r="C3034" t="str">
            <v xml:space="preserve">  MUHAMMAD BILAL CONTRACTOR</v>
          </cell>
          <cell r="D3034">
            <v>0</v>
          </cell>
          <cell r="E3034">
            <v>0</v>
          </cell>
          <cell r="F3034">
            <v>0</v>
          </cell>
          <cell r="G3034">
            <v>0</v>
          </cell>
        </row>
        <row r="3035">
          <cell r="A3035" t="str">
            <v>23-03-01-0242</v>
          </cell>
          <cell r="B3035">
            <v>0</v>
          </cell>
          <cell r="C3035" t="str">
            <v xml:space="preserve">  DEZYNO FURNITURE &amp; INTERIOR</v>
          </cell>
          <cell r="D3035">
            <v>1763010</v>
          </cell>
          <cell r="E3035">
            <v>0</v>
          </cell>
          <cell r="F3035">
            <v>0</v>
          </cell>
          <cell r="G3035">
            <v>0</v>
          </cell>
        </row>
        <row r="3036">
          <cell r="A3036" t="str">
            <v>23-03-01-0243</v>
          </cell>
          <cell r="B3036">
            <v>0</v>
          </cell>
          <cell r="C3036" t="str">
            <v xml:space="preserve">  SCANWELL FREIGHT EXPRESS PAKISTAN (PVT</v>
          </cell>
          <cell r="D3036">
            <v>0</v>
          </cell>
          <cell r="E3036">
            <v>0</v>
          </cell>
          <cell r="F3036">
            <v>0</v>
          </cell>
          <cell r="G3036">
            <v>0</v>
          </cell>
        </row>
        <row r="3037">
          <cell r="A3037" t="str">
            <v>23-03-01-0244</v>
          </cell>
          <cell r="B3037">
            <v>0</v>
          </cell>
          <cell r="C3037" t="str">
            <v xml:space="preserve">  ASIAN ENGINEERS</v>
          </cell>
          <cell r="D3037">
            <v>0</v>
          </cell>
          <cell r="E3037">
            <v>0</v>
          </cell>
          <cell r="F3037">
            <v>0</v>
          </cell>
          <cell r="G3037">
            <v>0</v>
          </cell>
        </row>
        <row r="3038">
          <cell r="A3038" t="str">
            <v>23-03-01-0245</v>
          </cell>
          <cell r="B3038">
            <v>0</v>
          </cell>
          <cell r="C3038" t="str">
            <v xml:space="preserve">  NAVED A.ANDRABI</v>
          </cell>
          <cell r="D3038">
            <v>0</v>
          </cell>
          <cell r="E3038">
            <v>0</v>
          </cell>
          <cell r="F3038">
            <v>0</v>
          </cell>
          <cell r="G3038">
            <v>0</v>
          </cell>
        </row>
        <row r="3039">
          <cell r="A3039" t="str">
            <v>23-03-01-0246</v>
          </cell>
          <cell r="B3039">
            <v>0</v>
          </cell>
          <cell r="C3039" t="str">
            <v xml:space="preserve">  SAJJAD LAW ASSOCIATES</v>
          </cell>
          <cell r="D3039">
            <v>0</v>
          </cell>
          <cell r="E3039">
            <v>0</v>
          </cell>
          <cell r="F3039">
            <v>0</v>
          </cell>
          <cell r="G3039">
            <v>0</v>
          </cell>
        </row>
        <row r="3040">
          <cell r="A3040" t="str">
            <v>23-03-01-0247</v>
          </cell>
          <cell r="B3040">
            <v>0</v>
          </cell>
          <cell r="C3040" t="str">
            <v xml:space="preserve">  TCS (PRIVATE) LIMITED</v>
          </cell>
          <cell r="D3040">
            <v>0</v>
          </cell>
          <cell r="E3040">
            <v>41630</v>
          </cell>
          <cell r="F3040">
            <v>0</v>
          </cell>
          <cell r="G3040">
            <v>0</v>
          </cell>
        </row>
        <row r="3041">
          <cell r="A3041" t="str">
            <v>23-03-01-0248</v>
          </cell>
          <cell r="B3041">
            <v>0</v>
          </cell>
          <cell r="C3041" t="str">
            <v xml:space="preserve">  PROGRESSIVE PLANNERS</v>
          </cell>
          <cell r="D3041">
            <v>0</v>
          </cell>
          <cell r="E3041">
            <v>0</v>
          </cell>
          <cell r="F3041">
            <v>0</v>
          </cell>
          <cell r="G3041">
            <v>0</v>
          </cell>
        </row>
        <row r="3042">
          <cell r="A3042" t="str">
            <v>23-03-01-0249</v>
          </cell>
          <cell r="B3042">
            <v>0</v>
          </cell>
          <cell r="C3042" t="str">
            <v xml:space="preserve">  NISACO MOTOR PARTS INDUSTRIES</v>
          </cell>
          <cell r="D3042">
            <v>0</v>
          </cell>
          <cell r="E3042">
            <v>0</v>
          </cell>
          <cell r="F3042">
            <v>0</v>
          </cell>
          <cell r="G3042">
            <v>0</v>
          </cell>
        </row>
        <row r="3043">
          <cell r="A3043" t="str">
            <v>23-03-01-0250</v>
          </cell>
          <cell r="B3043">
            <v>0</v>
          </cell>
          <cell r="C3043" t="str">
            <v xml:space="preserve">  PANASONIC TOTAL SOLUTION</v>
          </cell>
          <cell r="D3043">
            <v>0</v>
          </cell>
          <cell r="E3043">
            <v>0</v>
          </cell>
          <cell r="F3043">
            <v>0</v>
          </cell>
          <cell r="G3043">
            <v>0</v>
          </cell>
        </row>
        <row r="3044">
          <cell r="A3044" t="str">
            <v>23-03-01-0251</v>
          </cell>
          <cell r="B3044">
            <v>0</v>
          </cell>
          <cell r="C3044" t="str">
            <v xml:space="preserve">  SUNNY ENTERPRISES</v>
          </cell>
          <cell r="D3044">
            <v>0</v>
          </cell>
          <cell r="E3044">
            <v>0</v>
          </cell>
          <cell r="F3044">
            <v>0</v>
          </cell>
          <cell r="G3044">
            <v>0</v>
          </cell>
        </row>
        <row r="3045">
          <cell r="A3045" t="str">
            <v>23-03-01-0252</v>
          </cell>
          <cell r="B3045">
            <v>0</v>
          </cell>
          <cell r="C3045" t="str">
            <v xml:space="preserve">  HAMZA ENTERPRISES-GAS CONTRACTOR</v>
          </cell>
          <cell r="D3045">
            <v>0</v>
          </cell>
          <cell r="E3045">
            <v>0</v>
          </cell>
          <cell r="F3045">
            <v>0</v>
          </cell>
          <cell r="G3045">
            <v>0</v>
          </cell>
        </row>
        <row r="3046">
          <cell r="A3046" t="str">
            <v>23-03-01-0253</v>
          </cell>
          <cell r="B3046">
            <v>0</v>
          </cell>
          <cell r="C3046" t="str">
            <v xml:space="preserve">  SMS COURIER (PRIVATE) LIMITED</v>
          </cell>
          <cell r="D3046">
            <v>0</v>
          </cell>
          <cell r="E3046">
            <v>0</v>
          </cell>
          <cell r="F3046">
            <v>0</v>
          </cell>
          <cell r="G3046">
            <v>0</v>
          </cell>
        </row>
        <row r="3047">
          <cell r="A3047" t="str">
            <v>23-03-01-0254</v>
          </cell>
          <cell r="B3047">
            <v>0</v>
          </cell>
          <cell r="C3047" t="str">
            <v xml:space="preserve">  ALIA INTERNATIONAL</v>
          </cell>
          <cell r="D3047">
            <v>0</v>
          </cell>
          <cell r="E3047">
            <v>0</v>
          </cell>
          <cell r="F3047">
            <v>0</v>
          </cell>
          <cell r="G3047">
            <v>0</v>
          </cell>
        </row>
        <row r="3048">
          <cell r="A3048" t="str">
            <v>23-03-01-0255</v>
          </cell>
          <cell r="B3048">
            <v>0</v>
          </cell>
          <cell r="C3048" t="str">
            <v xml:space="preserve">  TAQ ENTERPRISES CARGO SERVICES (PVT) L</v>
          </cell>
          <cell r="D3048">
            <v>0</v>
          </cell>
          <cell r="E3048">
            <v>0</v>
          </cell>
          <cell r="F3048">
            <v>0</v>
          </cell>
          <cell r="G3048">
            <v>0</v>
          </cell>
        </row>
        <row r="3049">
          <cell r="A3049" t="str">
            <v>23-03-01-0256</v>
          </cell>
          <cell r="B3049">
            <v>0</v>
          </cell>
          <cell r="C3049" t="str">
            <v xml:space="preserve">  DALAL SECURITIES (PRIVATE) LIMITED</v>
          </cell>
          <cell r="D3049">
            <v>0</v>
          </cell>
          <cell r="E3049">
            <v>0</v>
          </cell>
          <cell r="F3049">
            <v>0</v>
          </cell>
          <cell r="G3049">
            <v>0</v>
          </cell>
        </row>
        <row r="3050">
          <cell r="A3050" t="str">
            <v>23-03-01-0257</v>
          </cell>
          <cell r="B3050">
            <v>0</v>
          </cell>
          <cell r="C3050" t="str">
            <v xml:space="preserve">  ABDUL MAJEED SONS</v>
          </cell>
          <cell r="D3050">
            <v>0</v>
          </cell>
          <cell r="E3050">
            <v>0</v>
          </cell>
          <cell r="F3050">
            <v>0</v>
          </cell>
          <cell r="G3050">
            <v>0</v>
          </cell>
        </row>
        <row r="3051">
          <cell r="A3051" t="str">
            <v>23-03-01-0258</v>
          </cell>
          <cell r="B3051">
            <v>0</v>
          </cell>
          <cell r="C3051" t="str">
            <v xml:space="preserve">  FAZLE GHANI ADVOCATES</v>
          </cell>
          <cell r="D3051">
            <v>0</v>
          </cell>
          <cell r="E3051">
            <v>0</v>
          </cell>
          <cell r="F3051">
            <v>0</v>
          </cell>
          <cell r="G3051">
            <v>0</v>
          </cell>
        </row>
        <row r="3052">
          <cell r="A3052" t="str">
            <v>23-03-01-0259</v>
          </cell>
          <cell r="B3052">
            <v>0</v>
          </cell>
          <cell r="C3052" t="str">
            <v xml:space="preserve">  SAIEN ENGINEERING WORKS</v>
          </cell>
          <cell r="D3052">
            <v>0</v>
          </cell>
          <cell r="E3052">
            <v>0</v>
          </cell>
          <cell r="F3052">
            <v>0</v>
          </cell>
          <cell r="G3052">
            <v>0</v>
          </cell>
        </row>
        <row r="3053">
          <cell r="A3053" t="str">
            <v>23-03-01-0260</v>
          </cell>
          <cell r="B3053">
            <v>0</v>
          </cell>
          <cell r="C3053" t="str">
            <v xml:space="preserve">  QAZI &amp; QAZI LAW ASSOCIATES</v>
          </cell>
          <cell r="D3053">
            <v>0</v>
          </cell>
          <cell r="E3053">
            <v>0</v>
          </cell>
          <cell r="F3053">
            <v>0</v>
          </cell>
          <cell r="G3053">
            <v>0</v>
          </cell>
        </row>
        <row r="3054">
          <cell r="A3054" t="str">
            <v>23-03-01-0261</v>
          </cell>
          <cell r="B3054">
            <v>0</v>
          </cell>
          <cell r="C3054" t="str">
            <v xml:space="preserve">  FAHEEM WATTO (LAHORE OFFICE RENT)</v>
          </cell>
          <cell r="D3054">
            <v>0</v>
          </cell>
          <cell r="E3054">
            <v>0</v>
          </cell>
          <cell r="F3054">
            <v>0</v>
          </cell>
          <cell r="G3054">
            <v>0</v>
          </cell>
        </row>
        <row r="3055">
          <cell r="A3055" t="str">
            <v>23-03-01-0262</v>
          </cell>
          <cell r="B3055">
            <v>0</v>
          </cell>
          <cell r="C3055" t="str">
            <v xml:space="preserve">  AL-KARAM COTTON TRADERS</v>
          </cell>
          <cell r="D3055">
            <v>0</v>
          </cell>
          <cell r="E3055">
            <v>0</v>
          </cell>
          <cell r="F3055">
            <v>0</v>
          </cell>
          <cell r="G3055">
            <v>0</v>
          </cell>
        </row>
        <row r="3056">
          <cell r="A3056" t="str">
            <v>23-03-01-0263</v>
          </cell>
          <cell r="B3056">
            <v>0</v>
          </cell>
          <cell r="C3056" t="str">
            <v xml:space="preserve">  ZARAI PUMP HOUSE PESHAWAR</v>
          </cell>
          <cell r="D3056">
            <v>0</v>
          </cell>
          <cell r="E3056">
            <v>0</v>
          </cell>
          <cell r="F3056">
            <v>0</v>
          </cell>
          <cell r="G3056">
            <v>0</v>
          </cell>
        </row>
        <row r="3057">
          <cell r="A3057" t="str">
            <v>23-03-01-0264</v>
          </cell>
          <cell r="B3057">
            <v>0</v>
          </cell>
          <cell r="C3057" t="str">
            <v xml:space="preserve">  UNIVERSAL FREIGHT SYSTEMS (PVT) LIMITE</v>
          </cell>
          <cell r="D3057">
            <v>0</v>
          </cell>
          <cell r="E3057">
            <v>0</v>
          </cell>
          <cell r="F3057">
            <v>0</v>
          </cell>
          <cell r="G3057">
            <v>0</v>
          </cell>
        </row>
        <row r="3058">
          <cell r="A3058" t="str">
            <v>23-03-01-0265</v>
          </cell>
          <cell r="B3058">
            <v>0</v>
          </cell>
          <cell r="C3058" t="str">
            <v xml:space="preserve">  INDUSTRIAL ENGINEERING SERVICES</v>
          </cell>
          <cell r="D3058">
            <v>0</v>
          </cell>
          <cell r="E3058">
            <v>0</v>
          </cell>
          <cell r="F3058">
            <v>0</v>
          </cell>
          <cell r="G3058">
            <v>0</v>
          </cell>
        </row>
        <row r="3059">
          <cell r="A3059" t="str">
            <v>23-03-01-0266</v>
          </cell>
          <cell r="B3059">
            <v>0</v>
          </cell>
          <cell r="C3059" t="str">
            <v xml:space="preserve">  SUNFORT HOTEL</v>
          </cell>
          <cell r="D3059">
            <v>0</v>
          </cell>
          <cell r="E3059">
            <v>0</v>
          </cell>
          <cell r="F3059">
            <v>0</v>
          </cell>
          <cell r="G3059">
            <v>0</v>
          </cell>
        </row>
        <row r="3060">
          <cell r="A3060" t="str">
            <v>23-03-01-0267</v>
          </cell>
          <cell r="B3060">
            <v>0</v>
          </cell>
          <cell r="C3060" t="str">
            <v xml:space="preserve">  NET ACCESS COMMUNICATION SYSTEMS (PVT)</v>
          </cell>
          <cell r="D3060">
            <v>0</v>
          </cell>
          <cell r="E3060">
            <v>0</v>
          </cell>
          <cell r="F3060">
            <v>0</v>
          </cell>
          <cell r="G3060">
            <v>0</v>
          </cell>
        </row>
        <row r="3061">
          <cell r="A3061" t="str">
            <v>23-03-01-0268</v>
          </cell>
          <cell r="B3061">
            <v>0</v>
          </cell>
          <cell r="C3061" t="str">
            <v xml:space="preserve">  CONTINNENTAL HOUSE</v>
          </cell>
          <cell r="D3061">
            <v>0</v>
          </cell>
          <cell r="E3061">
            <v>0</v>
          </cell>
          <cell r="F3061">
            <v>0</v>
          </cell>
          <cell r="G3061">
            <v>0</v>
          </cell>
        </row>
        <row r="3062">
          <cell r="A3062" t="str">
            <v>23-03-01-0269</v>
          </cell>
          <cell r="B3062">
            <v>0</v>
          </cell>
          <cell r="C3062" t="str">
            <v xml:space="preserve">  SHAN FABRICATION</v>
          </cell>
          <cell r="D3062">
            <v>0</v>
          </cell>
          <cell r="E3062">
            <v>0</v>
          </cell>
          <cell r="F3062">
            <v>0</v>
          </cell>
          <cell r="G3062">
            <v>0</v>
          </cell>
        </row>
        <row r="3063">
          <cell r="A3063" t="str">
            <v>23-03-01-0270</v>
          </cell>
          <cell r="B3063">
            <v>0</v>
          </cell>
          <cell r="C3063" t="str">
            <v xml:space="preserve">  M.H. STATIONERY</v>
          </cell>
          <cell r="D3063">
            <v>0</v>
          </cell>
          <cell r="E3063">
            <v>0</v>
          </cell>
          <cell r="F3063">
            <v>0</v>
          </cell>
          <cell r="G3063">
            <v>0</v>
          </cell>
        </row>
        <row r="3064">
          <cell r="A3064" t="str">
            <v>23-03-01-0271</v>
          </cell>
          <cell r="B3064">
            <v>0</v>
          </cell>
          <cell r="C3064" t="str">
            <v xml:space="preserve">  M.N.ENTERPRISES</v>
          </cell>
          <cell r="D3064">
            <v>0</v>
          </cell>
          <cell r="E3064">
            <v>0</v>
          </cell>
          <cell r="F3064">
            <v>0</v>
          </cell>
          <cell r="G3064">
            <v>0</v>
          </cell>
        </row>
        <row r="3065">
          <cell r="A3065" t="str">
            <v>23-03-01-0272</v>
          </cell>
          <cell r="B3065">
            <v>0</v>
          </cell>
          <cell r="C3065" t="str">
            <v xml:space="preserve">  SARHAD CHAMBER OF COMMERCE &amp; INDUSTRIE</v>
          </cell>
          <cell r="D3065">
            <v>0</v>
          </cell>
          <cell r="E3065">
            <v>0</v>
          </cell>
          <cell r="F3065">
            <v>0</v>
          </cell>
          <cell r="G3065">
            <v>0</v>
          </cell>
        </row>
        <row r="3066">
          <cell r="A3066" t="str">
            <v>23-03-01-0273</v>
          </cell>
          <cell r="B3066">
            <v>0</v>
          </cell>
          <cell r="C3066" t="str">
            <v xml:space="preserve">  QASIM ALI CHOWHAN BARRISTER</v>
          </cell>
          <cell r="D3066">
            <v>0</v>
          </cell>
          <cell r="E3066">
            <v>0</v>
          </cell>
          <cell r="F3066">
            <v>0</v>
          </cell>
          <cell r="G3066">
            <v>0</v>
          </cell>
        </row>
        <row r="3067">
          <cell r="A3067" t="str">
            <v>23-03-01-0274</v>
          </cell>
          <cell r="B3067">
            <v>0</v>
          </cell>
          <cell r="C3067" t="str">
            <v xml:space="preserve">  PESCO</v>
          </cell>
          <cell r="D3067">
            <v>0</v>
          </cell>
          <cell r="E3067">
            <v>0</v>
          </cell>
          <cell r="F3067">
            <v>0</v>
          </cell>
          <cell r="G3067">
            <v>0</v>
          </cell>
        </row>
        <row r="3068">
          <cell r="A3068" t="str">
            <v>23-03-01-0275</v>
          </cell>
          <cell r="B3068">
            <v>0</v>
          </cell>
          <cell r="C3068" t="str">
            <v xml:space="preserve">  MEGA IMPEX PAKISTAN (PVT) LIMITED</v>
          </cell>
          <cell r="D3068">
            <v>0</v>
          </cell>
          <cell r="E3068">
            <v>0</v>
          </cell>
          <cell r="F3068">
            <v>0</v>
          </cell>
          <cell r="G3068">
            <v>0</v>
          </cell>
        </row>
        <row r="3069">
          <cell r="A3069" t="str">
            <v>23-03-01-0277</v>
          </cell>
          <cell r="B3069">
            <v>0</v>
          </cell>
          <cell r="C3069" t="str">
            <v xml:space="preserve">  RAHMAT ULLAH MALIK &amp; COMPANY</v>
          </cell>
          <cell r="D3069">
            <v>0</v>
          </cell>
          <cell r="E3069">
            <v>0</v>
          </cell>
          <cell r="F3069">
            <v>0</v>
          </cell>
          <cell r="G3069">
            <v>0</v>
          </cell>
        </row>
        <row r="3070">
          <cell r="A3070" t="str">
            <v>23-03-01-0278</v>
          </cell>
          <cell r="B3070">
            <v>0</v>
          </cell>
          <cell r="C3070" t="str">
            <v xml:space="preserve">  THANDI HAWA ENTERPRISES</v>
          </cell>
          <cell r="D3070">
            <v>0</v>
          </cell>
          <cell r="E3070">
            <v>0</v>
          </cell>
          <cell r="F3070">
            <v>0</v>
          </cell>
          <cell r="G3070">
            <v>0</v>
          </cell>
        </row>
        <row r="3071">
          <cell r="A3071" t="str">
            <v>23-03-01-0279</v>
          </cell>
          <cell r="B3071">
            <v>0</v>
          </cell>
          <cell r="C3071" t="str">
            <v xml:space="preserve">  ALLIED COMMUNICATION</v>
          </cell>
          <cell r="D3071">
            <v>0</v>
          </cell>
          <cell r="E3071">
            <v>0</v>
          </cell>
          <cell r="F3071">
            <v>0</v>
          </cell>
          <cell r="G3071">
            <v>0</v>
          </cell>
        </row>
        <row r="3072">
          <cell r="A3072" t="str">
            <v>23-03-01-0280</v>
          </cell>
          <cell r="B3072">
            <v>0</v>
          </cell>
          <cell r="C3072" t="str">
            <v xml:space="preserve">  PERAC RESEARCH &amp; DEVELOPMENT FOUND.</v>
          </cell>
          <cell r="D3072">
            <v>6418.5</v>
          </cell>
          <cell r="E3072">
            <v>0</v>
          </cell>
          <cell r="F3072">
            <v>0</v>
          </cell>
          <cell r="G3072">
            <v>0</v>
          </cell>
        </row>
        <row r="3073">
          <cell r="A3073" t="str">
            <v>23-03-01-0281</v>
          </cell>
          <cell r="B3073">
            <v>0</v>
          </cell>
          <cell r="C3073" t="str">
            <v xml:space="preserve">  PAK SAEIN ENGINEERING WORKS</v>
          </cell>
          <cell r="D3073">
            <v>100000</v>
          </cell>
          <cell r="E3073">
            <v>0</v>
          </cell>
          <cell r="F3073">
            <v>0</v>
          </cell>
          <cell r="G3073">
            <v>0</v>
          </cell>
        </row>
        <row r="3074">
          <cell r="A3074" t="str">
            <v>23-03-01-0282</v>
          </cell>
          <cell r="B3074">
            <v>0</v>
          </cell>
          <cell r="C3074" t="str">
            <v xml:space="preserve">  IQRA INTERNET SERVICE</v>
          </cell>
          <cell r="D3074">
            <v>0</v>
          </cell>
          <cell r="E3074">
            <v>0</v>
          </cell>
          <cell r="F3074">
            <v>0</v>
          </cell>
          <cell r="G3074">
            <v>0</v>
          </cell>
        </row>
        <row r="3075">
          <cell r="A3075" t="str">
            <v>23-03-01-0283</v>
          </cell>
          <cell r="B3075">
            <v>0</v>
          </cell>
          <cell r="C3075" t="str">
            <v xml:space="preserve">  BRIG.(RETD) CH.HAMID HUSSAIN</v>
          </cell>
          <cell r="D3075">
            <v>0</v>
          </cell>
          <cell r="E3075">
            <v>0</v>
          </cell>
          <cell r="F3075">
            <v>0</v>
          </cell>
          <cell r="G3075">
            <v>0</v>
          </cell>
        </row>
        <row r="3076">
          <cell r="A3076" t="str">
            <v>23-03-01-0284</v>
          </cell>
          <cell r="B3076">
            <v>0</v>
          </cell>
          <cell r="C3076" t="str">
            <v xml:space="preserve">  AFZAL &amp; COMPANY</v>
          </cell>
          <cell r="D3076">
            <v>0</v>
          </cell>
          <cell r="E3076">
            <v>0</v>
          </cell>
          <cell r="F3076">
            <v>0</v>
          </cell>
          <cell r="G3076">
            <v>0</v>
          </cell>
        </row>
        <row r="3077">
          <cell r="A3077" t="str">
            <v>23-03-01-0285</v>
          </cell>
          <cell r="B3077">
            <v>0</v>
          </cell>
          <cell r="C3077" t="str">
            <v xml:space="preserve">  MADHANI SERVICES COMPANY</v>
          </cell>
          <cell r="D3077">
            <v>0</v>
          </cell>
          <cell r="E3077">
            <v>0</v>
          </cell>
          <cell r="F3077">
            <v>0</v>
          </cell>
          <cell r="G3077">
            <v>0</v>
          </cell>
        </row>
        <row r="3078">
          <cell r="A3078" t="str">
            <v>23-03-01-0286</v>
          </cell>
          <cell r="B3078">
            <v>0</v>
          </cell>
          <cell r="C3078" t="str">
            <v xml:space="preserve">  E-MOVERS (REGD)</v>
          </cell>
          <cell r="D3078">
            <v>0</v>
          </cell>
          <cell r="E3078">
            <v>0</v>
          </cell>
          <cell r="F3078">
            <v>0</v>
          </cell>
          <cell r="G3078">
            <v>0</v>
          </cell>
        </row>
        <row r="3079">
          <cell r="A3079" t="str">
            <v>23-03-01-0287</v>
          </cell>
          <cell r="B3079">
            <v>0</v>
          </cell>
          <cell r="C3079" t="str">
            <v xml:space="preserve">  SAID-UD-DIN &amp; COMPANY ADVOCATE</v>
          </cell>
          <cell r="D3079">
            <v>134725</v>
          </cell>
          <cell r="E3079">
            <v>0</v>
          </cell>
          <cell r="F3079">
            <v>0</v>
          </cell>
          <cell r="G3079">
            <v>0</v>
          </cell>
        </row>
        <row r="3080">
          <cell r="A3080" t="str">
            <v>23-03-01-0288</v>
          </cell>
          <cell r="B3080">
            <v>0</v>
          </cell>
          <cell r="C3080" t="str">
            <v xml:space="preserve">  OCS LAND EXPRESS</v>
          </cell>
          <cell r="D3080">
            <v>0</v>
          </cell>
          <cell r="E3080">
            <v>11352</v>
          </cell>
          <cell r="F3080">
            <v>0</v>
          </cell>
          <cell r="G3080">
            <v>0</v>
          </cell>
        </row>
        <row r="3081">
          <cell r="A3081" t="str">
            <v>23-03-01-0289</v>
          </cell>
          <cell r="B3081">
            <v>0</v>
          </cell>
          <cell r="C3081" t="str">
            <v xml:space="preserve">  MUHAMMAD ASHRAF CONTRACTOR</v>
          </cell>
          <cell r="D3081">
            <v>0</v>
          </cell>
          <cell r="E3081">
            <v>0</v>
          </cell>
          <cell r="F3081">
            <v>0</v>
          </cell>
          <cell r="G3081">
            <v>0</v>
          </cell>
        </row>
        <row r="3082">
          <cell r="A3082" t="str">
            <v>23-03-01-0290</v>
          </cell>
          <cell r="B3082">
            <v>0</v>
          </cell>
          <cell r="C3082" t="str">
            <v xml:space="preserve">  AL-SATTAR TEXTILE</v>
          </cell>
          <cell r="D3082">
            <v>0</v>
          </cell>
          <cell r="E3082">
            <v>134677</v>
          </cell>
          <cell r="F3082">
            <v>0</v>
          </cell>
          <cell r="G3082">
            <v>0</v>
          </cell>
        </row>
        <row r="3083">
          <cell r="A3083" t="str">
            <v>23-03-01-0291</v>
          </cell>
          <cell r="B3083">
            <v>0</v>
          </cell>
          <cell r="C3083" t="str">
            <v xml:space="preserve">  SHAHZAD &amp; FAYYAZ GOODS TRANSPORT CO.</v>
          </cell>
          <cell r="D3083">
            <v>0</v>
          </cell>
          <cell r="E3083">
            <v>0</v>
          </cell>
          <cell r="F3083">
            <v>0</v>
          </cell>
          <cell r="G3083">
            <v>0</v>
          </cell>
        </row>
        <row r="3084">
          <cell r="A3084" t="str">
            <v>23-03-01-0292</v>
          </cell>
          <cell r="B3084">
            <v>0</v>
          </cell>
          <cell r="C3084" t="str">
            <v xml:space="preserve">  STAR SERVICES</v>
          </cell>
          <cell r="D3084">
            <v>0</v>
          </cell>
          <cell r="E3084">
            <v>0</v>
          </cell>
          <cell r="F3084">
            <v>0</v>
          </cell>
          <cell r="G3084">
            <v>0</v>
          </cell>
        </row>
        <row r="3085">
          <cell r="A3085" t="str">
            <v>23-03-01-0293</v>
          </cell>
          <cell r="B3085">
            <v>0</v>
          </cell>
          <cell r="C3085" t="str">
            <v xml:space="preserve">  ABDULLAH H.MEMON</v>
          </cell>
          <cell r="D3085">
            <v>0</v>
          </cell>
          <cell r="E3085">
            <v>35929</v>
          </cell>
          <cell r="F3085">
            <v>0</v>
          </cell>
          <cell r="G3085">
            <v>0</v>
          </cell>
        </row>
        <row r="3086">
          <cell r="A3086" t="str">
            <v>23-03-01-0294</v>
          </cell>
          <cell r="B3086">
            <v>0</v>
          </cell>
          <cell r="C3086" t="str">
            <v xml:space="preserve">  NASCO TRADERS</v>
          </cell>
          <cell r="D3086">
            <v>0</v>
          </cell>
          <cell r="E3086">
            <v>0</v>
          </cell>
          <cell r="F3086">
            <v>0</v>
          </cell>
          <cell r="G3086">
            <v>0</v>
          </cell>
        </row>
        <row r="3087">
          <cell r="A3087" t="str">
            <v>23-03-02</v>
          </cell>
          <cell r="B3087">
            <v>0</v>
          </cell>
          <cell r="C3087" t="str">
            <v>***BROKERAGE COMMISSION PAYBALE.</v>
          </cell>
          <cell r="D3087">
            <v>0</v>
          </cell>
          <cell r="E3087">
            <v>4979043</v>
          </cell>
          <cell r="F3087">
            <v>0</v>
          </cell>
          <cell r="G3087">
            <v>4979043</v>
          </cell>
        </row>
        <row r="3088">
          <cell r="A3088" t="str">
            <v>23-03-02-0001</v>
          </cell>
          <cell r="B3088">
            <v>4979040</v>
          </cell>
          <cell r="C3088" t="str">
            <v xml:space="preserve">  SUMMITEX CORPORATION</v>
          </cell>
          <cell r="D3088">
            <v>0</v>
          </cell>
          <cell r="E3088">
            <v>0</v>
          </cell>
          <cell r="F3088">
            <v>0</v>
          </cell>
          <cell r="G3088">
            <v>0</v>
          </cell>
        </row>
        <row r="3089">
          <cell r="A3089" t="str">
            <v>23-03-02-0002</v>
          </cell>
          <cell r="B3089">
            <v>0</v>
          </cell>
          <cell r="C3089" t="str">
            <v xml:space="preserve">  PRIME FIBRES INTERNATIONAL</v>
          </cell>
          <cell r="D3089">
            <v>0</v>
          </cell>
          <cell r="E3089">
            <v>0</v>
          </cell>
          <cell r="F3089">
            <v>0</v>
          </cell>
          <cell r="G3089">
            <v>0</v>
          </cell>
        </row>
        <row r="3090">
          <cell r="A3090" t="str">
            <v>23-03-02-0003</v>
          </cell>
          <cell r="B3090">
            <v>0</v>
          </cell>
          <cell r="C3090" t="str">
            <v xml:space="preserve">  BHIRIYA INTERNATIONAL</v>
          </cell>
          <cell r="D3090">
            <v>0</v>
          </cell>
          <cell r="E3090">
            <v>0</v>
          </cell>
          <cell r="F3090">
            <v>0</v>
          </cell>
          <cell r="G3090">
            <v>0</v>
          </cell>
        </row>
        <row r="3091">
          <cell r="A3091" t="str">
            <v>23-03-02-0004</v>
          </cell>
          <cell r="B3091">
            <v>0</v>
          </cell>
          <cell r="C3091" t="str">
            <v xml:space="preserve">  FIBRATEX INC.</v>
          </cell>
          <cell r="D3091">
            <v>0</v>
          </cell>
          <cell r="E3091">
            <v>0</v>
          </cell>
          <cell r="F3091">
            <v>0</v>
          </cell>
          <cell r="G3091">
            <v>0</v>
          </cell>
        </row>
        <row r="3092">
          <cell r="A3092" t="str">
            <v>23-03-02-0005</v>
          </cell>
          <cell r="B3092">
            <v>0</v>
          </cell>
          <cell r="C3092" t="str">
            <v xml:space="preserve">  MUBARAK IMPEX</v>
          </cell>
          <cell r="D3092">
            <v>0</v>
          </cell>
          <cell r="E3092">
            <v>0</v>
          </cell>
          <cell r="F3092">
            <v>0</v>
          </cell>
          <cell r="G3092">
            <v>0</v>
          </cell>
        </row>
        <row r="3093">
          <cell r="A3093" t="str">
            <v>23-03-02-0006</v>
          </cell>
          <cell r="B3093">
            <v>0</v>
          </cell>
          <cell r="C3093" t="str">
            <v xml:space="preserve">  NISAR AHMED</v>
          </cell>
          <cell r="D3093">
            <v>0</v>
          </cell>
          <cell r="E3093">
            <v>0</v>
          </cell>
          <cell r="F3093">
            <v>0</v>
          </cell>
          <cell r="G3093">
            <v>0</v>
          </cell>
        </row>
        <row r="3094">
          <cell r="A3094" t="str">
            <v>23-03-02-0007</v>
          </cell>
          <cell r="B3094">
            <v>0</v>
          </cell>
          <cell r="C3094" t="str">
            <v xml:space="preserve">  M &amp; J ENTERPRISES</v>
          </cell>
          <cell r="D3094">
            <v>0</v>
          </cell>
          <cell r="E3094">
            <v>0</v>
          </cell>
          <cell r="F3094">
            <v>0</v>
          </cell>
          <cell r="G3094">
            <v>0</v>
          </cell>
        </row>
        <row r="3095">
          <cell r="A3095" t="str">
            <v>23-03-02-0008</v>
          </cell>
          <cell r="B3095">
            <v>0</v>
          </cell>
          <cell r="C3095" t="str">
            <v xml:space="preserve">  WAQAS ASLAM (BROKRAGE ON YARN)</v>
          </cell>
          <cell r="D3095">
            <v>0</v>
          </cell>
          <cell r="E3095">
            <v>0</v>
          </cell>
          <cell r="F3095">
            <v>0</v>
          </cell>
          <cell r="G3095">
            <v>0</v>
          </cell>
        </row>
        <row r="3096">
          <cell r="A3096" t="str">
            <v>23-03-02-0009</v>
          </cell>
          <cell r="B3096">
            <v>0</v>
          </cell>
          <cell r="C3096" t="str">
            <v xml:space="preserve">  SAEED MOTIWALA  (COMMISSION PAYABLE.)</v>
          </cell>
          <cell r="D3096">
            <v>0</v>
          </cell>
          <cell r="E3096">
            <v>1224643</v>
          </cell>
          <cell r="F3096">
            <v>0</v>
          </cell>
          <cell r="G3096">
            <v>0</v>
          </cell>
        </row>
        <row r="3097">
          <cell r="A3097" t="str">
            <v>23-03-02-0010</v>
          </cell>
          <cell r="B3097">
            <v>0</v>
          </cell>
          <cell r="C3097" t="str">
            <v xml:space="preserve">  TEXWORLD INTERNATIONAL</v>
          </cell>
          <cell r="D3097">
            <v>0</v>
          </cell>
          <cell r="E3097">
            <v>0</v>
          </cell>
          <cell r="F3097">
            <v>0</v>
          </cell>
          <cell r="G3097">
            <v>0</v>
          </cell>
        </row>
        <row r="3098">
          <cell r="A3098" t="str">
            <v>23-03-02-0011</v>
          </cell>
          <cell r="B3098">
            <v>0</v>
          </cell>
          <cell r="C3098" t="str">
            <v xml:space="preserve">  ZARTEX TRADING (FARHEEN KHALID )</v>
          </cell>
          <cell r="D3098">
            <v>0</v>
          </cell>
          <cell r="E3098">
            <v>0</v>
          </cell>
          <cell r="F3098">
            <v>0</v>
          </cell>
          <cell r="G3098">
            <v>0</v>
          </cell>
        </row>
        <row r="3099">
          <cell r="A3099" t="str">
            <v>23-03-02-0012</v>
          </cell>
          <cell r="B3099">
            <v>0</v>
          </cell>
          <cell r="C3099" t="str">
            <v xml:space="preserve">  KHALID SAEED</v>
          </cell>
          <cell r="D3099">
            <v>0</v>
          </cell>
          <cell r="E3099">
            <v>0</v>
          </cell>
          <cell r="F3099">
            <v>0</v>
          </cell>
          <cell r="G3099">
            <v>0</v>
          </cell>
        </row>
        <row r="3100">
          <cell r="A3100" t="str">
            <v>23-03-02-0013</v>
          </cell>
          <cell r="B3100">
            <v>0</v>
          </cell>
          <cell r="C3100" t="str">
            <v xml:space="preserve">  KAYSONS INTERNATIONAL AGENCIES</v>
          </cell>
          <cell r="D3100">
            <v>0</v>
          </cell>
          <cell r="E3100">
            <v>0</v>
          </cell>
          <cell r="F3100">
            <v>0</v>
          </cell>
          <cell r="G3100">
            <v>0</v>
          </cell>
        </row>
        <row r="3101">
          <cell r="A3101" t="str">
            <v>23-03-02-0014</v>
          </cell>
          <cell r="B3101">
            <v>0</v>
          </cell>
          <cell r="C3101" t="str">
            <v xml:space="preserve">  REYASAT RASOOL</v>
          </cell>
          <cell r="D3101">
            <v>0</v>
          </cell>
          <cell r="E3101">
            <v>0</v>
          </cell>
          <cell r="F3101">
            <v>0</v>
          </cell>
          <cell r="G3101">
            <v>0</v>
          </cell>
        </row>
        <row r="3102">
          <cell r="A3102" t="str">
            <v>23-03-02-0015</v>
          </cell>
          <cell r="B3102">
            <v>0</v>
          </cell>
          <cell r="C3102" t="str">
            <v xml:space="preserve">  ASLAM MOTIWALA (BROKRAGE)</v>
          </cell>
          <cell r="D3102">
            <v>0</v>
          </cell>
          <cell r="E3102">
            <v>0</v>
          </cell>
          <cell r="F3102">
            <v>0</v>
          </cell>
          <cell r="G3102">
            <v>0</v>
          </cell>
        </row>
        <row r="3103">
          <cell r="A3103" t="str">
            <v>23-03-02-0016</v>
          </cell>
          <cell r="B3103">
            <v>0</v>
          </cell>
          <cell r="C3103" t="str">
            <v xml:space="preserve">  VIGOUR IMPEX</v>
          </cell>
          <cell r="D3103">
            <v>0</v>
          </cell>
          <cell r="E3103">
            <v>143237</v>
          </cell>
          <cell r="F3103">
            <v>0</v>
          </cell>
          <cell r="G3103">
            <v>0</v>
          </cell>
        </row>
        <row r="3104">
          <cell r="A3104" t="str">
            <v>23-03-02-0017</v>
          </cell>
          <cell r="B3104">
            <v>0</v>
          </cell>
          <cell r="C3104" t="str">
            <v xml:space="preserve">  AISHA BIBI (PVT) LTD</v>
          </cell>
          <cell r="D3104">
            <v>0</v>
          </cell>
          <cell r="E3104">
            <v>813358</v>
          </cell>
          <cell r="F3104">
            <v>0</v>
          </cell>
          <cell r="G3104">
            <v>0</v>
          </cell>
        </row>
        <row r="3105">
          <cell r="A3105" t="str">
            <v>23-03-02-0018</v>
          </cell>
          <cell r="B3105">
            <v>0</v>
          </cell>
          <cell r="C3105" t="str">
            <v xml:space="preserve">  FAHIM SIDDIQUE ( UNI PAK )</v>
          </cell>
          <cell r="D3105">
            <v>0</v>
          </cell>
          <cell r="E3105">
            <v>0</v>
          </cell>
          <cell r="F3105">
            <v>0</v>
          </cell>
          <cell r="G3105">
            <v>0</v>
          </cell>
        </row>
        <row r="3106">
          <cell r="A3106" t="str">
            <v>23-03-02-0019</v>
          </cell>
          <cell r="B3106">
            <v>0</v>
          </cell>
          <cell r="C3106" t="str">
            <v xml:space="preserve">  INCOTEX</v>
          </cell>
          <cell r="D3106">
            <v>0</v>
          </cell>
          <cell r="E3106">
            <v>0</v>
          </cell>
          <cell r="F3106">
            <v>0</v>
          </cell>
          <cell r="G3106">
            <v>0</v>
          </cell>
        </row>
        <row r="3107">
          <cell r="A3107" t="str">
            <v>23-03-02-0020</v>
          </cell>
          <cell r="B3107">
            <v>0</v>
          </cell>
          <cell r="C3107" t="str">
            <v xml:space="preserve">  ASIF HAJI &amp; SONS</v>
          </cell>
          <cell r="D3107">
            <v>0</v>
          </cell>
          <cell r="E3107">
            <v>1821432</v>
          </cell>
          <cell r="F3107">
            <v>0</v>
          </cell>
          <cell r="G3107">
            <v>0</v>
          </cell>
        </row>
        <row r="3108">
          <cell r="A3108" t="str">
            <v>23-03-02-0021</v>
          </cell>
          <cell r="B3108">
            <v>0</v>
          </cell>
          <cell r="C3108" t="str">
            <v xml:space="preserve">  MUHAMMAD IMRAN &amp; SONS</v>
          </cell>
          <cell r="D3108">
            <v>0</v>
          </cell>
          <cell r="E3108">
            <v>976373</v>
          </cell>
          <cell r="F3108">
            <v>0</v>
          </cell>
          <cell r="G3108">
            <v>0</v>
          </cell>
        </row>
        <row r="3109">
          <cell r="A3109" t="str">
            <v>23-04</v>
          </cell>
          <cell r="B3109">
            <v>0</v>
          </cell>
          <cell r="C3109" t="str">
            <v>**AGAINST SUPPLY OF FINISHED GOODS</v>
          </cell>
          <cell r="D3109">
            <v>0</v>
          </cell>
          <cell r="E3109">
            <v>0</v>
          </cell>
          <cell r="F3109">
            <v>0</v>
          </cell>
          <cell r="G3109">
            <v>0</v>
          </cell>
        </row>
        <row r="3110">
          <cell r="A3110" t="str">
            <v>23-04-01</v>
          </cell>
          <cell r="B3110">
            <v>0</v>
          </cell>
          <cell r="C3110" t="str">
            <v>***AGAINST PURCHASE OF YARN</v>
          </cell>
          <cell r="D3110">
            <v>0</v>
          </cell>
          <cell r="E3110">
            <v>0</v>
          </cell>
          <cell r="F3110">
            <v>0</v>
          </cell>
          <cell r="G3110">
            <v>0</v>
          </cell>
        </row>
        <row r="3111">
          <cell r="A3111" t="str">
            <v>23-04-01-0001</v>
          </cell>
          <cell r="B3111">
            <v>0</v>
          </cell>
          <cell r="C3111" t="str">
            <v xml:space="preserve">  SHADMAN COTTON MILLS LIMITED</v>
          </cell>
          <cell r="D3111">
            <v>0</v>
          </cell>
          <cell r="E3111">
            <v>0</v>
          </cell>
          <cell r="F3111">
            <v>0</v>
          </cell>
          <cell r="G3111">
            <v>0</v>
          </cell>
        </row>
        <row r="3112">
          <cell r="A3112" t="str">
            <v>23-04-01-0002</v>
          </cell>
          <cell r="B3112">
            <v>0</v>
          </cell>
          <cell r="C3112" t="str">
            <v xml:space="preserve">  ZAINAB TEXTILE MILLS LIMITED</v>
          </cell>
          <cell r="D3112">
            <v>0</v>
          </cell>
          <cell r="E3112">
            <v>0</v>
          </cell>
          <cell r="F3112">
            <v>0</v>
          </cell>
          <cell r="G3112">
            <v>0</v>
          </cell>
        </row>
        <row r="3113">
          <cell r="A3113" t="str">
            <v>23-04-01-0003</v>
          </cell>
          <cell r="B3113">
            <v>0</v>
          </cell>
          <cell r="C3113" t="str">
            <v xml:space="preserve">  H.RAMZAN AZIZ</v>
          </cell>
          <cell r="D3113">
            <v>0</v>
          </cell>
          <cell r="E3113">
            <v>0</v>
          </cell>
          <cell r="F3113">
            <v>0</v>
          </cell>
          <cell r="G3113">
            <v>0</v>
          </cell>
        </row>
        <row r="3114">
          <cell r="A3114" t="str">
            <v>23-04-01-0004</v>
          </cell>
          <cell r="B3114">
            <v>0</v>
          </cell>
          <cell r="C3114" t="str">
            <v xml:space="preserve">  MOOSANI BROTHERS</v>
          </cell>
          <cell r="D3114">
            <v>0</v>
          </cell>
          <cell r="E3114">
            <v>0</v>
          </cell>
          <cell r="F3114">
            <v>0</v>
          </cell>
          <cell r="G3114">
            <v>0</v>
          </cell>
        </row>
        <row r="3115">
          <cell r="A3115" t="str">
            <v>23-04-01-0005</v>
          </cell>
          <cell r="B3115">
            <v>0</v>
          </cell>
          <cell r="C3115" t="str">
            <v xml:space="preserve">  AYESHA TEXTILE MILLS</v>
          </cell>
          <cell r="D3115">
            <v>0</v>
          </cell>
          <cell r="E3115">
            <v>0</v>
          </cell>
          <cell r="F3115">
            <v>0</v>
          </cell>
          <cell r="G3115">
            <v>0</v>
          </cell>
        </row>
        <row r="3116">
          <cell r="A3116" t="str">
            <v>23-04-01-0006</v>
          </cell>
          <cell r="B3116">
            <v>0</v>
          </cell>
          <cell r="C3116" t="str">
            <v xml:space="preserve">  IDREES TEXTLE MILLS LIMITED</v>
          </cell>
          <cell r="D3116">
            <v>0</v>
          </cell>
          <cell r="E3116">
            <v>0</v>
          </cell>
          <cell r="F3116">
            <v>0</v>
          </cell>
          <cell r="G3116">
            <v>0</v>
          </cell>
        </row>
        <row r="3117">
          <cell r="A3117" t="str">
            <v>23-04-01-0007</v>
          </cell>
          <cell r="B3117">
            <v>0</v>
          </cell>
          <cell r="C3117" t="str">
            <v xml:space="preserve">  FAROOQ HABIB TEXTILE MILLS LTD</v>
          </cell>
          <cell r="D3117">
            <v>0</v>
          </cell>
          <cell r="E3117">
            <v>0</v>
          </cell>
          <cell r="F3117">
            <v>0</v>
          </cell>
          <cell r="G3117">
            <v>0</v>
          </cell>
        </row>
        <row r="3118">
          <cell r="A3118" t="str">
            <v>23-04-01-0008</v>
          </cell>
          <cell r="B3118">
            <v>0</v>
          </cell>
          <cell r="C3118" t="str">
            <v xml:space="preserve">  TRITEX COTTON MILLS LIMITED</v>
          </cell>
          <cell r="D3118">
            <v>0</v>
          </cell>
          <cell r="E3118">
            <v>0</v>
          </cell>
          <cell r="F3118">
            <v>0</v>
          </cell>
          <cell r="G3118">
            <v>0</v>
          </cell>
        </row>
        <row r="3119">
          <cell r="A3119" t="str">
            <v>23-04-01-0009</v>
          </cell>
          <cell r="B3119">
            <v>0</v>
          </cell>
          <cell r="C3119" t="str">
            <v xml:space="preserve">  GLOBE TEXTILE MILLS LTD</v>
          </cell>
          <cell r="D3119">
            <v>0</v>
          </cell>
          <cell r="E3119">
            <v>0</v>
          </cell>
          <cell r="F3119">
            <v>0</v>
          </cell>
          <cell r="G3119">
            <v>0</v>
          </cell>
        </row>
        <row r="3120">
          <cell r="A3120" t="str">
            <v>23-05</v>
          </cell>
          <cell r="B3120">
            <v>0</v>
          </cell>
          <cell r="C3120" t="str">
            <v>**AGAINST SUPPLY OF WASTE</v>
          </cell>
          <cell r="D3120">
            <v>0</v>
          </cell>
          <cell r="E3120">
            <v>0</v>
          </cell>
          <cell r="F3120">
            <v>0</v>
          </cell>
          <cell r="G3120">
            <v>0</v>
          </cell>
        </row>
        <row r="3121">
          <cell r="A3121" t="str">
            <v>23-05-01</v>
          </cell>
          <cell r="B3121">
            <v>0</v>
          </cell>
          <cell r="C3121" t="str">
            <v>***AGAINST SUPPLY OF WASTE</v>
          </cell>
          <cell r="D3121">
            <v>0</v>
          </cell>
          <cell r="E3121">
            <v>0</v>
          </cell>
          <cell r="F3121">
            <v>0</v>
          </cell>
          <cell r="G3121">
            <v>0</v>
          </cell>
        </row>
        <row r="3122">
          <cell r="A3122" t="str">
            <v>23-05-01-0001</v>
          </cell>
          <cell r="B3122">
            <v>0</v>
          </cell>
          <cell r="C3122" t="str">
            <v xml:space="preserve">  NAFEESA TEXTILE MILLS LIMITED</v>
          </cell>
          <cell r="D3122">
            <v>0</v>
          </cell>
          <cell r="E3122">
            <v>0</v>
          </cell>
          <cell r="F3122">
            <v>0</v>
          </cell>
          <cell r="G3122">
            <v>0</v>
          </cell>
        </row>
        <row r="3123">
          <cell r="A3123" t="str">
            <v>23-05-01-0002</v>
          </cell>
          <cell r="B3123">
            <v>0</v>
          </cell>
          <cell r="C3123" t="str">
            <v xml:space="preserve">  A.J TEXTILE MILLS LIMITED</v>
          </cell>
          <cell r="D3123">
            <v>0</v>
          </cell>
          <cell r="E3123">
            <v>0</v>
          </cell>
          <cell r="F3123">
            <v>0</v>
          </cell>
          <cell r="G3123">
            <v>0</v>
          </cell>
        </row>
        <row r="3124">
          <cell r="A3124" t="str">
            <v>23-05-01-0003</v>
          </cell>
          <cell r="B3124">
            <v>0</v>
          </cell>
          <cell r="C3124" t="str">
            <v xml:space="preserve">  MASOOD SPINNING MILLS MULTAN</v>
          </cell>
          <cell r="D3124">
            <v>0</v>
          </cell>
          <cell r="E3124">
            <v>0</v>
          </cell>
          <cell r="F3124">
            <v>0</v>
          </cell>
          <cell r="G3124">
            <v>0</v>
          </cell>
        </row>
        <row r="3125">
          <cell r="A3125" t="str">
            <v>24</v>
          </cell>
          <cell r="B3125">
            <v>0</v>
          </cell>
          <cell r="C3125" t="str">
            <v>*ACCRUED EXPENSES</v>
          </cell>
          <cell r="D3125">
            <v>0</v>
          </cell>
          <cell r="E3125">
            <v>120223098.16</v>
          </cell>
          <cell r="F3125">
            <v>0</v>
          </cell>
          <cell r="G3125">
            <v>120223098.16</v>
          </cell>
        </row>
        <row r="3126">
          <cell r="A3126" t="str">
            <v>24-01</v>
          </cell>
          <cell r="B3126">
            <v>120223040</v>
          </cell>
          <cell r="C3126" t="str">
            <v>**ACCRUED EXPENSES</v>
          </cell>
          <cell r="D3126">
            <v>0</v>
          </cell>
          <cell r="E3126">
            <v>116056246.94</v>
          </cell>
          <cell r="F3126">
            <v>0</v>
          </cell>
          <cell r="G3126">
            <v>116056246.94</v>
          </cell>
        </row>
        <row r="3127">
          <cell r="A3127" t="str">
            <v>24-01-01</v>
          </cell>
          <cell r="B3127">
            <v>116056192</v>
          </cell>
          <cell r="C3127" t="str">
            <v>***ACCRUED EXPENSES</v>
          </cell>
          <cell r="D3127">
            <v>0</v>
          </cell>
          <cell r="E3127">
            <v>61751110</v>
          </cell>
          <cell r="F3127">
            <v>0</v>
          </cell>
          <cell r="G3127">
            <v>61751110</v>
          </cell>
        </row>
        <row r="3128">
          <cell r="A3128" t="str">
            <v>24-01-01-0001</v>
          </cell>
          <cell r="B3128">
            <v>61751104</v>
          </cell>
          <cell r="C3128" t="str">
            <v xml:space="preserve">  SALARIES PAYABLE</v>
          </cell>
          <cell r="D3128">
            <v>0</v>
          </cell>
          <cell r="E3128">
            <v>17410684</v>
          </cell>
          <cell r="F3128">
            <v>0</v>
          </cell>
          <cell r="G3128">
            <v>0</v>
          </cell>
        </row>
        <row r="3129">
          <cell r="A3129" t="str">
            <v>24-01-01-0002</v>
          </cell>
          <cell r="B3129">
            <v>0</v>
          </cell>
          <cell r="C3129" t="str">
            <v xml:space="preserve">  ACCRUED UTILITIES</v>
          </cell>
          <cell r="D3129">
            <v>0</v>
          </cell>
          <cell r="E3129">
            <v>15532425</v>
          </cell>
          <cell r="F3129">
            <v>0</v>
          </cell>
          <cell r="G3129">
            <v>0</v>
          </cell>
        </row>
        <row r="3130">
          <cell r="A3130" t="str">
            <v>24-01-01-0003</v>
          </cell>
          <cell r="B3130">
            <v>0</v>
          </cell>
          <cell r="C3130" t="str">
            <v xml:space="preserve">  ACCRUED EXPORT EXPENSES</v>
          </cell>
          <cell r="D3130">
            <v>0</v>
          </cell>
          <cell r="E3130">
            <v>0</v>
          </cell>
          <cell r="F3130">
            <v>0</v>
          </cell>
          <cell r="G3130">
            <v>0</v>
          </cell>
        </row>
        <row r="3131">
          <cell r="A3131" t="str">
            <v>24-01-01-0004</v>
          </cell>
          <cell r="B3131">
            <v>0</v>
          </cell>
          <cell r="C3131" t="str">
            <v xml:space="preserve">  ACCRUED EXPENSES</v>
          </cell>
          <cell r="D3131">
            <v>0</v>
          </cell>
          <cell r="E3131">
            <v>2903501</v>
          </cell>
          <cell r="F3131">
            <v>0</v>
          </cell>
          <cell r="G3131">
            <v>0</v>
          </cell>
        </row>
        <row r="3132">
          <cell r="A3132" t="str">
            <v>24-01-01-0005</v>
          </cell>
          <cell r="B3132">
            <v>0</v>
          </cell>
          <cell r="C3132" t="str">
            <v xml:space="preserve">  BONUS PAYABLE</v>
          </cell>
          <cell r="D3132">
            <v>0</v>
          </cell>
          <cell r="E3132">
            <v>25900000</v>
          </cell>
          <cell r="F3132">
            <v>0</v>
          </cell>
          <cell r="G3132">
            <v>0</v>
          </cell>
        </row>
        <row r="3133">
          <cell r="A3133" t="str">
            <v>24-01-01-0006</v>
          </cell>
          <cell r="B3133">
            <v>0</v>
          </cell>
          <cell r="C3133" t="str">
            <v xml:space="preserve">  SUNDRY PAYABLES</v>
          </cell>
          <cell r="D3133">
            <v>0</v>
          </cell>
          <cell r="E3133">
            <v>4500</v>
          </cell>
          <cell r="F3133">
            <v>0</v>
          </cell>
          <cell r="G3133">
            <v>0</v>
          </cell>
        </row>
        <row r="3134">
          <cell r="A3134" t="str">
            <v>24-01-02</v>
          </cell>
          <cell r="B3134">
            <v>0</v>
          </cell>
          <cell r="C3134" t="str">
            <v>***MARK UP PAYABLE</v>
          </cell>
          <cell r="D3134">
            <v>0</v>
          </cell>
          <cell r="E3134">
            <v>7032912.7699999996</v>
          </cell>
          <cell r="F3134">
            <v>0</v>
          </cell>
          <cell r="G3134">
            <v>7032912.7699999996</v>
          </cell>
        </row>
        <row r="3135">
          <cell r="A3135" t="str">
            <v>24-01-02-0001</v>
          </cell>
          <cell r="B3135">
            <v>7032912</v>
          </cell>
          <cell r="C3135" t="str">
            <v xml:space="preserve">  MARK UP PAYABLE HBL</v>
          </cell>
          <cell r="D3135">
            <v>0</v>
          </cell>
          <cell r="E3135">
            <v>566902.37</v>
          </cell>
          <cell r="F3135">
            <v>0</v>
          </cell>
          <cell r="G3135">
            <v>0</v>
          </cell>
        </row>
        <row r="3136">
          <cell r="A3136" t="str">
            <v>24-01-02-0002</v>
          </cell>
          <cell r="B3136">
            <v>0</v>
          </cell>
          <cell r="C3136" t="str">
            <v xml:space="preserve">  MARK UP PAYABLE MCB</v>
          </cell>
          <cell r="D3136">
            <v>0</v>
          </cell>
          <cell r="E3136">
            <v>0</v>
          </cell>
          <cell r="F3136">
            <v>0</v>
          </cell>
          <cell r="G3136">
            <v>0</v>
          </cell>
        </row>
        <row r="3137">
          <cell r="A3137" t="str">
            <v>24-01-02-0003</v>
          </cell>
          <cell r="B3137">
            <v>0</v>
          </cell>
          <cell r="C3137" t="str">
            <v xml:space="preserve">  MARK UP PAYABLE CITI BANK</v>
          </cell>
          <cell r="D3137">
            <v>0</v>
          </cell>
          <cell r="E3137">
            <v>2774281.52</v>
          </cell>
          <cell r="F3137">
            <v>0</v>
          </cell>
          <cell r="G3137">
            <v>0</v>
          </cell>
        </row>
        <row r="3138">
          <cell r="A3138" t="str">
            <v>24-01-02-0004</v>
          </cell>
          <cell r="B3138">
            <v>0</v>
          </cell>
          <cell r="C3138" t="str">
            <v xml:space="preserve">  MARK UP PAYABLE- ABN AMRO BANK</v>
          </cell>
          <cell r="D3138">
            <v>0</v>
          </cell>
          <cell r="E3138">
            <v>694451.35</v>
          </cell>
          <cell r="F3138">
            <v>0</v>
          </cell>
          <cell r="G3138">
            <v>0</v>
          </cell>
        </row>
        <row r="3139">
          <cell r="A3139" t="str">
            <v>24-01-02-0005</v>
          </cell>
          <cell r="B3139">
            <v>0</v>
          </cell>
          <cell r="C3139" t="str">
            <v xml:space="preserve">  MARK UP PAYABLE BANK AL-HABIB.</v>
          </cell>
          <cell r="D3139">
            <v>0</v>
          </cell>
          <cell r="E3139">
            <v>624306.04</v>
          </cell>
          <cell r="F3139">
            <v>0</v>
          </cell>
          <cell r="G3139">
            <v>0</v>
          </cell>
        </row>
        <row r="3140">
          <cell r="A3140" t="str">
            <v>24-01-02-0006</v>
          </cell>
          <cell r="B3140">
            <v>0</v>
          </cell>
          <cell r="C3140" t="str">
            <v xml:space="preserve">  MARK UP PAYABLE UNION BANK</v>
          </cell>
          <cell r="D3140">
            <v>0</v>
          </cell>
          <cell r="E3140">
            <v>344199.48</v>
          </cell>
          <cell r="F3140">
            <v>0</v>
          </cell>
          <cell r="G3140">
            <v>0</v>
          </cell>
        </row>
        <row r="3141">
          <cell r="A3141" t="str">
            <v>24-01-02-0007</v>
          </cell>
          <cell r="B3141">
            <v>0</v>
          </cell>
          <cell r="C3141" t="str">
            <v xml:space="preserve">  MARK UP PAYABLE A G ZURICH</v>
          </cell>
          <cell r="D3141">
            <v>0</v>
          </cell>
          <cell r="E3141">
            <v>14244.54</v>
          </cell>
          <cell r="F3141">
            <v>0</v>
          </cell>
          <cell r="G3141">
            <v>0</v>
          </cell>
        </row>
        <row r="3142">
          <cell r="A3142" t="str">
            <v>24-01-02-0008</v>
          </cell>
          <cell r="B3142">
            <v>0</v>
          </cell>
          <cell r="C3142" t="str">
            <v xml:space="preserve">  MARK UP PAYABLE METRO</v>
          </cell>
          <cell r="D3142">
            <v>0</v>
          </cell>
          <cell r="E3142">
            <v>63270.96</v>
          </cell>
          <cell r="F3142">
            <v>0</v>
          </cell>
          <cell r="G3142">
            <v>0</v>
          </cell>
        </row>
        <row r="3143">
          <cell r="A3143" t="str">
            <v>24-01-02-0009</v>
          </cell>
          <cell r="B3143">
            <v>0</v>
          </cell>
          <cell r="C3143" t="str">
            <v xml:space="preserve">  MARK UP PAYABLE SONERI BANK</v>
          </cell>
          <cell r="D3143">
            <v>0</v>
          </cell>
          <cell r="E3143">
            <v>0</v>
          </cell>
          <cell r="F3143">
            <v>0</v>
          </cell>
          <cell r="G3143">
            <v>0</v>
          </cell>
        </row>
        <row r="3144">
          <cell r="A3144" t="str">
            <v>24-01-02-0010</v>
          </cell>
          <cell r="B3144">
            <v>0</v>
          </cell>
          <cell r="C3144" t="str">
            <v xml:space="preserve">  MARK UP PAYABLE UNITED BANK</v>
          </cell>
          <cell r="D3144">
            <v>0</v>
          </cell>
          <cell r="E3144">
            <v>1655366.51</v>
          </cell>
          <cell r="F3144">
            <v>0</v>
          </cell>
          <cell r="G3144">
            <v>0</v>
          </cell>
        </row>
        <row r="3145">
          <cell r="A3145" t="str">
            <v>24-01-02-0011</v>
          </cell>
          <cell r="B3145">
            <v>0</v>
          </cell>
          <cell r="C3145" t="str">
            <v xml:space="preserve">  MARK UP PAYABLE STANDARD CHARTERED</v>
          </cell>
          <cell r="D3145">
            <v>0</v>
          </cell>
          <cell r="E3145">
            <v>295890</v>
          </cell>
          <cell r="F3145">
            <v>0</v>
          </cell>
          <cell r="G3145">
            <v>0</v>
          </cell>
        </row>
        <row r="3146">
          <cell r="A3146" t="str">
            <v>24-01-03</v>
          </cell>
          <cell r="B3146">
            <v>0</v>
          </cell>
          <cell r="C3146" t="str">
            <v>***MARK UP PAYABLE LEASE ASSET</v>
          </cell>
          <cell r="D3146">
            <v>0</v>
          </cell>
          <cell r="E3146">
            <v>0</v>
          </cell>
          <cell r="F3146">
            <v>0</v>
          </cell>
          <cell r="G3146">
            <v>0</v>
          </cell>
        </row>
        <row r="3147">
          <cell r="A3147" t="str">
            <v>24-01-03-0001</v>
          </cell>
          <cell r="B3147">
            <v>0</v>
          </cell>
          <cell r="C3147" t="str">
            <v xml:space="preserve">  MARK UP PAYABLE ON LEASED ASSET</v>
          </cell>
          <cell r="D3147">
            <v>0</v>
          </cell>
          <cell r="E3147">
            <v>0</v>
          </cell>
          <cell r="F3147">
            <v>0</v>
          </cell>
          <cell r="G3147">
            <v>0</v>
          </cell>
        </row>
        <row r="3148">
          <cell r="A3148" t="str">
            <v>24-01-04</v>
          </cell>
          <cell r="B3148">
            <v>0</v>
          </cell>
          <cell r="C3148" t="str">
            <v>***MARK UP PAYABLE ON LONG TERM LOAN</v>
          </cell>
          <cell r="D3148">
            <v>0</v>
          </cell>
          <cell r="E3148">
            <v>9572063.5800000001</v>
          </cell>
          <cell r="F3148">
            <v>0</v>
          </cell>
          <cell r="G3148">
            <v>9572063.5800000001</v>
          </cell>
        </row>
        <row r="3149">
          <cell r="A3149" t="str">
            <v>24-01-04-0001</v>
          </cell>
          <cell r="B3149">
            <v>9572056</v>
          </cell>
          <cell r="C3149" t="str">
            <v xml:space="preserve">  MARK UP PAYABLE ON LONG TERM LOAN-CITI</v>
          </cell>
          <cell r="D3149">
            <v>0</v>
          </cell>
          <cell r="E3149">
            <v>41442.11</v>
          </cell>
          <cell r="F3149">
            <v>0</v>
          </cell>
          <cell r="G3149">
            <v>0</v>
          </cell>
        </row>
        <row r="3150">
          <cell r="A3150" t="str">
            <v>24-01-04-0002</v>
          </cell>
          <cell r="B3150">
            <v>0</v>
          </cell>
          <cell r="C3150" t="str">
            <v xml:space="preserve">  MARK UP PAYABLE ON LONG TERM LOAN-U.B.</v>
          </cell>
          <cell r="D3150">
            <v>0</v>
          </cell>
          <cell r="E3150">
            <v>8424594.4700000007</v>
          </cell>
          <cell r="F3150">
            <v>0</v>
          </cell>
          <cell r="G3150">
            <v>0</v>
          </cell>
        </row>
        <row r="3151">
          <cell r="A3151" t="str">
            <v>24-01-04-0003</v>
          </cell>
          <cell r="B3151">
            <v>0</v>
          </cell>
          <cell r="C3151" t="str">
            <v xml:space="preserve">  MARK UP PAYABLE-LONG TERM LOAN-ABN AMR</v>
          </cell>
          <cell r="D3151">
            <v>0</v>
          </cell>
          <cell r="E3151">
            <v>0</v>
          </cell>
          <cell r="F3151">
            <v>0</v>
          </cell>
          <cell r="G3151">
            <v>0</v>
          </cell>
        </row>
        <row r="3152">
          <cell r="A3152" t="str">
            <v>24-01-04-0004</v>
          </cell>
          <cell r="B3152">
            <v>0</v>
          </cell>
          <cell r="C3152" t="str">
            <v xml:space="preserve">  MARK UP PAYABLE LONG TERM LOAN M.C.B.</v>
          </cell>
          <cell r="D3152">
            <v>0</v>
          </cell>
          <cell r="E3152">
            <v>1106027</v>
          </cell>
          <cell r="F3152">
            <v>0</v>
          </cell>
          <cell r="G3152">
            <v>0</v>
          </cell>
        </row>
        <row r="3153">
          <cell r="A3153" t="str">
            <v>24-01-05</v>
          </cell>
          <cell r="B3153">
            <v>0</v>
          </cell>
          <cell r="C3153" t="str">
            <v>***ACCRUED EXPORT EXPENSES</v>
          </cell>
          <cell r="D3153">
            <v>0</v>
          </cell>
          <cell r="E3153">
            <v>37700160.590000004</v>
          </cell>
          <cell r="F3153">
            <v>0</v>
          </cell>
          <cell r="G3153">
            <v>37700160.590000004</v>
          </cell>
        </row>
        <row r="3154">
          <cell r="A3154" t="str">
            <v>24-01-05-0001</v>
          </cell>
          <cell r="B3154">
            <v>37700160</v>
          </cell>
          <cell r="C3154" t="str">
            <v xml:space="preserve">  ACCRUED EXPORT EXP. (EXPORT SURCHARGE)</v>
          </cell>
          <cell r="D3154">
            <v>0</v>
          </cell>
          <cell r="E3154">
            <v>1799420.47</v>
          </cell>
          <cell r="F3154">
            <v>0</v>
          </cell>
          <cell r="G3154">
            <v>0</v>
          </cell>
        </row>
        <row r="3155">
          <cell r="A3155" t="str">
            <v>24-01-05-0002</v>
          </cell>
          <cell r="B3155">
            <v>0</v>
          </cell>
          <cell r="C3155" t="str">
            <v xml:space="preserve">  ACCRUED EXPORT EXP. (OCEAN FREIGHT)</v>
          </cell>
          <cell r="D3155">
            <v>0</v>
          </cell>
          <cell r="E3155">
            <v>6463191</v>
          </cell>
          <cell r="F3155">
            <v>0</v>
          </cell>
          <cell r="G3155">
            <v>0</v>
          </cell>
        </row>
        <row r="3156">
          <cell r="A3156" t="str">
            <v>24-01-05-0003</v>
          </cell>
          <cell r="B3156">
            <v>0</v>
          </cell>
          <cell r="C3156" t="str">
            <v xml:space="preserve">  ACCRUED EXPORT EXP. (LOCAL FREIGHT)</v>
          </cell>
          <cell r="D3156">
            <v>0</v>
          </cell>
          <cell r="E3156">
            <v>2199192</v>
          </cell>
          <cell r="F3156">
            <v>0</v>
          </cell>
          <cell r="G3156">
            <v>0</v>
          </cell>
        </row>
        <row r="3157">
          <cell r="A3157" t="str">
            <v>24-01-05-0004</v>
          </cell>
          <cell r="B3157">
            <v>0</v>
          </cell>
          <cell r="C3157" t="str">
            <v xml:space="preserve">  ACCRUED EXPORT EXP. (FORWARDING CHARGE</v>
          </cell>
          <cell r="D3157">
            <v>0</v>
          </cell>
          <cell r="E3157">
            <v>1470586</v>
          </cell>
          <cell r="F3157">
            <v>0</v>
          </cell>
          <cell r="G3157">
            <v>0</v>
          </cell>
        </row>
        <row r="3158">
          <cell r="A3158" t="str">
            <v>24-01-05-0005</v>
          </cell>
          <cell r="B3158">
            <v>0</v>
          </cell>
          <cell r="C3158" t="str">
            <v xml:space="preserve">  ACCRUED EXPORT EXP. (AGENT COMMISSION)</v>
          </cell>
          <cell r="D3158">
            <v>0</v>
          </cell>
          <cell r="E3158">
            <v>21284975.41</v>
          </cell>
          <cell r="F3158">
            <v>0</v>
          </cell>
          <cell r="G3158">
            <v>0</v>
          </cell>
        </row>
        <row r="3159">
          <cell r="A3159" t="str">
            <v>24-01-05-0006</v>
          </cell>
          <cell r="B3159">
            <v>0</v>
          </cell>
          <cell r="C3159" t="str">
            <v xml:space="preserve">  ACCRUED EXPORT EXP.(BANK SERVICE CHARG</v>
          </cell>
          <cell r="D3159">
            <v>0</v>
          </cell>
          <cell r="E3159">
            <v>350645</v>
          </cell>
          <cell r="F3159">
            <v>0</v>
          </cell>
          <cell r="G3159">
            <v>0</v>
          </cell>
        </row>
        <row r="3160">
          <cell r="A3160" t="str">
            <v>24-01-05-0007</v>
          </cell>
          <cell r="B3160">
            <v>0</v>
          </cell>
          <cell r="C3160" t="str">
            <v xml:space="preserve">  ACCRUED EXPORT EXP.(FOREIGN BANK CHARG</v>
          </cell>
          <cell r="D3160">
            <v>0</v>
          </cell>
          <cell r="E3160">
            <v>4132150.71</v>
          </cell>
          <cell r="F3160">
            <v>0</v>
          </cell>
          <cell r="G3160">
            <v>0</v>
          </cell>
        </row>
        <row r="3161">
          <cell r="A3161" t="str">
            <v>24-02</v>
          </cell>
          <cell r="B3161">
            <v>0</v>
          </cell>
          <cell r="C3161" t="str">
            <v>**DUE TO EMPLOYES</v>
          </cell>
          <cell r="D3161">
            <v>0</v>
          </cell>
          <cell r="E3161">
            <v>4166851.22</v>
          </cell>
          <cell r="F3161">
            <v>0</v>
          </cell>
          <cell r="G3161">
            <v>4166851.22</v>
          </cell>
        </row>
        <row r="3162">
          <cell r="A3162" t="str">
            <v>24-02-01</v>
          </cell>
          <cell r="B3162">
            <v>4166850</v>
          </cell>
          <cell r="C3162" t="str">
            <v>***UNPAID  FACTORY (SALARY)</v>
          </cell>
          <cell r="D3162">
            <v>0</v>
          </cell>
          <cell r="E3162">
            <v>3429839.18</v>
          </cell>
          <cell r="F3162">
            <v>0</v>
          </cell>
          <cell r="G3162">
            <v>3429839.18</v>
          </cell>
        </row>
        <row r="3163">
          <cell r="A3163" t="str">
            <v>24-02-01-0001</v>
          </cell>
          <cell r="B3163">
            <v>3429838</v>
          </cell>
          <cell r="C3163" t="str">
            <v xml:space="preserve">  UNPAID SALARIES MILL # 01</v>
          </cell>
          <cell r="D3163">
            <v>0</v>
          </cell>
          <cell r="E3163">
            <v>922577.37</v>
          </cell>
          <cell r="F3163">
            <v>0</v>
          </cell>
          <cell r="G3163">
            <v>0</v>
          </cell>
        </row>
        <row r="3164">
          <cell r="A3164" t="str">
            <v>24-02-01-0002</v>
          </cell>
          <cell r="B3164">
            <v>0</v>
          </cell>
          <cell r="C3164" t="str">
            <v xml:space="preserve">  UNPAID SALARIES MILL # 02</v>
          </cell>
          <cell r="D3164">
            <v>0</v>
          </cell>
          <cell r="E3164">
            <v>990725.69</v>
          </cell>
          <cell r="F3164">
            <v>0</v>
          </cell>
          <cell r="G3164">
            <v>0</v>
          </cell>
        </row>
        <row r="3165">
          <cell r="A3165" t="str">
            <v>24-02-01-0003</v>
          </cell>
          <cell r="B3165">
            <v>0</v>
          </cell>
          <cell r="C3165" t="str">
            <v xml:space="preserve">  UNPAID SALARIES MILL # 03</v>
          </cell>
          <cell r="D3165">
            <v>0</v>
          </cell>
          <cell r="E3165">
            <v>592591.23</v>
          </cell>
          <cell r="F3165">
            <v>0</v>
          </cell>
          <cell r="G3165">
            <v>0</v>
          </cell>
        </row>
        <row r="3166">
          <cell r="A3166" t="str">
            <v>24-02-01-0004</v>
          </cell>
          <cell r="B3166">
            <v>0</v>
          </cell>
          <cell r="C3166" t="str">
            <v xml:space="preserve">  UNPAID SALARIES MILL # 04</v>
          </cell>
          <cell r="D3166">
            <v>0</v>
          </cell>
          <cell r="E3166">
            <v>631098.22</v>
          </cell>
          <cell r="F3166">
            <v>0</v>
          </cell>
          <cell r="G3166">
            <v>0</v>
          </cell>
        </row>
        <row r="3167">
          <cell r="A3167" t="str">
            <v>24-02-01-0005</v>
          </cell>
          <cell r="B3167">
            <v>0</v>
          </cell>
          <cell r="C3167" t="str">
            <v xml:space="preserve">  UNPAID SALARIES POWER PLANT</v>
          </cell>
          <cell r="D3167">
            <v>0</v>
          </cell>
          <cell r="E3167">
            <v>791</v>
          </cell>
          <cell r="F3167">
            <v>0</v>
          </cell>
          <cell r="G3167">
            <v>0</v>
          </cell>
        </row>
        <row r="3168">
          <cell r="A3168" t="str">
            <v>24-02-01-0006</v>
          </cell>
          <cell r="B3168">
            <v>0</v>
          </cell>
          <cell r="C3168" t="str">
            <v xml:space="preserve">  UNPAID SALARIES GENERAL</v>
          </cell>
          <cell r="D3168">
            <v>0</v>
          </cell>
          <cell r="E3168">
            <v>54309.67</v>
          </cell>
          <cell r="F3168">
            <v>0</v>
          </cell>
          <cell r="G3168">
            <v>0</v>
          </cell>
        </row>
        <row r="3169">
          <cell r="A3169" t="str">
            <v>24-02-01-0007</v>
          </cell>
          <cell r="B3169">
            <v>0</v>
          </cell>
          <cell r="C3169" t="str">
            <v xml:space="preserve">  UNPAID SALARIES MILL # 06</v>
          </cell>
          <cell r="D3169">
            <v>0</v>
          </cell>
          <cell r="E3169">
            <v>86939</v>
          </cell>
          <cell r="F3169">
            <v>0</v>
          </cell>
          <cell r="G3169">
            <v>0</v>
          </cell>
        </row>
        <row r="3170">
          <cell r="A3170" t="str">
            <v>24-02-01-0008</v>
          </cell>
          <cell r="B3170">
            <v>0</v>
          </cell>
          <cell r="C3170" t="str">
            <v xml:space="preserve">  UNPAID SALARIES MILL # M</v>
          </cell>
          <cell r="D3170">
            <v>0</v>
          </cell>
          <cell r="E3170">
            <v>20800</v>
          </cell>
          <cell r="F3170">
            <v>0</v>
          </cell>
          <cell r="G3170">
            <v>0</v>
          </cell>
        </row>
        <row r="3171">
          <cell r="A3171" t="str">
            <v>24-02-01-0009</v>
          </cell>
          <cell r="B3171">
            <v>0</v>
          </cell>
          <cell r="C3171" t="str">
            <v xml:space="preserve">  UNPAID SALARIES MILL # 07</v>
          </cell>
          <cell r="D3171">
            <v>0</v>
          </cell>
          <cell r="E3171">
            <v>68397</v>
          </cell>
          <cell r="F3171">
            <v>0</v>
          </cell>
          <cell r="G3171">
            <v>0</v>
          </cell>
        </row>
        <row r="3172">
          <cell r="A3172" t="str">
            <v>24-02-01-0010</v>
          </cell>
          <cell r="B3172">
            <v>0</v>
          </cell>
          <cell r="C3172" t="str">
            <v xml:space="preserve">  UNPAID SALARIES  MILL # 05</v>
          </cell>
          <cell r="D3172">
            <v>0</v>
          </cell>
          <cell r="E3172">
            <v>61610</v>
          </cell>
          <cell r="F3172">
            <v>0</v>
          </cell>
          <cell r="G3172">
            <v>0</v>
          </cell>
        </row>
        <row r="3173">
          <cell r="A3173" t="str">
            <v>24-02-01-0011</v>
          </cell>
          <cell r="B3173">
            <v>0</v>
          </cell>
          <cell r="C3173" t="str">
            <v xml:space="preserve">  UNPAID SALARIES DOUBLING DEPTT.</v>
          </cell>
          <cell r="D3173">
            <v>0</v>
          </cell>
          <cell r="E3173">
            <v>0</v>
          </cell>
          <cell r="F3173">
            <v>0</v>
          </cell>
          <cell r="G3173">
            <v>0</v>
          </cell>
        </row>
        <row r="3174">
          <cell r="A3174" t="str">
            <v>24-02-02</v>
          </cell>
          <cell r="B3174">
            <v>0</v>
          </cell>
          <cell r="C3174" t="str">
            <v>***UNPAID OVERTIME</v>
          </cell>
          <cell r="D3174">
            <v>0</v>
          </cell>
          <cell r="E3174">
            <v>584330.04</v>
          </cell>
          <cell r="F3174">
            <v>0</v>
          </cell>
          <cell r="G3174">
            <v>584330.04</v>
          </cell>
        </row>
        <row r="3175">
          <cell r="A3175" t="str">
            <v>24-02-02-0001</v>
          </cell>
          <cell r="B3175">
            <v>584330</v>
          </cell>
          <cell r="C3175" t="str">
            <v xml:space="preserve">  UNPAID OVERTIME MILL # 01</v>
          </cell>
          <cell r="D3175">
            <v>0</v>
          </cell>
          <cell r="E3175">
            <v>198285.04</v>
          </cell>
          <cell r="F3175">
            <v>0</v>
          </cell>
          <cell r="G3175">
            <v>0</v>
          </cell>
        </row>
        <row r="3176">
          <cell r="A3176" t="str">
            <v>24-02-02-0002</v>
          </cell>
          <cell r="B3176">
            <v>0</v>
          </cell>
          <cell r="C3176" t="str">
            <v xml:space="preserve">  UNPAID OVERTIME MILL # 02</v>
          </cell>
          <cell r="D3176">
            <v>0</v>
          </cell>
          <cell r="E3176">
            <v>154347</v>
          </cell>
          <cell r="F3176">
            <v>0</v>
          </cell>
          <cell r="G3176">
            <v>0</v>
          </cell>
        </row>
        <row r="3177">
          <cell r="A3177" t="str">
            <v>24-02-02-0003</v>
          </cell>
          <cell r="B3177">
            <v>0</v>
          </cell>
          <cell r="C3177" t="str">
            <v xml:space="preserve">  UNPAID OVERTIME MILL # 03</v>
          </cell>
          <cell r="D3177">
            <v>0</v>
          </cell>
          <cell r="E3177">
            <v>44156</v>
          </cell>
          <cell r="F3177">
            <v>0</v>
          </cell>
          <cell r="G3177">
            <v>0</v>
          </cell>
        </row>
        <row r="3178">
          <cell r="A3178" t="str">
            <v>24-02-02-0004</v>
          </cell>
          <cell r="B3178">
            <v>0</v>
          </cell>
          <cell r="C3178" t="str">
            <v xml:space="preserve">  UNPAID OVERTIME MILL # 04</v>
          </cell>
          <cell r="D3178">
            <v>0</v>
          </cell>
          <cell r="E3178">
            <v>111414</v>
          </cell>
          <cell r="F3178">
            <v>0</v>
          </cell>
          <cell r="G3178">
            <v>0</v>
          </cell>
        </row>
        <row r="3179">
          <cell r="A3179" t="str">
            <v>24-02-02-0005</v>
          </cell>
          <cell r="B3179">
            <v>0</v>
          </cell>
          <cell r="C3179" t="str">
            <v xml:space="preserve">  UNPAID OVERTIME POWER PLANT</v>
          </cell>
          <cell r="D3179">
            <v>0</v>
          </cell>
          <cell r="E3179">
            <v>2374</v>
          </cell>
          <cell r="F3179">
            <v>0</v>
          </cell>
          <cell r="G3179">
            <v>0</v>
          </cell>
        </row>
        <row r="3180">
          <cell r="A3180" t="str">
            <v>24-02-02-0006</v>
          </cell>
          <cell r="B3180">
            <v>0</v>
          </cell>
          <cell r="C3180" t="str">
            <v xml:space="preserve">  UNPAID OVERTIME GENERAL</v>
          </cell>
          <cell r="D3180">
            <v>0</v>
          </cell>
          <cell r="E3180">
            <v>15098</v>
          </cell>
          <cell r="F3180">
            <v>0</v>
          </cell>
          <cell r="G3180">
            <v>0</v>
          </cell>
        </row>
        <row r="3181">
          <cell r="A3181" t="str">
            <v>24-02-02-0007</v>
          </cell>
          <cell r="B3181">
            <v>0</v>
          </cell>
          <cell r="C3181" t="str">
            <v xml:space="preserve">  UNPAID OVERTIME MILL # 06</v>
          </cell>
          <cell r="D3181">
            <v>0</v>
          </cell>
          <cell r="E3181">
            <v>23028</v>
          </cell>
          <cell r="F3181">
            <v>0</v>
          </cell>
          <cell r="G3181">
            <v>0</v>
          </cell>
        </row>
        <row r="3182">
          <cell r="A3182" t="str">
            <v>24-02-02-0008</v>
          </cell>
          <cell r="B3182">
            <v>0</v>
          </cell>
          <cell r="C3182" t="str">
            <v xml:space="preserve">  UNPAID OVERTOME MILL # M</v>
          </cell>
          <cell r="D3182">
            <v>0</v>
          </cell>
          <cell r="E3182">
            <v>15731</v>
          </cell>
          <cell r="F3182">
            <v>0</v>
          </cell>
          <cell r="G3182">
            <v>0</v>
          </cell>
        </row>
        <row r="3183">
          <cell r="A3183" t="str">
            <v>24-02-02-0009</v>
          </cell>
          <cell r="B3183">
            <v>0</v>
          </cell>
          <cell r="C3183" t="str">
            <v xml:space="preserve">  UNPAID OVERTIME MILL # 07</v>
          </cell>
          <cell r="D3183">
            <v>0</v>
          </cell>
          <cell r="E3183">
            <v>6637</v>
          </cell>
          <cell r="F3183">
            <v>0</v>
          </cell>
          <cell r="G3183">
            <v>0</v>
          </cell>
        </row>
        <row r="3184">
          <cell r="A3184" t="str">
            <v>24-02-02-0010</v>
          </cell>
          <cell r="B3184">
            <v>0</v>
          </cell>
          <cell r="C3184" t="str">
            <v xml:space="preserve">  UNPAID OVERTIME MILL # 05</v>
          </cell>
          <cell r="D3184">
            <v>0</v>
          </cell>
          <cell r="E3184">
            <v>13260</v>
          </cell>
          <cell r="F3184">
            <v>0</v>
          </cell>
          <cell r="G3184">
            <v>0</v>
          </cell>
        </row>
        <row r="3185">
          <cell r="A3185" t="str">
            <v>24-02-04</v>
          </cell>
          <cell r="B3185">
            <v>0</v>
          </cell>
          <cell r="C3185" t="str">
            <v>***DUE TO EMPLOYES</v>
          </cell>
          <cell r="D3185">
            <v>0</v>
          </cell>
          <cell r="E3185">
            <v>0</v>
          </cell>
          <cell r="F3185">
            <v>0</v>
          </cell>
          <cell r="G3185">
            <v>0</v>
          </cell>
        </row>
        <row r="3186">
          <cell r="A3186" t="str">
            <v>24-02-04-0001</v>
          </cell>
          <cell r="B3186">
            <v>0</v>
          </cell>
          <cell r="C3186" t="str">
            <v xml:space="preserve">  DUE TO EMPLOYEES</v>
          </cell>
          <cell r="D3186">
            <v>0</v>
          </cell>
          <cell r="E3186">
            <v>0</v>
          </cell>
          <cell r="F3186">
            <v>0</v>
          </cell>
          <cell r="G3186">
            <v>0</v>
          </cell>
        </row>
        <row r="3187">
          <cell r="A3187" t="str">
            <v>24-02-05</v>
          </cell>
          <cell r="B3187">
            <v>0</v>
          </cell>
          <cell r="C3187" t="str">
            <v>***UNPAID BONUS</v>
          </cell>
          <cell r="D3187">
            <v>0</v>
          </cell>
          <cell r="E3187">
            <v>152682</v>
          </cell>
          <cell r="F3187">
            <v>0</v>
          </cell>
          <cell r="G3187">
            <v>152682</v>
          </cell>
        </row>
        <row r="3188">
          <cell r="A3188" t="str">
            <v>24-02-05-0001</v>
          </cell>
          <cell r="B3188">
            <v>152682</v>
          </cell>
          <cell r="C3188" t="str">
            <v xml:space="preserve">  UNPAID BONUS MILL # 01</v>
          </cell>
          <cell r="D3188">
            <v>0</v>
          </cell>
          <cell r="E3188">
            <v>3829</v>
          </cell>
          <cell r="F3188">
            <v>0</v>
          </cell>
          <cell r="G3188">
            <v>0</v>
          </cell>
        </row>
        <row r="3189">
          <cell r="A3189" t="str">
            <v>24-02-05-0002</v>
          </cell>
          <cell r="B3189">
            <v>0</v>
          </cell>
          <cell r="C3189" t="str">
            <v xml:space="preserve">  UNPAID BONUS MILL # 02</v>
          </cell>
          <cell r="D3189">
            <v>0</v>
          </cell>
          <cell r="E3189">
            <v>62846</v>
          </cell>
          <cell r="F3189">
            <v>0</v>
          </cell>
          <cell r="G3189">
            <v>0</v>
          </cell>
        </row>
        <row r="3190">
          <cell r="A3190" t="str">
            <v>24-02-05-0003</v>
          </cell>
          <cell r="B3190">
            <v>0</v>
          </cell>
          <cell r="C3190" t="str">
            <v xml:space="preserve">  UNPAID BONUS MILL # 03</v>
          </cell>
          <cell r="D3190">
            <v>0</v>
          </cell>
          <cell r="E3190">
            <v>30762</v>
          </cell>
          <cell r="F3190">
            <v>0</v>
          </cell>
          <cell r="G3190">
            <v>0</v>
          </cell>
        </row>
        <row r="3191">
          <cell r="A3191" t="str">
            <v>24-02-05-0004</v>
          </cell>
          <cell r="B3191">
            <v>0</v>
          </cell>
          <cell r="C3191" t="str">
            <v xml:space="preserve">  UNPAID BONUS MILL # 04</v>
          </cell>
          <cell r="D3191">
            <v>0</v>
          </cell>
          <cell r="E3191">
            <v>20909</v>
          </cell>
          <cell r="F3191">
            <v>0</v>
          </cell>
          <cell r="G3191">
            <v>0</v>
          </cell>
        </row>
        <row r="3192">
          <cell r="A3192" t="str">
            <v>24-02-05-0005</v>
          </cell>
          <cell r="B3192">
            <v>0</v>
          </cell>
          <cell r="C3192" t="str">
            <v xml:space="preserve">  UNPAID BONUS MILL # G</v>
          </cell>
          <cell r="D3192">
            <v>0</v>
          </cell>
          <cell r="E3192">
            <v>27974</v>
          </cell>
          <cell r="F3192">
            <v>0</v>
          </cell>
          <cell r="G3192">
            <v>0</v>
          </cell>
        </row>
        <row r="3193">
          <cell r="A3193" t="str">
            <v>24-02-05-0006</v>
          </cell>
          <cell r="B3193">
            <v>0</v>
          </cell>
          <cell r="C3193" t="str">
            <v xml:space="preserve">  UNPAID BONUS MILL # 06</v>
          </cell>
          <cell r="D3193">
            <v>0</v>
          </cell>
          <cell r="E3193">
            <v>5062</v>
          </cell>
          <cell r="F3193">
            <v>0</v>
          </cell>
          <cell r="G3193">
            <v>0</v>
          </cell>
        </row>
        <row r="3194">
          <cell r="A3194" t="str">
            <v>24-02-05-0007</v>
          </cell>
          <cell r="B3194">
            <v>0</v>
          </cell>
          <cell r="C3194" t="str">
            <v xml:space="preserve">  UNPAID BONUS MILL # 05</v>
          </cell>
          <cell r="D3194">
            <v>0</v>
          </cell>
          <cell r="E3194">
            <v>467</v>
          </cell>
          <cell r="F3194">
            <v>0</v>
          </cell>
          <cell r="G3194">
            <v>0</v>
          </cell>
        </row>
        <row r="3195">
          <cell r="A3195" t="str">
            <v>24-02-05-0008</v>
          </cell>
          <cell r="B3195">
            <v>0</v>
          </cell>
          <cell r="C3195" t="str">
            <v xml:space="preserve">  UNPAID BONUS MILL # M</v>
          </cell>
          <cell r="D3195">
            <v>0</v>
          </cell>
          <cell r="E3195">
            <v>833</v>
          </cell>
          <cell r="F3195">
            <v>0</v>
          </cell>
          <cell r="G3195">
            <v>0</v>
          </cell>
        </row>
        <row r="3196">
          <cell r="A3196" t="str">
            <v>26</v>
          </cell>
          <cell r="B3196">
            <v>0</v>
          </cell>
          <cell r="C3196" t="str">
            <v>*OTHER LIABILITIES</v>
          </cell>
          <cell r="D3196">
            <v>0</v>
          </cell>
          <cell r="E3196">
            <v>67505156.25</v>
          </cell>
          <cell r="F3196">
            <v>1648517</v>
          </cell>
          <cell r="G3196">
            <v>69153673.25</v>
          </cell>
        </row>
        <row r="3197">
          <cell r="A3197" t="str">
            <v>26-01</v>
          </cell>
          <cell r="B3197">
            <v>69153664</v>
          </cell>
          <cell r="C3197" t="str">
            <v>**CREDITORS AGAINST CAPITAL EXPENDITURE</v>
          </cell>
          <cell r="D3197">
            <v>0</v>
          </cell>
          <cell r="E3197">
            <v>4007019.38</v>
          </cell>
          <cell r="F3197">
            <v>1648517</v>
          </cell>
          <cell r="G3197">
            <v>5655536.3799999999</v>
          </cell>
        </row>
        <row r="3198">
          <cell r="A3198" t="str">
            <v>26-01-01</v>
          </cell>
          <cell r="B3198">
            <v>5655536</v>
          </cell>
          <cell r="C3198" t="str">
            <v>***LIABILITIES AGST CAPITAL EXPENDITURE</v>
          </cell>
          <cell r="D3198">
            <v>0</v>
          </cell>
          <cell r="E3198">
            <v>709447</v>
          </cell>
          <cell r="F3198">
            <v>983517</v>
          </cell>
          <cell r="G3198">
            <v>1692964</v>
          </cell>
        </row>
        <row r="3199">
          <cell r="A3199" t="str">
            <v>26-01-01-0001</v>
          </cell>
          <cell r="B3199">
            <v>1692964</v>
          </cell>
          <cell r="C3199" t="str">
            <v xml:space="preserve">  IZHAR CONSTRUCTION (PVT) LTD PESHAWAR</v>
          </cell>
          <cell r="D3199">
            <v>0</v>
          </cell>
          <cell r="E3199">
            <v>0</v>
          </cell>
          <cell r="F3199">
            <v>0</v>
          </cell>
          <cell r="G3199">
            <v>0</v>
          </cell>
        </row>
        <row r="3200">
          <cell r="A3200" t="str">
            <v>26-01-01-0002</v>
          </cell>
          <cell r="B3200">
            <v>0</v>
          </cell>
          <cell r="C3200" t="str">
            <v xml:space="preserve">  HAYAT (PVT) CONST. SWABI</v>
          </cell>
          <cell r="D3200">
            <v>0</v>
          </cell>
          <cell r="E3200">
            <v>0</v>
          </cell>
          <cell r="F3200">
            <v>0</v>
          </cell>
          <cell r="G3200">
            <v>0</v>
          </cell>
        </row>
        <row r="3201">
          <cell r="A3201" t="str">
            <v>26-01-01-0003</v>
          </cell>
          <cell r="B3201">
            <v>0</v>
          </cell>
          <cell r="C3201" t="str">
            <v xml:space="preserve">  SARHAD PRECAST PROOF I.E. PESHAWAR</v>
          </cell>
          <cell r="D3201">
            <v>0</v>
          </cell>
          <cell r="E3201">
            <v>0</v>
          </cell>
          <cell r="F3201">
            <v>0</v>
          </cell>
          <cell r="G3201">
            <v>0</v>
          </cell>
        </row>
        <row r="3202">
          <cell r="A3202" t="str">
            <v>26-01-01-0004</v>
          </cell>
          <cell r="B3202">
            <v>0</v>
          </cell>
          <cell r="C3202" t="str">
            <v xml:space="preserve">  ITTEFAQ ROAD BUILDING CONTRACTOR</v>
          </cell>
          <cell r="D3202">
            <v>0</v>
          </cell>
          <cell r="E3202">
            <v>0</v>
          </cell>
          <cell r="F3202">
            <v>0</v>
          </cell>
          <cell r="G3202">
            <v>0</v>
          </cell>
        </row>
        <row r="3203">
          <cell r="A3203" t="str">
            <v>26-01-01-0005</v>
          </cell>
          <cell r="B3203">
            <v>0</v>
          </cell>
          <cell r="C3203" t="str">
            <v xml:space="preserve">  H.SHAMSHAD KHAN</v>
          </cell>
          <cell r="D3203">
            <v>0</v>
          </cell>
          <cell r="E3203">
            <v>0</v>
          </cell>
          <cell r="F3203">
            <v>0</v>
          </cell>
          <cell r="G3203">
            <v>0</v>
          </cell>
        </row>
        <row r="3204">
          <cell r="A3204" t="str">
            <v>26-01-01-0006</v>
          </cell>
          <cell r="B3204">
            <v>0</v>
          </cell>
          <cell r="C3204" t="str">
            <v xml:space="preserve">  H.AJMAL KHAN</v>
          </cell>
          <cell r="D3204">
            <v>0</v>
          </cell>
          <cell r="E3204">
            <v>0</v>
          </cell>
          <cell r="F3204">
            <v>0</v>
          </cell>
          <cell r="G3204">
            <v>0</v>
          </cell>
        </row>
        <row r="3205">
          <cell r="A3205" t="str">
            <v>26-01-01-0007</v>
          </cell>
          <cell r="B3205">
            <v>0</v>
          </cell>
          <cell r="C3205" t="str">
            <v xml:space="preserve">  H.YAQOOB KHAN</v>
          </cell>
          <cell r="D3205">
            <v>0</v>
          </cell>
          <cell r="E3205">
            <v>0</v>
          </cell>
          <cell r="F3205">
            <v>0</v>
          </cell>
          <cell r="G3205">
            <v>0</v>
          </cell>
        </row>
        <row r="3206">
          <cell r="A3206" t="str">
            <v>26-01-01-0008</v>
          </cell>
          <cell r="B3206">
            <v>0</v>
          </cell>
          <cell r="C3206" t="str">
            <v xml:space="preserve">  AMIR MOHAMMAD CONTRACTOR</v>
          </cell>
          <cell r="D3206">
            <v>139767</v>
          </cell>
          <cell r="E3206">
            <v>0</v>
          </cell>
          <cell r="F3206">
            <v>0</v>
          </cell>
          <cell r="G3206">
            <v>0</v>
          </cell>
        </row>
        <row r="3207">
          <cell r="A3207" t="str">
            <v>26-01-01-0009</v>
          </cell>
          <cell r="B3207">
            <v>0</v>
          </cell>
          <cell r="C3207" t="str">
            <v xml:space="preserve">  MUHMMAD RAFIQ CONTRACTOR</v>
          </cell>
          <cell r="D3207">
            <v>0</v>
          </cell>
          <cell r="E3207">
            <v>0</v>
          </cell>
          <cell r="F3207">
            <v>0</v>
          </cell>
          <cell r="G3207">
            <v>0</v>
          </cell>
        </row>
        <row r="3208">
          <cell r="A3208" t="str">
            <v>26-01-01-0010</v>
          </cell>
          <cell r="B3208">
            <v>0</v>
          </cell>
          <cell r="C3208" t="str">
            <v xml:space="preserve">  ZAHOOR AHMED &amp; BROS. CONTRACTORS</v>
          </cell>
          <cell r="D3208">
            <v>0</v>
          </cell>
          <cell r="E3208">
            <v>0</v>
          </cell>
          <cell r="F3208">
            <v>0</v>
          </cell>
          <cell r="G3208">
            <v>0</v>
          </cell>
        </row>
        <row r="3209">
          <cell r="A3209" t="str">
            <v>26-01-01-0011</v>
          </cell>
          <cell r="B3209">
            <v>0</v>
          </cell>
          <cell r="C3209" t="str">
            <v xml:space="preserve">  HAYAT &amp; CO. CONTRACTOR</v>
          </cell>
          <cell r="D3209">
            <v>0</v>
          </cell>
          <cell r="E3209">
            <v>0</v>
          </cell>
          <cell r="F3209">
            <v>0</v>
          </cell>
          <cell r="G3209">
            <v>0</v>
          </cell>
        </row>
        <row r="3210">
          <cell r="A3210" t="str">
            <v>26-01-01-0012</v>
          </cell>
          <cell r="B3210">
            <v>0</v>
          </cell>
          <cell r="C3210" t="str">
            <v xml:space="preserve">  SARHAD DEVELOPEMENT AUTHORITY</v>
          </cell>
          <cell r="D3210">
            <v>0</v>
          </cell>
          <cell r="E3210">
            <v>250000</v>
          </cell>
          <cell r="F3210">
            <v>0</v>
          </cell>
          <cell r="G3210">
            <v>0</v>
          </cell>
        </row>
        <row r="3211">
          <cell r="A3211" t="str">
            <v>26-01-01-0013</v>
          </cell>
          <cell r="B3211">
            <v>0</v>
          </cell>
          <cell r="C3211" t="str">
            <v xml:space="preserve">  IZHAR (PVT) LTD.</v>
          </cell>
          <cell r="D3211">
            <v>0</v>
          </cell>
          <cell r="E3211">
            <v>825894</v>
          </cell>
          <cell r="F3211">
            <v>0</v>
          </cell>
          <cell r="G3211">
            <v>0</v>
          </cell>
        </row>
        <row r="3212">
          <cell r="A3212" t="str">
            <v>26-01-01-0014</v>
          </cell>
          <cell r="B3212">
            <v>0</v>
          </cell>
          <cell r="C3212" t="str">
            <v xml:space="preserve">  UMER HYAT CONTRACTOR TOPI</v>
          </cell>
          <cell r="D3212">
            <v>0</v>
          </cell>
          <cell r="E3212">
            <v>0</v>
          </cell>
          <cell r="F3212">
            <v>0</v>
          </cell>
          <cell r="G3212">
            <v>0</v>
          </cell>
        </row>
        <row r="3213">
          <cell r="A3213" t="str">
            <v>26-01-01-0015</v>
          </cell>
          <cell r="B3213">
            <v>0</v>
          </cell>
          <cell r="C3213" t="str">
            <v xml:space="preserve">  KHAN MUHAMMED CONTRACTOR-TOPI.</v>
          </cell>
          <cell r="D3213">
            <v>0</v>
          </cell>
          <cell r="E3213">
            <v>0</v>
          </cell>
          <cell r="F3213">
            <v>0</v>
          </cell>
          <cell r="G3213">
            <v>0</v>
          </cell>
        </row>
        <row r="3214">
          <cell r="A3214" t="str">
            <v>26-01-01-0016</v>
          </cell>
          <cell r="B3214">
            <v>0</v>
          </cell>
          <cell r="C3214" t="str">
            <v xml:space="preserve">  MUHAMMAD USMAN KHAN TOPI</v>
          </cell>
          <cell r="D3214">
            <v>0</v>
          </cell>
          <cell r="E3214">
            <v>0</v>
          </cell>
          <cell r="F3214">
            <v>0</v>
          </cell>
          <cell r="G3214">
            <v>0</v>
          </cell>
        </row>
        <row r="3215">
          <cell r="A3215" t="str">
            <v>26-01-01-0017</v>
          </cell>
          <cell r="B3215">
            <v>0</v>
          </cell>
          <cell r="C3215" t="str">
            <v xml:space="preserve">  HINZER GUL KHAN GADOON.</v>
          </cell>
          <cell r="D3215">
            <v>0</v>
          </cell>
          <cell r="E3215">
            <v>0</v>
          </cell>
          <cell r="F3215">
            <v>0</v>
          </cell>
          <cell r="G3215">
            <v>0</v>
          </cell>
        </row>
        <row r="3216">
          <cell r="A3216" t="str">
            <v>26-01-01-0018</v>
          </cell>
          <cell r="B3216">
            <v>0</v>
          </cell>
          <cell r="C3216" t="str">
            <v xml:space="preserve">  MUHAMMED NAZIR KHAN-CONTRACTOR</v>
          </cell>
          <cell r="D3216">
            <v>0</v>
          </cell>
          <cell r="E3216">
            <v>0</v>
          </cell>
          <cell r="F3216">
            <v>0</v>
          </cell>
          <cell r="G3216">
            <v>0</v>
          </cell>
        </row>
        <row r="3217">
          <cell r="A3217" t="str">
            <v>26-01-01-0019</v>
          </cell>
          <cell r="B3217">
            <v>0</v>
          </cell>
          <cell r="C3217" t="str">
            <v xml:space="preserve">  CURRENT BUSINESS CENTRE</v>
          </cell>
          <cell r="D3217">
            <v>393750</v>
          </cell>
          <cell r="E3217">
            <v>0</v>
          </cell>
          <cell r="F3217">
            <v>0</v>
          </cell>
          <cell r="G3217">
            <v>0</v>
          </cell>
        </row>
        <row r="3218">
          <cell r="A3218" t="str">
            <v>26-01-01-0020</v>
          </cell>
          <cell r="B3218">
            <v>0</v>
          </cell>
          <cell r="C3218" t="str">
            <v xml:space="preserve">  FECTO CEMENT LIMITED</v>
          </cell>
          <cell r="D3218">
            <v>0</v>
          </cell>
          <cell r="E3218">
            <v>0</v>
          </cell>
          <cell r="F3218">
            <v>0</v>
          </cell>
          <cell r="G3218">
            <v>0</v>
          </cell>
        </row>
        <row r="3219">
          <cell r="A3219" t="str">
            <v>26-01-01-0021</v>
          </cell>
          <cell r="B3219">
            <v>0</v>
          </cell>
          <cell r="C3219" t="str">
            <v xml:space="preserve">  PROJECT MANAGER SARHAD DEVELOPMENT AUT</v>
          </cell>
          <cell r="D3219">
            <v>0</v>
          </cell>
          <cell r="E3219">
            <v>0</v>
          </cell>
          <cell r="F3219">
            <v>0</v>
          </cell>
          <cell r="G3219">
            <v>0</v>
          </cell>
        </row>
        <row r="3220">
          <cell r="A3220" t="str">
            <v>26-01-01-0022</v>
          </cell>
          <cell r="B3220">
            <v>0</v>
          </cell>
          <cell r="C3220" t="str">
            <v xml:space="preserve">  AMRELI STEELS (PVT) LTD.</v>
          </cell>
          <cell r="D3220">
            <v>0</v>
          </cell>
          <cell r="E3220">
            <v>67635</v>
          </cell>
          <cell r="F3220">
            <v>0</v>
          </cell>
          <cell r="G3220">
            <v>0</v>
          </cell>
        </row>
        <row r="3221">
          <cell r="A3221" t="str">
            <v>26-01-01-0023</v>
          </cell>
          <cell r="B3221">
            <v>0</v>
          </cell>
          <cell r="C3221" t="str">
            <v xml:space="preserve">  AJAR DIN CONTRACTOR.</v>
          </cell>
          <cell r="D3221">
            <v>0</v>
          </cell>
          <cell r="E3221">
            <v>0</v>
          </cell>
          <cell r="F3221">
            <v>0</v>
          </cell>
          <cell r="G3221">
            <v>0</v>
          </cell>
        </row>
        <row r="3222">
          <cell r="A3222" t="str">
            <v>26-01-01-0024</v>
          </cell>
          <cell r="B3222">
            <v>0</v>
          </cell>
          <cell r="C3222" t="str">
            <v xml:space="preserve">  MUHAMMED YOUSAF CARPENTER</v>
          </cell>
          <cell r="D3222">
            <v>0</v>
          </cell>
          <cell r="E3222">
            <v>0</v>
          </cell>
          <cell r="F3222">
            <v>0</v>
          </cell>
          <cell r="G3222">
            <v>0</v>
          </cell>
        </row>
        <row r="3223">
          <cell r="A3223" t="str">
            <v>26-01-01-0025</v>
          </cell>
          <cell r="B3223">
            <v>0</v>
          </cell>
          <cell r="C3223" t="str">
            <v xml:space="preserve">  MUHAMMED ZAHID CONTRACTOR</v>
          </cell>
          <cell r="D3223">
            <v>0</v>
          </cell>
          <cell r="E3223">
            <v>0</v>
          </cell>
          <cell r="F3223">
            <v>0</v>
          </cell>
          <cell r="G3223">
            <v>0</v>
          </cell>
        </row>
        <row r="3224">
          <cell r="A3224" t="str">
            <v>26-01-01-0026</v>
          </cell>
          <cell r="B3224">
            <v>0</v>
          </cell>
          <cell r="C3224" t="str">
            <v xml:space="preserve">  HAJI HIDAYAT ALI CARPENTER</v>
          </cell>
          <cell r="D3224">
            <v>0</v>
          </cell>
          <cell r="E3224">
            <v>0</v>
          </cell>
          <cell r="F3224">
            <v>0</v>
          </cell>
          <cell r="G3224">
            <v>0</v>
          </cell>
        </row>
        <row r="3225">
          <cell r="A3225" t="str">
            <v>26-01-01-0027</v>
          </cell>
          <cell r="B3225">
            <v>0</v>
          </cell>
          <cell r="C3225" t="str">
            <v xml:space="preserve">  MUHAMMAD NAWAZ CONTRACTOR BLOW ROOM :4</v>
          </cell>
          <cell r="D3225">
            <v>0</v>
          </cell>
          <cell r="E3225">
            <v>0</v>
          </cell>
          <cell r="F3225">
            <v>0</v>
          </cell>
          <cell r="G3225">
            <v>0</v>
          </cell>
        </row>
        <row r="3226">
          <cell r="A3226" t="str">
            <v>26-01-01-0028</v>
          </cell>
          <cell r="B3226">
            <v>0</v>
          </cell>
          <cell r="C3226" t="str">
            <v xml:space="preserve">  TAJ DIN DECORATOR</v>
          </cell>
          <cell r="D3226">
            <v>0</v>
          </cell>
          <cell r="E3226">
            <v>0</v>
          </cell>
          <cell r="F3226">
            <v>0</v>
          </cell>
          <cell r="G3226">
            <v>0</v>
          </cell>
        </row>
        <row r="3227">
          <cell r="A3227" t="str">
            <v>26-01-01-0029</v>
          </cell>
          <cell r="B3227">
            <v>0</v>
          </cell>
          <cell r="C3227" t="str">
            <v xml:space="preserve">  MUHAMMAD YOUNUS CARPENTER</v>
          </cell>
          <cell r="D3227">
            <v>0</v>
          </cell>
          <cell r="E3227">
            <v>0</v>
          </cell>
          <cell r="F3227">
            <v>0</v>
          </cell>
          <cell r="G3227">
            <v>0</v>
          </cell>
        </row>
        <row r="3228">
          <cell r="A3228" t="str">
            <v>26-01-01-0030</v>
          </cell>
          <cell r="B3228">
            <v>0</v>
          </cell>
          <cell r="C3228" t="str">
            <v xml:space="preserve">  MUHAMMAD GUL</v>
          </cell>
          <cell r="D3228">
            <v>0</v>
          </cell>
          <cell r="E3228">
            <v>0</v>
          </cell>
          <cell r="F3228">
            <v>0</v>
          </cell>
          <cell r="G3228">
            <v>0</v>
          </cell>
        </row>
        <row r="3229">
          <cell r="A3229" t="str">
            <v>26-01-01-0031</v>
          </cell>
          <cell r="B3229">
            <v>0</v>
          </cell>
          <cell r="C3229" t="str">
            <v xml:space="preserve">  REHAMATULLAH</v>
          </cell>
          <cell r="D3229">
            <v>0</v>
          </cell>
          <cell r="E3229">
            <v>0</v>
          </cell>
          <cell r="F3229">
            <v>0</v>
          </cell>
          <cell r="G3229">
            <v>0</v>
          </cell>
        </row>
        <row r="3230">
          <cell r="A3230" t="str">
            <v>26-01-01-0032</v>
          </cell>
          <cell r="B3230">
            <v>0</v>
          </cell>
          <cell r="C3230" t="str">
            <v xml:space="preserve">  GUL MUHAMMAD</v>
          </cell>
          <cell r="D3230">
            <v>0</v>
          </cell>
          <cell r="E3230">
            <v>0</v>
          </cell>
          <cell r="F3230">
            <v>0</v>
          </cell>
          <cell r="G3230">
            <v>0</v>
          </cell>
        </row>
        <row r="3231">
          <cell r="A3231" t="str">
            <v>26-01-01-0033</v>
          </cell>
          <cell r="B3231">
            <v>0</v>
          </cell>
          <cell r="C3231" t="str">
            <v xml:space="preserve">  MUHAMMAD HASSAN</v>
          </cell>
          <cell r="D3231">
            <v>0</v>
          </cell>
          <cell r="E3231">
            <v>0</v>
          </cell>
          <cell r="F3231">
            <v>0</v>
          </cell>
          <cell r="G3231">
            <v>0</v>
          </cell>
        </row>
        <row r="3232">
          <cell r="A3232" t="str">
            <v>26-01-01-0034</v>
          </cell>
          <cell r="B3232">
            <v>0</v>
          </cell>
          <cell r="C3232" t="str">
            <v xml:space="preserve">  SAJJAD CONSTRUCTION</v>
          </cell>
          <cell r="D3232">
            <v>0</v>
          </cell>
          <cell r="E3232">
            <v>0</v>
          </cell>
          <cell r="F3232">
            <v>0</v>
          </cell>
          <cell r="G3232">
            <v>0</v>
          </cell>
        </row>
        <row r="3233">
          <cell r="A3233" t="str">
            <v>26-01-01-0035</v>
          </cell>
          <cell r="B3233">
            <v>0</v>
          </cell>
          <cell r="C3233" t="str">
            <v xml:space="preserve">  AMIR ZAMAN</v>
          </cell>
          <cell r="D3233">
            <v>0</v>
          </cell>
          <cell r="E3233">
            <v>0</v>
          </cell>
          <cell r="F3233">
            <v>0</v>
          </cell>
          <cell r="G3233">
            <v>0</v>
          </cell>
        </row>
        <row r="3234">
          <cell r="A3234" t="str">
            <v>26-01-01-0036</v>
          </cell>
          <cell r="B3234">
            <v>0</v>
          </cell>
          <cell r="C3234" t="str">
            <v xml:space="preserve">  ABDUL HAMEED CHUCK CONTRACTOR</v>
          </cell>
          <cell r="D3234">
            <v>0</v>
          </cell>
          <cell r="E3234">
            <v>0</v>
          </cell>
          <cell r="F3234">
            <v>0</v>
          </cell>
          <cell r="G3234">
            <v>0</v>
          </cell>
        </row>
        <row r="3235">
          <cell r="A3235" t="str">
            <v>26-01-01-0037</v>
          </cell>
          <cell r="B3235">
            <v>0</v>
          </cell>
          <cell r="C3235" t="str">
            <v xml:space="preserve">  SHAUKAT ALI (DOUBLING CONTRACTOR)</v>
          </cell>
          <cell r="D3235">
            <v>0</v>
          </cell>
          <cell r="E3235">
            <v>0</v>
          </cell>
          <cell r="F3235">
            <v>0</v>
          </cell>
          <cell r="G3235">
            <v>0</v>
          </cell>
        </row>
        <row r="3236">
          <cell r="A3236" t="str">
            <v>26-01-01-0038</v>
          </cell>
          <cell r="B3236">
            <v>0</v>
          </cell>
          <cell r="C3236" t="str">
            <v xml:space="preserve">  GUL MOHAMMAD (TURBINE)</v>
          </cell>
          <cell r="D3236">
            <v>0</v>
          </cell>
          <cell r="E3236">
            <v>0</v>
          </cell>
          <cell r="F3236">
            <v>0</v>
          </cell>
          <cell r="G3236">
            <v>0</v>
          </cell>
        </row>
        <row r="3237">
          <cell r="A3237" t="str">
            <v>26-01-01-0039</v>
          </cell>
          <cell r="B3237">
            <v>0</v>
          </cell>
          <cell r="C3237" t="str">
            <v xml:space="preserve">  MUHAMMAD HANIF BAILING CONTRACTOR</v>
          </cell>
          <cell r="D3237">
            <v>0</v>
          </cell>
          <cell r="E3237">
            <v>0</v>
          </cell>
          <cell r="F3237">
            <v>0</v>
          </cell>
          <cell r="G3237">
            <v>0</v>
          </cell>
        </row>
        <row r="3238">
          <cell r="A3238" t="str">
            <v>26-01-01-0040</v>
          </cell>
          <cell r="B3238">
            <v>0</v>
          </cell>
          <cell r="C3238" t="str">
            <v xml:space="preserve">  MUHAMMAD SHAHID CARPENTER</v>
          </cell>
          <cell r="D3238">
            <v>0</v>
          </cell>
          <cell r="E3238">
            <v>0</v>
          </cell>
          <cell r="F3238">
            <v>0</v>
          </cell>
          <cell r="G3238">
            <v>0</v>
          </cell>
        </row>
        <row r="3239">
          <cell r="A3239" t="str">
            <v>26-01-01-0041</v>
          </cell>
          <cell r="B3239">
            <v>0</v>
          </cell>
          <cell r="C3239" t="str">
            <v xml:space="preserve">  CLIFTON CERAMICS CENTRE</v>
          </cell>
          <cell r="D3239">
            <v>0</v>
          </cell>
          <cell r="E3239">
            <v>0</v>
          </cell>
          <cell r="F3239">
            <v>0</v>
          </cell>
          <cell r="G3239">
            <v>0</v>
          </cell>
        </row>
        <row r="3240">
          <cell r="A3240" t="str">
            <v>26-01-01-0042</v>
          </cell>
          <cell r="B3240">
            <v>0</v>
          </cell>
          <cell r="C3240" t="str">
            <v xml:space="preserve">  ZOOM ENGINEERS</v>
          </cell>
          <cell r="D3240">
            <v>0</v>
          </cell>
          <cell r="E3240">
            <v>549435</v>
          </cell>
          <cell r="F3240">
            <v>0</v>
          </cell>
          <cell r="G3240">
            <v>0</v>
          </cell>
        </row>
        <row r="3241">
          <cell r="A3241" t="str">
            <v>26-01-01-0043</v>
          </cell>
          <cell r="B3241">
            <v>0</v>
          </cell>
          <cell r="C3241" t="str">
            <v xml:space="preserve">  MUHAMMAD BHAI.</v>
          </cell>
          <cell r="D3241">
            <v>0</v>
          </cell>
          <cell r="E3241">
            <v>0</v>
          </cell>
          <cell r="F3241">
            <v>0</v>
          </cell>
          <cell r="G3241">
            <v>0</v>
          </cell>
        </row>
        <row r="3242">
          <cell r="A3242" t="str">
            <v>26-01-01-0044</v>
          </cell>
          <cell r="B3242">
            <v>0</v>
          </cell>
          <cell r="C3242" t="str">
            <v xml:space="preserve">  PAKISTAN AIRCONDITIONING &amp; REF.CORP LT</v>
          </cell>
          <cell r="D3242">
            <v>0</v>
          </cell>
          <cell r="E3242">
            <v>0</v>
          </cell>
          <cell r="F3242">
            <v>0</v>
          </cell>
          <cell r="G3242">
            <v>0</v>
          </cell>
        </row>
        <row r="3243">
          <cell r="A3243" t="str">
            <v>26-01-01-0045</v>
          </cell>
          <cell r="B3243">
            <v>0</v>
          </cell>
          <cell r="C3243" t="str">
            <v xml:space="preserve">  ABID HUSSAIN NEW ITEHAD COMPANY</v>
          </cell>
          <cell r="D3243">
            <v>0</v>
          </cell>
          <cell r="E3243">
            <v>0</v>
          </cell>
          <cell r="F3243">
            <v>0</v>
          </cell>
          <cell r="G3243">
            <v>0</v>
          </cell>
        </row>
        <row r="3244">
          <cell r="A3244" t="str">
            <v>26-01-01-0046</v>
          </cell>
          <cell r="B3244">
            <v>0</v>
          </cell>
          <cell r="C3244" t="str">
            <v xml:space="preserve">  INTERIOR CONCEPT</v>
          </cell>
          <cell r="D3244">
            <v>0</v>
          </cell>
          <cell r="E3244">
            <v>0</v>
          </cell>
          <cell r="F3244">
            <v>0</v>
          </cell>
          <cell r="G3244">
            <v>0</v>
          </cell>
        </row>
        <row r="3245">
          <cell r="A3245" t="str">
            <v>26-01-01-0047</v>
          </cell>
          <cell r="B3245">
            <v>0</v>
          </cell>
          <cell r="C3245" t="str">
            <v xml:space="preserve">  RANA CONSTRUCTION COMPANY</v>
          </cell>
          <cell r="D3245">
            <v>0</v>
          </cell>
          <cell r="E3245">
            <v>0</v>
          </cell>
          <cell r="F3245">
            <v>0</v>
          </cell>
          <cell r="G3245">
            <v>0</v>
          </cell>
        </row>
        <row r="3246">
          <cell r="A3246" t="str">
            <v>26-01-01-0048</v>
          </cell>
          <cell r="B3246">
            <v>0</v>
          </cell>
          <cell r="C3246" t="str">
            <v xml:space="preserve">  AHMAD GUL DRILLING CONTRACTOR</v>
          </cell>
          <cell r="D3246">
            <v>0</v>
          </cell>
          <cell r="E3246">
            <v>0</v>
          </cell>
          <cell r="F3246">
            <v>0</v>
          </cell>
          <cell r="G3246">
            <v>0</v>
          </cell>
        </row>
        <row r="3247">
          <cell r="A3247" t="str">
            <v>26-01-01-0049</v>
          </cell>
          <cell r="B3247">
            <v>0</v>
          </cell>
          <cell r="C3247" t="str">
            <v xml:space="preserve">  M.B ROOF SEALING COMPANY</v>
          </cell>
          <cell r="D3247">
            <v>0</v>
          </cell>
          <cell r="E3247">
            <v>0</v>
          </cell>
          <cell r="F3247">
            <v>0</v>
          </cell>
          <cell r="G3247">
            <v>0</v>
          </cell>
        </row>
        <row r="3248">
          <cell r="A3248" t="str">
            <v>26-01-01-0050</v>
          </cell>
          <cell r="B3248">
            <v>0</v>
          </cell>
          <cell r="C3248" t="str">
            <v xml:space="preserve">  PARAMOUNT SEALER</v>
          </cell>
          <cell r="D3248">
            <v>450000</v>
          </cell>
          <cell r="E3248">
            <v>0</v>
          </cell>
          <cell r="F3248">
            <v>0</v>
          </cell>
          <cell r="G3248">
            <v>0</v>
          </cell>
        </row>
        <row r="3249">
          <cell r="A3249" t="str">
            <v>26-01-01-0051</v>
          </cell>
          <cell r="B3249">
            <v>0</v>
          </cell>
          <cell r="C3249" t="str">
            <v xml:space="preserve">  ADVANCE FOR PURCHASE OF LAND</v>
          </cell>
          <cell r="D3249">
            <v>0</v>
          </cell>
          <cell r="E3249">
            <v>0</v>
          </cell>
          <cell r="F3249">
            <v>0</v>
          </cell>
          <cell r="G3249">
            <v>0</v>
          </cell>
        </row>
        <row r="3250">
          <cell r="A3250" t="str">
            <v>26-01-01-0052</v>
          </cell>
          <cell r="B3250">
            <v>0</v>
          </cell>
          <cell r="C3250" t="str">
            <v xml:space="preserve">  PREFAB SYSTEMS (PVT) LIMITED</v>
          </cell>
          <cell r="D3250">
            <v>0</v>
          </cell>
          <cell r="E3250">
            <v>0</v>
          </cell>
          <cell r="F3250">
            <v>0</v>
          </cell>
          <cell r="G3250">
            <v>0</v>
          </cell>
        </row>
        <row r="3251">
          <cell r="A3251" t="str">
            <v>26-01-01-0053</v>
          </cell>
          <cell r="B3251">
            <v>0</v>
          </cell>
          <cell r="C3251" t="str">
            <v xml:space="preserve">  SULTAN (PVT) LIMITED</v>
          </cell>
          <cell r="D3251">
            <v>0</v>
          </cell>
          <cell r="E3251">
            <v>0</v>
          </cell>
          <cell r="F3251">
            <v>0</v>
          </cell>
          <cell r="G3251">
            <v>0</v>
          </cell>
        </row>
        <row r="3252">
          <cell r="A3252" t="str">
            <v>26-01-01-0054</v>
          </cell>
          <cell r="B3252">
            <v>0</v>
          </cell>
          <cell r="C3252" t="str">
            <v xml:space="preserve">  IZHAR BUILDING MATERIAL (PVT) LIMITED</v>
          </cell>
          <cell r="D3252">
            <v>0</v>
          </cell>
          <cell r="E3252">
            <v>0</v>
          </cell>
          <cell r="F3252">
            <v>0</v>
          </cell>
          <cell r="G3252">
            <v>0</v>
          </cell>
        </row>
        <row r="3253">
          <cell r="A3253" t="str">
            <v>26-01-01-0055</v>
          </cell>
          <cell r="B3253">
            <v>0</v>
          </cell>
          <cell r="C3253" t="str">
            <v xml:space="preserve">  IZHAR LIMITED ENGINEERS &amp; CONTRACTORS</v>
          </cell>
          <cell r="D3253">
            <v>0</v>
          </cell>
          <cell r="E3253">
            <v>0</v>
          </cell>
          <cell r="F3253">
            <v>0</v>
          </cell>
          <cell r="G3253">
            <v>0</v>
          </cell>
        </row>
        <row r="3254">
          <cell r="A3254" t="str">
            <v>26-01-02</v>
          </cell>
          <cell r="B3254">
            <v>0</v>
          </cell>
          <cell r="C3254" t="str">
            <v>***LIABILITIES AGST CAPITAL EXPENDITURE</v>
          </cell>
          <cell r="D3254">
            <v>0</v>
          </cell>
          <cell r="E3254">
            <v>3242787.38</v>
          </cell>
          <cell r="F3254">
            <v>665000</v>
          </cell>
          <cell r="G3254">
            <v>3907787.38</v>
          </cell>
        </row>
        <row r="3255">
          <cell r="A3255" t="str">
            <v>26-01-02-0001</v>
          </cell>
          <cell r="B3255">
            <v>3907786</v>
          </cell>
          <cell r="C3255" t="str">
            <v xml:space="preserve">  CONTINENTAL AIR CONTROL (PVT) LTD</v>
          </cell>
          <cell r="D3255">
            <v>0</v>
          </cell>
          <cell r="E3255">
            <v>2806923</v>
          </cell>
          <cell r="F3255">
            <v>0</v>
          </cell>
          <cell r="G3255">
            <v>0</v>
          </cell>
        </row>
        <row r="3256">
          <cell r="A3256" t="str">
            <v>26-01-02-0002</v>
          </cell>
          <cell r="B3256">
            <v>0</v>
          </cell>
          <cell r="C3256" t="str">
            <v xml:space="preserve">  ACMATEX CORP (PVT) LTD</v>
          </cell>
          <cell r="D3256">
            <v>0</v>
          </cell>
          <cell r="E3256">
            <v>26089.94</v>
          </cell>
          <cell r="F3256">
            <v>0</v>
          </cell>
          <cell r="G3256">
            <v>0</v>
          </cell>
        </row>
        <row r="3257">
          <cell r="A3257" t="str">
            <v>26-01-02-0003</v>
          </cell>
          <cell r="B3257">
            <v>0</v>
          </cell>
          <cell r="C3257" t="str">
            <v xml:space="preserve">  NICHMAN CORPORATION</v>
          </cell>
          <cell r="D3257">
            <v>0</v>
          </cell>
          <cell r="E3257">
            <v>0</v>
          </cell>
          <cell r="F3257">
            <v>0</v>
          </cell>
          <cell r="G3257">
            <v>0</v>
          </cell>
        </row>
        <row r="3258">
          <cell r="A3258" t="str">
            <v>26-01-02-0004</v>
          </cell>
          <cell r="B3258">
            <v>0</v>
          </cell>
          <cell r="C3258" t="str">
            <v xml:space="preserve">  RAZAK ENGG: CO (PVT) LTD</v>
          </cell>
          <cell r="D3258">
            <v>0</v>
          </cell>
          <cell r="E3258">
            <v>0</v>
          </cell>
          <cell r="F3258">
            <v>0</v>
          </cell>
          <cell r="G3258">
            <v>0</v>
          </cell>
        </row>
        <row r="3259">
          <cell r="A3259" t="str">
            <v>26-01-02-0005</v>
          </cell>
          <cell r="B3259">
            <v>0</v>
          </cell>
          <cell r="C3259" t="str">
            <v xml:space="preserve">  CAPITAL AIR SYSTEM</v>
          </cell>
          <cell r="D3259">
            <v>0</v>
          </cell>
          <cell r="E3259">
            <v>0</v>
          </cell>
          <cell r="F3259">
            <v>0</v>
          </cell>
          <cell r="G3259">
            <v>0</v>
          </cell>
        </row>
        <row r="3260">
          <cell r="A3260" t="str">
            <v>26-01-02-0006</v>
          </cell>
          <cell r="B3260">
            <v>0</v>
          </cell>
          <cell r="C3260" t="str">
            <v xml:space="preserve">  PAKISTAN CABLES LIMITED.</v>
          </cell>
          <cell r="D3260">
            <v>0</v>
          </cell>
          <cell r="E3260">
            <v>458074.44</v>
          </cell>
          <cell r="F3260">
            <v>0</v>
          </cell>
          <cell r="G3260">
            <v>0</v>
          </cell>
        </row>
        <row r="3261">
          <cell r="A3261" t="str">
            <v>26-01-02-0007</v>
          </cell>
          <cell r="B3261">
            <v>0</v>
          </cell>
          <cell r="C3261" t="str">
            <v xml:space="preserve">  PIONEER CABLES LTD</v>
          </cell>
          <cell r="D3261">
            <v>0</v>
          </cell>
          <cell r="E3261">
            <v>604000</v>
          </cell>
          <cell r="F3261">
            <v>0</v>
          </cell>
          <cell r="G3261">
            <v>0</v>
          </cell>
        </row>
        <row r="3262">
          <cell r="A3262" t="str">
            <v>26-01-02-0008</v>
          </cell>
          <cell r="B3262">
            <v>0</v>
          </cell>
          <cell r="C3262" t="str">
            <v xml:space="preserve">  FAIZI INDS. (PVT) LTD.</v>
          </cell>
          <cell r="D3262">
            <v>0</v>
          </cell>
          <cell r="E3262">
            <v>0</v>
          </cell>
          <cell r="F3262">
            <v>0</v>
          </cell>
          <cell r="G3262">
            <v>0</v>
          </cell>
        </row>
        <row r="3263">
          <cell r="A3263" t="str">
            <v>26-01-02-0009</v>
          </cell>
          <cell r="B3263">
            <v>0</v>
          </cell>
          <cell r="C3263" t="str">
            <v xml:space="preserve">  H.M.ESMAIL &amp; CO.</v>
          </cell>
          <cell r="D3263">
            <v>0</v>
          </cell>
          <cell r="E3263">
            <v>0</v>
          </cell>
          <cell r="F3263">
            <v>0</v>
          </cell>
          <cell r="G3263">
            <v>0</v>
          </cell>
        </row>
        <row r="3264">
          <cell r="A3264" t="str">
            <v>26-01-02-0010</v>
          </cell>
          <cell r="B3264">
            <v>0</v>
          </cell>
          <cell r="C3264" t="str">
            <v xml:space="preserve">  ANNOOR TEXTILE MILLS LIMITED.</v>
          </cell>
          <cell r="D3264">
            <v>0</v>
          </cell>
          <cell r="E3264">
            <v>0</v>
          </cell>
          <cell r="F3264">
            <v>0</v>
          </cell>
          <cell r="G3264">
            <v>0</v>
          </cell>
        </row>
        <row r="3265">
          <cell r="A3265" t="str">
            <v>26-01-02-0011</v>
          </cell>
          <cell r="B3265">
            <v>0</v>
          </cell>
          <cell r="C3265" t="str">
            <v xml:space="preserve">  INDUS MOTOR COMPANY LIMITED.</v>
          </cell>
          <cell r="D3265">
            <v>0</v>
          </cell>
          <cell r="E3265">
            <v>0</v>
          </cell>
          <cell r="F3265">
            <v>0</v>
          </cell>
          <cell r="G3265">
            <v>0</v>
          </cell>
        </row>
        <row r="3266">
          <cell r="A3266" t="str">
            <v>26-01-02-0012</v>
          </cell>
          <cell r="B3266">
            <v>0</v>
          </cell>
          <cell r="C3266" t="str">
            <v xml:space="preserve">  NEW DEEN MOTORS</v>
          </cell>
          <cell r="D3266">
            <v>0</v>
          </cell>
          <cell r="E3266">
            <v>0</v>
          </cell>
          <cell r="F3266">
            <v>0</v>
          </cell>
          <cell r="G3266">
            <v>0</v>
          </cell>
        </row>
        <row r="3267">
          <cell r="A3267" t="str">
            <v>26-01-02-0013</v>
          </cell>
          <cell r="B3267">
            <v>0</v>
          </cell>
          <cell r="C3267" t="str">
            <v xml:space="preserve">  BOBBY MOTORS</v>
          </cell>
          <cell r="D3267">
            <v>0</v>
          </cell>
          <cell r="E3267">
            <v>0</v>
          </cell>
          <cell r="F3267">
            <v>0</v>
          </cell>
          <cell r="G3267">
            <v>0</v>
          </cell>
        </row>
        <row r="3268">
          <cell r="A3268" t="str">
            <v>26-01-02-0014</v>
          </cell>
          <cell r="B3268">
            <v>0</v>
          </cell>
          <cell r="C3268" t="str">
            <v xml:space="preserve">  JAMEEL MOTORS</v>
          </cell>
          <cell r="D3268">
            <v>0</v>
          </cell>
          <cell r="E3268">
            <v>0</v>
          </cell>
          <cell r="F3268">
            <v>0</v>
          </cell>
          <cell r="G3268">
            <v>0</v>
          </cell>
        </row>
        <row r="3269">
          <cell r="A3269" t="str">
            <v>26-01-02-0015</v>
          </cell>
          <cell r="B3269">
            <v>0</v>
          </cell>
          <cell r="C3269" t="str">
            <v xml:space="preserve">  3-A,SATTAR ASSOCIATES</v>
          </cell>
          <cell r="D3269">
            <v>0</v>
          </cell>
          <cell r="E3269">
            <v>0</v>
          </cell>
          <cell r="F3269">
            <v>0</v>
          </cell>
          <cell r="G3269">
            <v>0</v>
          </cell>
        </row>
        <row r="3270">
          <cell r="A3270" t="str">
            <v>26-01-02-0016</v>
          </cell>
          <cell r="B3270">
            <v>0</v>
          </cell>
          <cell r="C3270" t="str">
            <v xml:space="preserve">  SHAHEEN COTTON MILLS LTD.</v>
          </cell>
          <cell r="D3270">
            <v>0</v>
          </cell>
          <cell r="E3270">
            <v>0</v>
          </cell>
          <cell r="F3270">
            <v>0</v>
          </cell>
          <cell r="G3270">
            <v>0</v>
          </cell>
        </row>
        <row r="3271">
          <cell r="A3271" t="str">
            <v>26-01-02-0017</v>
          </cell>
          <cell r="B3271">
            <v>0</v>
          </cell>
          <cell r="C3271" t="str">
            <v xml:space="preserve">  MUHAMMED FAISAL</v>
          </cell>
          <cell r="D3271">
            <v>0</v>
          </cell>
          <cell r="E3271">
            <v>0</v>
          </cell>
          <cell r="F3271">
            <v>0</v>
          </cell>
          <cell r="G3271">
            <v>0</v>
          </cell>
        </row>
        <row r="3272">
          <cell r="A3272" t="str">
            <v>26-01-02-0018</v>
          </cell>
          <cell r="B3272">
            <v>0</v>
          </cell>
          <cell r="C3272" t="str">
            <v xml:space="preserve">  MUHAMMED KHALID</v>
          </cell>
          <cell r="D3272">
            <v>0</v>
          </cell>
          <cell r="E3272">
            <v>0</v>
          </cell>
          <cell r="F3272">
            <v>0</v>
          </cell>
          <cell r="G3272">
            <v>0</v>
          </cell>
        </row>
        <row r="3273">
          <cell r="A3273" t="str">
            <v>26-01-02-0019</v>
          </cell>
          <cell r="B3273">
            <v>0</v>
          </cell>
          <cell r="C3273" t="str">
            <v xml:space="preserve">  HIRA SPINNING MILLS LIMITED.</v>
          </cell>
          <cell r="D3273">
            <v>0</v>
          </cell>
          <cell r="E3273">
            <v>0</v>
          </cell>
          <cell r="F3273">
            <v>0</v>
          </cell>
          <cell r="G3273">
            <v>0</v>
          </cell>
        </row>
        <row r="3274">
          <cell r="A3274" t="str">
            <v>26-01-02-0020</v>
          </cell>
          <cell r="B3274">
            <v>0</v>
          </cell>
          <cell r="C3274" t="str">
            <v xml:space="preserve">  ABDUL RAHIM</v>
          </cell>
          <cell r="D3274">
            <v>0</v>
          </cell>
          <cell r="E3274">
            <v>0</v>
          </cell>
          <cell r="F3274">
            <v>0</v>
          </cell>
          <cell r="G3274">
            <v>0</v>
          </cell>
        </row>
        <row r="3275">
          <cell r="A3275" t="str">
            <v>26-01-02-0021</v>
          </cell>
          <cell r="B3275">
            <v>0</v>
          </cell>
          <cell r="C3275" t="str">
            <v xml:space="preserve">  SIGMA CORPORATION</v>
          </cell>
          <cell r="D3275">
            <v>0</v>
          </cell>
          <cell r="E3275">
            <v>0</v>
          </cell>
          <cell r="F3275">
            <v>0</v>
          </cell>
          <cell r="G3275">
            <v>0</v>
          </cell>
        </row>
        <row r="3276">
          <cell r="A3276" t="str">
            <v>26-01-02-0022</v>
          </cell>
          <cell r="B3276">
            <v>0</v>
          </cell>
          <cell r="C3276" t="str">
            <v xml:space="preserve">  N &amp; F INDUSTRIAL CONCERNED LAHORE.</v>
          </cell>
          <cell r="D3276">
            <v>0</v>
          </cell>
          <cell r="E3276">
            <v>0</v>
          </cell>
          <cell r="F3276">
            <v>0</v>
          </cell>
          <cell r="G3276">
            <v>0</v>
          </cell>
        </row>
        <row r="3277">
          <cell r="A3277" t="str">
            <v>26-01-02-0023</v>
          </cell>
          <cell r="B3277">
            <v>0</v>
          </cell>
          <cell r="C3277" t="str">
            <v xml:space="preserve">  M.YUSUF</v>
          </cell>
          <cell r="D3277">
            <v>0</v>
          </cell>
          <cell r="E3277">
            <v>0</v>
          </cell>
          <cell r="F3277">
            <v>0</v>
          </cell>
          <cell r="G3277">
            <v>0</v>
          </cell>
        </row>
        <row r="3278">
          <cell r="A3278" t="str">
            <v>26-01-02-0024</v>
          </cell>
          <cell r="B3278">
            <v>0</v>
          </cell>
          <cell r="C3278" t="str">
            <v xml:space="preserve">  ELITE TEXTILE MILLS LIMITED.</v>
          </cell>
          <cell r="D3278">
            <v>0</v>
          </cell>
          <cell r="E3278">
            <v>0</v>
          </cell>
          <cell r="F3278">
            <v>0</v>
          </cell>
          <cell r="G3278">
            <v>0</v>
          </cell>
        </row>
        <row r="3279">
          <cell r="A3279" t="str">
            <v>26-01-02-0025</v>
          </cell>
          <cell r="B3279">
            <v>0</v>
          </cell>
          <cell r="C3279" t="str">
            <v xml:space="preserve">  PAKISTAN DECOR -RAWALPINDI</v>
          </cell>
          <cell r="D3279">
            <v>0</v>
          </cell>
          <cell r="E3279">
            <v>0</v>
          </cell>
          <cell r="F3279">
            <v>0</v>
          </cell>
          <cell r="G3279">
            <v>0</v>
          </cell>
        </row>
        <row r="3280">
          <cell r="A3280" t="str">
            <v>26-01-02-0026</v>
          </cell>
          <cell r="B3280">
            <v>0</v>
          </cell>
          <cell r="C3280" t="str">
            <v xml:space="preserve">  MODERN MOTORS (PVT) LTD.</v>
          </cell>
          <cell r="D3280">
            <v>0</v>
          </cell>
          <cell r="E3280">
            <v>0</v>
          </cell>
          <cell r="F3280">
            <v>0</v>
          </cell>
          <cell r="G3280">
            <v>0</v>
          </cell>
        </row>
        <row r="3281">
          <cell r="A3281" t="str">
            <v>26-01-02-0027</v>
          </cell>
          <cell r="B3281">
            <v>0</v>
          </cell>
          <cell r="C3281" t="str">
            <v xml:space="preserve">  COMPUTER LINKERS</v>
          </cell>
          <cell r="D3281">
            <v>0</v>
          </cell>
          <cell r="E3281">
            <v>0</v>
          </cell>
          <cell r="F3281">
            <v>0</v>
          </cell>
          <cell r="G3281">
            <v>0</v>
          </cell>
        </row>
        <row r="3282">
          <cell r="A3282" t="str">
            <v>26-01-02-0028</v>
          </cell>
          <cell r="B3282">
            <v>0</v>
          </cell>
          <cell r="C3282" t="str">
            <v xml:space="preserve">  DRILLERS ASSOCIATES</v>
          </cell>
          <cell r="D3282">
            <v>0</v>
          </cell>
          <cell r="E3282">
            <v>0</v>
          </cell>
          <cell r="F3282">
            <v>0</v>
          </cell>
          <cell r="G3282">
            <v>0</v>
          </cell>
        </row>
        <row r="3283">
          <cell r="A3283" t="str">
            <v>26-01-02-0029</v>
          </cell>
          <cell r="B3283">
            <v>0</v>
          </cell>
          <cell r="C3283" t="str">
            <v xml:space="preserve">  GEMS COMPUTER MARKETING</v>
          </cell>
          <cell r="D3283">
            <v>0</v>
          </cell>
          <cell r="E3283">
            <v>0</v>
          </cell>
          <cell r="F3283">
            <v>0</v>
          </cell>
          <cell r="G3283">
            <v>0</v>
          </cell>
        </row>
        <row r="3284">
          <cell r="A3284" t="str">
            <v>26-01-02-0030</v>
          </cell>
          <cell r="B3284">
            <v>0</v>
          </cell>
          <cell r="C3284" t="str">
            <v xml:space="preserve">  BYTE ELECTRONICS</v>
          </cell>
          <cell r="D3284">
            <v>0</v>
          </cell>
          <cell r="E3284">
            <v>0</v>
          </cell>
          <cell r="F3284">
            <v>0</v>
          </cell>
          <cell r="G3284">
            <v>0</v>
          </cell>
        </row>
        <row r="3285">
          <cell r="A3285" t="str">
            <v>26-01-02-0031</v>
          </cell>
          <cell r="B3285">
            <v>0</v>
          </cell>
          <cell r="C3285" t="str">
            <v xml:space="preserve">  TEKNO TRADE</v>
          </cell>
          <cell r="D3285">
            <v>0</v>
          </cell>
          <cell r="E3285">
            <v>0</v>
          </cell>
          <cell r="F3285">
            <v>0</v>
          </cell>
          <cell r="G3285">
            <v>0</v>
          </cell>
        </row>
        <row r="3286">
          <cell r="A3286" t="str">
            <v>26-01-02-0032</v>
          </cell>
          <cell r="B3286">
            <v>0</v>
          </cell>
          <cell r="C3286" t="str">
            <v xml:space="preserve">  INTEGRATED DEVICES-RAWALPINDI.</v>
          </cell>
          <cell r="D3286">
            <v>0</v>
          </cell>
          <cell r="E3286">
            <v>0</v>
          </cell>
          <cell r="F3286">
            <v>0</v>
          </cell>
          <cell r="G3286">
            <v>0</v>
          </cell>
        </row>
        <row r="3287">
          <cell r="A3287" t="str">
            <v>26-01-02-0033</v>
          </cell>
          <cell r="B3287">
            <v>0</v>
          </cell>
          <cell r="C3287" t="str">
            <v xml:space="preserve">  MUHAMMAD BASHIR MASSAN (R.W.P).</v>
          </cell>
          <cell r="D3287">
            <v>0</v>
          </cell>
          <cell r="E3287">
            <v>0</v>
          </cell>
          <cell r="F3287">
            <v>0</v>
          </cell>
          <cell r="G3287">
            <v>0</v>
          </cell>
        </row>
        <row r="3288">
          <cell r="A3288" t="str">
            <v>26-01-02-0034</v>
          </cell>
          <cell r="B3288">
            <v>0</v>
          </cell>
          <cell r="C3288" t="str">
            <v xml:space="preserve">  SUPERMAX SYSTEMS</v>
          </cell>
          <cell r="D3288">
            <v>0</v>
          </cell>
          <cell r="E3288">
            <v>0</v>
          </cell>
          <cell r="F3288">
            <v>0</v>
          </cell>
          <cell r="G3288">
            <v>0</v>
          </cell>
        </row>
        <row r="3289">
          <cell r="A3289" t="str">
            <v>26-01-02-0035</v>
          </cell>
          <cell r="B3289">
            <v>0</v>
          </cell>
          <cell r="C3289" t="str">
            <v xml:space="preserve">  ELECTRONIC OFFICE PRODUCTS</v>
          </cell>
          <cell r="D3289">
            <v>0</v>
          </cell>
          <cell r="E3289">
            <v>0</v>
          </cell>
          <cell r="F3289">
            <v>0</v>
          </cell>
          <cell r="G3289">
            <v>0</v>
          </cell>
        </row>
        <row r="3290">
          <cell r="A3290" t="str">
            <v>26-01-02-0036</v>
          </cell>
          <cell r="B3290">
            <v>0</v>
          </cell>
          <cell r="C3290" t="str">
            <v xml:space="preserve">  COMPUTER HARDWARE LAB.</v>
          </cell>
          <cell r="D3290">
            <v>0</v>
          </cell>
          <cell r="E3290">
            <v>0</v>
          </cell>
          <cell r="F3290">
            <v>0</v>
          </cell>
          <cell r="G3290">
            <v>0</v>
          </cell>
        </row>
        <row r="3291">
          <cell r="A3291" t="str">
            <v>26-01-02-0037</v>
          </cell>
          <cell r="B3291">
            <v>0</v>
          </cell>
          <cell r="C3291" t="str">
            <v xml:space="preserve">  ZUBAIR ELECTRONICS</v>
          </cell>
          <cell r="D3291">
            <v>0</v>
          </cell>
          <cell r="E3291">
            <v>0</v>
          </cell>
          <cell r="F3291">
            <v>0</v>
          </cell>
          <cell r="G3291">
            <v>0</v>
          </cell>
        </row>
        <row r="3292">
          <cell r="A3292" t="str">
            <v>26-01-02-0038</v>
          </cell>
          <cell r="B3292">
            <v>0</v>
          </cell>
          <cell r="C3292" t="str">
            <v xml:space="preserve">  S.R.S ENTERPRISE</v>
          </cell>
          <cell r="D3292">
            <v>0</v>
          </cell>
          <cell r="E3292">
            <v>0</v>
          </cell>
          <cell r="F3292">
            <v>0</v>
          </cell>
          <cell r="G3292">
            <v>0</v>
          </cell>
        </row>
        <row r="3293">
          <cell r="A3293" t="str">
            <v>26-01-02-0039</v>
          </cell>
          <cell r="B3293">
            <v>0</v>
          </cell>
          <cell r="C3293" t="str">
            <v xml:space="preserve">  MUNIR.</v>
          </cell>
          <cell r="D3293">
            <v>0</v>
          </cell>
          <cell r="E3293">
            <v>0</v>
          </cell>
          <cell r="F3293">
            <v>0</v>
          </cell>
          <cell r="G3293">
            <v>0</v>
          </cell>
        </row>
        <row r="3294">
          <cell r="A3294" t="str">
            <v>26-01-02-0040</v>
          </cell>
          <cell r="B3294">
            <v>0</v>
          </cell>
          <cell r="C3294" t="str">
            <v xml:space="preserve">  ALLAH DITTA.</v>
          </cell>
          <cell r="D3294">
            <v>0</v>
          </cell>
          <cell r="E3294">
            <v>0</v>
          </cell>
          <cell r="F3294">
            <v>0</v>
          </cell>
          <cell r="G3294">
            <v>0</v>
          </cell>
        </row>
        <row r="3295">
          <cell r="A3295" t="str">
            <v>26-01-02-0041</v>
          </cell>
          <cell r="B3295">
            <v>0</v>
          </cell>
          <cell r="C3295" t="str">
            <v xml:space="preserve">  ASIAN BUSINESS MACHINE CORPORATION.</v>
          </cell>
          <cell r="D3295">
            <v>0</v>
          </cell>
          <cell r="E3295">
            <v>0</v>
          </cell>
          <cell r="F3295">
            <v>0</v>
          </cell>
          <cell r="G3295">
            <v>0</v>
          </cell>
        </row>
        <row r="3296">
          <cell r="A3296" t="str">
            <v>26-01-02-0042</v>
          </cell>
          <cell r="B3296">
            <v>0</v>
          </cell>
          <cell r="C3296" t="str">
            <v xml:space="preserve">  PRINCE FURNISHERS &amp; DECORATORS.</v>
          </cell>
          <cell r="D3296">
            <v>0</v>
          </cell>
          <cell r="E3296">
            <v>0</v>
          </cell>
          <cell r="F3296">
            <v>0</v>
          </cell>
          <cell r="G3296">
            <v>0</v>
          </cell>
        </row>
        <row r="3297">
          <cell r="A3297" t="str">
            <v>26-01-02-0043</v>
          </cell>
          <cell r="B3297">
            <v>0</v>
          </cell>
          <cell r="C3297" t="str">
            <v xml:space="preserve">  COMBINED MICRO SYSTEMS</v>
          </cell>
          <cell r="D3297">
            <v>0</v>
          </cell>
          <cell r="E3297">
            <v>0</v>
          </cell>
          <cell r="F3297">
            <v>0</v>
          </cell>
          <cell r="G3297">
            <v>0</v>
          </cell>
        </row>
        <row r="3298">
          <cell r="A3298" t="str">
            <v>26-01-02-0044</v>
          </cell>
          <cell r="B3298">
            <v>0</v>
          </cell>
          <cell r="C3298" t="str">
            <v xml:space="preserve">  ZEBNET COMPUTER SERVICES</v>
          </cell>
          <cell r="D3298">
            <v>0</v>
          </cell>
          <cell r="E3298">
            <v>0</v>
          </cell>
          <cell r="F3298">
            <v>0</v>
          </cell>
          <cell r="G3298">
            <v>0</v>
          </cell>
        </row>
        <row r="3299">
          <cell r="A3299" t="str">
            <v>26-01-02-0045</v>
          </cell>
          <cell r="B3299">
            <v>0</v>
          </cell>
          <cell r="C3299" t="str">
            <v xml:space="preserve">  ALIBHAI AUTOS</v>
          </cell>
          <cell r="D3299">
            <v>0</v>
          </cell>
          <cell r="E3299">
            <v>0</v>
          </cell>
          <cell r="F3299">
            <v>0</v>
          </cell>
          <cell r="G3299">
            <v>0</v>
          </cell>
        </row>
        <row r="3300">
          <cell r="A3300" t="str">
            <v>26-01-02-0046</v>
          </cell>
          <cell r="B3300">
            <v>0</v>
          </cell>
          <cell r="C3300" t="str">
            <v xml:space="preserve">  SCALES WORLD</v>
          </cell>
          <cell r="D3300">
            <v>0</v>
          </cell>
          <cell r="E3300">
            <v>0</v>
          </cell>
          <cell r="F3300">
            <v>0</v>
          </cell>
          <cell r="G3300">
            <v>0</v>
          </cell>
        </row>
        <row r="3301">
          <cell r="A3301" t="str">
            <v>26-01-02-0047</v>
          </cell>
          <cell r="B3301">
            <v>0</v>
          </cell>
          <cell r="C3301" t="str">
            <v xml:space="preserve">  POWER SYSTEM &amp; SUPPLIES</v>
          </cell>
          <cell r="D3301">
            <v>0</v>
          </cell>
          <cell r="E3301">
            <v>0</v>
          </cell>
          <cell r="F3301">
            <v>0</v>
          </cell>
          <cell r="G3301">
            <v>0</v>
          </cell>
        </row>
        <row r="3302">
          <cell r="A3302" t="str">
            <v>26-01-02-0048</v>
          </cell>
          <cell r="B3302">
            <v>0</v>
          </cell>
          <cell r="C3302" t="str">
            <v xml:space="preserve">  KEY VENTURES</v>
          </cell>
          <cell r="D3302">
            <v>0</v>
          </cell>
          <cell r="E3302">
            <v>0</v>
          </cell>
          <cell r="F3302">
            <v>0</v>
          </cell>
          <cell r="G3302">
            <v>0</v>
          </cell>
        </row>
        <row r="3303">
          <cell r="A3303" t="str">
            <v>26-01-02-0049</v>
          </cell>
          <cell r="B3303">
            <v>0</v>
          </cell>
          <cell r="C3303" t="str">
            <v xml:space="preserve">  AQUA ENTERPRISES</v>
          </cell>
          <cell r="D3303">
            <v>0</v>
          </cell>
          <cell r="E3303">
            <v>0</v>
          </cell>
          <cell r="F3303">
            <v>0</v>
          </cell>
          <cell r="G3303">
            <v>0</v>
          </cell>
        </row>
        <row r="3304">
          <cell r="A3304" t="str">
            <v>26-01-02-0050</v>
          </cell>
          <cell r="B3304">
            <v>0</v>
          </cell>
          <cell r="C3304" t="str">
            <v xml:space="preserve">  ENGINEERING KINETICS (PVT) LIMITED</v>
          </cell>
          <cell r="D3304">
            <v>0</v>
          </cell>
          <cell r="E3304">
            <v>0</v>
          </cell>
          <cell r="F3304">
            <v>0</v>
          </cell>
          <cell r="G3304">
            <v>0</v>
          </cell>
        </row>
        <row r="3305">
          <cell r="A3305" t="str">
            <v>26-01-02-0051</v>
          </cell>
          <cell r="B3305">
            <v>0</v>
          </cell>
          <cell r="C3305" t="str">
            <v xml:space="preserve">  MEGA COMPUTER CO.</v>
          </cell>
          <cell r="D3305">
            <v>0</v>
          </cell>
          <cell r="E3305">
            <v>0</v>
          </cell>
          <cell r="F3305">
            <v>0</v>
          </cell>
          <cell r="G3305">
            <v>0</v>
          </cell>
        </row>
        <row r="3306">
          <cell r="A3306" t="str">
            <v>26-01-02-0052</v>
          </cell>
          <cell r="B3306">
            <v>0</v>
          </cell>
          <cell r="C3306" t="str">
            <v xml:space="preserve">  MAB INTERFACE (PVT) LIMITED</v>
          </cell>
          <cell r="D3306">
            <v>0</v>
          </cell>
          <cell r="E3306">
            <v>0</v>
          </cell>
          <cell r="F3306">
            <v>0</v>
          </cell>
          <cell r="G3306">
            <v>0</v>
          </cell>
        </row>
        <row r="3307">
          <cell r="A3307" t="str">
            <v>26-01-02-0053</v>
          </cell>
          <cell r="B3307">
            <v>0</v>
          </cell>
          <cell r="C3307" t="str">
            <v xml:space="preserve">  WEIGHING TRACK TRADING KARACHI.</v>
          </cell>
          <cell r="D3307">
            <v>0</v>
          </cell>
          <cell r="E3307">
            <v>0</v>
          </cell>
          <cell r="F3307">
            <v>0</v>
          </cell>
          <cell r="G3307">
            <v>0</v>
          </cell>
        </row>
        <row r="3308">
          <cell r="A3308" t="str">
            <v>26-01-02-0054</v>
          </cell>
          <cell r="B3308">
            <v>0</v>
          </cell>
          <cell r="C3308" t="str">
            <v xml:space="preserve">  DYNAMIC ENGINEERING CONCERN</v>
          </cell>
          <cell r="D3308">
            <v>0</v>
          </cell>
          <cell r="E3308">
            <v>0</v>
          </cell>
          <cell r="F3308">
            <v>0</v>
          </cell>
          <cell r="G3308">
            <v>0</v>
          </cell>
        </row>
        <row r="3309">
          <cell r="A3309" t="str">
            <v>26-01-02-0055</v>
          </cell>
          <cell r="B3309">
            <v>0</v>
          </cell>
          <cell r="C3309" t="str">
            <v xml:space="preserve">  POWER RESEARCH &amp; TECHNOLOGY</v>
          </cell>
          <cell r="D3309">
            <v>0</v>
          </cell>
          <cell r="E3309">
            <v>0</v>
          </cell>
          <cell r="F3309">
            <v>0</v>
          </cell>
          <cell r="G3309">
            <v>0</v>
          </cell>
        </row>
        <row r="3310">
          <cell r="A3310" t="str">
            <v>26-01-02-0056</v>
          </cell>
          <cell r="B3310">
            <v>0</v>
          </cell>
          <cell r="C3310" t="str">
            <v xml:space="preserve">  INTERFACE DEVICE SERVICES</v>
          </cell>
          <cell r="D3310">
            <v>0</v>
          </cell>
          <cell r="E3310">
            <v>0</v>
          </cell>
          <cell r="F3310">
            <v>0</v>
          </cell>
          <cell r="G3310">
            <v>0</v>
          </cell>
        </row>
        <row r="3311">
          <cell r="A3311" t="str">
            <v>26-01-02-0057</v>
          </cell>
          <cell r="B3311">
            <v>0</v>
          </cell>
          <cell r="C3311" t="str">
            <v xml:space="preserve">  ROMA COMPUTER</v>
          </cell>
          <cell r="D3311">
            <v>0</v>
          </cell>
          <cell r="E3311">
            <v>0</v>
          </cell>
          <cell r="F3311">
            <v>0</v>
          </cell>
          <cell r="G3311">
            <v>0</v>
          </cell>
        </row>
        <row r="3312">
          <cell r="A3312" t="str">
            <v>26-01-02-0058</v>
          </cell>
          <cell r="B3312">
            <v>0</v>
          </cell>
          <cell r="C3312" t="str">
            <v xml:space="preserve">  RELIANT COMPUTERS</v>
          </cell>
          <cell r="D3312">
            <v>0</v>
          </cell>
          <cell r="E3312">
            <v>0</v>
          </cell>
          <cell r="F3312">
            <v>0</v>
          </cell>
          <cell r="G3312">
            <v>0</v>
          </cell>
        </row>
        <row r="3313">
          <cell r="A3313" t="str">
            <v>26-01-02-0059</v>
          </cell>
          <cell r="B3313">
            <v>0</v>
          </cell>
          <cell r="C3313" t="str">
            <v xml:space="preserve">  A.A. SERVICES PAKISTAN</v>
          </cell>
          <cell r="D3313">
            <v>0</v>
          </cell>
          <cell r="E3313">
            <v>0</v>
          </cell>
          <cell r="F3313">
            <v>0</v>
          </cell>
          <cell r="G3313">
            <v>0</v>
          </cell>
        </row>
        <row r="3314">
          <cell r="A3314" t="str">
            <v>26-01-02-0060</v>
          </cell>
          <cell r="B3314">
            <v>0</v>
          </cell>
          <cell r="C3314" t="str">
            <v xml:space="preserve">  CNS ENGINEERING</v>
          </cell>
          <cell r="D3314">
            <v>0</v>
          </cell>
          <cell r="E3314">
            <v>0</v>
          </cell>
          <cell r="F3314">
            <v>0</v>
          </cell>
          <cell r="G3314">
            <v>0</v>
          </cell>
        </row>
        <row r="3315">
          <cell r="A3315" t="str">
            <v>26-01-02-0061</v>
          </cell>
          <cell r="B3315">
            <v>0</v>
          </cell>
          <cell r="C3315" t="str">
            <v xml:space="preserve">  POWER PLUS</v>
          </cell>
          <cell r="D3315">
            <v>0</v>
          </cell>
          <cell r="E3315">
            <v>0</v>
          </cell>
          <cell r="F3315">
            <v>0</v>
          </cell>
          <cell r="G3315">
            <v>0</v>
          </cell>
        </row>
        <row r="3316">
          <cell r="A3316" t="str">
            <v>26-01-02-0062</v>
          </cell>
          <cell r="B3316">
            <v>0</v>
          </cell>
          <cell r="C3316" t="str">
            <v xml:space="preserve">  HONDA ATLAS CARS (PAKISTAN ) LTD.</v>
          </cell>
          <cell r="D3316">
            <v>0</v>
          </cell>
          <cell r="E3316">
            <v>0</v>
          </cell>
          <cell r="F3316">
            <v>0</v>
          </cell>
          <cell r="G3316">
            <v>0</v>
          </cell>
        </row>
        <row r="3317">
          <cell r="A3317" t="str">
            <v>26-01-02-0063</v>
          </cell>
          <cell r="B3317">
            <v>0</v>
          </cell>
          <cell r="C3317" t="str">
            <v xml:space="preserve">  GEMINI ENTERPRISES</v>
          </cell>
          <cell r="D3317">
            <v>0</v>
          </cell>
          <cell r="E3317">
            <v>0</v>
          </cell>
          <cell r="F3317">
            <v>0</v>
          </cell>
          <cell r="G3317">
            <v>0</v>
          </cell>
        </row>
        <row r="3318">
          <cell r="A3318" t="str">
            <v>26-01-02-0064</v>
          </cell>
          <cell r="B3318">
            <v>0</v>
          </cell>
          <cell r="C3318" t="str">
            <v xml:space="preserve">  PAK SUZUKI MOTOR CO. LTD.</v>
          </cell>
          <cell r="D3318">
            <v>339000</v>
          </cell>
          <cell r="E3318">
            <v>0</v>
          </cell>
          <cell r="F3318">
            <v>0</v>
          </cell>
          <cell r="G3318">
            <v>0</v>
          </cell>
        </row>
        <row r="3319">
          <cell r="A3319" t="str">
            <v>26-01-02-0065</v>
          </cell>
          <cell r="B3319">
            <v>0</v>
          </cell>
          <cell r="C3319" t="str">
            <v xml:space="preserve">  MAKKAYS HI-TECH II SYSTEMS</v>
          </cell>
          <cell r="D3319">
            <v>0</v>
          </cell>
          <cell r="E3319">
            <v>0</v>
          </cell>
          <cell r="F3319">
            <v>0</v>
          </cell>
          <cell r="G3319">
            <v>0</v>
          </cell>
        </row>
        <row r="3320">
          <cell r="A3320" t="str">
            <v>26-01-02-0066</v>
          </cell>
          <cell r="B3320">
            <v>0</v>
          </cell>
          <cell r="C3320" t="str">
            <v xml:space="preserve">  WORLD WIDE BUSINESS CORPORATION</v>
          </cell>
          <cell r="D3320">
            <v>0</v>
          </cell>
          <cell r="E3320">
            <v>0</v>
          </cell>
          <cell r="F3320">
            <v>0</v>
          </cell>
          <cell r="G3320">
            <v>0</v>
          </cell>
        </row>
        <row r="3321">
          <cell r="A3321" t="str">
            <v>26-01-02-0067</v>
          </cell>
          <cell r="B3321">
            <v>0</v>
          </cell>
          <cell r="C3321" t="str">
            <v xml:space="preserve">  MUHAMMAD IMTIAZ</v>
          </cell>
          <cell r="D3321">
            <v>0</v>
          </cell>
          <cell r="E3321">
            <v>0</v>
          </cell>
          <cell r="F3321">
            <v>0</v>
          </cell>
          <cell r="G3321">
            <v>0</v>
          </cell>
        </row>
        <row r="3322">
          <cell r="A3322" t="str">
            <v>26-01-02-0068</v>
          </cell>
          <cell r="B3322">
            <v>0</v>
          </cell>
          <cell r="C3322" t="str">
            <v xml:space="preserve">  MUHAMMAD BOOTA</v>
          </cell>
          <cell r="D3322">
            <v>0</v>
          </cell>
          <cell r="E3322">
            <v>0</v>
          </cell>
          <cell r="F3322">
            <v>0</v>
          </cell>
          <cell r="G3322">
            <v>0</v>
          </cell>
        </row>
        <row r="3323">
          <cell r="A3323" t="str">
            <v>26-01-02-0069</v>
          </cell>
          <cell r="B3323">
            <v>0</v>
          </cell>
          <cell r="C3323" t="str">
            <v xml:space="preserve">  ALFA - TECH SYSTEMS</v>
          </cell>
          <cell r="D3323">
            <v>0</v>
          </cell>
          <cell r="E3323">
            <v>0</v>
          </cell>
          <cell r="F3323">
            <v>0</v>
          </cell>
          <cell r="G3323">
            <v>0</v>
          </cell>
        </row>
        <row r="3324">
          <cell r="A3324" t="str">
            <v>26-01-02-0070</v>
          </cell>
          <cell r="B3324">
            <v>0</v>
          </cell>
          <cell r="C3324" t="str">
            <v xml:space="preserve">  COMPUTER &amp; OFFICE PRODUCTS</v>
          </cell>
          <cell r="D3324">
            <v>0</v>
          </cell>
          <cell r="E3324">
            <v>0</v>
          </cell>
          <cell r="F3324">
            <v>0</v>
          </cell>
          <cell r="G3324">
            <v>0</v>
          </cell>
        </row>
        <row r="3325">
          <cell r="A3325" t="str">
            <v>26-01-02-0071</v>
          </cell>
          <cell r="B3325">
            <v>0</v>
          </cell>
          <cell r="C3325" t="str">
            <v xml:space="preserve">  DEWAN FAROOQUE MOTORS LIMITED</v>
          </cell>
          <cell r="D3325">
            <v>0</v>
          </cell>
          <cell r="E3325">
            <v>0</v>
          </cell>
          <cell r="F3325">
            <v>0</v>
          </cell>
          <cell r="G3325">
            <v>0</v>
          </cell>
        </row>
        <row r="3326">
          <cell r="A3326" t="str">
            <v>26-01-02-0072</v>
          </cell>
          <cell r="B3326">
            <v>0</v>
          </cell>
          <cell r="C3326" t="str">
            <v xml:space="preserve">  RED CORPORATION</v>
          </cell>
          <cell r="D3326">
            <v>0</v>
          </cell>
          <cell r="E3326">
            <v>0</v>
          </cell>
          <cell r="F3326">
            <v>0</v>
          </cell>
          <cell r="G3326">
            <v>0</v>
          </cell>
        </row>
        <row r="3327">
          <cell r="A3327" t="str">
            <v>26-01-02-0073</v>
          </cell>
          <cell r="B3327">
            <v>0</v>
          </cell>
          <cell r="C3327" t="str">
            <v xml:space="preserve">  YUSUFSONS</v>
          </cell>
          <cell r="D3327">
            <v>0</v>
          </cell>
          <cell r="E3327">
            <v>0</v>
          </cell>
          <cell r="F3327">
            <v>0</v>
          </cell>
          <cell r="G3327">
            <v>0</v>
          </cell>
        </row>
        <row r="3328">
          <cell r="A3328" t="str">
            <v>26-01-02-0074</v>
          </cell>
          <cell r="B3328">
            <v>0</v>
          </cell>
          <cell r="C3328" t="str">
            <v xml:space="preserve">  TOYOTA DEFENCE MOTORS</v>
          </cell>
          <cell r="D3328">
            <v>0</v>
          </cell>
          <cell r="E3328">
            <v>0</v>
          </cell>
          <cell r="F3328">
            <v>0</v>
          </cell>
          <cell r="G3328">
            <v>0</v>
          </cell>
        </row>
        <row r="3329">
          <cell r="A3329" t="str">
            <v>26-01-02-0075</v>
          </cell>
          <cell r="B3329">
            <v>0</v>
          </cell>
          <cell r="C3329" t="str">
            <v xml:space="preserve">  VITAL ENGINEERING</v>
          </cell>
          <cell r="D3329">
            <v>0</v>
          </cell>
          <cell r="E3329">
            <v>0</v>
          </cell>
          <cell r="F3329">
            <v>0</v>
          </cell>
          <cell r="G3329">
            <v>0</v>
          </cell>
        </row>
        <row r="3330">
          <cell r="A3330" t="str">
            <v>26-01-02-0076</v>
          </cell>
          <cell r="B3330">
            <v>0</v>
          </cell>
          <cell r="C3330" t="str">
            <v xml:space="preserve">  ASTEROIDS COMPUTERS</v>
          </cell>
          <cell r="D3330">
            <v>0</v>
          </cell>
          <cell r="E3330">
            <v>0</v>
          </cell>
          <cell r="F3330">
            <v>0</v>
          </cell>
          <cell r="G3330">
            <v>0</v>
          </cell>
        </row>
        <row r="3331">
          <cell r="A3331" t="str">
            <v>26-01-02-0077</v>
          </cell>
          <cell r="B3331">
            <v>0</v>
          </cell>
          <cell r="C3331" t="str">
            <v xml:space="preserve">  KIAL ENTERPRISES</v>
          </cell>
          <cell r="D3331">
            <v>0</v>
          </cell>
          <cell r="E3331">
            <v>0</v>
          </cell>
          <cell r="F3331">
            <v>0</v>
          </cell>
          <cell r="G3331">
            <v>0</v>
          </cell>
        </row>
        <row r="3332">
          <cell r="A3332" t="str">
            <v>26-01-02-0078</v>
          </cell>
          <cell r="B3332">
            <v>0</v>
          </cell>
          <cell r="C3332" t="str">
            <v xml:space="preserve">  COMPUTER CONCEPTS</v>
          </cell>
          <cell r="D3332">
            <v>0</v>
          </cell>
          <cell r="E3332">
            <v>0</v>
          </cell>
          <cell r="F3332">
            <v>0</v>
          </cell>
          <cell r="G3332">
            <v>0</v>
          </cell>
        </row>
        <row r="3333">
          <cell r="A3333" t="str">
            <v>26-01-02-0079</v>
          </cell>
          <cell r="B3333">
            <v>0</v>
          </cell>
          <cell r="C3333" t="str">
            <v xml:space="preserve">  HINA TRADERS</v>
          </cell>
          <cell r="D3333">
            <v>0</v>
          </cell>
          <cell r="E3333">
            <v>0</v>
          </cell>
          <cell r="F3333">
            <v>0</v>
          </cell>
          <cell r="G3333">
            <v>0</v>
          </cell>
        </row>
        <row r="3334">
          <cell r="A3334" t="str">
            <v>26-01-02-0080</v>
          </cell>
          <cell r="B3334">
            <v>0</v>
          </cell>
          <cell r="C3334" t="str">
            <v xml:space="preserve">  AL-YOUSUF ENTERPRISES</v>
          </cell>
          <cell r="D3334">
            <v>0</v>
          </cell>
          <cell r="E3334">
            <v>0</v>
          </cell>
          <cell r="F3334">
            <v>0</v>
          </cell>
          <cell r="G3334">
            <v>0</v>
          </cell>
        </row>
        <row r="3335">
          <cell r="A3335" t="str">
            <v>26-01-02-0081</v>
          </cell>
          <cell r="B3335">
            <v>0</v>
          </cell>
          <cell r="C3335" t="str">
            <v xml:space="preserve">  PREMIUM TEXTILE MILLS LIMITED</v>
          </cell>
          <cell r="D3335">
            <v>0</v>
          </cell>
          <cell r="E3335">
            <v>0</v>
          </cell>
          <cell r="F3335">
            <v>0</v>
          </cell>
          <cell r="G3335">
            <v>0</v>
          </cell>
        </row>
        <row r="3336">
          <cell r="A3336" t="str">
            <v>26-01-02-0082</v>
          </cell>
          <cell r="B3336">
            <v>0</v>
          </cell>
          <cell r="C3336" t="str">
            <v xml:space="preserve">  MODERN MACHINERY &amp; TRADING CORPORATION</v>
          </cell>
          <cell r="D3336">
            <v>0</v>
          </cell>
          <cell r="E3336">
            <v>12700</v>
          </cell>
          <cell r="F3336">
            <v>0</v>
          </cell>
          <cell r="G3336">
            <v>0</v>
          </cell>
        </row>
        <row r="3337">
          <cell r="A3337" t="str">
            <v>26-01-02-0083</v>
          </cell>
          <cell r="B3337">
            <v>0</v>
          </cell>
          <cell r="C3337" t="str">
            <v xml:space="preserve">  AL-UMAR TRADING CORPORATION</v>
          </cell>
          <cell r="D3337">
            <v>0</v>
          </cell>
          <cell r="E3337">
            <v>0</v>
          </cell>
          <cell r="F3337">
            <v>0</v>
          </cell>
          <cell r="G3337">
            <v>0</v>
          </cell>
        </row>
        <row r="3338">
          <cell r="A3338" t="str">
            <v>26-01-02-0084</v>
          </cell>
          <cell r="B3338">
            <v>0</v>
          </cell>
          <cell r="C3338" t="str">
            <v xml:space="preserve">  OPTIMUM TECHNOLOGY</v>
          </cell>
          <cell r="D3338">
            <v>0</v>
          </cell>
          <cell r="E3338">
            <v>0</v>
          </cell>
          <cell r="F3338">
            <v>0</v>
          </cell>
          <cell r="G3338">
            <v>0</v>
          </cell>
        </row>
        <row r="3339">
          <cell r="A3339" t="str">
            <v>26-01-02-0085</v>
          </cell>
          <cell r="B3339">
            <v>0</v>
          </cell>
          <cell r="C3339" t="str">
            <v xml:space="preserve">  SAVIO MACHCHINE TESSILI</v>
          </cell>
          <cell r="D3339">
            <v>0</v>
          </cell>
          <cell r="E3339">
            <v>0</v>
          </cell>
          <cell r="F3339">
            <v>0</v>
          </cell>
          <cell r="G3339">
            <v>0</v>
          </cell>
        </row>
        <row r="3340">
          <cell r="A3340" t="str">
            <v>26-01-02-0086</v>
          </cell>
          <cell r="B3340">
            <v>0</v>
          </cell>
          <cell r="C3340" t="str">
            <v xml:space="preserve">  XORELLA SWITZERLAND</v>
          </cell>
          <cell r="D3340">
            <v>0</v>
          </cell>
          <cell r="E3340">
            <v>0</v>
          </cell>
          <cell r="F3340">
            <v>0</v>
          </cell>
          <cell r="G3340">
            <v>0</v>
          </cell>
        </row>
        <row r="3341">
          <cell r="A3341" t="str">
            <v>26-01-02-0087</v>
          </cell>
          <cell r="B3341">
            <v>0</v>
          </cell>
          <cell r="C3341" t="str">
            <v xml:space="preserve">  AZAM TEXTILE MILLS LIMITED</v>
          </cell>
          <cell r="D3341">
            <v>0</v>
          </cell>
          <cell r="E3341">
            <v>0</v>
          </cell>
          <cell r="F3341">
            <v>0</v>
          </cell>
          <cell r="G3341">
            <v>0</v>
          </cell>
        </row>
        <row r="3342">
          <cell r="A3342" t="str">
            <v>26-01-02-0088</v>
          </cell>
          <cell r="B3342">
            <v>0</v>
          </cell>
          <cell r="C3342" t="str">
            <v xml:space="preserve">  OTTO MATERAIL HANDLING (PVT) LIMITED</v>
          </cell>
          <cell r="D3342">
            <v>0</v>
          </cell>
          <cell r="E3342">
            <v>0</v>
          </cell>
          <cell r="F3342">
            <v>0</v>
          </cell>
          <cell r="G3342">
            <v>0</v>
          </cell>
        </row>
        <row r="3343">
          <cell r="A3343" t="str">
            <v>26-01-02-0089</v>
          </cell>
          <cell r="B3343">
            <v>0</v>
          </cell>
          <cell r="C3343" t="str">
            <v xml:space="preserve">  MILLAT TRACTOR LAHORE</v>
          </cell>
          <cell r="D3343">
            <v>326000</v>
          </cell>
          <cell r="E3343">
            <v>0</v>
          </cell>
          <cell r="F3343">
            <v>0</v>
          </cell>
          <cell r="G3343">
            <v>0</v>
          </cell>
        </row>
        <row r="3344">
          <cell r="A3344" t="str">
            <v>26-01-03</v>
          </cell>
          <cell r="B3344">
            <v>0</v>
          </cell>
          <cell r="C3344" t="str">
            <v>***CREDITORS-CAPITAL EXPENDITURE-EQUIPME</v>
          </cell>
          <cell r="D3344">
            <v>0</v>
          </cell>
          <cell r="E3344">
            <v>54785</v>
          </cell>
          <cell r="F3344">
            <v>0</v>
          </cell>
          <cell r="G3344">
            <v>54785</v>
          </cell>
        </row>
        <row r="3345">
          <cell r="A3345" t="str">
            <v>26-01-03-0001</v>
          </cell>
          <cell r="B3345">
            <v>54785</v>
          </cell>
          <cell r="C3345" t="str">
            <v xml:space="preserve">  IDEAL DISTRIBUTION LINE</v>
          </cell>
          <cell r="D3345">
            <v>0</v>
          </cell>
          <cell r="E3345">
            <v>54785</v>
          </cell>
          <cell r="F3345">
            <v>0</v>
          </cell>
          <cell r="G3345">
            <v>0</v>
          </cell>
        </row>
        <row r="3346">
          <cell r="A3346" t="str">
            <v>26-01-03-0002</v>
          </cell>
          <cell r="B3346">
            <v>0</v>
          </cell>
          <cell r="C3346" t="str">
            <v xml:space="preserve">  MANSHB ENTERPRISES</v>
          </cell>
          <cell r="D3346">
            <v>0</v>
          </cell>
          <cell r="E3346">
            <v>0</v>
          </cell>
          <cell r="F3346">
            <v>0</v>
          </cell>
          <cell r="G3346">
            <v>0</v>
          </cell>
        </row>
        <row r="3347">
          <cell r="A3347" t="str">
            <v>26-01-03-0003</v>
          </cell>
          <cell r="B3347">
            <v>0</v>
          </cell>
          <cell r="C3347" t="str">
            <v xml:space="preserve">  MUHAMMAD IDREES CONTRACTOR</v>
          </cell>
          <cell r="D3347">
            <v>0</v>
          </cell>
          <cell r="E3347">
            <v>0</v>
          </cell>
          <cell r="F3347">
            <v>0</v>
          </cell>
          <cell r="G3347">
            <v>0</v>
          </cell>
        </row>
        <row r="3348">
          <cell r="A3348" t="str">
            <v>26-01-03-0004</v>
          </cell>
          <cell r="B3348">
            <v>0</v>
          </cell>
          <cell r="C3348" t="str">
            <v xml:space="preserve">  PAKLAND CORPORATION (PVT) LIMITED</v>
          </cell>
          <cell r="D3348">
            <v>0</v>
          </cell>
          <cell r="E3348">
            <v>0</v>
          </cell>
          <cell r="F3348">
            <v>0</v>
          </cell>
          <cell r="G3348">
            <v>0</v>
          </cell>
        </row>
        <row r="3349">
          <cell r="A3349" t="str">
            <v>26-01-03-0005</v>
          </cell>
          <cell r="B3349">
            <v>0</v>
          </cell>
          <cell r="C3349" t="str">
            <v xml:space="preserve">  IVY INTERFACE</v>
          </cell>
          <cell r="D3349">
            <v>0</v>
          </cell>
          <cell r="E3349">
            <v>0</v>
          </cell>
          <cell r="F3349">
            <v>0</v>
          </cell>
          <cell r="G3349">
            <v>0</v>
          </cell>
        </row>
        <row r="3350">
          <cell r="A3350" t="str">
            <v>26-01-03-0006</v>
          </cell>
          <cell r="B3350">
            <v>0</v>
          </cell>
          <cell r="C3350" t="str">
            <v xml:space="preserve">  COOL HOUSE</v>
          </cell>
          <cell r="D3350">
            <v>0</v>
          </cell>
          <cell r="E3350">
            <v>0</v>
          </cell>
          <cell r="F3350">
            <v>0</v>
          </cell>
          <cell r="G3350">
            <v>0</v>
          </cell>
        </row>
        <row r="3351">
          <cell r="A3351" t="str">
            <v>26-01-03-0007</v>
          </cell>
          <cell r="B3351">
            <v>0</v>
          </cell>
          <cell r="C3351" t="str">
            <v xml:space="preserve">  FAZAL SONS</v>
          </cell>
          <cell r="D3351">
            <v>0</v>
          </cell>
          <cell r="E3351">
            <v>0</v>
          </cell>
          <cell r="F3351">
            <v>0</v>
          </cell>
          <cell r="G3351">
            <v>0</v>
          </cell>
        </row>
        <row r="3352">
          <cell r="A3352" t="str">
            <v>26-02</v>
          </cell>
          <cell r="B3352">
            <v>0</v>
          </cell>
          <cell r="C3352" t="str">
            <v>**OTHER LIABILITIES AGAINST STATUTARY</v>
          </cell>
          <cell r="D3352">
            <v>0</v>
          </cell>
          <cell r="E3352">
            <v>61737922.5</v>
          </cell>
          <cell r="F3352">
            <v>0</v>
          </cell>
          <cell r="G3352">
            <v>61737922.5</v>
          </cell>
        </row>
        <row r="3353">
          <cell r="A3353" t="str">
            <v>26-02-01</v>
          </cell>
          <cell r="B3353">
            <v>61737920</v>
          </cell>
          <cell r="C3353" t="str">
            <v>***OTHER LIABILITIES AGAINST (W.P.P.F)</v>
          </cell>
          <cell r="D3353">
            <v>0</v>
          </cell>
          <cell r="E3353">
            <v>1823310</v>
          </cell>
          <cell r="F3353">
            <v>0</v>
          </cell>
          <cell r="G3353">
            <v>1823310</v>
          </cell>
        </row>
        <row r="3354">
          <cell r="A3354" t="str">
            <v>26-02-01-0001</v>
          </cell>
          <cell r="B3354">
            <v>1823310</v>
          </cell>
          <cell r="C3354" t="str">
            <v xml:space="preserve">  W.P.P.F PAYABLE</v>
          </cell>
          <cell r="D3354">
            <v>0</v>
          </cell>
          <cell r="E3354">
            <v>0</v>
          </cell>
          <cell r="F3354">
            <v>0</v>
          </cell>
          <cell r="G3354">
            <v>0</v>
          </cell>
        </row>
        <row r="3355">
          <cell r="A3355" t="str">
            <v>26-02-01-0002</v>
          </cell>
          <cell r="B3355">
            <v>0</v>
          </cell>
          <cell r="C3355" t="str">
            <v xml:space="preserve">  W.P.P.F PAYABLE (MARK-UP)</v>
          </cell>
          <cell r="D3355">
            <v>0</v>
          </cell>
          <cell r="E3355">
            <v>0</v>
          </cell>
          <cell r="F3355">
            <v>0</v>
          </cell>
          <cell r="G3355">
            <v>0</v>
          </cell>
        </row>
        <row r="3356">
          <cell r="A3356" t="str">
            <v>26-02-01-0003</v>
          </cell>
          <cell r="B3356">
            <v>0</v>
          </cell>
          <cell r="C3356" t="str">
            <v xml:space="preserve">  WORKER WELFARE FUND PAYABLE</v>
          </cell>
          <cell r="D3356">
            <v>0</v>
          </cell>
          <cell r="E3356">
            <v>1823310</v>
          </cell>
          <cell r="F3356">
            <v>0</v>
          </cell>
          <cell r="G3356">
            <v>0</v>
          </cell>
        </row>
        <row r="3357">
          <cell r="A3357" t="str">
            <v>26-02-02</v>
          </cell>
          <cell r="B3357">
            <v>0</v>
          </cell>
          <cell r="C3357" t="str">
            <v>***OTHER LIABILITIES AGAINST (WITH HOLDI</v>
          </cell>
          <cell r="D3357">
            <v>0</v>
          </cell>
          <cell r="E3357">
            <v>467110</v>
          </cell>
          <cell r="F3357">
            <v>0</v>
          </cell>
          <cell r="G3357">
            <v>467110</v>
          </cell>
        </row>
        <row r="3358">
          <cell r="A3358" t="str">
            <v>26-02-02-0001</v>
          </cell>
          <cell r="B3358">
            <v>467110</v>
          </cell>
          <cell r="C3358" t="str">
            <v xml:space="preserve">  WITH HOLDING TAX PAYABLE AGAINST STORE</v>
          </cell>
          <cell r="D3358">
            <v>0</v>
          </cell>
          <cell r="E3358">
            <v>8837</v>
          </cell>
          <cell r="F3358">
            <v>0</v>
          </cell>
          <cell r="G3358">
            <v>0</v>
          </cell>
        </row>
        <row r="3359">
          <cell r="A3359" t="str">
            <v>26-02-02-0002</v>
          </cell>
          <cell r="B3359">
            <v>0</v>
          </cell>
          <cell r="C3359" t="str">
            <v xml:space="preserve">  WITH HOLDING TAX PAYABLE AGAINST RAW M</v>
          </cell>
          <cell r="D3359">
            <v>0</v>
          </cell>
          <cell r="E3359">
            <v>273700</v>
          </cell>
          <cell r="F3359">
            <v>0</v>
          </cell>
          <cell r="G3359">
            <v>0</v>
          </cell>
        </row>
        <row r="3360">
          <cell r="A3360" t="str">
            <v>26-02-02-0003</v>
          </cell>
          <cell r="B3360">
            <v>0</v>
          </cell>
          <cell r="C3360" t="str">
            <v xml:space="preserve">  WITH HOLDING TAX PAYABLE AGAINST FREIG</v>
          </cell>
          <cell r="D3360">
            <v>0</v>
          </cell>
          <cell r="E3360">
            <v>72265</v>
          </cell>
          <cell r="F3360">
            <v>0</v>
          </cell>
          <cell r="G3360">
            <v>0</v>
          </cell>
        </row>
        <row r="3361">
          <cell r="A3361" t="str">
            <v>26-02-02-0004</v>
          </cell>
          <cell r="B3361">
            <v>0</v>
          </cell>
          <cell r="C3361" t="str">
            <v xml:space="preserve">  WITH HOLDING TAX PAYABLE AGAINST EMPLO</v>
          </cell>
          <cell r="D3361">
            <v>0</v>
          </cell>
          <cell r="E3361">
            <v>44634</v>
          </cell>
          <cell r="F3361">
            <v>0</v>
          </cell>
          <cell r="G3361">
            <v>0</v>
          </cell>
        </row>
        <row r="3362">
          <cell r="A3362" t="str">
            <v>26-02-02-0005</v>
          </cell>
          <cell r="B3362">
            <v>0</v>
          </cell>
          <cell r="C3362" t="str">
            <v xml:space="preserve">  WITH HOLDING TAX PAYABLE ON SERVICES</v>
          </cell>
          <cell r="D3362">
            <v>0</v>
          </cell>
          <cell r="E3362">
            <v>16024</v>
          </cell>
          <cell r="F3362">
            <v>0</v>
          </cell>
          <cell r="G3362">
            <v>0</v>
          </cell>
        </row>
        <row r="3363">
          <cell r="A3363" t="str">
            <v>26-02-02-0006</v>
          </cell>
          <cell r="B3363">
            <v>0</v>
          </cell>
          <cell r="C3363" t="str">
            <v xml:space="preserve">  WITH HOLDING TAX AGAINST BROKERAGE COM</v>
          </cell>
          <cell r="D3363">
            <v>0</v>
          </cell>
          <cell r="E3363">
            <v>4913</v>
          </cell>
          <cell r="F3363">
            <v>0</v>
          </cell>
          <cell r="G3363">
            <v>0</v>
          </cell>
        </row>
        <row r="3364">
          <cell r="A3364" t="str">
            <v>26-02-02-0007</v>
          </cell>
          <cell r="B3364">
            <v>0</v>
          </cell>
          <cell r="C3364" t="str">
            <v xml:space="preserve">  WITH HOLDING TAX PAYBALE ON CONTRACTOR</v>
          </cell>
          <cell r="D3364">
            <v>0</v>
          </cell>
          <cell r="E3364">
            <v>46737</v>
          </cell>
          <cell r="F3364">
            <v>0</v>
          </cell>
          <cell r="G3364">
            <v>0</v>
          </cell>
        </row>
        <row r="3365">
          <cell r="A3365" t="str">
            <v>26-02-02-0008</v>
          </cell>
          <cell r="B3365">
            <v>0</v>
          </cell>
          <cell r="C3365" t="str">
            <v xml:space="preserve">  WITH HOLDING TAX PAYABLE ON DIVIDEND</v>
          </cell>
          <cell r="D3365">
            <v>0</v>
          </cell>
          <cell r="E3365">
            <v>0</v>
          </cell>
          <cell r="F3365">
            <v>0</v>
          </cell>
          <cell r="G3365">
            <v>0</v>
          </cell>
        </row>
        <row r="3366">
          <cell r="A3366" t="str">
            <v>26-02-03</v>
          </cell>
          <cell r="B3366">
            <v>0</v>
          </cell>
          <cell r="C3366" t="str">
            <v>***OTHER LIABILITIES AGAINST (ZAKAT)</v>
          </cell>
          <cell r="D3366">
            <v>0</v>
          </cell>
          <cell r="E3366">
            <v>0</v>
          </cell>
          <cell r="F3366">
            <v>0</v>
          </cell>
          <cell r="G3366">
            <v>0</v>
          </cell>
        </row>
        <row r="3367">
          <cell r="A3367" t="str">
            <v>26-02-03-0001</v>
          </cell>
          <cell r="B3367">
            <v>0</v>
          </cell>
          <cell r="C3367" t="str">
            <v xml:space="preserve">  ZAKAT PAYABLE ON DIVIDEND WARRANT</v>
          </cell>
          <cell r="D3367">
            <v>0</v>
          </cell>
          <cell r="E3367">
            <v>0</v>
          </cell>
          <cell r="F3367">
            <v>0</v>
          </cell>
          <cell r="G3367">
            <v>0</v>
          </cell>
        </row>
        <row r="3368">
          <cell r="A3368" t="str">
            <v>26-02-04</v>
          </cell>
          <cell r="B3368">
            <v>0</v>
          </cell>
          <cell r="C3368" t="str">
            <v>***EXCISE TAX PAYABLE</v>
          </cell>
          <cell r="D3368">
            <v>0</v>
          </cell>
          <cell r="E3368">
            <v>0</v>
          </cell>
          <cell r="F3368">
            <v>0</v>
          </cell>
          <cell r="G3368">
            <v>0</v>
          </cell>
        </row>
        <row r="3369">
          <cell r="A3369" t="str">
            <v>26-02-04-0001</v>
          </cell>
          <cell r="B3369">
            <v>0</v>
          </cell>
          <cell r="C3369" t="str">
            <v xml:space="preserve">  EXCISE TAX PAYABLE</v>
          </cell>
          <cell r="D3369">
            <v>0</v>
          </cell>
          <cell r="E3369">
            <v>0</v>
          </cell>
          <cell r="F3369">
            <v>0</v>
          </cell>
          <cell r="G3369">
            <v>0</v>
          </cell>
        </row>
        <row r="3370">
          <cell r="A3370" t="str">
            <v>26-02-05</v>
          </cell>
          <cell r="B3370">
            <v>0</v>
          </cell>
          <cell r="C3370" t="str">
            <v>***CUSTOM DEPARTMENT</v>
          </cell>
          <cell r="D3370">
            <v>0</v>
          </cell>
          <cell r="E3370">
            <v>38145263.5</v>
          </cell>
          <cell r="F3370">
            <v>0</v>
          </cell>
          <cell r="G3370">
            <v>38145263.5</v>
          </cell>
        </row>
        <row r="3371">
          <cell r="A3371" t="str">
            <v>26-02-05-0001</v>
          </cell>
          <cell r="B3371">
            <v>38145248</v>
          </cell>
          <cell r="C3371" t="str">
            <v xml:space="preserve">  CUSTOM DUTIES PAYABLE</v>
          </cell>
          <cell r="D3371">
            <v>0</v>
          </cell>
          <cell r="E3371">
            <v>0</v>
          </cell>
          <cell r="F3371">
            <v>0</v>
          </cell>
          <cell r="G3371">
            <v>0</v>
          </cell>
        </row>
        <row r="3372">
          <cell r="A3372" t="str">
            <v>26-02-05-0002</v>
          </cell>
          <cell r="B3372">
            <v>0</v>
          </cell>
          <cell r="C3372" t="str">
            <v xml:space="preserve">  REGULATORY DUTIES PAYABLE</v>
          </cell>
          <cell r="D3372">
            <v>0</v>
          </cell>
          <cell r="E3372">
            <v>38145263.5</v>
          </cell>
          <cell r="F3372">
            <v>0</v>
          </cell>
          <cell r="G3372">
            <v>0</v>
          </cell>
        </row>
        <row r="3373">
          <cell r="A3373" t="str">
            <v>26-02-05-0003</v>
          </cell>
          <cell r="B3373">
            <v>0</v>
          </cell>
          <cell r="C3373" t="str">
            <v xml:space="preserve">  COLLECTOR OF CUSTOM-DUTY ON RING FRAME</v>
          </cell>
          <cell r="D3373">
            <v>0</v>
          </cell>
          <cell r="E3373">
            <v>0</v>
          </cell>
          <cell r="F3373">
            <v>0</v>
          </cell>
          <cell r="G3373">
            <v>0</v>
          </cell>
        </row>
        <row r="3374">
          <cell r="A3374" t="str">
            <v>26-02-05-0004</v>
          </cell>
          <cell r="B3374">
            <v>0</v>
          </cell>
          <cell r="C3374" t="str">
            <v xml:space="preserve">  OTHER LIABILITIES</v>
          </cell>
          <cell r="D3374">
            <v>0</v>
          </cell>
          <cell r="E3374">
            <v>0</v>
          </cell>
          <cell r="F3374">
            <v>0</v>
          </cell>
          <cell r="G3374">
            <v>0</v>
          </cell>
        </row>
        <row r="3375">
          <cell r="A3375" t="str">
            <v>26-02-05-0005</v>
          </cell>
          <cell r="B3375">
            <v>0</v>
          </cell>
          <cell r="C3375" t="str">
            <v xml:space="preserve">  SURCHARGE &amp; ADDITIONAL SURCHAGE PAYABL</v>
          </cell>
          <cell r="D3375">
            <v>0</v>
          </cell>
          <cell r="E3375">
            <v>0</v>
          </cell>
          <cell r="F3375">
            <v>0</v>
          </cell>
          <cell r="G3375">
            <v>0</v>
          </cell>
        </row>
        <row r="3376">
          <cell r="A3376" t="str">
            <v>26-02-06</v>
          </cell>
          <cell r="B3376">
            <v>0</v>
          </cell>
          <cell r="C3376" t="str">
            <v>***SALES TAX</v>
          </cell>
          <cell r="D3376">
            <v>0</v>
          </cell>
          <cell r="E3376">
            <v>21302239</v>
          </cell>
          <cell r="F3376">
            <v>0</v>
          </cell>
          <cell r="G3376">
            <v>21302239</v>
          </cell>
        </row>
        <row r="3377">
          <cell r="A3377" t="str">
            <v>26-02-06-0001</v>
          </cell>
          <cell r="B3377">
            <v>21302224</v>
          </cell>
          <cell r="C3377" t="str">
            <v xml:space="preserve">  SALES TAX PAYABLE</v>
          </cell>
          <cell r="D3377">
            <v>0</v>
          </cell>
          <cell r="E3377">
            <v>21302239</v>
          </cell>
          <cell r="F3377">
            <v>0</v>
          </cell>
          <cell r="G3377">
            <v>0</v>
          </cell>
        </row>
        <row r="3378">
          <cell r="A3378" t="str">
            <v>26-03</v>
          </cell>
          <cell r="B3378">
            <v>0</v>
          </cell>
          <cell r="C3378" t="str">
            <v>**OTHER LIABILITIES SECURITY DEPOSITS</v>
          </cell>
          <cell r="D3378">
            <v>0</v>
          </cell>
          <cell r="E3378">
            <v>1360214.37</v>
          </cell>
          <cell r="F3378">
            <v>0</v>
          </cell>
          <cell r="G3378">
            <v>1360214.37</v>
          </cell>
        </row>
        <row r="3379">
          <cell r="A3379" t="str">
            <v>26-03-01</v>
          </cell>
          <cell r="B3379">
            <v>1360214</v>
          </cell>
          <cell r="C3379" t="str">
            <v>***SECURITY DEPOSIT</v>
          </cell>
          <cell r="D3379">
            <v>0</v>
          </cell>
          <cell r="E3379">
            <v>697500</v>
          </cell>
          <cell r="F3379">
            <v>0</v>
          </cell>
          <cell r="G3379">
            <v>697500</v>
          </cell>
        </row>
        <row r="3380">
          <cell r="A3380" t="str">
            <v>26-03-01-0001</v>
          </cell>
          <cell r="B3380">
            <v>697500</v>
          </cell>
          <cell r="C3380" t="str">
            <v xml:space="preserve">  SECURITY DEPOSIT-BESTWAY SERVICES</v>
          </cell>
          <cell r="D3380">
            <v>0</v>
          </cell>
          <cell r="E3380">
            <v>0</v>
          </cell>
          <cell r="F3380">
            <v>0</v>
          </cell>
          <cell r="G3380">
            <v>0</v>
          </cell>
        </row>
        <row r="3381">
          <cell r="A3381" t="str">
            <v>26-03-01-0002</v>
          </cell>
          <cell r="B3381">
            <v>0</v>
          </cell>
          <cell r="C3381" t="str">
            <v xml:space="preserve">  SECURITY DEPOSIT WITHHELD SARHAD GOODS</v>
          </cell>
          <cell r="D3381">
            <v>0</v>
          </cell>
          <cell r="E3381">
            <v>0</v>
          </cell>
          <cell r="F3381">
            <v>0</v>
          </cell>
          <cell r="G3381">
            <v>0</v>
          </cell>
        </row>
        <row r="3382">
          <cell r="A3382" t="str">
            <v>26-03-01-0003</v>
          </cell>
          <cell r="B3382">
            <v>0</v>
          </cell>
          <cell r="C3382" t="str">
            <v xml:space="preserve">  SECURITY DEPOSIT AGAINST SALE.</v>
          </cell>
          <cell r="D3382">
            <v>0</v>
          </cell>
          <cell r="E3382">
            <v>0</v>
          </cell>
          <cell r="F3382">
            <v>0</v>
          </cell>
          <cell r="G3382">
            <v>0</v>
          </cell>
        </row>
        <row r="3383">
          <cell r="A3383" t="str">
            <v>26-03-01-0004</v>
          </cell>
          <cell r="B3383">
            <v>0</v>
          </cell>
          <cell r="C3383" t="str">
            <v xml:space="preserve">  SECURITY DEPOSIT MUHAMMAD NAWAZ CONTRA</v>
          </cell>
          <cell r="D3383">
            <v>0</v>
          </cell>
          <cell r="E3383">
            <v>0</v>
          </cell>
          <cell r="F3383">
            <v>0</v>
          </cell>
          <cell r="G3383">
            <v>0</v>
          </cell>
        </row>
        <row r="3384">
          <cell r="A3384" t="str">
            <v>26-03-01-0005</v>
          </cell>
          <cell r="B3384">
            <v>0</v>
          </cell>
          <cell r="C3384" t="str">
            <v xml:space="preserve">  SECURITY DEPOSIT MUHAMMAD IQBAL CONTRA</v>
          </cell>
          <cell r="D3384">
            <v>0</v>
          </cell>
          <cell r="E3384">
            <v>9000</v>
          </cell>
          <cell r="F3384">
            <v>0</v>
          </cell>
          <cell r="G3384">
            <v>0</v>
          </cell>
        </row>
        <row r="3385">
          <cell r="A3385" t="str">
            <v>26-03-01-0006</v>
          </cell>
          <cell r="B3385">
            <v>0</v>
          </cell>
          <cell r="C3385" t="str">
            <v xml:space="preserve">  SECURITY DEPOSIT ZAFAR IQBAL CONTRACTO</v>
          </cell>
          <cell r="D3385">
            <v>0</v>
          </cell>
          <cell r="E3385">
            <v>32000</v>
          </cell>
          <cell r="F3385">
            <v>0</v>
          </cell>
          <cell r="G3385">
            <v>0</v>
          </cell>
        </row>
        <row r="3386">
          <cell r="A3386" t="str">
            <v>26-03-01-0007</v>
          </cell>
          <cell r="B3386">
            <v>0</v>
          </cell>
          <cell r="C3386" t="str">
            <v xml:space="preserve">  SECURITY DEPOSIT SHER AFZAL CONTRACTOR</v>
          </cell>
          <cell r="D3386">
            <v>0</v>
          </cell>
          <cell r="E3386">
            <v>16000</v>
          </cell>
          <cell r="F3386">
            <v>0</v>
          </cell>
          <cell r="G3386">
            <v>0</v>
          </cell>
        </row>
        <row r="3387">
          <cell r="A3387" t="str">
            <v>26-03-01-0008</v>
          </cell>
          <cell r="B3387">
            <v>0</v>
          </cell>
          <cell r="C3387" t="str">
            <v xml:space="preserve">  SECURITY DEPOSIT MOHABBAT KHAN CONTRAC</v>
          </cell>
          <cell r="D3387">
            <v>0</v>
          </cell>
          <cell r="E3387">
            <v>0</v>
          </cell>
          <cell r="F3387">
            <v>0</v>
          </cell>
          <cell r="G3387">
            <v>0</v>
          </cell>
        </row>
        <row r="3388">
          <cell r="A3388" t="str">
            <v>26-03-01-0009</v>
          </cell>
          <cell r="B3388">
            <v>0</v>
          </cell>
          <cell r="C3388" t="str">
            <v xml:space="preserve">  SECURITY DEPOSIT ANWAR ALI CONTRACTOR</v>
          </cell>
          <cell r="D3388">
            <v>0</v>
          </cell>
          <cell r="E3388">
            <v>22000</v>
          </cell>
          <cell r="F3388">
            <v>0</v>
          </cell>
          <cell r="G3388">
            <v>0</v>
          </cell>
        </row>
        <row r="3389">
          <cell r="A3389" t="str">
            <v>26-03-01-0011</v>
          </cell>
          <cell r="B3389">
            <v>0</v>
          </cell>
          <cell r="C3389" t="str">
            <v xml:space="preserve">  SECURITY DEPOSIT BARKAT ALI KHAN</v>
          </cell>
          <cell r="D3389">
            <v>0</v>
          </cell>
          <cell r="E3389">
            <v>30000</v>
          </cell>
          <cell r="F3389">
            <v>0</v>
          </cell>
          <cell r="G3389">
            <v>0</v>
          </cell>
        </row>
        <row r="3390">
          <cell r="A3390" t="str">
            <v>26-03-01-0012</v>
          </cell>
          <cell r="B3390">
            <v>0</v>
          </cell>
          <cell r="C3390" t="str">
            <v xml:space="preserve">  SECURITY DEPOSIT MUHAMMAD ASHRAF</v>
          </cell>
          <cell r="D3390">
            <v>0</v>
          </cell>
          <cell r="E3390">
            <v>0</v>
          </cell>
          <cell r="F3390">
            <v>0</v>
          </cell>
          <cell r="G3390">
            <v>0</v>
          </cell>
        </row>
        <row r="3391">
          <cell r="A3391" t="str">
            <v>26-03-01-0013</v>
          </cell>
          <cell r="B3391">
            <v>0</v>
          </cell>
          <cell r="C3391" t="str">
            <v xml:space="preserve">  SECURITY DEPOSIT NAZIR HUSSAIN CONTRAC</v>
          </cell>
          <cell r="D3391">
            <v>0</v>
          </cell>
          <cell r="E3391">
            <v>0</v>
          </cell>
          <cell r="F3391">
            <v>0</v>
          </cell>
          <cell r="G3391">
            <v>0</v>
          </cell>
        </row>
        <row r="3392">
          <cell r="A3392" t="str">
            <v>26-03-01-0014</v>
          </cell>
          <cell r="B3392">
            <v>0</v>
          </cell>
          <cell r="C3392" t="str">
            <v xml:space="preserve">  SECURITY DEPOSIT SABIR HUSSAIN</v>
          </cell>
          <cell r="D3392">
            <v>0</v>
          </cell>
          <cell r="E3392">
            <v>17000</v>
          </cell>
          <cell r="F3392">
            <v>0</v>
          </cell>
          <cell r="G3392">
            <v>0</v>
          </cell>
        </row>
        <row r="3393">
          <cell r="A3393" t="str">
            <v>26-03-01-0015</v>
          </cell>
          <cell r="B3393">
            <v>0</v>
          </cell>
          <cell r="C3393" t="str">
            <v xml:space="preserve">  SECUIRITY DEPOSITS ALTAF HUSSAIN P.CON</v>
          </cell>
          <cell r="D3393">
            <v>0</v>
          </cell>
          <cell r="E3393">
            <v>0</v>
          </cell>
          <cell r="F3393">
            <v>0</v>
          </cell>
          <cell r="G3393">
            <v>0</v>
          </cell>
        </row>
        <row r="3394">
          <cell r="A3394" t="str">
            <v>26-03-01-0016</v>
          </cell>
          <cell r="B3394">
            <v>0</v>
          </cell>
          <cell r="C3394" t="str">
            <v xml:space="preserve">  SECURITY DEPOSIT MUHAMMAD NAWAZ PACK</v>
          </cell>
          <cell r="D3394">
            <v>0</v>
          </cell>
          <cell r="E3394">
            <v>0</v>
          </cell>
          <cell r="F3394">
            <v>0</v>
          </cell>
          <cell r="G3394">
            <v>0</v>
          </cell>
        </row>
        <row r="3395">
          <cell r="A3395" t="str">
            <v>26-03-01-0017</v>
          </cell>
          <cell r="B3395">
            <v>0</v>
          </cell>
          <cell r="C3395" t="str">
            <v xml:space="preserve">  SEC.DEPOSIT CANTEEN CONTRACTOR M # 1,2</v>
          </cell>
          <cell r="D3395">
            <v>0</v>
          </cell>
          <cell r="E3395">
            <v>25000</v>
          </cell>
          <cell r="F3395">
            <v>0</v>
          </cell>
          <cell r="G3395">
            <v>0</v>
          </cell>
        </row>
        <row r="3396">
          <cell r="A3396" t="str">
            <v>26-03-01-0018</v>
          </cell>
          <cell r="B3396">
            <v>0</v>
          </cell>
          <cell r="C3396" t="str">
            <v xml:space="preserve">  SEC DEPOSIT CANTEEN CONTRACTOR M # 3</v>
          </cell>
          <cell r="D3396">
            <v>0</v>
          </cell>
          <cell r="E3396">
            <v>25000</v>
          </cell>
          <cell r="F3396">
            <v>0</v>
          </cell>
          <cell r="G3396">
            <v>0</v>
          </cell>
        </row>
        <row r="3397">
          <cell r="A3397" t="str">
            <v>26-03-01-0020</v>
          </cell>
          <cell r="B3397">
            <v>0</v>
          </cell>
          <cell r="C3397" t="str">
            <v xml:space="preserve">  SECURITY DEPOSIT FAYYAZ HUSSAIN P.CONT</v>
          </cell>
          <cell r="D3397">
            <v>0</v>
          </cell>
          <cell r="E3397">
            <v>2000</v>
          </cell>
          <cell r="F3397">
            <v>0</v>
          </cell>
          <cell r="G3397">
            <v>0</v>
          </cell>
        </row>
        <row r="3398">
          <cell r="A3398" t="str">
            <v>26-03-01-0021</v>
          </cell>
          <cell r="B3398">
            <v>0</v>
          </cell>
          <cell r="C3398" t="str">
            <v xml:space="preserve">  SECURITY DEPOSIT MUAHAMMAD NAWAZ PACKI</v>
          </cell>
          <cell r="D3398">
            <v>0</v>
          </cell>
          <cell r="E3398">
            <v>26000</v>
          </cell>
          <cell r="F3398">
            <v>0</v>
          </cell>
          <cell r="G3398">
            <v>0</v>
          </cell>
        </row>
        <row r="3399">
          <cell r="A3399" t="str">
            <v>26-03-01-0022</v>
          </cell>
          <cell r="B3399">
            <v>0</v>
          </cell>
          <cell r="C3399" t="str">
            <v xml:space="preserve">  SECURITY DEPOSIT  MUHAMMAD ARSHAD</v>
          </cell>
          <cell r="D3399">
            <v>0</v>
          </cell>
          <cell r="E3399">
            <v>13000</v>
          </cell>
          <cell r="F3399">
            <v>0</v>
          </cell>
          <cell r="G3399">
            <v>0</v>
          </cell>
        </row>
        <row r="3400">
          <cell r="A3400" t="str">
            <v>26-03-01-0023</v>
          </cell>
          <cell r="B3400">
            <v>0</v>
          </cell>
          <cell r="C3400" t="str">
            <v xml:space="preserve">  SECURITY DEPOSIT  WARIS BAIG</v>
          </cell>
          <cell r="D3400">
            <v>0</v>
          </cell>
          <cell r="E3400">
            <v>12000</v>
          </cell>
          <cell r="F3400">
            <v>0</v>
          </cell>
          <cell r="G3400">
            <v>0</v>
          </cell>
        </row>
        <row r="3401">
          <cell r="A3401" t="str">
            <v>26-03-01-0024</v>
          </cell>
          <cell r="B3401">
            <v>0</v>
          </cell>
          <cell r="C3401" t="str">
            <v xml:space="preserve">  SECURITY DEPOSIT AZAD GOODS TRANSPORT</v>
          </cell>
          <cell r="D3401">
            <v>0</v>
          </cell>
          <cell r="E3401">
            <v>200000</v>
          </cell>
          <cell r="F3401">
            <v>0</v>
          </cell>
          <cell r="G3401">
            <v>0</v>
          </cell>
        </row>
        <row r="3402">
          <cell r="A3402" t="str">
            <v>26-03-01-0025</v>
          </cell>
          <cell r="B3402">
            <v>0</v>
          </cell>
          <cell r="C3402" t="str">
            <v xml:space="preserve">  SECURITY DEPOSIT MALIK MUSHTAQ GOODS</v>
          </cell>
          <cell r="D3402">
            <v>0</v>
          </cell>
          <cell r="E3402">
            <v>202500</v>
          </cell>
          <cell r="F3402">
            <v>0</v>
          </cell>
          <cell r="G3402">
            <v>0</v>
          </cell>
        </row>
        <row r="3403">
          <cell r="A3403" t="str">
            <v>26-03-01-0026</v>
          </cell>
          <cell r="B3403">
            <v>0</v>
          </cell>
          <cell r="C3403" t="str">
            <v xml:space="preserve">  SECURITY DEPOSIT ALLAH DITTA</v>
          </cell>
          <cell r="D3403">
            <v>0</v>
          </cell>
          <cell r="E3403">
            <v>11000</v>
          </cell>
          <cell r="F3403">
            <v>0</v>
          </cell>
          <cell r="G3403">
            <v>0</v>
          </cell>
        </row>
        <row r="3404">
          <cell r="A3404" t="str">
            <v>26-03-01-0027</v>
          </cell>
          <cell r="B3404">
            <v>0</v>
          </cell>
          <cell r="C3404" t="str">
            <v xml:space="preserve">  SECURITY DEPOSIT NAWAZ LOADIN CONT M-0</v>
          </cell>
          <cell r="D3404">
            <v>0</v>
          </cell>
          <cell r="E3404">
            <v>0</v>
          </cell>
          <cell r="F3404">
            <v>0</v>
          </cell>
          <cell r="G3404">
            <v>0</v>
          </cell>
        </row>
        <row r="3405">
          <cell r="A3405" t="str">
            <v>26-03-01-0028</v>
          </cell>
          <cell r="B3405">
            <v>0</v>
          </cell>
          <cell r="C3405" t="str">
            <v xml:space="preserve">  SECURITY DEPOSIT NAWAZ LOADING CONT M-</v>
          </cell>
          <cell r="D3405">
            <v>0</v>
          </cell>
          <cell r="E3405">
            <v>0</v>
          </cell>
          <cell r="F3405">
            <v>0</v>
          </cell>
          <cell r="G3405">
            <v>0</v>
          </cell>
        </row>
        <row r="3406">
          <cell r="A3406" t="str">
            <v>26-03-01-0029</v>
          </cell>
          <cell r="B3406">
            <v>0</v>
          </cell>
          <cell r="C3406" t="str">
            <v xml:space="preserve">  SECURITY DEPOSIT NEW HAJI ABBAS GOODS</v>
          </cell>
          <cell r="D3406">
            <v>0</v>
          </cell>
          <cell r="E3406">
            <v>20000</v>
          </cell>
          <cell r="F3406">
            <v>0</v>
          </cell>
          <cell r="G3406">
            <v>0</v>
          </cell>
        </row>
        <row r="3407">
          <cell r="A3407" t="str">
            <v>26-03-01-0030</v>
          </cell>
          <cell r="B3407">
            <v>0</v>
          </cell>
          <cell r="C3407" t="str">
            <v xml:space="preserve">  SECURITY DEPOSIT SALAMAT ALI PACKING C</v>
          </cell>
          <cell r="D3407">
            <v>0</v>
          </cell>
          <cell r="E3407">
            <v>12000</v>
          </cell>
          <cell r="F3407">
            <v>0</v>
          </cell>
          <cell r="G3407">
            <v>0</v>
          </cell>
        </row>
        <row r="3408">
          <cell r="A3408" t="str">
            <v>26-03-01-0031</v>
          </cell>
          <cell r="B3408">
            <v>0</v>
          </cell>
          <cell r="C3408" t="str">
            <v xml:space="preserve">  SECURITY DEPOSIT TALIB HUSSAIN PACKING</v>
          </cell>
          <cell r="D3408">
            <v>0</v>
          </cell>
          <cell r="E3408">
            <v>5000</v>
          </cell>
          <cell r="F3408">
            <v>0</v>
          </cell>
          <cell r="G3408">
            <v>0</v>
          </cell>
        </row>
        <row r="3409">
          <cell r="A3409" t="str">
            <v>26-03-01-0032</v>
          </cell>
          <cell r="B3409">
            <v>0</v>
          </cell>
          <cell r="C3409" t="str">
            <v xml:space="preserve">  SECURITY DEPOSIT TALIB HUSSAIN B/PRESS</v>
          </cell>
          <cell r="D3409">
            <v>0</v>
          </cell>
          <cell r="E3409">
            <v>8000</v>
          </cell>
          <cell r="F3409">
            <v>0</v>
          </cell>
          <cell r="G3409">
            <v>0</v>
          </cell>
        </row>
        <row r="3410">
          <cell r="A3410" t="str">
            <v>26-03-01-0033</v>
          </cell>
          <cell r="B3410">
            <v>0</v>
          </cell>
          <cell r="C3410" t="str">
            <v xml:space="preserve">  SECURITY DEPOSIT TAJ MUHAMMAD DOUBLE</v>
          </cell>
          <cell r="D3410">
            <v>0</v>
          </cell>
          <cell r="E3410">
            <v>0</v>
          </cell>
          <cell r="F3410">
            <v>0</v>
          </cell>
          <cell r="G3410">
            <v>0</v>
          </cell>
        </row>
        <row r="3411">
          <cell r="A3411" t="str">
            <v>26-03-01-0034</v>
          </cell>
          <cell r="B3411">
            <v>0</v>
          </cell>
          <cell r="C3411" t="str">
            <v xml:space="preserve">  SECURITY DEPOSIT GHULAM ABBAS LOAD.CON</v>
          </cell>
          <cell r="D3411">
            <v>0</v>
          </cell>
          <cell r="E3411">
            <v>6000</v>
          </cell>
          <cell r="F3411">
            <v>0</v>
          </cell>
          <cell r="G3411">
            <v>0</v>
          </cell>
        </row>
        <row r="3412">
          <cell r="A3412" t="str">
            <v>26-03-01-0035</v>
          </cell>
          <cell r="B3412">
            <v>0</v>
          </cell>
          <cell r="C3412" t="str">
            <v xml:space="preserve">  SECURITY DEPOSIT E-MOVERS (REGD)</v>
          </cell>
          <cell r="D3412">
            <v>0</v>
          </cell>
          <cell r="E3412">
            <v>0</v>
          </cell>
          <cell r="F3412">
            <v>0</v>
          </cell>
          <cell r="G3412">
            <v>0</v>
          </cell>
        </row>
        <row r="3413">
          <cell r="A3413" t="str">
            <v>26-03-01-0036</v>
          </cell>
          <cell r="B3413">
            <v>0</v>
          </cell>
          <cell r="C3413" t="str">
            <v xml:space="preserve">  SECURITY DEPOSIT MUHD.YOUSAF LOAD CONT</v>
          </cell>
          <cell r="D3413">
            <v>0</v>
          </cell>
          <cell r="E3413">
            <v>2000</v>
          </cell>
          <cell r="F3413">
            <v>0</v>
          </cell>
          <cell r="G3413">
            <v>0</v>
          </cell>
        </row>
        <row r="3414">
          <cell r="A3414" t="str">
            <v>26-03-01-0037</v>
          </cell>
          <cell r="B3414">
            <v>0</v>
          </cell>
          <cell r="C3414" t="str">
            <v xml:space="preserve">  SECURITY DEPOSIT MUHAMMAD SADIQ LOADIN</v>
          </cell>
          <cell r="D3414">
            <v>0</v>
          </cell>
          <cell r="E3414">
            <v>2000</v>
          </cell>
          <cell r="F3414">
            <v>0</v>
          </cell>
          <cell r="G3414">
            <v>0</v>
          </cell>
        </row>
        <row r="3415">
          <cell r="A3415" t="str">
            <v>26-03-02</v>
          </cell>
          <cell r="B3415">
            <v>0</v>
          </cell>
          <cell r="C3415" t="str">
            <v>***RETENTION MONEY</v>
          </cell>
          <cell r="D3415">
            <v>0</v>
          </cell>
          <cell r="E3415">
            <v>662714.37</v>
          </cell>
          <cell r="F3415">
            <v>0</v>
          </cell>
          <cell r="G3415">
            <v>662714.37</v>
          </cell>
        </row>
        <row r="3416">
          <cell r="A3416" t="str">
            <v>26-03-02-0001</v>
          </cell>
          <cell r="B3416">
            <v>662714</v>
          </cell>
          <cell r="C3416" t="str">
            <v xml:space="preserve">  RETENTION MONEY IZHAR (PVT) LIMITED</v>
          </cell>
          <cell r="D3416">
            <v>0</v>
          </cell>
          <cell r="E3416">
            <v>532422.21</v>
          </cell>
          <cell r="F3416">
            <v>0</v>
          </cell>
          <cell r="G3416">
            <v>0</v>
          </cell>
        </row>
        <row r="3417">
          <cell r="A3417" t="str">
            <v>26-03-02-0002</v>
          </cell>
          <cell r="B3417">
            <v>0</v>
          </cell>
          <cell r="C3417" t="str">
            <v xml:space="preserve">  RETENTION MONEY ZOOM ENGINEERS</v>
          </cell>
          <cell r="D3417">
            <v>0</v>
          </cell>
          <cell r="E3417">
            <v>0</v>
          </cell>
          <cell r="F3417">
            <v>0</v>
          </cell>
          <cell r="G3417">
            <v>0</v>
          </cell>
        </row>
        <row r="3418">
          <cell r="A3418" t="str">
            <v>26-03-02-0003</v>
          </cell>
          <cell r="B3418">
            <v>0</v>
          </cell>
          <cell r="C3418" t="str">
            <v xml:space="preserve">  RETENTION MONEY CURRENT BUSINESS CENTR</v>
          </cell>
          <cell r="D3418">
            <v>0</v>
          </cell>
          <cell r="E3418">
            <v>89283.16</v>
          </cell>
          <cell r="F3418">
            <v>0</v>
          </cell>
          <cell r="G3418">
            <v>0</v>
          </cell>
        </row>
        <row r="3419">
          <cell r="A3419" t="str">
            <v>26-03-02-0004</v>
          </cell>
          <cell r="B3419">
            <v>0</v>
          </cell>
          <cell r="C3419" t="str">
            <v xml:space="preserve">  RETENTION MONEY M.B ROOF</v>
          </cell>
          <cell r="D3419">
            <v>0</v>
          </cell>
          <cell r="E3419">
            <v>0</v>
          </cell>
          <cell r="F3419">
            <v>0</v>
          </cell>
          <cell r="G3419">
            <v>0</v>
          </cell>
        </row>
        <row r="3420">
          <cell r="A3420" t="str">
            <v>26-03-02-0005</v>
          </cell>
          <cell r="B3420">
            <v>0</v>
          </cell>
          <cell r="C3420" t="str">
            <v xml:space="preserve">  RETENTION MONEY PARAMOUNT</v>
          </cell>
          <cell r="D3420">
            <v>0</v>
          </cell>
          <cell r="E3420">
            <v>41009</v>
          </cell>
          <cell r="F3420">
            <v>0</v>
          </cell>
          <cell r="G3420">
            <v>0</v>
          </cell>
        </row>
        <row r="3421">
          <cell r="A3421" t="str">
            <v>26-03-02-0006</v>
          </cell>
          <cell r="B3421">
            <v>0</v>
          </cell>
          <cell r="C3421" t="str">
            <v xml:space="preserve">  RETENTION MONEY IZHAR CONSTRUCTION</v>
          </cell>
          <cell r="D3421">
            <v>0</v>
          </cell>
          <cell r="E3421">
            <v>0</v>
          </cell>
          <cell r="F3421">
            <v>0</v>
          </cell>
          <cell r="G3421">
            <v>0</v>
          </cell>
        </row>
        <row r="3422">
          <cell r="A3422" t="str">
            <v>26-03-02-0007</v>
          </cell>
          <cell r="B3422">
            <v>0</v>
          </cell>
          <cell r="C3422" t="str">
            <v xml:space="preserve">  RETENTION MONEY RANA CONSTRUCTION COMP</v>
          </cell>
          <cell r="D3422">
            <v>0</v>
          </cell>
          <cell r="E3422">
            <v>0</v>
          </cell>
          <cell r="F3422">
            <v>0</v>
          </cell>
          <cell r="G3422">
            <v>0</v>
          </cell>
        </row>
        <row r="3423">
          <cell r="A3423" t="str">
            <v>26-04</v>
          </cell>
          <cell r="B3423">
            <v>0</v>
          </cell>
          <cell r="C3423" t="str">
            <v>**OTHER LIABILITIES</v>
          </cell>
          <cell r="D3423">
            <v>0</v>
          </cell>
          <cell r="E3423">
            <v>400000</v>
          </cell>
          <cell r="F3423">
            <v>0</v>
          </cell>
          <cell r="G3423">
            <v>400000</v>
          </cell>
        </row>
        <row r="3424">
          <cell r="A3424" t="str">
            <v>26-04-01</v>
          </cell>
          <cell r="B3424">
            <v>400000</v>
          </cell>
          <cell r="C3424" t="str">
            <v>***OTHER LIABILITIES</v>
          </cell>
          <cell r="D3424">
            <v>0</v>
          </cell>
          <cell r="E3424">
            <v>400000</v>
          </cell>
          <cell r="F3424">
            <v>0</v>
          </cell>
          <cell r="G3424">
            <v>400000</v>
          </cell>
        </row>
        <row r="3425">
          <cell r="A3425" t="str">
            <v>26-04-01-0001</v>
          </cell>
          <cell r="B3425">
            <v>400000</v>
          </cell>
          <cell r="C3425" t="str">
            <v xml:space="preserve">  DEATH CLAIM RECEIVED FROM EFU</v>
          </cell>
          <cell r="D3425">
            <v>0</v>
          </cell>
          <cell r="E3425">
            <v>400000</v>
          </cell>
          <cell r="F3425">
            <v>0</v>
          </cell>
          <cell r="G3425">
            <v>0</v>
          </cell>
        </row>
        <row r="3426">
          <cell r="A3426" t="str">
            <v>27</v>
          </cell>
          <cell r="B3426">
            <v>0</v>
          </cell>
          <cell r="C3426" t="str">
            <v>*PROVISION FOR TAXATION</v>
          </cell>
          <cell r="D3426">
            <v>0</v>
          </cell>
          <cell r="E3426">
            <v>64305352.68</v>
          </cell>
          <cell r="F3426">
            <v>0</v>
          </cell>
          <cell r="G3426">
            <v>64305352.68</v>
          </cell>
        </row>
        <row r="3427">
          <cell r="A3427" t="str">
            <v>27-01</v>
          </cell>
          <cell r="B3427">
            <v>64305344</v>
          </cell>
          <cell r="C3427" t="str">
            <v>**PROVISION FOR TAXATION</v>
          </cell>
          <cell r="D3427">
            <v>0</v>
          </cell>
          <cell r="E3427">
            <v>64305352.68</v>
          </cell>
          <cell r="F3427">
            <v>0</v>
          </cell>
          <cell r="G3427">
            <v>64305352.68</v>
          </cell>
        </row>
        <row r="3428">
          <cell r="A3428" t="str">
            <v>27-01-01</v>
          </cell>
          <cell r="B3428">
            <v>64305344</v>
          </cell>
          <cell r="C3428" t="str">
            <v>***PROVISION FOR TAXATION</v>
          </cell>
          <cell r="D3428">
            <v>0</v>
          </cell>
          <cell r="E3428">
            <v>64305352.68</v>
          </cell>
          <cell r="F3428">
            <v>0</v>
          </cell>
          <cell r="G3428">
            <v>64305352.68</v>
          </cell>
        </row>
        <row r="3429">
          <cell r="A3429" t="str">
            <v>27-01-01-0001</v>
          </cell>
          <cell r="B3429">
            <v>64305344</v>
          </cell>
          <cell r="C3429" t="str">
            <v xml:space="preserve">  PROVISION FOR TAX ASSESSMENT 1991-92</v>
          </cell>
          <cell r="D3429">
            <v>0</v>
          </cell>
          <cell r="E3429">
            <v>0</v>
          </cell>
          <cell r="F3429">
            <v>0</v>
          </cell>
          <cell r="G3429">
            <v>0</v>
          </cell>
        </row>
        <row r="3430">
          <cell r="A3430" t="str">
            <v>27-01-01-0002</v>
          </cell>
          <cell r="B3430">
            <v>0</v>
          </cell>
          <cell r="C3430" t="str">
            <v xml:space="preserve">  PROVISION FOR TAX ASSESSMENT 1992-93</v>
          </cell>
          <cell r="D3430">
            <v>0</v>
          </cell>
          <cell r="E3430">
            <v>0</v>
          </cell>
          <cell r="F3430">
            <v>0</v>
          </cell>
          <cell r="G3430">
            <v>0</v>
          </cell>
        </row>
        <row r="3431">
          <cell r="A3431" t="str">
            <v>27-01-01-0003</v>
          </cell>
          <cell r="B3431">
            <v>0</v>
          </cell>
          <cell r="C3431" t="str">
            <v xml:space="preserve">  PROVISION FOR TAX ASSESSMENT 1993-94</v>
          </cell>
          <cell r="D3431">
            <v>0</v>
          </cell>
          <cell r="E3431">
            <v>0</v>
          </cell>
          <cell r="F3431">
            <v>0</v>
          </cell>
          <cell r="G3431">
            <v>0</v>
          </cell>
        </row>
        <row r="3432">
          <cell r="A3432" t="str">
            <v>27-01-01-0004</v>
          </cell>
          <cell r="B3432">
            <v>0</v>
          </cell>
          <cell r="C3432" t="str">
            <v xml:space="preserve">  PROVISION FOR TAX ASSESSMENT 1994-95</v>
          </cell>
          <cell r="D3432">
            <v>0</v>
          </cell>
          <cell r="E3432">
            <v>0</v>
          </cell>
          <cell r="F3432">
            <v>0</v>
          </cell>
          <cell r="G3432">
            <v>0</v>
          </cell>
        </row>
        <row r="3433">
          <cell r="A3433" t="str">
            <v>27-01-01-0005</v>
          </cell>
          <cell r="B3433">
            <v>0</v>
          </cell>
          <cell r="C3433" t="str">
            <v xml:space="preserve">  PROVISION FOR TAX ASSESSMENT 1995-96</v>
          </cell>
          <cell r="D3433">
            <v>0</v>
          </cell>
          <cell r="E3433">
            <v>0</v>
          </cell>
          <cell r="F3433">
            <v>0</v>
          </cell>
          <cell r="G3433">
            <v>0</v>
          </cell>
        </row>
        <row r="3434">
          <cell r="A3434" t="str">
            <v>27-01-01-0006</v>
          </cell>
          <cell r="B3434">
            <v>0</v>
          </cell>
          <cell r="C3434" t="str">
            <v xml:space="preserve">  PROVISION FOR TAX ASSESSMENT 1996-97</v>
          </cell>
          <cell r="D3434">
            <v>0</v>
          </cell>
          <cell r="E3434">
            <v>0</v>
          </cell>
          <cell r="F3434">
            <v>0</v>
          </cell>
          <cell r="G3434">
            <v>0</v>
          </cell>
        </row>
        <row r="3435">
          <cell r="A3435" t="str">
            <v>27-01-01-0007</v>
          </cell>
          <cell r="B3435">
            <v>0</v>
          </cell>
          <cell r="C3435" t="str">
            <v xml:space="preserve">  PROVISION FOR TAX ASSESSMENT 1997-98</v>
          </cell>
          <cell r="D3435">
            <v>0</v>
          </cell>
          <cell r="E3435">
            <v>0</v>
          </cell>
          <cell r="F3435">
            <v>0</v>
          </cell>
          <cell r="G3435">
            <v>0</v>
          </cell>
        </row>
        <row r="3436">
          <cell r="A3436" t="str">
            <v>27-01-01-0008</v>
          </cell>
          <cell r="B3436">
            <v>0</v>
          </cell>
          <cell r="C3436" t="str">
            <v xml:space="preserve">  PROVISION FOR TAX ASSESSMENT 1998-99</v>
          </cell>
          <cell r="D3436">
            <v>0</v>
          </cell>
          <cell r="E3436">
            <v>0</v>
          </cell>
          <cell r="F3436">
            <v>0</v>
          </cell>
          <cell r="G3436">
            <v>0</v>
          </cell>
        </row>
        <row r="3437">
          <cell r="A3437" t="str">
            <v>27-01-01-0009</v>
          </cell>
          <cell r="B3437">
            <v>0</v>
          </cell>
          <cell r="C3437" t="str">
            <v xml:space="preserve">  PROVISION FOR TAX ASSESSMENT 1999-2000</v>
          </cell>
          <cell r="D3437">
            <v>0</v>
          </cell>
          <cell r="E3437">
            <v>0</v>
          </cell>
          <cell r="F3437">
            <v>0</v>
          </cell>
          <cell r="G3437">
            <v>0</v>
          </cell>
        </row>
        <row r="3438">
          <cell r="A3438" t="str">
            <v>27-01-01-0010</v>
          </cell>
          <cell r="B3438">
            <v>0</v>
          </cell>
          <cell r="C3438" t="str">
            <v xml:space="preserve">  PROVISION FOR TAX ASSESSMENT 2000-2001</v>
          </cell>
          <cell r="D3438">
            <v>0</v>
          </cell>
          <cell r="E3438">
            <v>0</v>
          </cell>
          <cell r="F3438">
            <v>0</v>
          </cell>
          <cell r="G3438">
            <v>0</v>
          </cell>
        </row>
        <row r="3439">
          <cell r="A3439" t="str">
            <v>27-01-01-0011</v>
          </cell>
          <cell r="B3439">
            <v>0</v>
          </cell>
          <cell r="C3439" t="str">
            <v xml:space="preserve">  PROVISION FOR TAX ASSESSMENT 2001-2002</v>
          </cell>
          <cell r="D3439">
            <v>0</v>
          </cell>
          <cell r="E3439">
            <v>21031099.68</v>
          </cell>
          <cell r="F3439">
            <v>0</v>
          </cell>
          <cell r="G3439">
            <v>0</v>
          </cell>
        </row>
        <row r="3440">
          <cell r="A3440" t="str">
            <v>27-01-01-0012</v>
          </cell>
          <cell r="B3440">
            <v>0</v>
          </cell>
          <cell r="C3440" t="str">
            <v xml:space="preserve">  PROVISION FOR TAX ASSESSMENT 2002-2003</v>
          </cell>
          <cell r="D3440">
            <v>0</v>
          </cell>
          <cell r="E3440">
            <v>0</v>
          </cell>
          <cell r="F3440">
            <v>0</v>
          </cell>
          <cell r="G3440">
            <v>0</v>
          </cell>
        </row>
        <row r="3441">
          <cell r="A3441" t="str">
            <v>27-01-01-0013</v>
          </cell>
          <cell r="B3441">
            <v>0</v>
          </cell>
          <cell r="C3441" t="str">
            <v xml:space="preserve">  PROVISION FOR TAX ASSESSMENT 2003-2004</v>
          </cell>
          <cell r="D3441">
            <v>0</v>
          </cell>
          <cell r="E3441">
            <v>20377397</v>
          </cell>
          <cell r="F3441">
            <v>0</v>
          </cell>
          <cell r="G3441">
            <v>0</v>
          </cell>
        </row>
        <row r="3442">
          <cell r="A3442" t="str">
            <v>27-01-01-0014</v>
          </cell>
          <cell r="B3442">
            <v>0</v>
          </cell>
          <cell r="C3442" t="str">
            <v xml:space="preserve">  PROVISION FOR TAX ASSESSMENT 2004-2005</v>
          </cell>
          <cell r="D3442">
            <v>0</v>
          </cell>
          <cell r="E3442">
            <v>22896856</v>
          </cell>
          <cell r="F3442">
            <v>0</v>
          </cell>
          <cell r="G3442">
            <v>0</v>
          </cell>
        </row>
        <row r="3443">
          <cell r="A3443" t="str">
            <v>28</v>
          </cell>
          <cell r="B3443">
            <v>0</v>
          </cell>
          <cell r="C3443" t="str">
            <v>*DIVIDEND PAYABLE</v>
          </cell>
          <cell r="D3443">
            <v>0</v>
          </cell>
          <cell r="E3443">
            <v>5322730.24</v>
          </cell>
          <cell r="F3443">
            <v>0</v>
          </cell>
          <cell r="G3443">
            <v>5322730.24</v>
          </cell>
        </row>
        <row r="3444">
          <cell r="A3444" t="str">
            <v>28-01</v>
          </cell>
          <cell r="B3444">
            <v>5322728</v>
          </cell>
          <cell r="C3444" t="str">
            <v>**DIVIDEND PAYABLE</v>
          </cell>
          <cell r="D3444">
            <v>0</v>
          </cell>
          <cell r="E3444">
            <v>5322730.24</v>
          </cell>
          <cell r="F3444">
            <v>0</v>
          </cell>
          <cell r="G3444">
            <v>5322730.24</v>
          </cell>
        </row>
        <row r="3445">
          <cell r="A3445" t="str">
            <v>28-01-01</v>
          </cell>
          <cell r="B3445">
            <v>5322728</v>
          </cell>
          <cell r="C3445" t="str">
            <v>***DIVIDEND PAYABLE</v>
          </cell>
          <cell r="D3445">
            <v>0</v>
          </cell>
          <cell r="E3445">
            <v>5322730.24</v>
          </cell>
          <cell r="F3445">
            <v>0</v>
          </cell>
          <cell r="G3445">
            <v>5322730.24</v>
          </cell>
        </row>
        <row r="3446">
          <cell r="A3446" t="str">
            <v>28-01-01-0001</v>
          </cell>
          <cell r="B3446">
            <v>5322728</v>
          </cell>
          <cell r="C3446" t="str">
            <v xml:space="preserve">   IST DIVIDEND PAYABLE 1993-94</v>
          </cell>
          <cell r="D3446">
            <v>0</v>
          </cell>
          <cell r="E3446">
            <v>461097</v>
          </cell>
          <cell r="F3446">
            <v>0</v>
          </cell>
          <cell r="G3446">
            <v>0</v>
          </cell>
        </row>
        <row r="3447">
          <cell r="A3447" t="str">
            <v>28-01-01-0002</v>
          </cell>
          <cell r="B3447">
            <v>0</v>
          </cell>
          <cell r="C3447" t="str">
            <v xml:space="preserve">   2ND DIVIDEND PAYABLE 1994-95</v>
          </cell>
          <cell r="D3447">
            <v>0</v>
          </cell>
          <cell r="E3447">
            <v>356359</v>
          </cell>
          <cell r="F3447">
            <v>0</v>
          </cell>
          <cell r="G3447">
            <v>0</v>
          </cell>
        </row>
        <row r="3448">
          <cell r="A3448" t="str">
            <v>28-01-01-0003</v>
          </cell>
          <cell r="B3448">
            <v>0</v>
          </cell>
          <cell r="C3448" t="str">
            <v xml:space="preserve">   3RD DIVIDEND PAYABLE 1995-96</v>
          </cell>
          <cell r="D3448">
            <v>0</v>
          </cell>
          <cell r="E3448">
            <v>362894</v>
          </cell>
          <cell r="F3448">
            <v>0</v>
          </cell>
          <cell r="G3448">
            <v>0</v>
          </cell>
        </row>
        <row r="3449">
          <cell r="A3449" t="str">
            <v>28-01-01-0004</v>
          </cell>
          <cell r="B3449">
            <v>0</v>
          </cell>
          <cell r="C3449" t="str">
            <v xml:space="preserve">   4TH DIVIDEND PAYABLE 1996-97 INTERIAM</v>
          </cell>
          <cell r="D3449">
            <v>0</v>
          </cell>
          <cell r="E3449">
            <v>151862</v>
          </cell>
          <cell r="F3449">
            <v>0</v>
          </cell>
          <cell r="G3449">
            <v>0</v>
          </cell>
        </row>
        <row r="3450">
          <cell r="A3450" t="str">
            <v>28-01-01-0005</v>
          </cell>
          <cell r="B3450">
            <v>0</v>
          </cell>
          <cell r="C3450" t="str">
            <v xml:space="preserve">   5TH DIVIDEND PAYABLE 1996-97</v>
          </cell>
          <cell r="D3450">
            <v>0</v>
          </cell>
          <cell r="E3450">
            <v>290904</v>
          </cell>
          <cell r="F3450">
            <v>0</v>
          </cell>
          <cell r="G3450">
            <v>0</v>
          </cell>
        </row>
        <row r="3451">
          <cell r="A3451" t="str">
            <v>28-01-01-0006</v>
          </cell>
          <cell r="B3451">
            <v>0</v>
          </cell>
          <cell r="C3451" t="str">
            <v xml:space="preserve">   6TH DIVIDEND PAYABLE 1997-98</v>
          </cell>
          <cell r="D3451">
            <v>0</v>
          </cell>
          <cell r="E3451">
            <v>427818</v>
          </cell>
          <cell r="F3451">
            <v>0</v>
          </cell>
          <cell r="G3451">
            <v>0</v>
          </cell>
        </row>
        <row r="3452">
          <cell r="A3452" t="str">
            <v>28-01-01-0007</v>
          </cell>
          <cell r="B3452">
            <v>0</v>
          </cell>
          <cell r="C3452" t="str">
            <v xml:space="preserve">   7TH DIVIDEND PAYABLE 1997-98</v>
          </cell>
          <cell r="D3452">
            <v>0</v>
          </cell>
          <cell r="E3452">
            <v>162973.34</v>
          </cell>
          <cell r="F3452">
            <v>0</v>
          </cell>
          <cell r="G3452">
            <v>0</v>
          </cell>
        </row>
        <row r="3453">
          <cell r="A3453" t="str">
            <v>28-01-01-0008</v>
          </cell>
          <cell r="B3453">
            <v>0</v>
          </cell>
          <cell r="C3453" t="str">
            <v xml:space="preserve">   8TH DIVIDEND PAYABLE 1998-99</v>
          </cell>
          <cell r="D3453">
            <v>0</v>
          </cell>
          <cell r="E3453">
            <v>491716</v>
          </cell>
          <cell r="F3453">
            <v>0</v>
          </cell>
          <cell r="G3453">
            <v>0</v>
          </cell>
        </row>
        <row r="3454">
          <cell r="A3454" t="str">
            <v>28-01-01-0009</v>
          </cell>
          <cell r="B3454">
            <v>0</v>
          </cell>
          <cell r="C3454" t="str">
            <v xml:space="preserve">   9TH DIVIDEND PAYABLE 1999-2000</v>
          </cell>
          <cell r="D3454">
            <v>0</v>
          </cell>
          <cell r="E3454">
            <v>1173522.8999999999</v>
          </cell>
          <cell r="F3454">
            <v>0</v>
          </cell>
          <cell r="G3454">
            <v>0</v>
          </cell>
        </row>
        <row r="3455">
          <cell r="A3455" t="str">
            <v>28-01-01-0010</v>
          </cell>
          <cell r="B3455">
            <v>0</v>
          </cell>
          <cell r="C3455" t="str">
            <v xml:space="preserve">  10TH DIVIDEND PAYABLE 2000-2001</v>
          </cell>
          <cell r="D3455">
            <v>0</v>
          </cell>
          <cell r="E3455">
            <v>788372</v>
          </cell>
          <cell r="F3455">
            <v>0</v>
          </cell>
          <cell r="G3455">
            <v>0</v>
          </cell>
        </row>
        <row r="3456">
          <cell r="A3456" t="str">
            <v>28-01-01-0011</v>
          </cell>
          <cell r="B3456">
            <v>0</v>
          </cell>
          <cell r="C3456" t="str">
            <v xml:space="preserve">  11TH DIVIDEND PAYABLE 2001-2002</v>
          </cell>
          <cell r="D3456">
            <v>0</v>
          </cell>
          <cell r="E3456">
            <v>401792</v>
          </cell>
          <cell r="F3456">
            <v>0</v>
          </cell>
          <cell r="G3456">
            <v>0</v>
          </cell>
        </row>
        <row r="3457">
          <cell r="A3457" t="str">
            <v>28-01-01-0012</v>
          </cell>
          <cell r="B3457">
            <v>0</v>
          </cell>
          <cell r="C3457" t="str">
            <v xml:space="preserve">  12TH DIVIDEND PAYABLE 2002-2003</v>
          </cell>
          <cell r="D3457">
            <v>0</v>
          </cell>
          <cell r="E3457">
            <v>253420</v>
          </cell>
          <cell r="F3457">
            <v>0</v>
          </cell>
          <cell r="G3457">
            <v>0</v>
          </cell>
        </row>
        <row r="3458">
          <cell r="A3458" t="str">
            <v>28-01-02</v>
          </cell>
          <cell r="B3458">
            <v>0</v>
          </cell>
          <cell r="C3458" t="str">
            <v>***PROPOSED DIVIDEND</v>
          </cell>
          <cell r="D3458">
            <v>0</v>
          </cell>
          <cell r="E3458">
            <v>0</v>
          </cell>
          <cell r="F3458">
            <v>0</v>
          </cell>
          <cell r="G3458">
            <v>0</v>
          </cell>
        </row>
        <row r="3459">
          <cell r="A3459" t="str">
            <v>28-01-02-0001</v>
          </cell>
          <cell r="B3459">
            <v>0</v>
          </cell>
          <cell r="C3459" t="str">
            <v xml:space="preserve">  PROPOSED DIVIDEND</v>
          </cell>
          <cell r="D3459">
            <v>0</v>
          </cell>
          <cell r="E3459">
            <v>0</v>
          </cell>
          <cell r="F3459">
            <v>0</v>
          </cell>
          <cell r="G3459">
            <v>0</v>
          </cell>
        </row>
        <row r="3460">
          <cell r="A3460" t="str">
            <v>31</v>
          </cell>
          <cell r="B3460">
            <v>0</v>
          </cell>
          <cell r="C3460" t="str">
            <v>*FIXED TANGIBLE ASSETS</v>
          </cell>
          <cell r="D3460">
            <v>4402319065.79</v>
          </cell>
          <cell r="E3460">
            <v>0</v>
          </cell>
          <cell r="F3460">
            <v>4402319065.79</v>
          </cell>
          <cell r="G3460">
            <v>0</v>
          </cell>
        </row>
        <row r="3461">
          <cell r="A3461" t="str">
            <v>31-01</v>
          </cell>
          <cell r="B3461">
            <v>0</v>
          </cell>
          <cell r="C3461" t="str">
            <v>**LAND</v>
          </cell>
          <cell r="D3461">
            <v>32827370.5</v>
          </cell>
          <cell r="E3461">
            <v>0</v>
          </cell>
          <cell r="F3461">
            <v>32827370.5</v>
          </cell>
          <cell r="G3461">
            <v>0</v>
          </cell>
        </row>
        <row r="3462">
          <cell r="A3462" t="str">
            <v>31-01-01</v>
          </cell>
          <cell r="B3462">
            <v>0</v>
          </cell>
          <cell r="C3462" t="str">
            <v>***LAND FREE HOLD</v>
          </cell>
          <cell r="D3462">
            <v>879915</v>
          </cell>
          <cell r="E3462">
            <v>0</v>
          </cell>
          <cell r="F3462">
            <v>879915</v>
          </cell>
          <cell r="G3462">
            <v>0</v>
          </cell>
        </row>
        <row r="3463">
          <cell r="A3463" t="str">
            <v>31-01-01-0001</v>
          </cell>
          <cell r="B3463">
            <v>0</v>
          </cell>
          <cell r="C3463" t="str">
            <v xml:space="preserve">  LAND FREE HOLD</v>
          </cell>
          <cell r="D3463">
            <v>879915</v>
          </cell>
          <cell r="E3463">
            <v>0</v>
          </cell>
          <cell r="F3463">
            <v>0</v>
          </cell>
          <cell r="G3463">
            <v>0</v>
          </cell>
        </row>
        <row r="3464">
          <cell r="A3464" t="str">
            <v>31-01-02</v>
          </cell>
          <cell r="B3464">
            <v>0</v>
          </cell>
          <cell r="C3464" t="str">
            <v>***LAND LEASE HOLD</v>
          </cell>
          <cell r="D3464">
            <v>31947455.5</v>
          </cell>
          <cell r="E3464">
            <v>0</v>
          </cell>
          <cell r="F3464">
            <v>31947455.5</v>
          </cell>
          <cell r="G3464">
            <v>0</v>
          </cell>
        </row>
        <row r="3465">
          <cell r="A3465" t="str">
            <v>31-01-02-0001</v>
          </cell>
          <cell r="B3465">
            <v>0</v>
          </cell>
          <cell r="C3465" t="str">
            <v xml:space="preserve">  LAND LEASE HOLD</v>
          </cell>
          <cell r="D3465">
            <v>31947455.5</v>
          </cell>
          <cell r="E3465">
            <v>0</v>
          </cell>
          <cell r="F3465">
            <v>0</v>
          </cell>
          <cell r="G3465">
            <v>0</v>
          </cell>
        </row>
        <row r="3466">
          <cell r="A3466" t="str">
            <v>31-02</v>
          </cell>
          <cell r="B3466">
            <v>0</v>
          </cell>
          <cell r="C3466" t="str">
            <v>**BUILDING</v>
          </cell>
          <cell r="D3466">
            <v>649628641.38999999</v>
          </cell>
          <cell r="E3466">
            <v>0</v>
          </cell>
          <cell r="F3466">
            <v>649628641.38999999</v>
          </cell>
          <cell r="G3466">
            <v>0</v>
          </cell>
        </row>
        <row r="3467">
          <cell r="A3467" t="str">
            <v>31-02-01</v>
          </cell>
          <cell r="B3467">
            <v>0</v>
          </cell>
          <cell r="C3467" t="str">
            <v>***FACTORY BUILDING</v>
          </cell>
          <cell r="D3467">
            <v>368163532.17000002</v>
          </cell>
          <cell r="E3467">
            <v>0</v>
          </cell>
          <cell r="F3467">
            <v>368163532.17000002</v>
          </cell>
          <cell r="G3467">
            <v>0</v>
          </cell>
        </row>
        <row r="3468">
          <cell r="A3468" t="str">
            <v>31-02-01-0001</v>
          </cell>
          <cell r="B3468">
            <v>0</v>
          </cell>
          <cell r="C3468" t="str">
            <v xml:space="preserve">  FACTORY BUILDING</v>
          </cell>
          <cell r="D3468">
            <v>235091932.31999999</v>
          </cell>
          <cell r="E3468">
            <v>0</v>
          </cell>
          <cell r="F3468">
            <v>0</v>
          </cell>
          <cell r="G3468">
            <v>0</v>
          </cell>
        </row>
        <row r="3469">
          <cell r="A3469" t="str">
            <v>31-02-01-0002</v>
          </cell>
          <cell r="B3469">
            <v>0</v>
          </cell>
          <cell r="C3469" t="str">
            <v xml:space="preserve">  COMPACT SPINNING- BUILDING COVERED ARE</v>
          </cell>
          <cell r="D3469">
            <v>19234542.350000001</v>
          </cell>
          <cell r="E3469">
            <v>0</v>
          </cell>
          <cell r="F3469">
            <v>0</v>
          </cell>
          <cell r="G3469">
            <v>0</v>
          </cell>
        </row>
        <row r="3470">
          <cell r="A3470" t="str">
            <v>31-02-01-0003</v>
          </cell>
          <cell r="B3470">
            <v>0</v>
          </cell>
          <cell r="C3470" t="str">
            <v xml:space="preserve">  FACTORY BUILDING MILL # 6</v>
          </cell>
          <cell r="D3470">
            <v>59010888.5</v>
          </cell>
          <cell r="E3470">
            <v>0</v>
          </cell>
          <cell r="F3470">
            <v>0</v>
          </cell>
          <cell r="G3470">
            <v>0</v>
          </cell>
        </row>
        <row r="3471">
          <cell r="A3471" t="str">
            <v>31-02-01-0004</v>
          </cell>
          <cell r="B3471">
            <v>0</v>
          </cell>
          <cell r="C3471" t="str">
            <v xml:space="preserve">  FACTORY BUILDING MILL # 07</v>
          </cell>
          <cell r="D3471">
            <v>46650382</v>
          </cell>
          <cell r="E3471">
            <v>0</v>
          </cell>
          <cell r="F3471">
            <v>0</v>
          </cell>
          <cell r="G3471">
            <v>0</v>
          </cell>
        </row>
        <row r="3472">
          <cell r="A3472" t="str">
            <v>31-02-01-0005</v>
          </cell>
          <cell r="B3472">
            <v>0</v>
          </cell>
          <cell r="C3472" t="str">
            <v xml:space="preserve">  DOUBLING DEPTT OF MILL # 03.</v>
          </cell>
          <cell r="D3472">
            <v>8175787</v>
          </cell>
          <cell r="E3472">
            <v>0</v>
          </cell>
          <cell r="F3472">
            <v>0</v>
          </cell>
          <cell r="G3472">
            <v>0</v>
          </cell>
        </row>
        <row r="3473">
          <cell r="A3473" t="str">
            <v>31-02-02</v>
          </cell>
          <cell r="B3473">
            <v>0</v>
          </cell>
          <cell r="C3473" t="str">
            <v>***NON FACTORY BUILDING</v>
          </cell>
          <cell r="D3473">
            <v>42268292.390000001</v>
          </cell>
          <cell r="E3473">
            <v>0</v>
          </cell>
          <cell r="F3473">
            <v>42268292.390000001</v>
          </cell>
          <cell r="G3473">
            <v>0</v>
          </cell>
        </row>
        <row r="3474">
          <cell r="A3474" t="str">
            <v>31-02-02-0001</v>
          </cell>
          <cell r="B3474">
            <v>0</v>
          </cell>
          <cell r="C3474" t="str">
            <v xml:space="preserve">  NON FACTORY BUILDING</v>
          </cell>
          <cell r="D3474">
            <v>32782700.390000001</v>
          </cell>
          <cell r="E3474">
            <v>0</v>
          </cell>
          <cell r="F3474">
            <v>0</v>
          </cell>
          <cell r="G3474">
            <v>0</v>
          </cell>
        </row>
        <row r="3475">
          <cell r="A3475" t="str">
            <v>31-02-02-0002</v>
          </cell>
          <cell r="B3475">
            <v>0</v>
          </cell>
          <cell r="C3475" t="str">
            <v xml:space="preserve">  NEW MOSQUE</v>
          </cell>
          <cell r="D3475">
            <v>9485592</v>
          </cell>
          <cell r="E3475">
            <v>0</v>
          </cell>
          <cell r="F3475">
            <v>0</v>
          </cell>
          <cell r="G3475">
            <v>0</v>
          </cell>
        </row>
        <row r="3476">
          <cell r="A3476" t="str">
            <v>31-02-03</v>
          </cell>
          <cell r="B3476">
            <v>0</v>
          </cell>
          <cell r="C3476" t="str">
            <v>***LABOUR COLONY</v>
          </cell>
          <cell r="D3476">
            <v>88219650.739999995</v>
          </cell>
          <cell r="E3476">
            <v>0</v>
          </cell>
          <cell r="F3476">
            <v>88219650.739999995</v>
          </cell>
          <cell r="G3476">
            <v>0</v>
          </cell>
        </row>
        <row r="3477">
          <cell r="A3477" t="str">
            <v>31-02-03-0001</v>
          </cell>
          <cell r="B3477">
            <v>0</v>
          </cell>
          <cell r="C3477" t="str">
            <v xml:space="preserve">  LABOUR COLONY</v>
          </cell>
          <cell r="D3477">
            <v>19423694.739999998</v>
          </cell>
          <cell r="E3477">
            <v>0</v>
          </cell>
          <cell r="F3477">
            <v>0</v>
          </cell>
          <cell r="G3477">
            <v>0</v>
          </cell>
        </row>
        <row r="3478">
          <cell r="A3478" t="str">
            <v>31-02-03-0002</v>
          </cell>
          <cell r="B3478">
            <v>0</v>
          </cell>
          <cell r="C3478" t="str">
            <v xml:space="preserve">  LABOUR COLONY SINGLE ROOM.</v>
          </cell>
          <cell r="D3478">
            <v>25576693</v>
          </cell>
          <cell r="E3478">
            <v>0</v>
          </cell>
          <cell r="F3478">
            <v>0</v>
          </cell>
          <cell r="G3478">
            <v>0</v>
          </cell>
        </row>
        <row r="3479">
          <cell r="A3479" t="str">
            <v>31-02-03-0003</v>
          </cell>
          <cell r="B3479">
            <v>0</v>
          </cell>
          <cell r="C3479" t="str">
            <v xml:space="preserve">  LABOUR COLONY IN ROAD # 05.</v>
          </cell>
          <cell r="D3479">
            <v>21458149</v>
          </cell>
          <cell r="E3479">
            <v>0</v>
          </cell>
          <cell r="F3479">
            <v>0</v>
          </cell>
          <cell r="G3479">
            <v>0</v>
          </cell>
        </row>
        <row r="3480">
          <cell r="A3480" t="str">
            <v>31-02-03-0004</v>
          </cell>
          <cell r="B3480">
            <v>0</v>
          </cell>
          <cell r="C3480" t="str">
            <v xml:space="preserve">  LABOUR COLONY MILL # 1 &amp; 2</v>
          </cell>
          <cell r="D3480">
            <v>21761114</v>
          </cell>
          <cell r="E3480">
            <v>0</v>
          </cell>
          <cell r="F3480">
            <v>0</v>
          </cell>
          <cell r="G3480">
            <v>0</v>
          </cell>
        </row>
        <row r="3481">
          <cell r="A3481" t="str">
            <v>31-02-04</v>
          </cell>
          <cell r="B3481">
            <v>0</v>
          </cell>
          <cell r="C3481" t="str">
            <v>***BACHLER HOSTEL</v>
          </cell>
          <cell r="D3481">
            <v>168442</v>
          </cell>
          <cell r="E3481">
            <v>0</v>
          </cell>
          <cell r="F3481">
            <v>168442</v>
          </cell>
          <cell r="G3481">
            <v>0</v>
          </cell>
        </row>
        <row r="3482">
          <cell r="A3482" t="str">
            <v>31-02-04-0001</v>
          </cell>
          <cell r="B3482">
            <v>0</v>
          </cell>
          <cell r="C3482" t="str">
            <v xml:space="preserve">  BACHLER HOSTEL</v>
          </cell>
          <cell r="D3482">
            <v>168442</v>
          </cell>
          <cell r="E3482">
            <v>0</v>
          </cell>
          <cell r="F3482">
            <v>0</v>
          </cell>
          <cell r="G3482">
            <v>0</v>
          </cell>
        </row>
        <row r="3483">
          <cell r="A3483" t="str">
            <v>31-02-05</v>
          </cell>
          <cell r="B3483">
            <v>0</v>
          </cell>
          <cell r="C3483" t="str">
            <v>***OFFICER COLONY</v>
          </cell>
          <cell r="D3483">
            <v>124790</v>
          </cell>
          <cell r="E3483">
            <v>0</v>
          </cell>
          <cell r="F3483">
            <v>124790</v>
          </cell>
          <cell r="G3483">
            <v>0</v>
          </cell>
        </row>
        <row r="3484">
          <cell r="A3484" t="str">
            <v>31-02-05-0001</v>
          </cell>
          <cell r="B3484">
            <v>0</v>
          </cell>
          <cell r="C3484" t="str">
            <v xml:space="preserve">  OFFICER COLONY</v>
          </cell>
          <cell r="D3484">
            <v>124790</v>
          </cell>
          <cell r="E3484">
            <v>0</v>
          </cell>
          <cell r="F3484">
            <v>0</v>
          </cell>
          <cell r="G3484">
            <v>0</v>
          </cell>
        </row>
        <row r="3485">
          <cell r="A3485" t="str">
            <v>31-02-06</v>
          </cell>
          <cell r="B3485">
            <v>0</v>
          </cell>
          <cell r="C3485" t="str">
            <v>***WORKER COLONY</v>
          </cell>
          <cell r="D3485">
            <v>17185452</v>
          </cell>
          <cell r="E3485">
            <v>0</v>
          </cell>
          <cell r="F3485">
            <v>17185452</v>
          </cell>
          <cell r="G3485">
            <v>0</v>
          </cell>
        </row>
        <row r="3486">
          <cell r="A3486" t="str">
            <v>31-02-06-0001</v>
          </cell>
          <cell r="B3486">
            <v>0</v>
          </cell>
          <cell r="C3486" t="str">
            <v xml:space="preserve">  WORKER COLONY.</v>
          </cell>
          <cell r="D3486">
            <v>17185452</v>
          </cell>
          <cell r="E3486">
            <v>0</v>
          </cell>
          <cell r="F3486">
            <v>0</v>
          </cell>
          <cell r="G3486">
            <v>0</v>
          </cell>
        </row>
        <row r="3487">
          <cell r="A3487" t="str">
            <v>31-02-07</v>
          </cell>
          <cell r="B3487">
            <v>0</v>
          </cell>
          <cell r="C3487" t="str">
            <v>***FAMILY COLONY</v>
          </cell>
          <cell r="D3487">
            <v>41081784.030000001</v>
          </cell>
          <cell r="E3487">
            <v>0</v>
          </cell>
          <cell r="F3487">
            <v>41081784.030000001</v>
          </cell>
          <cell r="G3487">
            <v>0</v>
          </cell>
        </row>
        <row r="3488">
          <cell r="A3488" t="str">
            <v>31-02-07-0001</v>
          </cell>
          <cell r="B3488">
            <v>0</v>
          </cell>
          <cell r="C3488" t="str">
            <v xml:space="preserve">  FAMILY COLONY</v>
          </cell>
          <cell r="D3488">
            <v>41081784.030000001</v>
          </cell>
          <cell r="E3488">
            <v>0</v>
          </cell>
          <cell r="F3488">
            <v>0</v>
          </cell>
          <cell r="G3488">
            <v>0</v>
          </cell>
        </row>
        <row r="3489">
          <cell r="A3489" t="str">
            <v>31-02-07-0002</v>
          </cell>
          <cell r="B3489">
            <v>0</v>
          </cell>
          <cell r="C3489" t="str">
            <v xml:space="preserve">  NEW FAMILY COLONY DOUBLE ROOM.</v>
          </cell>
          <cell r="D3489">
            <v>0</v>
          </cell>
          <cell r="E3489">
            <v>0</v>
          </cell>
          <cell r="F3489">
            <v>0</v>
          </cell>
          <cell r="G3489">
            <v>0</v>
          </cell>
        </row>
        <row r="3490">
          <cell r="A3490" t="str">
            <v>31-02-08</v>
          </cell>
          <cell r="B3490">
            <v>0</v>
          </cell>
          <cell r="C3490" t="str">
            <v>***POWER PLANT</v>
          </cell>
          <cell r="D3490">
            <v>60309217</v>
          </cell>
          <cell r="E3490">
            <v>0</v>
          </cell>
          <cell r="F3490">
            <v>60309217</v>
          </cell>
          <cell r="G3490">
            <v>0</v>
          </cell>
        </row>
        <row r="3491">
          <cell r="A3491" t="str">
            <v>31-02-08-0001</v>
          </cell>
          <cell r="B3491">
            <v>0</v>
          </cell>
          <cell r="C3491" t="str">
            <v xml:space="preserve">  POWER PLANT BUILDING</v>
          </cell>
          <cell r="D3491">
            <v>37721711</v>
          </cell>
          <cell r="E3491">
            <v>0</v>
          </cell>
          <cell r="F3491">
            <v>0</v>
          </cell>
          <cell r="G3491">
            <v>0</v>
          </cell>
        </row>
        <row r="3492">
          <cell r="A3492" t="str">
            <v>31-02-08-0002</v>
          </cell>
          <cell r="B3492">
            <v>0</v>
          </cell>
          <cell r="C3492" t="str">
            <v xml:space="preserve">  POWER PLANT BUILIDING # 2</v>
          </cell>
          <cell r="D3492">
            <v>22587506</v>
          </cell>
          <cell r="E3492">
            <v>0</v>
          </cell>
          <cell r="F3492">
            <v>0</v>
          </cell>
          <cell r="G3492">
            <v>0</v>
          </cell>
        </row>
        <row r="3493">
          <cell r="A3493" t="str">
            <v>31-02-09</v>
          </cell>
          <cell r="B3493">
            <v>0</v>
          </cell>
          <cell r="C3493" t="str">
            <v>***ROAD</v>
          </cell>
          <cell r="D3493">
            <v>4053599</v>
          </cell>
          <cell r="E3493">
            <v>0</v>
          </cell>
          <cell r="F3493">
            <v>4053599</v>
          </cell>
          <cell r="G3493">
            <v>0</v>
          </cell>
        </row>
        <row r="3494">
          <cell r="A3494" t="str">
            <v>31-02-09-0001</v>
          </cell>
          <cell r="B3494">
            <v>0</v>
          </cell>
          <cell r="C3494" t="str">
            <v xml:space="preserve">  ROAD</v>
          </cell>
          <cell r="D3494">
            <v>4053599</v>
          </cell>
          <cell r="E3494">
            <v>0</v>
          </cell>
          <cell r="F3494">
            <v>0</v>
          </cell>
          <cell r="G3494">
            <v>0</v>
          </cell>
        </row>
        <row r="3495">
          <cell r="A3495" t="str">
            <v>31-02-10</v>
          </cell>
          <cell r="B3495">
            <v>0</v>
          </cell>
          <cell r="C3495" t="str">
            <v>***COTTON GODOWNS</v>
          </cell>
          <cell r="D3495">
            <v>28053882.059999999</v>
          </cell>
          <cell r="E3495">
            <v>0</v>
          </cell>
          <cell r="F3495">
            <v>28053882.059999999</v>
          </cell>
          <cell r="G3495">
            <v>0</v>
          </cell>
        </row>
        <row r="3496">
          <cell r="A3496" t="str">
            <v>31-02-10-0001</v>
          </cell>
          <cell r="B3496">
            <v>0</v>
          </cell>
          <cell r="C3496" t="str">
            <v xml:space="preserve">  COTTON GODOWN BLDG. MILL # 4 PHASE II.</v>
          </cell>
          <cell r="D3496">
            <v>28053882.059999999</v>
          </cell>
          <cell r="E3496">
            <v>0</v>
          </cell>
          <cell r="F3496">
            <v>0</v>
          </cell>
          <cell r="G3496">
            <v>0</v>
          </cell>
        </row>
        <row r="3497">
          <cell r="A3497" t="str">
            <v>31-03</v>
          </cell>
          <cell r="B3497">
            <v>0</v>
          </cell>
          <cell r="C3497" t="str">
            <v>**PLANT &amp; MACHINERY</v>
          </cell>
          <cell r="D3497">
            <v>3559858948.9299998</v>
          </cell>
          <cell r="E3497">
            <v>0</v>
          </cell>
          <cell r="F3497">
            <v>3559858948.9299998</v>
          </cell>
          <cell r="G3497">
            <v>0</v>
          </cell>
        </row>
        <row r="3498">
          <cell r="A3498" t="str">
            <v>31-03-01</v>
          </cell>
          <cell r="B3498">
            <v>0</v>
          </cell>
          <cell r="C3498" t="str">
            <v>***PLANT &amp; MACHINERY</v>
          </cell>
          <cell r="D3498">
            <v>3559858948.9299998</v>
          </cell>
          <cell r="E3498">
            <v>0</v>
          </cell>
          <cell r="F3498">
            <v>3559858948.9299998</v>
          </cell>
          <cell r="G3498">
            <v>0</v>
          </cell>
        </row>
        <row r="3499">
          <cell r="A3499" t="str">
            <v>31-03-01-0001</v>
          </cell>
          <cell r="B3499">
            <v>0</v>
          </cell>
          <cell r="C3499" t="str">
            <v xml:space="preserve">  PLANT &amp; MACHINERY</v>
          </cell>
          <cell r="D3499">
            <v>2892693616.9299998</v>
          </cell>
          <cell r="E3499">
            <v>0</v>
          </cell>
          <cell r="F3499">
            <v>0</v>
          </cell>
          <cell r="G3499">
            <v>0</v>
          </cell>
        </row>
        <row r="3500">
          <cell r="A3500" t="str">
            <v>31-03-01-0002</v>
          </cell>
          <cell r="B3500">
            <v>0</v>
          </cell>
          <cell r="C3500" t="str">
            <v xml:space="preserve">  POWER PLANT MACHINERY</v>
          </cell>
          <cell r="D3500">
            <v>667165332</v>
          </cell>
          <cell r="E3500">
            <v>0</v>
          </cell>
          <cell r="F3500">
            <v>0</v>
          </cell>
          <cell r="G3500">
            <v>0</v>
          </cell>
        </row>
        <row r="3501">
          <cell r="A3501" t="str">
            <v>31-03-01-0003</v>
          </cell>
          <cell r="B3501">
            <v>0</v>
          </cell>
          <cell r="C3501" t="str">
            <v xml:space="preserve">  POWER PLANT LEASED</v>
          </cell>
          <cell r="D3501">
            <v>0</v>
          </cell>
          <cell r="E3501">
            <v>0</v>
          </cell>
          <cell r="F3501">
            <v>0</v>
          </cell>
          <cell r="G3501">
            <v>0</v>
          </cell>
        </row>
        <row r="3502">
          <cell r="A3502" t="str">
            <v>31-03-02</v>
          </cell>
          <cell r="B3502">
            <v>0</v>
          </cell>
          <cell r="C3502" t="str">
            <v>***VOUK MACHINE TESSILLI</v>
          </cell>
          <cell r="D3502">
            <v>0</v>
          </cell>
          <cell r="E3502">
            <v>0</v>
          </cell>
          <cell r="F3502">
            <v>0</v>
          </cell>
          <cell r="G3502">
            <v>0</v>
          </cell>
        </row>
        <row r="3503">
          <cell r="A3503" t="str">
            <v>31-03-02-0001</v>
          </cell>
          <cell r="B3503">
            <v>0</v>
          </cell>
          <cell r="C3503" t="str">
            <v xml:space="preserve">  VOUK MACHINE TESSILLI (SPA)</v>
          </cell>
          <cell r="D3503">
            <v>0</v>
          </cell>
          <cell r="E3503">
            <v>0</v>
          </cell>
          <cell r="F3503">
            <v>0</v>
          </cell>
          <cell r="G3503">
            <v>0</v>
          </cell>
        </row>
        <row r="3504">
          <cell r="A3504" t="str">
            <v>31-04</v>
          </cell>
          <cell r="B3504">
            <v>0</v>
          </cell>
          <cell r="C3504" t="str">
            <v>**ELECTRIC INSTALLATION</v>
          </cell>
          <cell r="D3504">
            <v>106437254.66</v>
          </cell>
          <cell r="E3504">
            <v>0</v>
          </cell>
          <cell r="F3504">
            <v>106437254.66</v>
          </cell>
          <cell r="G3504">
            <v>0</v>
          </cell>
        </row>
        <row r="3505">
          <cell r="A3505" t="str">
            <v>31-04-01</v>
          </cell>
          <cell r="B3505">
            <v>0</v>
          </cell>
          <cell r="C3505" t="str">
            <v>***ELECTRIC INSTALLATION</v>
          </cell>
          <cell r="D3505">
            <v>106437254.66</v>
          </cell>
          <cell r="E3505">
            <v>0</v>
          </cell>
          <cell r="F3505">
            <v>106437254.66</v>
          </cell>
          <cell r="G3505">
            <v>0</v>
          </cell>
        </row>
        <row r="3506">
          <cell r="A3506" t="str">
            <v>31-04-01-0001</v>
          </cell>
          <cell r="B3506">
            <v>0</v>
          </cell>
          <cell r="C3506" t="str">
            <v xml:space="preserve">  ELECTRIC INSTALLATIONS</v>
          </cell>
          <cell r="D3506">
            <v>105912254.66</v>
          </cell>
          <cell r="E3506">
            <v>0</v>
          </cell>
          <cell r="F3506">
            <v>0</v>
          </cell>
          <cell r="G3506">
            <v>0</v>
          </cell>
        </row>
        <row r="3507">
          <cell r="A3507" t="str">
            <v>31-04-01-0002</v>
          </cell>
          <cell r="B3507">
            <v>0</v>
          </cell>
          <cell r="C3507" t="str">
            <v xml:space="preserve">  DIESEL GENERATOR (KARACHI OFFICE)</v>
          </cell>
          <cell r="D3507">
            <v>525000</v>
          </cell>
          <cell r="E3507">
            <v>0</v>
          </cell>
          <cell r="F3507">
            <v>0</v>
          </cell>
          <cell r="G3507">
            <v>0</v>
          </cell>
        </row>
        <row r="3508">
          <cell r="A3508" t="str">
            <v>31-05</v>
          </cell>
          <cell r="B3508">
            <v>0</v>
          </cell>
          <cell r="C3508" t="str">
            <v>**TOOLS AND EQUIPMENT</v>
          </cell>
          <cell r="D3508">
            <v>14876198.050000001</v>
          </cell>
          <cell r="E3508">
            <v>0</v>
          </cell>
          <cell r="F3508">
            <v>14876198.050000001</v>
          </cell>
          <cell r="G3508">
            <v>0</v>
          </cell>
        </row>
        <row r="3509">
          <cell r="A3509" t="str">
            <v>31-05-01</v>
          </cell>
          <cell r="B3509">
            <v>0</v>
          </cell>
          <cell r="C3509" t="str">
            <v>***TOOLS AND EQUIPMENT</v>
          </cell>
          <cell r="D3509">
            <v>11958371.5</v>
          </cell>
          <cell r="E3509">
            <v>0</v>
          </cell>
          <cell r="F3509">
            <v>11958371.5</v>
          </cell>
          <cell r="G3509">
            <v>0</v>
          </cell>
        </row>
        <row r="3510">
          <cell r="A3510" t="str">
            <v>31-05-01-0001</v>
          </cell>
          <cell r="B3510">
            <v>0</v>
          </cell>
          <cell r="C3510" t="str">
            <v xml:space="preserve">  TOOLS &amp; EQUIPMENTS</v>
          </cell>
          <cell r="D3510">
            <v>11958371.5</v>
          </cell>
          <cell r="E3510">
            <v>0</v>
          </cell>
          <cell r="F3510">
            <v>0</v>
          </cell>
          <cell r="G3510">
            <v>0</v>
          </cell>
        </row>
        <row r="3511">
          <cell r="A3511" t="str">
            <v>31-05-02</v>
          </cell>
          <cell r="B3511">
            <v>0</v>
          </cell>
          <cell r="C3511" t="str">
            <v>***EQUIPMENT (OFFICE)</v>
          </cell>
          <cell r="D3511">
            <v>2917826.55</v>
          </cell>
          <cell r="E3511">
            <v>0</v>
          </cell>
          <cell r="F3511">
            <v>2917826.55</v>
          </cell>
          <cell r="G3511">
            <v>0</v>
          </cell>
        </row>
        <row r="3512">
          <cell r="A3512" t="str">
            <v>31-05-02-0001</v>
          </cell>
          <cell r="B3512">
            <v>0</v>
          </cell>
          <cell r="C3512" t="str">
            <v xml:space="preserve">  OFFICE EQUIPMENTS</v>
          </cell>
          <cell r="D3512">
            <v>2829976.55</v>
          </cell>
          <cell r="E3512">
            <v>0</v>
          </cell>
          <cell r="F3512">
            <v>0</v>
          </cell>
          <cell r="G3512">
            <v>0</v>
          </cell>
        </row>
        <row r="3513">
          <cell r="A3513" t="str">
            <v>31-05-02-0002</v>
          </cell>
          <cell r="B3513">
            <v>0</v>
          </cell>
          <cell r="C3513" t="str">
            <v xml:space="preserve">  TELEPHONE INSTALLATION</v>
          </cell>
          <cell r="D3513">
            <v>87850</v>
          </cell>
          <cell r="E3513">
            <v>0</v>
          </cell>
          <cell r="F3513">
            <v>0</v>
          </cell>
          <cell r="G3513">
            <v>0</v>
          </cell>
        </row>
        <row r="3514">
          <cell r="A3514" t="str">
            <v>31-05-02-0003</v>
          </cell>
          <cell r="B3514">
            <v>0</v>
          </cell>
          <cell r="C3514" t="str">
            <v xml:space="preserve">  AIRCONDITIONER &amp; REFRIGERATOR</v>
          </cell>
          <cell r="D3514">
            <v>0</v>
          </cell>
          <cell r="E3514">
            <v>0</v>
          </cell>
          <cell r="F3514">
            <v>0</v>
          </cell>
          <cell r="G3514">
            <v>0</v>
          </cell>
        </row>
        <row r="3515">
          <cell r="A3515" t="str">
            <v>31-06</v>
          </cell>
          <cell r="B3515">
            <v>0</v>
          </cell>
          <cell r="C3515" t="str">
            <v>**FURNITURE &amp; FIXTURE</v>
          </cell>
          <cell r="D3515">
            <v>5216757.26</v>
          </cell>
          <cell r="E3515">
            <v>0</v>
          </cell>
          <cell r="F3515">
            <v>5216757.26</v>
          </cell>
          <cell r="G3515">
            <v>0</v>
          </cell>
        </row>
        <row r="3516">
          <cell r="A3516" t="str">
            <v>31-06-01</v>
          </cell>
          <cell r="B3516">
            <v>0</v>
          </cell>
          <cell r="C3516" t="str">
            <v>***FURNITURE &amp; FIXTURE</v>
          </cell>
          <cell r="D3516">
            <v>5216757.26</v>
          </cell>
          <cell r="E3516">
            <v>0</v>
          </cell>
          <cell r="F3516">
            <v>5216757.26</v>
          </cell>
          <cell r="G3516">
            <v>0</v>
          </cell>
        </row>
        <row r="3517">
          <cell r="A3517" t="str">
            <v>31-06-01-0001</v>
          </cell>
          <cell r="B3517">
            <v>0</v>
          </cell>
          <cell r="C3517" t="str">
            <v xml:space="preserve">  FURNITURE &amp; FIXTURE</v>
          </cell>
          <cell r="D3517">
            <v>5216757.26</v>
          </cell>
          <cell r="E3517">
            <v>0</v>
          </cell>
          <cell r="F3517">
            <v>0</v>
          </cell>
          <cell r="G3517">
            <v>0</v>
          </cell>
        </row>
        <row r="3518">
          <cell r="A3518" t="str">
            <v>31-07</v>
          </cell>
          <cell r="B3518">
            <v>0</v>
          </cell>
          <cell r="C3518" t="str">
            <v>**COMPUTER EQUIPMENT</v>
          </cell>
          <cell r="D3518">
            <v>3673921</v>
          </cell>
          <cell r="E3518">
            <v>0</v>
          </cell>
          <cell r="F3518">
            <v>3673921</v>
          </cell>
          <cell r="G3518">
            <v>0</v>
          </cell>
        </row>
        <row r="3519">
          <cell r="A3519" t="str">
            <v>31-07-01</v>
          </cell>
          <cell r="B3519">
            <v>0</v>
          </cell>
          <cell r="C3519" t="str">
            <v>***COMPUTER EQUIPMENTS (FACTORY)</v>
          </cell>
          <cell r="D3519">
            <v>1135519</v>
          </cell>
          <cell r="E3519">
            <v>0</v>
          </cell>
          <cell r="F3519">
            <v>1135519</v>
          </cell>
          <cell r="G3519">
            <v>0</v>
          </cell>
        </row>
        <row r="3520">
          <cell r="A3520" t="str">
            <v>31-07-01-0001</v>
          </cell>
          <cell r="B3520">
            <v>0</v>
          </cell>
          <cell r="C3520" t="str">
            <v xml:space="preserve">  COMPUTER EQUIPMENT</v>
          </cell>
          <cell r="D3520">
            <v>1135519</v>
          </cell>
          <cell r="E3520">
            <v>0</v>
          </cell>
          <cell r="F3520">
            <v>0</v>
          </cell>
          <cell r="G3520">
            <v>0</v>
          </cell>
        </row>
        <row r="3521">
          <cell r="A3521" t="str">
            <v>31-07-02</v>
          </cell>
          <cell r="B3521">
            <v>0</v>
          </cell>
          <cell r="C3521" t="str">
            <v>***COMPUTER EQUIPMENT (KARACHI)</v>
          </cell>
          <cell r="D3521">
            <v>2538402</v>
          </cell>
          <cell r="E3521">
            <v>0</v>
          </cell>
          <cell r="F3521">
            <v>2538402</v>
          </cell>
          <cell r="G3521">
            <v>0</v>
          </cell>
        </row>
        <row r="3522">
          <cell r="A3522" t="str">
            <v>31-07-02-0001</v>
          </cell>
          <cell r="B3522">
            <v>0</v>
          </cell>
          <cell r="C3522" t="str">
            <v xml:space="preserve">  COMPUTER EQUIPMENTS (KARACHI OFFICE)</v>
          </cell>
          <cell r="D3522">
            <v>2538402</v>
          </cell>
          <cell r="E3522">
            <v>0</v>
          </cell>
          <cell r="F3522">
            <v>0</v>
          </cell>
          <cell r="G3522">
            <v>0</v>
          </cell>
        </row>
        <row r="3523">
          <cell r="A3523" t="str">
            <v>31-07-03</v>
          </cell>
          <cell r="B3523">
            <v>0</v>
          </cell>
          <cell r="C3523" t="str">
            <v>***COMPUTER EQUIPMENT (PESHWER)</v>
          </cell>
          <cell r="D3523">
            <v>0</v>
          </cell>
          <cell r="E3523">
            <v>0</v>
          </cell>
          <cell r="F3523">
            <v>0</v>
          </cell>
          <cell r="G3523">
            <v>0</v>
          </cell>
        </row>
        <row r="3524">
          <cell r="A3524" t="str">
            <v>31-07-03-0001</v>
          </cell>
          <cell r="B3524">
            <v>0</v>
          </cell>
          <cell r="C3524" t="str">
            <v xml:space="preserve">  COMPUTER EQUIPMENTS (PESHAWAR OFFICE)</v>
          </cell>
          <cell r="D3524">
            <v>0</v>
          </cell>
          <cell r="E3524">
            <v>0</v>
          </cell>
          <cell r="F3524">
            <v>0</v>
          </cell>
          <cell r="G3524">
            <v>0</v>
          </cell>
        </row>
        <row r="3525">
          <cell r="A3525" t="str">
            <v>31-08</v>
          </cell>
          <cell r="B3525">
            <v>0</v>
          </cell>
          <cell r="C3525" t="str">
            <v>**MOTOR VEHICLE</v>
          </cell>
          <cell r="D3525">
            <v>27034072</v>
          </cell>
          <cell r="E3525">
            <v>0</v>
          </cell>
          <cell r="F3525">
            <v>27034072</v>
          </cell>
          <cell r="G3525">
            <v>0</v>
          </cell>
        </row>
        <row r="3526">
          <cell r="A3526" t="str">
            <v>31-08-01</v>
          </cell>
          <cell r="B3526">
            <v>0</v>
          </cell>
          <cell r="C3526" t="str">
            <v>***MOTOR VEHICLE (FACTORY)</v>
          </cell>
          <cell r="D3526">
            <v>22459018</v>
          </cell>
          <cell r="E3526">
            <v>0</v>
          </cell>
          <cell r="F3526">
            <v>22459018</v>
          </cell>
          <cell r="G3526">
            <v>0</v>
          </cell>
        </row>
        <row r="3527">
          <cell r="A3527" t="str">
            <v>31-08-01-0001</v>
          </cell>
          <cell r="B3527">
            <v>0</v>
          </cell>
          <cell r="C3527" t="str">
            <v xml:space="preserve">  MOTOR VEHICLES</v>
          </cell>
          <cell r="D3527">
            <v>22459018</v>
          </cell>
          <cell r="E3527">
            <v>0</v>
          </cell>
          <cell r="F3527">
            <v>0</v>
          </cell>
          <cell r="G3527">
            <v>0</v>
          </cell>
        </row>
        <row r="3528">
          <cell r="A3528" t="str">
            <v>31-08-02</v>
          </cell>
          <cell r="B3528">
            <v>0</v>
          </cell>
          <cell r="C3528" t="str">
            <v>***MOTOR VEHICLE (KARACHI)</v>
          </cell>
          <cell r="D3528">
            <v>0</v>
          </cell>
          <cell r="E3528">
            <v>0</v>
          </cell>
          <cell r="F3528">
            <v>0</v>
          </cell>
          <cell r="G3528">
            <v>0</v>
          </cell>
        </row>
        <row r="3529">
          <cell r="A3529" t="str">
            <v>31-08-02-0001</v>
          </cell>
          <cell r="B3529">
            <v>0</v>
          </cell>
          <cell r="C3529" t="str">
            <v xml:space="preserve">  MOTOR VEHICLE (KARACHI)</v>
          </cell>
          <cell r="D3529">
            <v>0</v>
          </cell>
          <cell r="E3529">
            <v>0</v>
          </cell>
          <cell r="F3529">
            <v>0</v>
          </cell>
          <cell r="G3529">
            <v>0</v>
          </cell>
        </row>
        <row r="3530">
          <cell r="A3530" t="str">
            <v>31-08-03</v>
          </cell>
          <cell r="B3530">
            <v>0</v>
          </cell>
          <cell r="C3530" t="str">
            <v>***MOTOR VEHICLE (LIFTER)</v>
          </cell>
          <cell r="D3530">
            <v>4160554</v>
          </cell>
          <cell r="E3530">
            <v>0</v>
          </cell>
          <cell r="F3530">
            <v>4160554</v>
          </cell>
          <cell r="G3530">
            <v>0</v>
          </cell>
        </row>
        <row r="3531">
          <cell r="A3531" t="str">
            <v>31-08-03-0001</v>
          </cell>
          <cell r="B3531">
            <v>0</v>
          </cell>
          <cell r="C3531" t="str">
            <v xml:space="preserve">  FORK LIFTER</v>
          </cell>
          <cell r="D3531">
            <v>4160554</v>
          </cell>
          <cell r="E3531">
            <v>0</v>
          </cell>
          <cell r="F3531">
            <v>0</v>
          </cell>
          <cell r="G3531">
            <v>0</v>
          </cell>
        </row>
        <row r="3532">
          <cell r="A3532" t="str">
            <v>31-08-04</v>
          </cell>
          <cell r="B3532">
            <v>0</v>
          </cell>
          <cell r="C3532" t="str">
            <v>***TRACTOR</v>
          </cell>
          <cell r="D3532">
            <v>414500</v>
          </cell>
          <cell r="E3532">
            <v>0</v>
          </cell>
          <cell r="F3532">
            <v>414500</v>
          </cell>
          <cell r="G3532">
            <v>0</v>
          </cell>
        </row>
        <row r="3533">
          <cell r="A3533" t="str">
            <v>31-08-04-0001</v>
          </cell>
          <cell r="B3533">
            <v>0</v>
          </cell>
          <cell r="C3533" t="str">
            <v xml:space="preserve">  TRACTOR BELARUS</v>
          </cell>
          <cell r="D3533">
            <v>414500</v>
          </cell>
          <cell r="E3533">
            <v>0</v>
          </cell>
          <cell r="F3533">
            <v>0</v>
          </cell>
          <cell r="G3533">
            <v>0</v>
          </cell>
        </row>
        <row r="3534">
          <cell r="A3534" t="str">
            <v>31-09</v>
          </cell>
          <cell r="B3534">
            <v>0</v>
          </cell>
          <cell r="C3534" t="str">
            <v>**FIRE FIGHTING EQUIPMENT</v>
          </cell>
          <cell r="D3534">
            <v>2765902</v>
          </cell>
          <cell r="E3534">
            <v>0</v>
          </cell>
          <cell r="F3534">
            <v>2765902</v>
          </cell>
          <cell r="G3534">
            <v>0</v>
          </cell>
        </row>
        <row r="3535">
          <cell r="A3535" t="str">
            <v>31-09-01</v>
          </cell>
          <cell r="B3535">
            <v>0</v>
          </cell>
          <cell r="C3535" t="str">
            <v>***FIRE FIGHTING EQUIPMENT</v>
          </cell>
          <cell r="D3535">
            <v>2765902</v>
          </cell>
          <cell r="E3535">
            <v>0</v>
          </cell>
          <cell r="F3535">
            <v>2765902</v>
          </cell>
          <cell r="G3535">
            <v>0</v>
          </cell>
        </row>
        <row r="3536">
          <cell r="A3536" t="str">
            <v>31-09-01-0001</v>
          </cell>
          <cell r="B3536">
            <v>0</v>
          </cell>
          <cell r="C3536" t="str">
            <v xml:space="preserve">  FIRE FIGHTING EQUIPMENT</v>
          </cell>
          <cell r="D3536">
            <v>2765902</v>
          </cell>
          <cell r="E3536">
            <v>0</v>
          </cell>
          <cell r="F3536">
            <v>0</v>
          </cell>
          <cell r="G3536">
            <v>0</v>
          </cell>
        </row>
        <row r="3537">
          <cell r="A3537" t="str">
            <v>31-10</v>
          </cell>
          <cell r="B3537">
            <v>0</v>
          </cell>
          <cell r="C3537" t="str">
            <v>**WEIGH BRIDGE</v>
          </cell>
          <cell r="D3537">
            <v>0</v>
          </cell>
          <cell r="E3537">
            <v>0</v>
          </cell>
          <cell r="F3537">
            <v>0</v>
          </cell>
          <cell r="G3537">
            <v>0</v>
          </cell>
        </row>
        <row r="3538">
          <cell r="A3538" t="str">
            <v>31-10-01</v>
          </cell>
          <cell r="B3538">
            <v>0</v>
          </cell>
          <cell r="C3538" t="str">
            <v>***WEIGH BRIDGE</v>
          </cell>
          <cell r="D3538">
            <v>0</v>
          </cell>
          <cell r="E3538">
            <v>0</v>
          </cell>
          <cell r="F3538">
            <v>0</v>
          </cell>
          <cell r="G3538">
            <v>0</v>
          </cell>
        </row>
        <row r="3539">
          <cell r="A3539" t="str">
            <v>31-10-01-0001</v>
          </cell>
          <cell r="B3539">
            <v>0</v>
          </cell>
          <cell r="C3539" t="str">
            <v xml:space="preserve">  WEIGH BRIDGE</v>
          </cell>
          <cell r="D3539">
            <v>0</v>
          </cell>
          <cell r="E3539">
            <v>0</v>
          </cell>
          <cell r="F3539">
            <v>0</v>
          </cell>
          <cell r="G3539">
            <v>0</v>
          </cell>
        </row>
        <row r="3540">
          <cell r="A3540" t="str">
            <v>32</v>
          </cell>
          <cell r="B3540">
            <v>0</v>
          </cell>
          <cell r="C3540" t="str">
            <v>*ACCUMULATED DEPRICIATION</v>
          </cell>
          <cell r="D3540">
            <v>0</v>
          </cell>
          <cell r="E3540">
            <v>1326622630.8800001</v>
          </cell>
          <cell r="F3540">
            <v>0</v>
          </cell>
          <cell r="G3540">
            <v>1326622630.8800001</v>
          </cell>
        </row>
        <row r="3541">
          <cell r="A3541" t="str">
            <v>32-01</v>
          </cell>
          <cell r="B3541">
            <v>1326621696</v>
          </cell>
          <cell r="C3541" t="str">
            <v>**PROVISION FOR DEPRICIATION</v>
          </cell>
          <cell r="D3541">
            <v>0</v>
          </cell>
          <cell r="E3541">
            <v>1326622630.8800001</v>
          </cell>
          <cell r="F3541">
            <v>0</v>
          </cell>
          <cell r="G3541">
            <v>1326622630.8800001</v>
          </cell>
        </row>
        <row r="3542">
          <cell r="A3542" t="str">
            <v>32-01-01</v>
          </cell>
          <cell r="B3542">
            <v>1326621696</v>
          </cell>
          <cell r="C3542" t="str">
            <v>***PROVISION FOR DEPRICIATION (LAND)</v>
          </cell>
          <cell r="D3542">
            <v>0</v>
          </cell>
          <cell r="E3542">
            <v>2281053</v>
          </cell>
          <cell r="F3542">
            <v>0</v>
          </cell>
          <cell r="G3542">
            <v>2281053</v>
          </cell>
        </row>
        <row r="3543">
          <cell r="A3543" t="str">
            <v>32-01-01-0001</v>
          </cell>
          <cell r="B3543">
            <v>2281052</v>
          </cell>
          <cell r="C3543" t="str">
            <v xml:space="preserve">  PROVISION FOR DEPRICIATION (LAND)</v>
          </cell>
          <cell r="D3543">
            <v>0</v>
          </cell>
          <cell r="E3543">
            <v>2281053</v>
          </cell>
          <cell r="F3543">
            <v>0</v>
          </cell>
          <cell r="G3543">
            <v>0</v>
          </cell>
        </row>
        <row r="3544">
          <cell r="A3544" t="str">
            <v>32-01-02</v>
          </cell>
          <cell r="B3544">
            <v>0</v>
          </cell>
          <cell r="C3544" t="str">
            <v>***PROVISION FOR DEPRICIATION (BUILD)</v>
          </cell>
          <cell r="D3544">
            <v>0</v>
          </cell>
          <cell r="E3544">
            <v>221290921</v>
          </cell>
          <cell r="F3544">
            <v>0</v>
          </cell>
          <cell r="G3544">
            <v>221290921</v>
          </cell>
        </row>
        <row r="3545">
          <cell r="A3545" t="str">
            <v>32-01-02-0001</v>
          </cell>
          <cell r="B3545">
            <v>221290880</v>
          </cell>
          <cell r="C3545" t="str">
            <v xml:space="preserve">  PROVISION FOR DEPRICIATION (FACTORY BU</v>
          </cell>
          <cell r="D3545">
            <v>0</v>
          </cell>
          <cell r="E3545">
            <v>143377148</v>
          </cell>
          <cell r="F3545">
            <v>0</v>
          </cell>
          <cell r="G3545">
            <v>0</v>
          </cell>
        </row>
        <row r="3546">
          <cell r="A3546" t="str">
            <v>32-01-02-0002</v>
          </cell>
          <cell r="B3546">
            <v>0</v>
          </cell>
          <cell r="C3546" t="str">
            <v xml:space="preserve">  PROVISION FOR DEPRICIATION (NON FACTOR</v>
          </cell>
          <cell r="D3546">
            <v>0</v>
          </cell>
          <cell r="E3546">
            <v>15203834</v>
          </cell>
          <cell r="F3546">
            <v>0</v>
          </cell>
          <cell r="G3546">
            <v>0</v>
          </cell>
        </row>
        <row r="3547">
          <cell r="A3547" t="str">
            <v>32-01-02-0003</v>
          </cell>
          <cell r="B3547">
            <v>0</v>
          </cell>
          <cell r="C3547" t="str">
            <v xml:space="preserve">  PROVISION FOR DEPRICIATION (LABOUR COL</v>
          </cell>
          <cell r="D3547">
            <v>0</v>
          </cell>
          <cell r="E3547">
            <v>0</v>
          </cell>
          <cell r="F3547">
            <v>0</v>
          </cell>
          <cell r="G3547">
            <v>0</v>
          </cell>
        </row>
        <row r="3548">
          <cell r="A3548" t="str">
            <v>32-01-02-0004</v>
          </cell>
          <cell r="B3548">
            <v>0</v>
          </cell>
          <cell r="C3548" t="str">
            <v xml:space="preserve">  PROVISION FOR DEPRICIATION (BACHLER HO</v>
          </cell>
          <cell r="D3548">
            <v>0</v>
          </cell>
          <cell r="E3548">
            <v>0</v>
          </cell>
          <cell r="F3548">
            <v>0</v>
          </cell>
          <cell r="G3548">
            <v>0</v>
          </cell>
        </row>
        <row r="3549">
          <cell r="A3549" t="str">
            <v>32-01-02-0005</v>
          </cell>
          <cell r="B3549">
            <v>0</v>
          </cell>
          <cell r="C3549" t="str">
            <v xml:space="preserve">  PROVISION FOR DEPRICIATION (OFFICER CO</v>
          </cell>
          <cell r="D3549">
            <v>0</v>
          </cell>
          <cell r="E3549">
            <v>0</v>
          </cell>
          <cell r="F3549">
            <v>0</v>
          </cell>
          <cell r="G3549">
            <v>0</v>
          </cell>
        </row>
        <row r="3550">
          <cell r="A3550" t="str">
            <v>32-01-02-0006</v>
          </cell>
          <cell r="B3550">
            <v>0</v>
          </cell>
          <cell r="C3550" t="str">
            <v xml:space="preserve">  PROVISION FOR DEPRICIATION (WORKER COL</v>
          </cell>
          <cell r="D3550">
            <v>0</v>
          </cell>
          <cell r="E3550">
            <v>32778734</v>
          </cell>
          <cell r="F3550">
            <v>0</v>
          </cell>
          <cell r="G3550">
            <v>0</v>
          </cell>
        </row>
        <row r="3551">
          <cell r="A3551" t="str">
            <v>32-01-02-0007</v>
          </cell>
          <cell r="B3551">
            <v>0</v>
          </cell>
          <cell r="C3551" t="str">
            <v xml:space="preserve">  PROVISION FOR DEPRICIATION (FAMLY COLO</v>
          </cell>
          <cell r="D3551">
            <v>0</v>
          </cell>
          <cell r="E3551">
            <v>12312061</v>
          </cell>
          <cell r="F3551">
            <v>0</v>
          </cell>
          <cell r="G3551">
            <v>0</v>
          </cell>
        </row>
        <row r="3552">
          <cell r="A3552" t="str">
            <v>32-01-02-0008</v>
          </cell>
          <cell r="B3552">
            <v>0</v>
          </cell>
          <cell r="C3552" t="str">
            <v xml:space="preserve">  PROVISION FOR DEPRICIATION (POWER PLAN</v>
          </cell>
          <cell r="D3552">
            <v>0</v>
          </cell>
          <cell r="E3552">
            <v>15965041</v>
          </cell>
          <cell r="F3552">
            <v>0</v>
          </cell>
          <cell r="G3552">
            <v>0</v>
          </cell>
        </row>
        <row r="3553">
          <cell r="A3553" t="str">
            <v>32-01-02-0009</v>
          </cell>
          <cell r="B3553">
            <v>0</v>
          </cell>
          <cell r="C3553" t="str">
            <v xml:space="preserve">  PROVISION FOR DEPRICIATION (ROAD)</v>
          </cell>
          <cell r="D3553">
            <v>0</v>
          </cell>
          <cell r="E3553">
            <v>1654103</v>
          </cell>
          <cell r="F3553">
            <v>0</v>
          </cell>
          <cell r="G3553">
            <v>0</v>
          </cell>
        </row>
        <row r="3554">
          <cell r="A3554" t="str">
            <v>32-01-03</v>
          </cell>
          <cell r="B3554">
            <v>0</v>
          </cell>
          <cell r="C3554" t="str">
            <v>***PROVISION FOR DEPRICIATION (PLANT &amp; M</v>
          </cell>
          <cell r="D3554">
            <v>0</v>
          </cell>
          <cell r="E3554">
            <v>1042443563.77</v>
          </cell>
          <cell r="F3554">
            <v>0</v>
          </cell>
          <cell r="G3554">
            <v>1042443563.77</v>
          </cell>
        </row>
        <row r="3555">
          <cell r="A3555" t="str">
            <v>32-01-03-0001</v>
          </cell>
          <cell r="B3555">
            <v>1042443264</v>
          </cell>
          <cell r="C3555" t="str">
            <v xml:space="preserve">  PROVISION FOR DEPRICIATION (PLANT &amp; MA</v>
          </cell>
          <cell r="D3555">
            <v>0</v>
          </cell>
          <cell r="E3555">
            <v>936595434.07000005</v>
          </cell>
          <cell r="F3555">
            <v>0</v>
          </cell>
          <cell r="G3555">
            <v>0</v>
          </cell>
        </row>
        <row r="3556">
          <cell r="A3556" t="str">
            <v>32-01-03-0002</v>
          </cell>
          <cell r="B3556">
            <v>0</v>
          </cell>
          <cell r="C3556" t="str">
            <v xml:space="preserve">  PROVISION FOR DEPRICIATION (VOUK MACHI</v>
          </cell>
          <cell r="D3556">
            <v>0</v>
          </cell>
          <cell r="E3556">
            <v>0</v>
          </cell>
          <cell r="F3556">
            <v>0</v>
          </cell>
          <cell r="G3556">
            <v>0</v>
          </cell>
        </row>
        <row r="3557">
          <cell r="A3557" t="str">
            <v>32-01-03-0003</v>
          </cell>
          <cell r="B3557">
            <v>0</v>
          </cell>
          <cell r="C3557" t="str">
            <v xml:space="preserve">  PROVISION FOR DEPRICIATION (POWER PLAN</v>
          </cell>
          <cell r="D3557">
            <v>0</v>
          </cell>
          <cell r="E3557">
            <v>105848129.7</v>
          </cell>
          <cell r="F3557">
            <v>0</v>
          </cell>
          <cell r="G3557">
            <v>0</v>
          </cell>
        </row>
        <row r="3558">
          <cell r="A3558" t="str">
            <v>32-01-03-0004</v>
          </cell>
          <cell r="B3558">
            <v>0</v>
          </cell>
          <cell r="C3558" t="str">
            <v xml:space="preserve">  PROVISION FOR DEPRICIAION LEASE PLANT</v>
          </cell>
          <cell r="D3558">
            <v>0</v>
          </cell>
          <cell r="E3558">
            <v>0</v>
          </cell>
          <cell r="F3558">
            <v>0</v>
          </cell>
          <cell r="G3558">
            <v>0</v>
          </cell>
        </row>
        <row r="3559">
          <cell r="A3559" t="str">
            <v>32-01-04</v>
          </cell>
          <cell r="B3559">
            <v>0</v>
          </cell>
          <cell r="C3559" t="str">
            <v>***PROVISION FOR DEPRICIATION (ELECTRIC</v>
          </cell>
          <cell r="D3559">
            <v>0</v>
          </cell>
          <cell r="E3559">
            <v>40249097.869999997</v>
          </cell>
          <cell r="F3559">
            <v>0</v>
          </cell>
          <cell r="G3559">
            <v>40249097.869999997</v>
          </cell>
        </row>
        <row r="3560">
          <cell r="A3560" t="str">
            <v>32-01-04-0001</v>
          </cell>
          <cell r="B3560">
            <v>40249088</v>
          </cell>
          <cell r="C3560" t="str">
            <v xml:space="preserve">  PROVISION FOR DEPRICIATION (ELECTRIC I</v>
          </cell>
          <cell r="D3560">
            <v>0</v>
          </cell>
          <cell r="E3560">
            <v>40249097.869999997</v>
          </cell>
          <cell r="F3560">
            <v>0</v>
          </cell>
          <cell r="G3560">
            <v>0</v>
          </cell>
        </row>
        <row r="3561">
          <cell r="A3561" t="str">
            <v>32-01-05</v>
          </cell>
          <cell r="B3561">
            <v>0</v>
          </cell>
          <cell r="C3561" t="str">
            <v>***PROVISION FOR DEPRICIATION (TOOL &amp; EQ</v>
          </cell>
          <cell r="D3561">
            <v>0</v>
          </cell>
          <cell r="E3561">
            <v>2984677</v>
          </cell>
          <cell r="F3561">
            <v>0</v>
          </cell>
          <cell r="G3561">
            <v>2984677</v>
          </cell>
        </row>
        <row r="3562">
          <cell r="A3562" t="str">
            <v>32-01-05-0001</v>
          </cell>
          <cell r="B3562">
            <v>2984676</v>
          </cell>
          <cell r="C3562" t="str">
            <v xml:space="preserve">  PROVISION FOR DEPRICIATION (TOOL &amp; EQU</v>
          </cell>
          <cell r="D3562">
            <v>0</v>
          </cell>
          <cell r="E3562">
            <v>2984677</v>
          </cell>
          <cell r="F3562">
            <v>0</v>
          </cell>
          <cell r="G3562">
            <v>0</v>
          </cell>
        </row>
        <row r="3563">
          <cell r="A3563" t="str">
            <v>32-01-06</v>
          </cell>
          <cell r="B3563">
            <v>0</v>
          </cell>
          <cell r="C3563" t="str">
            <v>***PROVISION FOR DEPRICIATION (FURNITURE</v>
          </cell>
          <cell r="D3563">
            <v>0</v>
          </cell>
          <cell r="E3563">
            <v>2842329.64</v>
          </cell>
          <cell r="F3563">
            <v>0</v>
          </cell>
          <cell r="G3563">
            <v>2842329.64</v>
          </cell>
        </row>
        <row r="3564">
          <cell r="A3564" t="str">
            <v>32-01-06-0001</v>
          </cell>
          <cell r="B3564">
            <v>2842328</v>
          </cell>
          <cell r="C3564" t="str">
            <v xml:space="preserve">  PROVISION FOR DEPRICIATION (FURNITURE</v>
          </cell>
          <cell r="D3564">
            <v>0</v>
          </cell>
          <cell r="E3564">
            <v>2842329.64</v>
          </cell>
          <cell r="F3564">
            <v>0</v>
          </cell>
          <cell r="G3564">
            <v>0</v>
          </cell>
        </row>
        <row r="3565">
          <cell r="A3565" t="str">
            <v>32-01-07</v>
          </cell>
          <cell r="B3565">
            <v>0</v>
          </cell>
          <cell r="C3565" t="str">
            <v>***PROVISION FOR DEPRICIATION (COMPUTER</v>
          </cell>
          <cell r="D3565">
            <v>0</v>
          </cell>
          <cell r="E3565">
            <v>2151908</v>
          </cell>
          <cell r="F3565">
            <v>0</v>
          </cell>
          <cell r="G3565">
            <v>2151908</v>
          </cell>
        </row>
        <row r="3566">
          <cell r="A3566" t="str">
            <v>32-01-07-0001</v>
          </cell>
          <cell r="B3566">
            <v>2151908</v>
          </cell>
          <cell r="C3566" t="str">
            <v xml:space="preserve">  PROVISION FOR DEPRICIATION (COMUTER FA</v>
          </cell>
          <cell r="D3566">
            <v>0</v>
          </cell>
          <cell r="E3566">
            <v>2151908</v>
          </cell>
          <cell r="F3566">
            <v>0</v>
          </cell>
          <cell r="G3566">
            <v>0</v>
          </cell>
        </row>
        <row r="3567">
          <cell r="A3567" t="str">
            <v>32-01-07-0002</v>
          </cell>
          <cell r="B3567">
            <v>0</v>
          </cell>
          <cell r="C3567" t="str">
            <v xml:space="preserve">  PROVISION FOR DEPRICIATION (COMUTER KA</v>
          </cell>
          <cell r="D3567">
            <v>0</v>
          </cell>
          <cell r="E3567">
            <v>0</v>
          </cell>
          <cell r="F3567">
            <v>0</v>
          </cell>
          <cell r="G3567">
            <v>0</v>
          </cell>
        </row>
        <row r="3568">
          <cell r="A3568" t="str">
            <v>32-01-07-0003</v>
          </cell>
          <cell r="B3568">
            <v>0</v>
          </cell>
          <cell r="C3568" t="str">
            <v xml:space="preserve">  PROVISION FOR DEPRICIATION (COMUTER PE</v>
          </cell>
          <cell r="D3568">
            <v>0</v>
          </cell>
          <cell r="E3568">
            <v>0</v>
          </cell>
          <cell r="F3568">
            <v>0</v>
          </cell>
          <cell r="G3568">
            <v>0</v>
          </cell>
        </row>
        <row r="3569">
          <cell r="A3569" t="str">
            <v>32-01-08</v>
          </cell>
          <cell r="B3569">
            <v>0</v>
          </cell>
          <cell r="C3569" t="str">
            <v>***PROVISION FOR DEPRICIATION (VEHICLE)</v>
          </cell>
          <cell r="D3569">
            <v>0</v>
          </cell>
          <cell r="E3569">
            <v>10470111.6</v>
          </cell>
          <cell r="F3569">
            <v>0</v>
          </cell>
          <cell r="G3569">
            <v>10470111.6</v>
          </cell>
        </row>
        <row r="3570">
          <cell r="A3570" t="str">
            <v>32-01-08-0001</v>
          </cell>
          <cell r="B3570">
            <v>10470104</v>
          </cell>
          <cell r="C3570" t="str">
            <v xml:space="preserve">  PROVISION FOR DEPRICIATION (VEHICLE FA</v>
          </cell>
          <cell r="D3570">
            <v>0</v>
          </cell>
          <cell r="E3570">
            <v>7381875.5999999996</v>
          </cell>
          <cell r="F3570">
            <v>0</v>
          </cell>
          <cell r="G3570">
            <v>0</v>
          </cell>
        </row>
        <row r="3571">
          <cell r="A3571" t="str">
            <v>32-01-08-0002</v>
          </cell>
          <cell r="B3571">
            <v>0</v>
          </cell>
          <cell r="C3571" t="str">
            <v xml:space="preserve">  PROVISION FOR DEPRICIATION (VEHICLE KA</v>
          </cell>
          <cell r="D3571">
            <v>0</v>
          </cell>
          <cell r="E3571">
            <v>0</v>
          </cell>
          <cell r="F3571">
            <v>0</v>
          </cell>
          <cell r="G3571">
            <v>0</v>
          </cell>
        </row>
        <row r="3572">
          <cell r="A3572" t="str">
            <v>32-01-08-0003</v>
          </cell>
          <cell r="B3572">
            <v>0</v>
          </cell>
          <cell r="C3572" t="str">
            <v xml:space="preserve">  PROVISION FOR DEPRICIATION (FORK LIFTE</v>
          </cell>
          <cell r="D3572">
            <v>0</v>
          </cell>
          <cell r="E3572">
            <v>3088236</v>
          </cell>
          <cell r="F3572">
            <v>0</v>
          </cell>
          <cell r="G3572">
            <v>0</v>
          </cell>
        </row>
        <row r="3573">
          <cell r="A3573" t="str">
            <v>32-01-09</v>
          </cell>
          <cell r="B3573">
            <v>0</v>
          </cell>
          <cell r="C3573" t="str">
            <v>***PROVISION FOR DEPRICIATION (FIRE FIGH</v>
          </cell>
          <cell r="D3573">
            <v>0</v>
          </cell>
          <cell r="E3573">
            <v>353697</v>
          </cell>
          <cell r="F3573">
            <v>0</v>
          </cell>
          <cell r="G3573">
            <v>353697</v>
          </cell>
        </row>
        <row r="3574">
          <cell r="A3574" t="str">
            <v>32-01-09-0001</v>
          </cell>
          <cell r="B3574">
            <v>353697</v>
          </cell>
          <cell r="C3574" t="str">
            <v xml:space="preserve">  PROVISION FOR DEPRICIATION (FIRE FIGHT</v>
          </cell>
          <cell r="D3574">
            <v>0</v>
          </cell>
          <cell r="E3574">
            <v>353697</v>
          </cell>
          <cell r="F3574">
            <v>0</v>
          </cell>
          <cell r="G3574">
            <v>0</v>
          </cell>
        </row>
        <row r="3575">
          <cell r="A3575" t="str">
            <v>32-01-10</v>
          </cell>
          <cell r="B3575">
            <v>0</v>
          </cell>
          <cell r="C3575" t="str">
            <v>***PROVISION FOR DEPRECIATION OFFICE EQU</v>
          </cell>
          <cell r="D3575">
            <v>0</v>
          </cell>
          <cell r="E3575">
            <v>1555272</v>
          </cell>
          <cell r="F3575">
            <v>0</v>
          </cell>
          <cell r="G3575">
            <v>1555272</v>
          </cell>
        </row>
        <row r="3576">
          <cell r="A3576" t="str">
            <v>32-01-10-0001</v>
          </cell>
          <cell r="B3576">
            <v>1555272</v>
          </cell>
          <cell r="C3576" t="str">
            <v xml:space="preserve">  PROV.FOR DEPRECIATION OFFICE EQUIP.FAC</v>
          </cell>
          <cell r="D3576">
            <v>0</v>
          </cell>
          <cell r="E3576">
            <v>1555272</v>
          </cell>
          <cell r="F3576">
            <v>0</v>
          </cell>
          <cell r="G3576">
            <v>0</v>
          </cell>
        </row>
        <row r="3577">
          <cell r="A3577" t="str">
            <v>32-01-10-0002</v>
          </cell>
          <cell r="B3577">
            <v>0</v>
          </cell>
          <cell r="C3577" t="str">
            <v xml:space="preserve">  PROV.FOR DEPRICIATION OFFICE EQUIP.ADM</v>
          </cell>
          <cell r="D3577">
            <v>0</v>
          </cell>
          <cell r="E3577">
            <v>0</v>
          </cell>
          <cell r="F3577">
            <v>0</v>
          </cell>
          <cell r="G3577">
            <v>0</v>
          </cell>
        </row>
        <row r="3578">
          <cell r="A3578" t="str">
            <v>32-01-10-0003</v>
          </cell>
          <cell r="B3578">
            <v>0</v>
          </cell>
          <cell r="C3578" t="str">
            <v xml:space="preserve">  PROV.FOR DEPRICIATION OFFICE EQUIP.PSH</v>
          </cell>
          <cell r="D3578">
            <v>0</v>
          </cell>
          <cell r="E3578">
            <v>0</v>
          </cell>
          <cell r="F3578">
            <v>0</v>
          </cell>
          <cell r="G3578">
            <v>0</v>
          </cell>
        </row>
        <row r="3579">
          <cell r="A3579" t="str">
            <v>36</v>
          </cell>
          <cell r="B3579">
            <v>0</v>
          </cell>
          <cell r="C3579" t="str">
            <v>*CAPITAL WORK IN PROCESS</v>
          </cell>
          <cell r="D3579">
            <v>191584248.94</v>
          </cell>
          <cell r="E3579">
            <v>0</v>
          </cell>
          <cell r="F3579">
            <v>191584248.94</v>
          </cell>
          <cell r="G3579">
            <v>0</v>
          </cell>
        </row>
        <row r="3580">
          <cell r="A3580" t="str">
            <v>36-01</v>
          </cell>
          <cell r="B3580">
            <v>0</v>
          </cell>
          <cell r="C3580" t="str">
            <v>**C.W.I.P (MACINERY)</v>
          </cell>
          <cell r="D3580">
            <v>179676341.94</v>
          </cell>
          <cell r="E3580">
            <v>0</v>
          </cell>
          <cell r="F3580">
            <v>179676341.94</v>
          </cell>
          <cell r="G3580">
            <v>0</v>
          </cell>
        </row>
        <row r="3581">
          <cell r="A3581" t="str">
            <v>36-01-01</v>
          </cell>
          <cell r="B3581">
            <v>0</v>
          </cell>
          <cell r="C3581" t="str">
            <v>***C.W.I.P. MACHINERY</v>
          </cell>
          <cell r="D3581">
            <v>169893717.58000001</v>
          </cell>
          <cell r="E3581">
            <v>0</v>
          </cell>
          <cell r="F3581">
            <v>169893717.58000001</v>
          </cell>
          <cell r="G3581">
            <v>0</v>
          </cell>
        </row>
        <row r="3582">
          <cell r="A3582" t="str">
            <v>36-01-01-0001</v>
          </cell>
          <cell r="B3582">
            <v>0</v>
          </cell>
          <cell r="C3582" t="str">
            <v xml:space="preserve">  C.W.I.P PLANT &amp; MACHINERY</v>
          </cell>
          <cell r="D3582">
            <v>0</v>
          </cell>
          <cell r="E3582">
            <v>0</v>
          </cell>
          <cell r="F3582">
            <v>0</v>
          </cell>
          <cell r="G3582">
            <v>0</v>
          </cell>
        </row>
        <row r="3583">
          <cell r="A3583" t="str">
            <v>36-01-01-0002</v>
          </cell>
          <cell r="B3583">
            <v>0</v>
          </cell>
          <cell r="C3583" t="str">
            <v xml:space="preserve">  L.C # MPB/PSH/2001/133 2ND HAND MACHIN</v>
          </cell>
          <cell r="D3583">
            <v>0</v>
          </cell>
          <cell r="E3583">
            <v>0</v>
          </cell>
          <cell r="F3583">
            <v>0</v>
          </cell>
          <cell r="G3583">
            <v>0</v>
          </cell>
        </row>
        <row r="3584">
          <cell r="A3584" t="str">
            <v>36-01-01-0003</v>
          </cell>
          <cell r="B3584">
            <v>0</v>
          </cell>
          <cell r="C3584" t="str">
            <v xml:space="preserve">  C.W.I.P WEIGH BRIDGE</v>
          </cell>
          <cell r="D3584">
            <v>0</v>
          </cell>
          <cell r="E3584">
            <v>0</v>
          </cell>
          <cell r="F3584">
            <v>0</v>
          </cell>
          <cell r="G3584">
            <v>0</v>
          </cell>
        </row>
        <row r="3585">
          <cell r="A3585" t="str">
            <v>36-01-01-0004</v>
          </cell>
          <cell r="B3585">
            <v>0</v>
          </cell>
          <cell r="C3585" t="str">
            <v xml:space="preserve">  L.C # MPB/PSH/2001/160.</v>
          </cell>
          <cell r="D3585">
            <v>0</v>
          </cell>
          <cell r="E3585">
            <v>0</v>
          </cell>
          <cell r="F3585">
            <v>0</v>
          </cell>
          <cell r="G3585">
            <v>0</v>
          </cell>
        </row>
        <row r="3586">
          <cell r="A3586" t="str">
            <v>36-01-01-0005</v>
          </cell>
          <cell r="B3586">
            <v>0</v>
          </cell>
          <cell r="C3586" t="str">
            <v xml:space="preserve">  L.C # MPB/PSH/2001/161 FREQ.CONVRTR-RI</v>
          </cell>
          <cell r="D3586">
            <v>0</v>
          </cell>
          <cell r="E3586">
            <v>0</v>
          </cell>
          <cell r="F3586">
            <v>0</v>
          </cell>
          <cell r="G3586">
            <v>0</v>
          </cell>
        </row>
        <row r="3587">
          <cell r="A3587" t="str">
            <v>36-01-01-0006</v>
          </cell>
          <cell r="B3587">
            <v>0</v>
          </cell>
          <cell r="C3587" t="str">
            <v xml:space="preserve">  L.C # PSH/2001/166 1 LUWA COMPLETE</v>
          </cell>
          <cell r="D3587">
            <v>0</v>
          </cell>
          <cell r="E3587">
            <v>0</v>
          </cell>
          <cell r="F3587">
            <v>0</v>
          </cell>
          <cell r="G3587">
            <v>0</v>
          </cell>
        </row>
        <row r="3588">
          <cell r="A3588" t="str">
            <v>36-01-01-0007</v>
          </cell>
          <cell r="B3588">
            <v>0</v>
          </cell>
          <cell r="C3588" t="str">
            <v xml:space="preserve">  L.C # 2001/170 1 SOFT CORE SPUN-ELASTI</v>
          </cell>
          <cell r="D3588">
            <v>0</v>
          </cell>
          <cell r="E3588">
            <v>0</v>
          </cell>
          <cell r="F3588">
            <v>0</v>
          </cell>
          <cell r="G3588">
            <v>0</v>
          </cell>
        </row>
        <row r="3589">
          <cell r="A3589" t="str">
            <v>36-01-01-0008</v>
          </cell>
          <cell r="B3589">
            <v>0</v>
          </cell>
          <cell r="C3589" t="str">
            <v xml:space="preserve">  L.C # 2001/183 1 BOGE SCREW AIR COMPRS</v>
          </cell>
          <cell r="D3589">
            <v>0</v>
          </cell>
          <cell r="E3589">
            <v>0</v>
          </cell>
          <cell r="F3589">
            <v>0</v>
          </cell>
          <cell r="G3589">
            <v>0</v>
          </cell>
        </row>
        <row r="3590">
          <cell r="A3590" t="str">
            <v>36-01-01-0009</v>
          </cell>
          <cell r="B3590">
            <v>0</v>
          </cell>
          <cell r="C3590" t="str">
            <v xml:space="preserve">  L.C # 2001/187 TRUTZSCHLR SECUROMAT MA</v>
          </cell>
          <cell r="D3590">
            <v>0</v>
          </cell>
          <cell r="E3590">
            <v>0</v>
          </cell>
          <cell r="F3590">
            <v>0</v>
          </cell>
          <cell r="G3590">
            <v>0</v>
          </cell>
        </row>
        <row r="3591">
          <cell r="A3591" t="str">
            <v>36-01-01-0010</v>
          </cell>
          <cell r="B3591">
            <v>0</v>
          </cell>
          <cell r="C3591" t="str">
            <v xml:space="preserve">  L.C # PSH/2001/190 USTR TESTING INSTRM</v>
          </cell>
          <cell r="D3591">
            <v>0</v>
          </cell>
          <cell r="E3591">
            <v>0</v>
          </cell>
          <cell r="F3591">
            <v>0</v>
          </cell>
          <cell r="G3591">
            <v>0</v>
          </cell>
        </row>
        <row r="3592">
          <cell r="A3592" t="str">
            <v>36-01-01-0011</v>
          </cell>
          <cell r="B3592">
            <v>0</v>
          </cell>
          <cell r="C3592" t="str">
            <v xml:space="preserve">  L.C # 330/02/0150 4 SETS MURATA JET SP</v>
          </cell>
          <cell r="D3592">
            <v>0</v>
          </cell>
          <cell r="E3592">
            <v>0</v>
          </cell>
          <cell r="F3592">
            <v>0</v>
          </cell>
          <cell r="G3592">
            <v>0</v>
          </cell>
        </row>
        <row r="3593">
          <cell r="A3593" t="str">
            <v>36-01-01-0012</v>
          </cell>
          <cell r="B3593">
            <v>0</v>
          </cell>
          <cell r="C3593" t="str">
            <v xml:space="preserve">  L.C # 2002/201 3 RING FRAME WITH DROFI</v>
          </cell>
          <cell r="D3593">
            <v>0</v>
          </cell>
          <cell r="E3593">
            <v>0</v>
          </cell>
          <cell r="F3593">
            <v>0</v>
          </cell>
          <cell r="G3593">
            <v>0</v>
          </cell>
        </row>
        <row r="3594">
          <cell r="A3594" t="str">
            <v>36-01-01-0013</v>
          </cell>
          <cell r="B3594">
            <v>0</v>
          </cell>
          <cell r="C3594" t="str">
            <v xml:space="preserve">  L.C # 2002/208 CLEANING DEDUSTING MACH</v>
          </cell>
          <cell r="D3594">
            <v>0</v>
          </cell>
          <cell r="E3594">
            <v>0</v>
          </cell>
          <cell r="F3594">
            <v>0</v>
          </cell>
          <cell r="G3594">
            <v>0</v>
          </cell>
        </row>
        <row r="3595">
          <cell r="A3595" t="str">
            <v>36-01-01-0014</v>
          </cell>
          <cell r="B3595">
            <v>0</v>
          </cell>
          <cell r="C3595" t="str">
            <v xml:space="preserve">  L.C # 2002/212 11 ELITE COMPACT EJM-12</v>
          </cell>
          <cell r="D3595">
            <v>0</v>
          </cell>
          <cell r="E3595">
            <v>0</v>
          </cell>
          <cell r="F3595">
            <v>0</v>
          </cell>
          <cell r="G3595">
            <v>0</v>
          </cell>
        </row>
        <row r="3596">
          <cell r="A3596" t="str">
            <v>36-01-01-0015</v>
          </cell>
          <cell r="B3596">
            <v>0</v>
          </cell>
          <cell r="C3596" t="str">
            <v xml:space="preserve">  L.C # 330/02/0313 TOYOTA RING &amp; SIMPLE</v>
          </cell>
          <cell r="D3596">
            <v>0</v>
          </cell>
          <cell r="E3596">
            <v>0</v>
          </cell>
          <cell r="F3596">
            <v>0</v>
          </cell>
          <cell r="G3596">
            <v>0</v>
          </cell>
        </row>
        <row r="3597">
          <cell r="A3597" t="str">
            <v>36-01-01-0016</v>
          </cell>
          <cell r="B3597">
            <v>0</v>
          </cell>
          <cell r="C3597" t="str">
            <v xml:space="preserve">  L.C # 1001/LC/513/2002 2 RING FRM EJM1</v>
          </cell>
          <cell r="D3597">
            <v>0</v>
          </cell>
          <cell r="E3597">
            <v>0</v>
          </cell>
          <cell r="F3597">
            <v>0</v>
          </cell>
          <cell r="G3597">
            <v>0</v>
          </cell>
        </row>
        <row r="3598">
          <cell r="A3598" t="str">
            <v>36-01-01-0017</v>
          </cell>
          <cell r="B3598">
            <v>0</v>
          </cell>
          <cell r="C3598" t="str">
            <v xml:space="preserve">  L.C # 2002/220 TRUT.4 CARDS &amp; 2 DRW FR</v>
          </cell>
          <cell r="D3598">
            <v>0</v>
          </cell>
          <cell r="E3598">
            <v>0</v>
          </cell>
          <cell r="F3598">
            <v>0</v>
          </cell>
          <cell r="G3598">
            <v>0</v>
          </cell>
        </row>
        <row r="3599">
          <cell r="A3599" t="str">
            <v>36-01-01-0018</v>
          </cell>
          <cell r="B3599">
            <v>0</v>
          </cell>
          <cell r="C3599" t="str">
            <v xml:space="preserve">  L.C # MPB/LC/PSH/223 COMPRESSOR &amp; DRYE</v>
          </cell>
          <cell r="D3599">
            <v>0</v>
          </cell>
          <cell r="E3599">
            <v>0</v>
          </cell>
          <cell r="F3599">
            <v>0</v>
          </cell>
          <cell r="G3599">
            <v>0</v>
          </cell>
        </row>
        <row r="3600">
          <cell r="A3600" t="str">
            <v>36-01-01-0019</v>
          </cell>
          <cell r="B3600">
            <v>0</v>
          </cell>
          <cell r="C3600" t="str">
            <v xml:space="preserve">  L.C # 1001/LC/673/2002 B&amp;W DIESEL ENGI</v>
          </cell>
          <cell r="D3600">
            <v>0</v>
          </cell>
          <cell r="E3600">
            <v>0</v>
          </cell>
          <cell r="F3600">
            <v>0</v>
          </cell>
          <cell r="G3600">
            <v>0</v>
          </cell>
        </row>
        <row r="3601">
          <cell r="A3601" t="str">
            <v>36-01-01-0020</v>
          </cell>
          <cell r="B3601">
            <v>0</v>
          </cell>
          <cell r="C3601" t="str">
            <v xml:space="preserve">  L.C # PSH/2002/227 BALE PLUCKER &amp; COND</v>
          </cell>
          <cell r="D3601">
            <v>0</v>
          </cell>
          <cell r="E3601">
            <v>0</v>
          </cell>
          <cell r="F3601">
            <v>0</v>
          </cell>
          <cell r="G3601">
            <v>0</v>
          </cell>
        </row>
        <row r="3602">
          <cell r="A3602" t="str">
            <v>36-01-01-0021</v>
          </cell>
          <cell r="B3602">
            <v>0</v>
          </cell>
          <cell r="C3602" t="str">
            <v xml:space="preserve">  L.C # 1001/788/2002 6 SCHLAFHORST AUTO</v>
          </cell>
          <cell r="D3602">
            <v>0</v>
          </cell>
          <cell r="E3602">
            <v>0</v>
          </cell>
          <cell r="F3602">
            <v>0</v>
          </cell>
          <cell r="G3602">
            <v>0</v>
          </cell>
        </row>
        <row r="3603">
          <cell r="A3603" t="str">
            <v>36-01-01-0022</v>
          </cell>
          <cell r="B3603">
            <v>0</v>
          </cell>
          <cell r="C3603" t="str">
            <v xml:space="preserve">  L.C # 2002/231 2 TRUTZSCHLER CARD DK-9</v>
          </cell>
          <cell r="D3603">
            <v>0</v>
          </cell>
          <cell r="E3603">
            <v>0</v>
          </cell>
          <cell r="F3603">
            <v>0</v>
          </cell>
          <cell r="G3603">
            <v>0</v>
          </cell>
        </row>
        <row r="3604">
          <cell r="A3604" t="str">
            <v>36-01-01-0023</v>
          </cell>
          <cell r="B3604">
            <v>0</v>
          </cell>
          <cell r="C3604" t="str">
            <v xml:space="preserve">  L.C # 856/2002 B/ROOM.D/FRME UNILAP CM</v>
          </cell>
          <cell r="D3604">
            <v>0</v>
          </cell>
          <cell r="E3604">
            <v>0</v>
          </cell>
          <cell r="F3604">
            <v>0</v>
          </cell>
          <cell r="G3604">
            <v>0</v>
          </cell>
        </row>
        <row r="3605">
          <cell r="A3605" t="str">
            <v>36-01-01-0024</v>
          </cell>
          <cell r="B3605">
            <v>0</v>
          </cell>
          <cell r="C3605" t="str">
            <v xml:space="preserve">  L.C # 2002/233 8 TRUTZSCHLR CARDS DK'9</v>
          </cell>
          <cell r="D3605">
            <v>0</v>
          </cell>
          <cell r="E3605">
            <v>0</v>
          </cell>
          <cell r="F3605">
            <v>0</v>
          </cell>
          <cell r="G3605">
            <v>0</v>
          </cell>
        </row>
        <row r="3606">
          <cell r="A3606" t="str">
            <v>36-01-01-0025</v>
          </cell>
          <cell r="B3606">
            <v>0</v>
          </cell>
          <cell r="C3606" t="str">
            <v xml:space="preserve">  L.C # 2002/234 4 TOYOTA ROVNG FRAM FL1</v>
          </cell>
          <cell r="D3606">
            <v>0</v>
          </cell>
          <cell r="E3606">
            <v>0</v>
          </cell>
          <cell r="F3606">
            <v>0</v>
          </cell>
          <cell r="G3606">
            <v>0</v>
          </cell>
        </row>
        <row r="3607">
          <cell r="A3607" t="str">
            <v>36-01-01-0026</v>
          </cell>
          <cell r="B3607">
            <v>0</v>
          </cell>
          <cell r="C3607" t="str">
            <v xml:space="preserve">  L.C # 1001/907/2002 LUWA COMPLETE FIBR</v>
          </cell>
          <cell r="D3607">
            <v>0</v>
          </cell>
          <cell r="E3607">
            <v>0</v>
          </cell>
          <cell r="F3607">
            <v>0</v>
          </cell>
          <cell r="G3607">
            <v>0</v>
          </cell>
        </row>
        <row r="3608">
          <cell r="A3608" t="str">
            <v>36-01-01-0027</v>
          </cell>
          <cell r="B3608">
            <v>0</v>
          </cell>
          <cell r="C3608" t="str">
            <v xml:space="preserve">  L.C # 946/2002 TOYOTA SIMPLEX FRAME 3.</v>
          </cell>
          <cell r="D3608">
            <v>0</v>
          </cell>
          <cell r="E3608">
            <v>0</v>
          </cell>
          <cell r="F3608">
            <v>0</v>
          </cell>
          <cell r="G3608">
            <v>0</v>
          </cell>
        </row>
        <row r="3609">
          <cell r="A3609" t="str">
            <v>36-01-01-0028</v>
          </cell>
          <cell r="B3609">
            <v>0</v>
          </cell>
          <cell r="C3609" t="str">
            <v xml:space="preserve">  L.C # 1001/980/2002 LUWA COMPLETE</v>
          </cell>
          <cell r="D3609">
            <v>0</v>
          </cell>
          <cell r="E3609">
            <v>0</v>
          </cell>
          <cell r="F3609">
            <v>0</v>
          </cell>
          <cell r="G3609">
            <v>0</v>
          </cell>
        </row>
        <row r="3610">
          <cell r="A3610" t="str">
            <v>36-01-01-0029</v>
          </cell>
          <cell r="B3610">
            <v>0</v>
          </cell>
          <cell r="C3610" t="str">
            <v xml:space="preserve">  L.C # 1001/988/2002 20 RING FRAME F-50</v>
          </cell>
          <cell r="D3610">
            <v>0</v>
          </cell>
          <cell r="E3610">
            <v>0</v>
          </cell>
          <cell r="F3610">
            <v>0</v>
          </cell>
          <cell r="G3610">
            <v>0</v>
          </cell>
        </row>
        <row r="3611">
          <cell r="A3611" t="str">
            <v>36-01-01-0030</v>
          </cell>
          <cell r="B3611">
            <v>0</v>
          </cell>
          <cell r="C3611" t="str">
            <v xml:space="preserve">  L.C # PSH/2002/237 OILING MACHINE SPIN</v>
          </cell>
          <cell r="D3611">
            <v>0</v>
          </cell>
          <cell r="E3611">
            <v>0</v>
          </cell>
          <cell r="F3611">
            <v>0</v>
          </cell>
          <cell r="G3611">
            <v>0</v>
          </cell>
        </row>
        <row r="3612">
          <cell r="A3612" t="str">
            <v>36-01-01-0031</v>
          </cell>
          <cell r="B3612">
            <v>0</v>
          </cell>
          <cell r="C3612" t="str">
            <v xml:space="preserve">  L.C # 2002/241 5 TOYOTA RX 240 (1008 S</v>
          </cell>
          <cell r="D3612">
            <v>0</v>
          </cell>
          <cell r="E3612">
            <v>0</v>
          </cell>
          <cell r="F3612">
            <v>0</v>
          </cell>
          <cell r="G3612">
            <v>0</v>
          </cell>
        </row>
        <row r="3613">
          <cell r="A3613" t="str">
            <v>36-01-01-0032</v>
          </cell>
          <cell r="B3613">
            <v>0</v>
          </cell>
          <cell r="C3613" t="str">
            <v xml:space="preserve">  L.C # 2002/242 4 DRAW CHERRY HARA DX-8</v>
          </cell>
          <cell r="D3613">
            <v>0</v>
          </cell>
          <cell r="E3613">
            <v>0</v>
          </cell>
          <cell r="F3613">
            <v>0</v>
          </cell>
          <cell r="G3613">
            <v>0</v>
          </cell>
        </row>
        <row r="3614">
          <cell r="A3614" t="str">
            <v>36-01-01-0033</v>
          </cell>
          <cell r="B3614">
            <v>0</v>
          </cell>
          <cell r="C3614" t="str">
            <v xml:space="preserve">  L.C # 1006/2002 5 SAVIO AUTO WINDR-ORI</v>
          </cell>
          <cell r="D3614">
            <v>0</v>
          </cell>
          <cell r="E3614">
            <v>0</v>
          </cell>
          <cell r="F3614">
            <v>0</v>
          </cell>
          <cell r="G3614">
            <v>0</v>
          </cell>
        </row>
        <row r="3615">
          <cell r="A3615" t="str">
            <v>36-01-01-0034</v>
          </cell>
          <cell r="B3615">
            <v>0</v>
          </cell>
          <cell r="C3615" t="str">
            <v xml:space="preserve">  L.C # 2002/245 PALETTIZING MACHIN BTS8</v>
          </cell>
          <cell r="D3615">
            <v>0</v>
          </cell>
          <cell r="E3615">
            <v>0</v>
          </cell>
          <cell r="F3615">
            <v>0</v>
          </cell>
          <cell r="G3615">
            <v>0</v>
          </cell>
        </row>
        <row r="3616">
          <cell r="A3616" t="str">
            <v>36-01-01-0035</v>
          </cell>
          <cell r="B3616">
            <v>0</v>
          </cell>
          <cell r="C3616" t="str">
            <v xml:space="preserve">  L.C # PC/PSH/248 BRACKER SPINNGING RIN</v>
          </cell>
          <cell r="D3616">
            <v>0</v>
          </cell>
          <cell r="E3616">
            <v>0</v>
          </cell>
          <cell r="F3616">
            <v>0</v>
          </cell>
          <cell r="G3616">
            <v>0</v>
          </cell>
        </row>
        <row r="3617">
          <cell r="A3617" t="str">
            <v>36-01-01-0036</v>
          </cell>
          <cell r="B3617">
            <v>0</v>
          </cell>
          <cell r="C3617" t="str">
            <v xml:space="preserve">  L.C # 2002/247 COT GRINDING MACHINE.</v>
          </cell>
          <cell r="D3617">
            <v>0</v>
          </cell>
          <cell r="E3617">
            <v>0</v>
          </cell>
          <cell r="F3617">
            <v>0</v>
          </cell>
          <cell r="G3617">
            <v>0</v>
          </cell>
        </row>
        <row r="3618">
          <cell r="A3618" t="str">
            <v>36-01-01-0037</v>
          </cell>
          <cell r="B3618">
            <v>0</v>
          </cell>
          <cell r="C3618" t="str">
            <v xml:space="preserve">  L.C # 2002/250 WASTE HEAT RECOVERY</v>
          </cell>
          <cell r="D3618">
            <v>0</v>
          </cell>
          <cell r="E3618">
            <v>0</v>
          </cell>
          <cell r="F3618">
            <v>0</v>
          </cell>
          <cell r="G3618">
            <v>0</v>
          </cell>
        </row>
        <row r="3619">
          <cell r="A3619" t="str">
            <v>36-01-01-0038</v>
          </cell>
          <cell r="B3619">
            <v>0</v>
          </cell>
          <cell r="C3619" t="str">
            <v xml:space="preserve">  L.C # 2002/249 10 BOGE SCREW AIR COMPR</v>
          </cell>
          <cell r="D3619">
            <v>0</v>
          </cell>
          <cell r="E3619">
            <v>0</v>
          </cell>
          <cell r="F3619">
            <v>0</v>
          </cell>
          <cell r="G3619">
            <v>0</v>
          </cell>
        </row>
        <row r="3620">
          <cell r="A3620" t="str">
            <v>36-01-01-0039</v>
          </cell>
          <cell r="B3620">
            <v>0</v>
          </cell>
          <cell r="C3620" t="str">
            <v xml:space="preserve">  L.C # 256 USTER TESTING INSTRUMENT</v>
          </cell>
          <cell r="D3620">
            <v>0</v>
          </cell>
          <cell r="E3620">
            <v>0</v>
          </cell>
          <cell r="F3620">
            <v>0</v>
          </cell>
          <cell r="G3620">
            <v>0</v>
          </cell>
        </row>
        <row r="3621">
          <cell r="A3621" t="str">
            <v>36-01-01-0040</v>
          </cell>
          <cell r="B3621">
            <v>0</v>
          </cell>
          <cell r="C3621" t="str">
            <v xml:space="preserve">  L.C # 2002/257 GRAF CARDROOM EQUIPMENT</v>
          </cell>
          <cell r="D3621">
            <v>0</v>
          </cell>
          <cell r="E3621">
            <v>0</v>
          </cell>
          <cell r="F3621">
            <v>0</v>
          </cell>
          <cell r="G3621">
            <v>0</v>
          </cell>
        </row>
        <row r="3622">
          <cell r="A3622" t="str">
            <v>36-01-01-0041</v>
          </cell>
          <cell r="B3622">
            <v>0</v>
          </cell>
          <cell r="C3622" t="str">
            <v xml:space="preserve">  L.C # 1001/1266/2002 20 RING FRAME F15</v>
          </cell>
          <cell r="D3622">
            <v>0</v>
          </cell>
          <cell r="E3622">
            <v>0</v>
          </cell>
          <cell r="F3622">
            <v>0</v>
          </cell>
          <cell r="G3622">
            <v>0</v>
          </cell>
        </row>
        <row r="3623">
          <cell r="A3623" t="str">
            <v>36-01-01-0042</v>
          </cell>
          <cell r="B3623">
            <v>0</v>
          </cell>
          <cell r="C3623" t="str">
            <v xml:space="preserve">  L.C # PSH/2002/263 5 TOYOTA RING FRAME</v>
          </cell>
          <cell r="D3623">
            <v>0</v>
          </cell>
          <cell r="E3623">
            <v>0</v>
          </cell>
          <cell r="F3623">
            <v>0</v>
          </cell>
          <cell r="G3623">
            <v>0</v>
          </cell>
        </row>
        <row r="3624">
          <cell r="A3624" t="str">
            <v>36-01-01-0043</v>
          </cell>
          <cell r="B3624">
            <v>0</v>
          </cell>
          <cell r="C3624" t="str">
            <v xml:space="preserve">  L.C # 2002/266 ATLAS CAPCO AIR COMPRES</v>
          </cell>
          <cell r="D3624">
            <v>0</v>
          </cell>
          <cell r="E3624">
            <v>0</v>
          </cell>
          <cell r="F3624">
            <v>0</v>
          </cell>
          <cell r="G3624">
            <v>0</v>
          </cell>
        </row>
        <row r="3625">
          <cell r="A3625" t="str">
            <v>36-01-01-0044</v>
          </cell>
          <cell r="B3625">
            <v>0</v>
          </cell>
          <cell r="C3625" t="str">
            <v xml:space="preserve">  L.C # 1537/2002 FIBRE, RIETER E62 COMB</v>
          </cell>
          <cell r="D3625">
            <v>0</v>
          </cell>
          <cell r="E3625">
            <v>0</v>
          </cell>
          <cell r="F3625">
            <v>0</v>
          </cell>
          <cell r="G3625">
            <v>0</v>
          </cell>
        </row>
        <row r="3626">
          <cell r="A3626" t="str">
            <v>36-01-01-0045</v>
          </cell>
          <cell r="B3626">
            <v>0</v>
          </cell>
          <cell r="C3626" t="str">
            <v xml:space="preserve">  L.C # 2002/275 3 SOFT CORE SPUN FILAME</v>
          </cell>
          <cell r="D3626">
            <v>0</v>
          </cell>
          <cell r="E3626">
            <v>0</v>
          </cell>
          <cell r="F3626">
            <v>0</v>
          </cell>
          <cell r="G3626">
            <v>0</v>
          </cell>
        </row>
        <row r="3627">
          <cell r="A3627" t="str">
            <v>36-01-01-0046</v>
          </cell>
          <cell r="B3627">
            <v>0</v>
          </cell>
          <cell r="C3627" t="str">
            <v xml:space="preserve">  L.C # 2002/276 WRAP REEL  MOTOR DRIVEN</v>
          </cell>
          <cell r="D3627">
            <v>0</v>
          </cell>
          <cell r="E3627">
            <v>0</v>
          </cell>
          <cell r="F3627">
            <v>0</v>
          </cell>
          <cell r="G3627">
            <v>0</v>
          </cell>
        </row>
        <row r="3628">
          <cell r="A3628" t="str">
            <v>36-01-01-0047</v>
          </cell>
          <cell r="B3628">
            <v>0</v>
          </cell>
          <cell r="C3628" t="str">
            <v xml:space="preserve">  L.C # 1650/2002 RING FRAME EJM 128 9 S</v>
          </cell>
          <cell r="D3628">
            <v>0</v>
          </cell>
          <cell r="E3628">
            <v>0</v>
          </cell>
          <cell r="F3628">
            <v>0</v>
          </cell>
          <cell r="G3628">
            <v>0</v>
          </cell>
        </row>
        <row r="3629">
          <cell r="A3629" t="str">
            <v>36-01-01-0048</v>
          </cell>
          <cell r="B3629">
            <v>0</v>
          </cell>
          <cell r="C3629" t="str">
            <v xml:space="preserve">  L.C # 2002/285 ARGUS H/SPEED DIVERTER</v>
          </cell>
          <cell r="D3629">
            <v>0</v>
          </cell>
          <cell r="E3629">
            <v>0</v>
          </cell>
          <cell r="F3629">
            <v>0</v>
          </cell>
          <cell r="G3629">
            <v>0</v>
          </cell>
        </row>
        <row r="3630">
          <cell r="A3630" t="str">
            <v>36-01-01-0049</v>
          </cell>
          <cell r="B3630">
            <v>0</v>
          </cell>
          <cell r="C3630" t="str">
            <v xml:space="preserve">  L.C # 2002/279 BREAKER SPINNING RING</v>
          </cell>
          <cell r="D3630">
            <v>0</v>
          </cell>
          <cell r="E3630">
            <v>0</v>
          </cell>
          <cell r="F3630">
            <v>0</v>
          </cell>
          <cell r="G3630">
            <v>0</v>
          </cell>
        </row>
        <row r="3631">
          <cell r="A3631" t="str">
            <v>36-01-01-0050</v>
          </cell>
          <cell r="B3631">
            <v>0</v>
          </cell>
          <cell r="C3631" t="str">
            <v xml:space="preserve">  L.C # 2002/281 USTER TESTING INSTRUMEN</v>
          </cell>
          <cell r="D3631">
            <v>0</v>
          </cell>
          <cell r="E3631">
            <v>0</v>
          </cell>
          <cell r="F3631">
            <v>0</v>
          </cell>
          <cell r="G3631">
            <v>0</v>
          </cell>
        </row>
        <row r="3632">
          <cell r="A3632" t="str">
            <v>36-01-01-0051</v>
          </cell>
          <cell r="B3632">
            <v>0</v>
          </cell>
          <cell r="C3632" t="str">
            <v xml:space="preserve">  CONT # PSH/2002/002 II HAND TEXTILE</v>
          </cell>
          <cell r="D3632">
            <v>0</v>
          </cell>
          <cell r="E3632">
            <v>0</v>
          </cell>
          <cell r="F3632">
            <v>0</v>
          </cell>
          <cell r="G3632">
            <v>0</v>
          </cell>
        </row>
        <row r="3633">
          <cell r="A3633" t="str">
            <v>36-01-01-0052</v>
          </cell>
          <cell r="B3633">
            <v>0</v>
          </cell>
          <cell r="C3633" t="str">
            <v xml:space="preserve">  CONT # MPB 2002/001 SLEEVE CONTROL</v>
          </cell>
          <cell r="D3633">
            <v>0</v>
          </cell>
          <cell r="E3633">
            <v>0</v>
          </cell>
          <cell r="F3633">
            <v>0</v>
          </cell>
          <cell r="G3633">
            <v>0</v>
          </cell>
        </row>
        <row r="3634">
          <cell r="A3634" t="str">
            <v>36-01-01-0053</v>
          </cell>
          <cell r="B3634">
            <v>0</v>
          </cell>
          <cell r="C3634" t="str">
            <v xml:space="preserve">  L.C # 2002/303 SAVIO CONE WINDER 3 SET</v>
          </cell>
          <cell r="D3634">
            <v>0</v>
          </cell>
          <cell r="E3634">
            <v>0</v>
          </cell>
          <cell r="F3634">
            <v>0</v>
          </cell>
          <cell r="G3634">
            <v>0</v>
          </cell>
        </row>
        <row r="3635">
          <cell r="A3635" t="str">
            <v>36-01-01-0054</v>
          </cell>
          <cell r="B3635">
            <v>0</v>
          </cell>
          <cell r="C3635" t="str">
            <v xml:space="preserve">  L.C # 1001/LC/1868/2002 COTTON BLOW RO</v>
          </cell>
          <cell r="D3635">
            <v>0</v>
          </cell>
          <cell r="E3635">
            <v>0</v>
          </cell>
          <cell r="F3635">
            <v>0</v>
          </cell>
          <cell r="G3635">
            <v>0</v>
          </cell>
        </row>
        <row r="3636">
          <cell r="A3636" t="str">
            <v>36-01-01-0055</v>
          </cell>
          <cell r="B3636">
            <v>0</v>
          </cell>
          <cell r="C3636" t="str">
            <v xml:space="preserve">  CONT # 1001/17/2003 1 UNIT BD BALE OPN</v>
          </cell>
          <cell r="D3636">
            <v>0</v>
          </cell>
          <cell r="E3636">
            <v>0</v>
          </cell>
          <cell r="F3636">
            <v>0</v>
          </cell>
          <cell r="G3636">
            <v>0</v>
          </cell>
        </row>
        <row r="3637">
          <cell r="A3637" t="str">
            <v>36-01-01-0056</v>
          </cell>
          <cell r="B3637">
            <v>0</v>
          </cell>
          <cell r="C3637" t="str">
            <v xml:space="preserve">  L/C # 2003/314 FREQUENCY CONVERTERS</v>
          </cell>
          <cell r="D3637">
            <v>0</v>
          </cell>
          <cell r="E3637">
            <v>0</v>
          </cell>
          <cell r="F3637">
            <v>0</v>
          </cell>
          <cell r="G3637">
            <v>0</v>
          </cell>
        </row>
        <row r="3638">
          <cell r="A3638" t="str">
            <v>36-01-01-0057</v>
          </cell>
          <cell r="B3638">
            <v>0</v>
          </cell>
          <cell r="C3638" t="str">
            <v xml:space="preserve">  L.C # 2003/316 BOGE SCREW AIR COMPRESS</v>
          </cell>
          <cell r="D3638">
            <v>0</v>
          </cell>
          <cell r="E3638">
            <v>0</v>
          </cell>
          <cell r="F3638">
            <v>0</v>
          </cell>
          <cell r="G3638">
            <v>0</v>
          </cell>
        </row>
        <row r="3639">
          <cell r="A3639" t="str">
            <v>36-01-01-0058</v>
          </cell>
          <cell r="B3639">
            <v>0</v>
          </cell>
          <cell r="C3639" t="str">
            <v xml:space="preserve">  L.C # 2002/317 I BOGE SCREW AIR COMPRE</v>
          </cell>
          <cell r="D3639">
            <v>0</v>
          </cell>
          <cell r="E3639">
            <v>0</v>
          </cell>
          <cell r="F3639">
            <v>0</v>
          </cell>
          <cell r="G3639">
            <v>0</v>
          </cell>
        </row>
        <row r="3640">
          <cell r="A3640" t="str">
            <v>36-01-01-0059</v>
          </cell>
          <cell r="B3640">
            <v>0</v>
          </cell>
          <cell r="C3640" t="str">
            <v xml:space="preserve">  L.C # 2002/292 BOGE REFRIGRATION DRYER</v>
          </cell>
          <cell r="D3640">
            <v>0</v>
          </cell>
          <cell r="E3640">
            <v>0</v>
          </cell>
          <cell r="F3640">
            <v>0</v>
          </cell>
          <cell r="G3640">
            <v>0</v>
          </cell>
        </row>
        <row r="3641">
          <cell r="A3641" t="str">
            <v>36-01-01-0060</v>
          </cell>
          <cell r="B3641">
            <v>0</v>
          </cell>
          <cell r="C3641" t="str">
            <v xml:space="preserve">  L.C # 260/2003 LUWA COMPLETE DUST &amp; WE</v>
          </cell>
          <cell r="D3641">
            <v>0</v>
          </cell>
          <cell r="E3641">
            <v>0</v>
          </cell>
          <cell r="F3641">
            <v>0</v>
          </cell>
          <cell r="G3641">
            <v>0</v>
          </cell>
        </row>
        <row r="3642">
          <cell r="A3642" t="str">
            <v>36-01-01-0061</v>
          </cell>
          <cell r="B3642">
            <v>0</v>
          </cell>
          <cell r="C3642" t="str">
            <v xml:space="preserve">  L.C # 1001/259/2003 WELKER CONDIMAT</v>
          </cell>
          <cell r="D3642">
            <v>0</v>
          </cell>
          <cell r="E3642">
            <v>0</v>
          </cell>
          <cell r="F3642">
            <v>0</v>
          </cell>
          <cell r="G3642">
            <v>0</v>
          </cell>
        </row>
        <row r="3643">
          <cell r="A3643" t="str">
            <v>36-01-01-0062</v>
          </cell>
          <cell r="B3643">
            <v>0</v>
          </cell>
          <cell r="C3643" t="str">
            <v xml:space="preserve">  L.C #1001/260/2003 LUWA DUST WASTE REM</v>
          </cell>
          <cell r="D3643">
            <v>0</v>
          </cell>
          <cell r="E3643">
            <v>0</v>
          </cell>
          <cell r="F3643">
            <v>0</v>
          </cell>
          <cell r="G3643">
            <v>0</v>
          </cell>
        </row>
        <row r="3644">
          <cell r="A3644" t="str">
            <v>36-01-01-0063</v>
          </cell>
          <cell r="B3644">
            <v>0</v>
          </cell>
          <cell r="C3644" t="str">
            <v xml:space="preserve">  L.C # 1001/268/2003 BLOW ROOM EXTENSIO</v>
          </cell>
          <cell r="D3644">
            <v>0</v>
          </cell>
          <cell r="E3644">
            <v>0</v>
          </cell>
          <cell r="F3644">
            <v>0</v>
          </cell>
          <cell r="G3644">
            <v>0</v>
          </cell>
        </row>
        <row r="3645">
          <cell r="A3645" t="str">
            <v>36-01-01-0064</v>
          </cell>
          <cell r="B3645">
            <v>0</v>
          </cell>
          <cell r="C3645" t="str">
            <v xml:space="preserve">  CONT # MPB/PSH/2003/007 CHUTES FEEDS</v>
          </cell>
          <cell r="D3645">
            <v>0</v>
          </cell>
          <cell r="E3645">
            <v>0</v>
          </cell>
          <cell r="F3645">
            <v>0</v>
          </cell>
          <cell r="G3645">
            <v>0</v>
          </cell>
        </row>
        <row r="3646">
          <cell r="A3646" t="str">
            <v>36-01-01-0065</v>
          </cell>
          <cell r="B3646">
            <v>0</v>
          </cell>
          <cell r="C3646" t="str">
            <v xml:space="preserve">  L.C # 330/03/0302 MURATA TWISTER 10 SE</v>
          </cell>
          <cell r="D3646">
            <v>0</v>
          </cell>
          <cell r="E3646">
            <v>0</v>
          </cell>
          <cell r="F3646">
            <v>0</v>
          </cell>
          <cell r="G3646">
            <v>0</v>
          </cell>
        </row>
        <row r="3647">
          <cell r="A3647" t="str">
            <v>36-01-01-0066</v>
          </cell>
          <cell r="B3647">
            <v>0</v>
          </cell>
          <cell r="C3647" t="str">
            <v xml:space="preserve">  L.C # 1001/408/2003 MURATA 1 TWISTER (</v>
          </cell>
          <cell r="D3647">
            <v>0</v>
          </cell>
          <cell r="E3647">
            <v>0</v>
          </cell>
          <cell r="F3647">
            <v>0</v>
          </cell>
          <cell r="G3647">
            <v>0</v>
          </cell>
        </row>
        <row r="3648">
          <cell r="A3648" t="str">
            <v>36-01-01-0067</v>
          </cell>
          <cell r="B3648">
            <v>0</v>
          </cell>
          <cell r="C3648" t="str">
            <v xml:space="preserve">  L.C # 2002/341 BOGE SCREW AIR COMPRESS</v>
          </cell>
          <cell r="D3648">
            <v>0</v>
          </cell>
          <cell r="E3648">
            <v>0</v>
          </cell>
          <cell r="F3648">
            <v>0</v>
          </cell>
          <cell r="G3648">
            <v>0</v>
          </cell>
        </row>
        <row r="3649">
          <cell r="A3649" t="str">
            <v>36-01-01-0068</v>
          </cell>
          <cell r="B3649">
            <v>0</v>
          </cell>
          <cell r="C3649" t="str">
            <v xml:space="preserve">  L.C # 2003/342 GRAF CARD CLOTHING</v>
          </cell>
          <cell r="D3649">
            <v>0</v>
          </cell>
          <cell r="E3649">
            <v>0</v>
          </cell>
          <cell r="F3649">
            <v>0</v>
          </cell>
          <cell r="G3649">
            <v>0</v>
          </cell>
        </row>
        <row r="3650">
          <cell r="A3650" t="str">
            <v>36-01-01-0069</v>
          </cell>
          <cell r="B3650">
            <v>0</v>
          </cell>
          <cell r="C3650" t="str">
            <v xml:space="preserve">  L.C # 1001/438/2003 LUWA FIBRE UNILAP</v>
          </cell>
          <cell r="D3650">
            <v>0</v>
          </cell>
          <cell r="E3650">
            <v>0</v>
          </cell>
          <cell r="F3650">
            <v>0</v>
          </cell>
          <cell r="G3650">
            <v>0</v>
          </cell>
        </row>
        <row r="3651">
          <cell r="A3651" t="str">
            <v>36-01-01-0070</v>
          </cell>
          <cell r="B3651">
            <v>0</v>
          </cell>
          <cell r="C3651" t="str">
            <v xml:space="preserve">  L.C # MPB/PSH/344 ASANO DIGITL WRAP RE</v>
          </cell>
          <cell r="D3651">
            <v>0</v>
          </cell>
          <cell r="E3651">
            <v>0</v>
          </cell>
          <cell r="F3651">
            <v>0</v>
          </cell>
          <cell r="G3651">
            <v>0</v>
          </cell>
        </row>
        <row r="3652">
          <cell r="A3652" t="str">
            <v>36-01-01-0072</v>
          </cell>
          <cell r="B3652">
            <v>0</v>
          </cell>
          <cell r="C3652" t="str">
            <v xml:space="preserve">  L.C # 2003/364 USTER TESTING INSTRUMEN</v>
          </cell>
          <cell r="D3652">
            <v>0</v>
          </cell>
          <cell r="E3652">
            <v>0</v>
          </cell>
          <cell r="F3652">
            <v>0</v>
          </cell>
          <cell r="G3652">
            <v>0</v>
          </cell>
        </row>
        <row r="3653">
          <cell r="A3653" t="str">
            <v>36-01-01-0073</v>
          </cell>
          <cell r="B3653">
            <v>0</v>
          </cell>
          <cell r="C3653" t="str">
            <v xml:space="preserve">  L.C # 962/2003 9 SPINNING FRAME EJM-12</v>
          </cell>
          <cell r="D3653">
            <v>0</v>
          </cell>
          <cell r="E3653">
            <v>0</v>
          </cell>
          <cell r="F3653">
            <v>0</v>
          </cell>
          <cell r="G3653">
            <v>0</v>
          </cell>
        </row>
        <row r="3654">
          <cell r="A3654" t="str">
            <v>36-01-01-0074</v>
          </cell>
          <cell r="B3654">
            <v>0</v>
          </cell>
          <cell r="C3654" t="str">
            <v xml:space="preserve">  L.C # 1001/1086/2003 3 DRAW FRAMS SB-D</v>
          </cell>
          <cell r="D3654">
            <v>0</v>
          </cell>
          <cell r="E3654">
            <v>0</v>
          </cell>
          <cell r="F3654">
            <v>0</v>
          </cell>
          <cell r="G3654">
            <v>0</v>
          </cell>
        </row>
        <row r="3655">
          <cell r="A3655" t="str">
            <v>36-01-01-0075</v>
          </cell>
          <cell r="B3655">
            <v>0</v>
          </cell>
          <cell r="C3655" t="str">
            <v xml:space="preserve">  L.C # 2003/375 COMPLETE SORTER SYSTEM</v>
          </cell>
          <cell r="D3655">
            <v>0</v>
          </cell>
          <cell r="E3655">
            <v>0</v>
          </cell>
          <cell r="F3655">
            <v>0</v>
          </cell>
          <cell r="G3655">
            <v>0</v>
          </cell>
        </row>
        <row r="3656">
          <cell r="A3656" t="str">
            <v>36-01-01-0076</v>
          </cell>
          <cell r="B3656">
            <v>0</v>
          </cell>
          <cell r="C3656" t="str">
            <v xml:space="preserve">  L.C # 1146/2003 LIANG CHI COOLING TOWE</v>
          </cell>
          <cell r="D3656">
            <v>0</v>
          </cell>
          <cell r="E3656">
            <v>0</v>
          </cell>
          <cell r="F3656">
            <v>0</v>
          </cell>
          <cell r="G3656">
            <v>0</v>
          </cell>
        </row>
        <row r="3657">
          <cell r="A3657" t="str">
            <v>36-01-01-0077</v>
          </cell>
          <cell r="B3657">
            <v>0</v>
          </cell>
          <cell r="C3657" t="str">
            <v xml:space="preserve">  CONT # 1001/612/2003 ARUGUS FIRE PROT.</v>
          </cell>
          <cell r="D3657">
            <v>0</v>
          </cell>
          <cell r="E3657">
            <v>0</v>
          </cell>
          <cell r="F3657">
            <v>0</v>
          </cell>
          <cell r="G3657">
            <v>0</v>
          </cell>
        </row>
        <row r="3658">
          <cell r="A3658" t="str">
            <v>36-01-01-0078</v>
          </cell>
          <cell r="B3658">
            <v>0</v>
          </cell>
          <cell r="C3658" t="str">
            <v xml:space="preserve">  L.C # 1001/2017/2003 USTER TESTING INS</v>
          </cell>
          <cell r="D3658">
            <v>0</v>
          </cell>
          <cell r="E3658">
            <v>0</v>
          </cell>
          <cell r="F3658">
            <v>0</v>
          </cell>
          <cell r="G3658">
            <v>0</v>
          </cell>
        </row>
        <row r="3659">
          <cell r="A3659" t="str">
            <v>36-01-01-0079</v>
          </cell>
          <cell r="B3659">
            <v>0</v>
          </cell>
          <cell r="C3659" t="str">
            <v xml:space="preserve">  L/C # 2247/2003 TOYOTA ROVING FL-100</v>
          </cell>
          <cell r="D3659">
            <v>0</v>
          </cell>
          <cell r="E3659">
            <v>0</v>
          </cell>
          <cell r="F3659">
            <v>0</v>
          </cell>
          <cell r="G3659">
            <v>0</v>
          </cell>
        </row>
        <row r="3660">
          <cell r="A3660" t="str">
            <v>36-01-01-0080</v>
          </cell>
          <cell r="B3660">
            <v>0</v>
          </cell>
          <cell r="C3660" t="str">
            <v xml:space="preserve">  L/C # 2285/2003 II HAND TEXTILE MACHIN</v>
          </cell>
          <cell r="D3660">
            <v>0</v>
          </cell>
          <cell r="E3660">
            <v>0</v>
          </cell>
          <cell r="F3660">
            <v>0</v>
          </cell>
          <cell r="G3660">
            <v>0</v>
          </cell>
        </row>
        <row r="3661">
          <cell r="A3661" t="str">
            <v>36-01-01-0081</v>
          </cell>
          <cell r="B3661">
            <v>0</v>
          </cell>
          <cell r="C3661" t="str">
            <v xml:space="preserve">  L/C # 054/2004 BOGE SCREW COMPRESSOR</v>
          </cell>
          <cell r="D3661">
            <v>0</v>
          </cell>
          <cell r="E3661">
            <v>0</v>
          </cell>
          <cell r="F3661">
            <v>0</v>
          </cell>
          <cell r="G3661">
            <v>0</v>
          </cell>
        </row>
        <row r="3662">
          <cell r="A3662" t="str">
            <v>36-01-01-0082</v>
          </cell>
          <cell r="B3662">
            <v>0</v>
          </cell>
          <cell r="C3662" t="str">
            <v xml:space="preserve">  L/C # 1001/135/2004 STEEL RING 15,000</v>
          </cell>
          <cell r="D3662">
            <v>0</v>
          </cell>
          <cell r="E3662">
            <v>0</v>
          </cell>
          <cell r="F3662">
            <v>0</v>
          </cell>
          <cell r="G3662">
            <v>0</v>
          </cell>
        </row>
        <row r="3663">
          <cell r="A3663" t="str">
            <v>36-01-01-0083</v>
          </cell>
          <cell r="B3663">
            <v>0</v>
          </cell>
          <cell r="C3663" t="str">
            <v xml:space="preserve">  L/C # 2004/428 ASANO WRAP REEL MOTOR</v>
          </cell>
          <cell r="D3663">
            <v>842989.37</v>
          </cell>
          <cell r="E3663">
            <v>0</v>
          </cell>
          <cell r="F3663">
            <v>0</v>
          </cell>
          <cell r="G3663">
            <v>0</v>
          </cell>
        </row>
        <row r="3664">
          <cell r="A3664" t="str">
            <v>36-01-01-0084</v>
          </cell>
          <cell r="B3664">
            <v>0</v>
          </cell>
          <cell r="C3664" t="str">
            <v xml:space="preserve">  L/C # 222/2004 MODIFICATION BLOW ROOM</v>
          </cell>
          <cell r="D3664">
            <v>0</v>
          </cell>
          <cell r="E3664">
            <v>0</v>
          </cell>
          <cell r="F3664">
            <v>0</v>
          </cell>
          <cell r="G3664">
            <v>0</v>
          </cell>
        </row>
        <row r="3665">
          <cell r="A3665" t="str">
            <v>36-01-01-0085</v>
          </cell>
          <cell r="B3665">
            <v>0</v>
          </cell>
          <cell r="C3665" t="str">
            <v xml:space="preserve">  L/C # 2004/436 MURATA JET SPINNER 2 SE</v>
          </cell>
          <cell r="D3665">
            <v>0</v>
          </cell>
          <cell r="E3665">
            <v>0</v>
          </cell>
          <cell r="F3665">
            <v>0</v>
          </cell>
          <cell r="G3665">
            <v>0</v>
          </cell>
        </row>
        <row r="3666">
          <cell r="A3666" t="str">
            <v>36-01-01-0259</v>
          </cell>
          <cell r="B3666">
            <v>0</v>
          </cell>
          <cell r="C3666" t="str">
            <v xml:space="preserve">  BBC</v>
          </cell>
          <cell r="D3666">
            <v>0</v>
          </cell>
          <cell r="E3666">
            <v>0</v>
          </cell>
          <cell r="F3666">
            <v>0</v>
          </cell>
          <cell r="G3666">
            <v>0</v>
          </cell>
        </row>
        <row r="3667">
          <cell r="A3667" t="str">
            <v>36-01-01-0260</v>
          </cell>
          <cell r="B3667">
            <v>0</v>
          </cell>
          <cell r="C3667" t="str">
            <v xml:space="preserve">  CAD INV # TMI/0534/04 12 CARDING CROSR</v>
          </cell>
          <cell r="D3667">
            <v>0</v>
          </cell>
          <cell r="E3667">
            <v>0</v>
          </cell>
          <cell r="F3667">
            <v>0</v>
          </cell>
          <cell r="G3667">
            <v>0</v>
          </cell>
        </row>
        <row r="3668">
          <cell r="A3668" t="str">
            <v>36-01-01-0261</v>
          </cell>
          <cell r="B3668">
            <v>0</v>
          </cell>
          <cell r="C3668" t="str">
            <v xml:space="preserve">  L/C # 2004/439 RING SPINNING K-44</v>
          </cell>
          <cell r="D3668">
            <v>70735452.319999993</v>
          </cell>
          <cell r="E3668">
            <v>0</v>
          </cell>
          <cell r="F3668">
            <v>0</v>
          </cell>
          <cell r="G3668">
            <v>0</v>
          </cell>
        </row>
        <row r="3669">
          <cell r="A3669" t="str">
            <v>36-01-01-0262</v>
          </cell>
          <cell r="B3669">
            <v>0</v>
          </cell>
          <cell r="C3669" t="str">
            <v xml:space="preserve">  L/C # 1001/448/2004 COMPACT DRAFTING</v>
          </cell>
          <cell r="D3669">
            <v>0</v>
          </cell>
          <cell r="E3669">
            <v>0</v>
          </cell>
          <cell r="F3669">
            <v>0</v>
          </cell>
          <cell r="G3669">
            <v>0</v>
          </cell>
        </row>
        <row r="3670">
          <cell r="A3670" t="str">
            <v>36-01-01-0263</v>
          </cell>
          <cell r="B3670">
            <v>0</v>
          </cell>
          <cell r="C3670" t="str">
            <v xml:space="preserve">  L/C # 455/2004 SAVIO CONE WINDER ORION</v>
          </cell>
          <cell r="D3670">
            <v>21282351</v>
          </cell>
          <cell r="E3670">
            <v>0</v>
          </cell>
          <cell r="F3670">
            <v>0</v>
          </cell>
          <cell r="G3670">
            <v>0</v>
          </cell>
        </row>
        <row r="3671">
          <cell r="A3671" t="str">
            <v>36-01-01-0264</v>
          </cell>
          <cell r="B3671">
            <v>0</v>
          </cell>
          <cell r="C3671" t="str">
            <v xml:space="preserve">  CAD INV # TMI/0541/04 BLOW ROOM &amp; 17 C</v>
          </cell>
          <cell r="D3671">
            <v>26995723</v>
          </cell>
          <cell r="E3671">
            <v>0</v>
          </cell>
          <cell r="F3671">
            <v>0</v>
          </cell>
          <cell r="G3671">
            <v>0</v>
          </cell>
        </row>
        <row r="3672">
          <cell r="A3672" t="str">
            <v>36-01-01-0265</v>
          </cell>
          <cell r="B3672">
            <v>0</v>
          </cell>
          <cell r="C3672" t="str">
            <v xml:space="preserve">  L/C # 2004/448 SAVIO AUTOMATICE CONE</v>
          </cell>
          <cell r="D3672">
            <v>13450716.720000001</v>
          </cell>
          <cell r="E3672">
            <v>0</v>
          </cell>
          <cell r="F3672">
            <v>0</v>
          </cell>
          <cell r="G3672">
            <v>0</v>
          </cell>
        </row>
        <row r="3673">
          <cell r="A3673" t="str">
            <v>36-01-01-0266</v>
          </cell>
          <cell r="B3673">
            <v>0</v>
          </cell>
          <cell r="C3673" t="str">
            <v xml:space="preserve">  L/C # 2004/449 AUTOMATIC BALE PLUCKER.</v>
          </cell>
          <cell r="D3673">
            <v>1957240.47</v>
          </cell>
          <cell r="E3673">
            <v>0</v>
          </cell>
          <cell r="F3673">
            <v>0</v>
          </cell>
          <cell r="G3673">
            <v>0</v>
          </cell>
        </row>
        <row r="3674">
          <cell r="A3674" t="str">
            <v>36-01-01-0267</v>
          </cell>
          <cell r="B3674">
            <v>0</v>
          </cell>
          <cell r="C3674" t="str">
            <v xml:space="preserve">  L/C # 1001/798/2004 COMBER E-62 3 SETS</v>
          </cell>
          <cell r="D3674">
            <v>19715644</v>
          </cell>
          <cell r="E3674">
            <v>0</v>
          </cell>
          <cell r="F3674">
            <v>0</v>
          </cell>
          <cell r="G3674">
            <v>0</v>
          </cell>
        </row>
        <row r="3675">
          <cell r="A3675" t="str">
            <v>36-01-01-0268</v>
          </cell>
          <cell r="B3675">
            <v>0</v>
          </cell>
          <cell r="C3675" t="str">
            <v xml:space="preserve">  L/C 2004/452 BOGE SCREW AIR COMPRESSOR</v>
          </cell>
          <cell r="D3675">
            <v>0</v>
          </cell>
          <cell r="E3675">
            <v>0</v>
          </cell>
          <cell r="F3675">
            <v>0</v>
          </cell>
          <cell r="G3675">
            <v>0</v>
          </cell>
        </row>
        <row r="3676">
          <cell r="A3676" t="str">
            <v>36-01-01-0269</v>
          </cell>
          <cell r="B3676">
            <v>0</v>
          </cell>
          <cell r="C3676" t="str">
            <v xml:space="preserve">  L/C # 2004/460 6 COMPACT DRAFTING SYST</v>
          </cell>
          <cell r="D3676">
            <v>10392</v>
          </cell>
          <cell r="E3676">
            <v>0</v>
          </cell>
          <cell r="F3676">
            <v>0</v>
          </cell>
          <cell r="G3676">
            <v>0</v>
          </cell>
        </row>
        <row r="3677">
          <cell r="A3677" t="str">
            <v>36-01-01-0270</v>
          </cell>
          <cell r="B3677">
            <v>0</v>
          </cell>
          <cell r="C3677" t="str">
            <v xml:space="preserve">  L/C 2004/461 HIGH PRODUCTION CARD TC-0</v>
          </cell>
          <cell r="D3677">
            <v>5093674.62</v>
          </cell>
          <cell r="E3677">
            <v>0</v>
          </cell>
          <cell r="F3677">
            <v>0</v>
          </cell>
          <cell r="G3677">
            <v>0</v>
          </cell>
        </row>
        <row r="3678">
          <cell r="A3678" t="str">
            <v>36-01-01-0271</v>
          </cell>
          <cell r="B3678">
            <v>0</v>
          </cell>
          <cell r="C3678" t="str">
            <v xml:space="preserve">  L/C # 2004/464 SOFT CORE SPUN 3 SETS</v>
          </cell>
          <cell r="D3678">
            <v>2507732.54</v>
          </cell>
          <cell r="E3678">
            <v>0</v>
          </cell>
          <cell r="F3678">
            <v>0</v>
          </cell>
          <cell r="G3678">
            <v>0</v>
          </cell>
        </row>
        <row r="3679">
          <cell r="A3679" t="str">
            <v>36-01-01-0272</v>
          </cell>
          <cell r="B3679">
            <v>0</v>
          </cell>
          <cell r="C3679" t="str">
            <v xml:space="preserve">  L/C # 2004/467 RING FRAME EJM-168 (3 S</v>
          </cell>
          <cell r="D3679">
            <v>21103</v>
          </cell>
          <cell r="E3679">
            <v>0</v>
          </cell>
          <cell r="F3679">
            <v>0</v>
          </cell>
          <cell r="G3679">
            <v>0</v>
          </cell>
        </row>
        <row r="3680">
          <cell r="A3680" t="str">
            <v>36-01-01-0273</v>
          </cell>
          <cell r="B3680">
            <v>0</v>
          </cell>
          <cell r="C3680" t="str">
            <v xml:space="preserve">  L/C # 330/04/0735 CATERPILLAR GENSET G</v>
          </cell>
          <cell r="D3680">
            <v>199246</v>
          </cell>
          <cell r="E3680">
            <v>0</v>
          </cell>
          <cell r="F3680">
            <v>0</v>
          </cell>
          <cell r="G3680">
            <v>0</v>
          </cell>
        </row>
        <row r="3681">
          <cell r="A3681" t="str">
            <v>36-01-01-0274</v>
          </cell>
          <cell r="B3681">
            <v>0</v>
          </cell>
          <cell r="C3681" t="str">
            <v xml:space="preserve">  L/C # 2004/469 WELKER YARN CONDITIONIN</v>
          </cell>
          <cell r="D3681">
            <v>9043</v>
          </cell>
          <cell r="E3681">
            <v>0</v>
          </cell>
          <cell r="F3681">
            <v>0</v>
          </cell>
          <cell r="G3681">
            <v>0</v>
          </cell>
        </row>
        <row r="3682">
          <cell r="A3682" t="str">
            <v>36-01-01-0275</v>
          </cell>
          <cell r="B3682">
            <v>0</v>
          </cell>
          <cell r="C3682" t="str">
            <v xml:space="preserve">  L/C # 2004/471 BOGE SCREW COMPRESSOR</v>
          </cell>
          <cell r="D3682">
            <v>1087260.54</v>
          </cell>
          <cell r="E3682">
            <v>0</v>
          </cell>
          <cell r="F3682">
            <v>0</v>
          </cell>
          <cell r="G3682">
            <v>0</v>
          </cell>
        </row>
        <row r="3683">
          <cell r="A3683" t="str">
            <v>36-01-01-0276</v>
          </cell>
          <cell r="B3683">
            <v>0</v>
          </cell>
          <cell r="C3683" t="str">
            <v xml:space="preserve">  L/C # 2004/474 3 SETS MURATA 3C1 (160</v>
          </cell>
          <cell r="D3683">
            <v>1263600</v>
          </cell>
          <cell r="E3683">
            <v>0</v>
          </cell>
          <cell r="F3683">
            <v>0</v>
          </cell>
          <cell r="G3683">
            <v>0</v>
          </cell>
        </row>
        <row r="3684">
          <cell r="A3684" t="str">
            <v>36-01-01-0277</v>
          </cell>
          <cell r="B3684">
            <v>0</v>
          </cell>
          <cell r="C3684" t="str">
            <v xml:space="preserve">  CONT  # 1001-333/2004 USTER UT4-SE</v>
          </cell>
          <cell r="D3684">
            <v>4681133</v>
          </cell>
          <cell r="E3684">
            <v>0</v>
          </cell>
          <cell r="F3684">
            <v>0</v>
          </cell>
          <cell r="G3684">
            <v>0</v>
          </cell>
        </row>
        <row r="3685">
          <cell r="A3685" t="str">
            <v>36-01-01-0278</v>
          </cell>
          <cell r="B3685">
            <v>0</v>
          </cell>
          <cell r="C3685" t="str">
            <v xml:space="preserve">  CONT # 1001-334/2004 3 DRAW FRAME RSB-</v>
          </cell>
          <cell r="D3685">
            <v>4560</v>
          </cell>
          <cell r="E3685">
            <v>0</v>
          </cell>
          <cell r="F3685">
            <v>0</v>
          </cell>
          <cell r="G3685">
            <v>0</v>
          </cell>
        </row>
        <row r="3686">
          <cell r="A3686" t="str">
            <v>36-01-01-0279</v>
          </cell>
          <cell r="B3686">
            <v>0</v>
          </cell>
          <cell r="C3686" t="str">
            <v xml:space="preserve">  L/C # 2004/494 MURATA NO: 28 ASSEMBLE</v>
          </cell>
          <cell r="D3686">
            <v>3221</v>
          </cell>
          <cell r="E3686">
            <v>0</v>
          </cell>
          <cell r="F3686">
            <v>0</v>
          </cell>
          <cell r="G3686">
            <v>0</v>
          </cell>
        </row>
        <row r="3687">
          <cell r="A3687" t="str">
            <v>36-01-01-0280</v>
          </cell>
          <cell r="B3687">
            <v>0</v>
          </cell>
          <cell r="C3687" t="str">
            <v xml:space="preserve">  L/C # 2004/497 4 SET MURATA NO:3 C1 .</v>
          </cell>
          <cell r="D3687">
            <v>6040</v>
          </cell>
          <cell r="E3687">
            <v>0</v>
          </cell>
          <cell r="F3687">
            <v>0</v>
          </cell>
          <cell r="G3687">
            <v>0</v>
          </cell>
        </row>
        <row r="3688">
          <cell r="A3688" t="str">
            <v>36-01-01-0281</v>
          </cell>
          <cell r="B3688">
            <v>0</v>
          </cell>
          <cell r="C3688" t="str">
            <v xml:space="preserve">  L/C # 2004/501 1 COOLING TOWER OCT09HB</v>
          </cell>
          <cell r="D3688">
            <v>2657</v>
          </cell>
          <cell r="E3688">
            <v>0</v>
          </cell>
          <cell r="F3688">
            <v>0</v>
          </cell>
          <cell r="G3688">
            <v>0</v>
          </cell>
        </row>
        <row r="3689">
          <cell r="A3689" t="str">
            <v>36-01-01-0282</v>
          </cell>
          <cell r="B3689">
            <v>0</v>
          </cell>
          <cell r="C3689" t="str">
            <v xml:space="preserve">  L/C # 2004/505 COMPACT DRAFTING SYSTEM</v>
          </cell>
          <cell r="D3689">
            <v>8961</v>
          </cell>
          <cell r="E3689">
            <v>0</v>
          </cell>
          <cell r="F3689">
            <v>0</v>
          </cell>
          <cell r="G3689">
            <v>0</v>
          </cell>
        </row>
        <row r="3690">
          <cell r="A3690" t="str">
            <v>36-01-01-0283</v>
          </cell>
          <cell r="B3690">
            <v>0</v>
          </cell>
          <cell r="C3690" t="str">
            <v xml:space="preserve">  L/C # 2004/506 TOYOTA RING FRAME RX-24</v>
          </cell>
          <cell r="D3690">
            <v>14977</v>
          </cell>
          <cell r="E3690">
            <v>0</v>
          </cell>
          <cell r="F3690">
            <v>0</v>
          </cell>
          <cell r="G3690">
            <v>0</v>
          </cell>
        </row>
        <row r="3691">
          <cell r="A3691" t="str">
            <v>36-01-01-0284</v>
          </cell>
          <cell r="B3691">
            <v>0</v>
          </cell>
          <cell r="C3691" t="str">
            <v xml:space="preserve">  ABC</v>
          </cell>
          <cell r="D3691">
            <v>0</v>
          </cell>
          <cell r="E3691">
            <v>0</v>
          </cell>
          <cell r="F3691">
            <v>0</v>
          </cell>
          <cell r="G3691">
            <v>0</v>
          </cell>
        </row>
        <row r="3692">
          <cell r="A3692" t="str">
            <v>36-01-01-0285</v>
          </cell>
          <cell r="B3692">
            <v>0</v>
          </cell>
          <cell r="C3692" t="str">
            <v xml:space="preserve">  ABV</v>
          </cell>
          <cell r="D3692">
            <v>0</v>
          </cell>
          <cell r="E3692">
            <v>0</v>
          </cell>
          <cell r="F3692">
            <v>0</v>
          </cell>
          <cell r="G3692">
            <v>0</v>
          </cell>
        </row>
        <row r="3693">
          <cell r="A3693" t="str">
            <v>36-01-01-0286</v>
          </cell>
          <cell r="B3693">
            <v>0</v>
          </cell>
          <cell r="C3693" t="str">
            <v xml:space="preserve">  ABC</v>
          </cell>
          <cell r="D3693">
            <v>0</v>
          </cell>
          <cell r="E3693">
            <v>0</v>
          </cell>
          <cell r="F3693">
            <v>0</v>
          </cell>
          <cell r="G3693">
            <v>0</v>
          </cell>
        </row>
        <row r="3694">
          <cell r="A3694" t="str">
            <v>36-01-01-0287</v>
          </cell>
          <cell r="B3694">
            <v>0</v>
          </cell>
          <cell r="C3694" t="str">
            <v xml:space="preserve">  ABC</v>
          </cell>
          <cell r="D3694">
            <v>0</v>
          </cell>
          <cell r="E3694">
            <v>0</v>
          </cell>
          <cell r="F3694">
            <v>0</v>
          </cell>
          <cell r="G3694">
            <v>0</v>
          </cell>
        </row>
        <row r="3695">
          <cell r="A3695" t="str">
            <v>36-01-01-0288</v>
          </cell>
          <cell r="B3695">
            <v>0</v>
          </cell>
          <cell r="C3695" t="str">
            <v xml:space="preserve">  ABC</v>
          </cell>
          <cell r="D3695">
            <v>0</v>
          </cell>
          <cell r="E3695">
            <v>0</v>
          </cell>
          <cell r="F3695">
            <v>0</v>
          </cell>
          <cell r="G3695">
            <v>0</v>
          </cell>
        </row>
        <row r="3696">
          <cell r="A3696" t="str">
            <v>36-01-02</v>
          </cell>
          <cell r="B3696">
            <v>0</v>
          </cell>
          <cell r="C3696" t="str">
            <v>***L/C'S ESTABLISHED FOR SPARES PARTS.</v>
          </cell>
          <cell r="D3696">
            <v>9782624.3599999994</v>
          </cell>
          <cell r="E3696">
            <v>0</v>
          </cell>
          <cell r="F3696">
            <v>9782624.3599999994</v>
          </cell>
          <cell r="G3696">
            <v>0</v>
          </cell>
        </row>
        <row r="3697">
          <cell r="A3697" t="str">
            <v>36-01-02-0001</v>
          </cell>
          <cell r="B3697">
            <v>0</v>
          </cell>
          <cell r="C3697" t="str">
            <v xml:space="preserve">  IMPORTED SPARE PARTS</v>
          </cell>
          <cell r="D3697">
            <v>3956022.89</v>
          </cell>
          <cell r="E3697">
            <v>0</v>
          </cell>
          <cell r="F3697">
            <v>0</v>
          </cell>
          <cell r="G3697">
            <v>0</v>
          </cell>
        </row>
        <row r="3698">
          <cell r="A3698" t="str">
            <v>36-01-02-0002</v>
          </cell>
          <cell r="B3698">
            <v>0</v>
          </cell>
          <cell r="C3698" t="str">
            <v xml:space="preserve">  L.C # SBL 21250 SPARE EURO 2516 GERMAN</v>
          </cell>
          <cell r="D3698">
            <v>0</v>
          </cell>
          <cell r="E3698">
            <v>0</v>
          </cell>
          <cell r="F3698">
            <v>0</v>
          </cell>
          <cell r="G3698">
            <v>0</v>
          </cell>
        </row>
        <row r="3699">
          <cell r="A3699" t="str">
            <v>36-01-02-0003</v>
          </cell>
          <cell r="B3699">
            <v>0</v>
          </cell>
          <cell r="C3699" t="str">
            <v xml:space="preserve">  L.C # SBL/21264 SPARE DEM 33196.2 SING</v>
          </cell>
          <cell r="D3699">
            <v>0</v>
          </cell>
          <cell r="E3699">
            <v>0</v>
          </cell>
          <cell r="F3699">
            <v>0</v>
          </cell>
          <cell r="G3699">
            <v>0</v>
          </cell>
        </row>
        <row r="3700">
          <cell r="A3700" t="str">
            <v>36-01-02-0004</v>
          </cell>
          <cell r="B3700">
            <v>0</v>
          </cell>
          <cell r="C3700" t="str">
            <v xml:space="preserve">  L.C#MPB/2000/120 R.BOBIN 21000PC TAP 1</v>
          </cell>
          <cell r="D3700">
            <v>0</v>
          </cell>
          <cell r="E3700">
            <v>0</v>
          </cell>
          <cell r="F3700">
            <v>0</v>
          </cell>
          <cell r="G3700">
            <v>0</v>
          </cell>
        </row>
        <row r="3701">
          <cell r="A3701" t="str">
            <v>36-01-02-0005</v>
          </cell>
          <cell r="B3701">
            <v>0</v>
          </cell>
          <cell r="C3701" t="str">
            <v xml:space="preserve">  L.C # MPB/PSH/121  SPARE CHF 1030 JAP/</v>
          </cell>
          <cell r="D3701">
            <v>0</v>
          </cell>
          <cell r="E3701">
            <v>0</v>
          </cell>
          <cell r="F3701">
            <v>0</v>
          </cell>
          <cell r="G3701">
            <v>0</v>
          </cell>
        </row>
        <row r="3702">
          <cell r="A3702" t="str">
            <v>36-01-02-0006</v>
          </cell>
          <cell r="B3702">
            <v>0</v>
          </cell>
          <cell r="C3702" t="str">
            <v xml:space="preserve">  L.C # SBL/21251 SPARE EURO 3400 GEMANY</v>
          </cell>
          <cell r="D3702">
            <v>0</v>
          </cell>
          <cell r="E3702">
            <v>0</v>
          </cell>
          <cell r="F3702">
            <v>0</v>
          </cell>
          <cell r="G3702">
            <v>0</v>
          </cell>
        </row>
        <row r="3703">
          <cell r="A3703" t="str">
            <v>36-01-02-0007</v>
          </cell>
          <cell r="B3703">
            <v>0</v>
          </cell>
          <cell r="C3703" t="str">
            <v xml:space="preserve">  L.C # 937311 SPARE PART ELITOP GARM DN</v>
          </cell>
          <cell r="D3703">
            <v>0</v>
          </cell>
          <cell r="E3703">
            <v>0</v>
          </cell>
          <cell r="F3703">
            <v>0</v>
          </cell>
          <cell r="G3703">
            <v>0</v>
          </cell>
        </row>
        <row r="3704">
          <cell r="A3704" t="str">
            <v>36-01-02-0008</v>
          </cell>
          <cell r="B3704">
            <v>0</v>
          </cell>
          <cell r="C3704" t="str">
            <v xml:space="preserve">  L.C # 937310 SPARE PART ROTOR ASSEMBLY</v>
          </cell>
          <cell r="D3704">
            <v>0</v>
          </cell>
          <cell r="E3704">
            <v>0</v>
          </cell>
          <cell r="F3704">
            <v>0</v>
          </cell>
          <cell r="G3704">
            <v>0</v>
          </cell>
        </row>
        <row r="3705">
          <cell r="A3705" t="str">
            <v>36-01-02-0009</v>
          </cell>
          <cell r="B3705">
            <v>0</v>
          </cell>
          <cell r="C3705" t="str">
            <v xml:space="preserve">  L.C # MBP\123 SPARE PART EURO 2247.8 G</v>
          </cell>
          <cell r="D3705">
            <v>0</v>
          </cell>
          <cell r="E3705">
            <v>0</v>
          </cell>
          <cell r="F3705">
            <v>0</v>
          </cell>
          <cell r="G3705">
            <v>0</v>
          </cell>
        </row>
        <row r="3706">
          <cell r="A3706" t="str">
            <v>36-01-02-0010</v>
          </cell>
          <cell r="B3706">
            <v>0</v>
          </cell>
          <cell r="C3706" t="str">
            <v xml:space="preserve">  L.C # MPB\124 SPARE PART CHF 13040 SWI</v>
          </cell>
          <cell r="D3706">
            <v>0</v>
          </cell>
          <cell r="E3706">
            <v>0</v>
          </cell>
          <cell r="F3706">
            <v>0</v>
          </cell>
          <cell r="G3706">
            <v>0</v>
          </cell>
        </row>
        <row r="3707">
          <cell r="A3707" t="str">
            <v>36-01-02-0011</v>
          </cell>
          <cell r="B3707">
            <v>0</v>
          </cell>
          <cell r="C3707" t="str">
            <v xml:space="preserve">  L.C# MPB\125 ACCTEX APRON 8000PC DM163</v>
          </cell>
          <cell r="D3707">
            <v>0</v>
          </cell>
          <cell r="E3707">
            <v>0</v>
          </cell>
          <cell r="F3707">
            <v>0</v>
          </cell>
          <cell r="G3707">
            <v>0</v>
          </cell>
        </row>
        <row r="3708">
          <cell r="A3708" t="str">
            <v>36-01-02-0012</v>
          </cell>
          <cell r="B3708">
            <v>0</v>
          </cell>
          <cell r="C3708" t="str">
            <v xml:space="preserve">  L.C MPB\122 SPARE PART EURO4260.23 GAR</v>
          </cell>
          <cell r="D3708">
            <v>0</v>
          </cell>
          <cell r="E3708">
            <v>0</v>
          </cell>
          <cell r="F3708">
            <v>0</v>
          </cell>
          <cell r="G3708">
            <v>0</v>
          </cell>
        </row>
        <row r="3709">
          <cell r="A3709" t="str">
            <v>36-01-02-0013</v>
          </cell>
          <cell r="B3709">
            <v>0</v>
          </cell>
          <cell r="C3709" t="str">
            <v xml:space="preserve">  L.C # 937342 STEEL RING SUPER 11000PC</v>
          </cell>
          <cell r="D3709">
            <v>0</v>
          </cell>
          <cell r="E3709">
            <v>0</v>
          </cell>
          <cell r="F3709">
            <v>0</v>
          </cell>
          <cell r="G3709">
            <v>0</v>
          </cell>
        </row>
        <row r="3710">
          <cell r="A3710" t="str">
            <v>36-01-02-0014</v>
          </cell>
          <cell r="B3710">
            <v>0</v>
          </cell>
          <cell r="C3710" t="str">
            <v xml:space="preserve">  L.C # 21299 SPARE PART EEC GARMNY E220</v>
          </cell>
          <cell r="D3710">
            <v>0</v>
          </cell>
          <cell r="E3710">
            <v>0</v>
          </cell>
          <cell r="F3710">
            <v>0</v>
          </cell>
          <cell r="G3710">
            <v>0</v>
          </cell>
        </row>
        <row r="3711">
          <cell r="A3711" t="str">
            <v>36-01-02-0015</v>
          </cell>
          <cell r="B3711">
            <v>0</v>
          </cell>
          <cell r="C3711" t="str">
            <v xml:space="preserve">  L.C #937347 FAG BRAND BALL EURO 4554 K</v>
          </cell>
          <cell r="D3711">
            <v>0</v>
          </cell>
          <cell r="E3711">
            <v>0</v>
          </cell>
          <cell r="F3711">
            <v>0</v>
          </cell>
          <cell r="G3711">
            <v>0</v>
          </cell>
        </row>
        <row r="3712">
          <cell r="A3712" t="str">
            <v>36-01-02-0016</v>
          </cell>
          <cell r="B3712">
            <v>0</v>
          </cell>
          <cell r="C3712" t="str">
            <v xml:space="preserve">  L.C# MPB/126 ACCTEX PRESSFIT COTS E145</v>
          </cell>
          <cell r="D3712">
            <v>0</v>
          </cell>
          <cell r="E3712">
            <v>0</v>
          </cell>
          <cell r="F3712">
            <v>0</v>
          </cell>
          <cell r="G3712">
            <v>0</v>
          </cell>
        </row>
        <row r="3713">
          <cell r="A3713" t="str">
            <v>36-01-02-0017</v>
          </cell>
          <cell r="B3713">
            <v>0</v>
          </cell>
          <cell r="C3713" t="str">
            <v xml:space="preserve">  L.C # MPB/127 SPARE PART DM 2358.38</v>
          </cell>
          <cell r="D3713">
            <v>0</v>
          </cell>
          <cell r="E3713">
            <v>0</v>
          </cell>
          <cell r="F3713">
            <v>0</v>
          </cell>
          <cell r="G3713">
            <v>0</v>
          </cell>
        </row>
        <row r="3714">
          <cell r="A3714" t="str">
            <v>36-01-02-0018</v>
          </cell>
          <cell r="B3714">
            <v>0</v>
          </cell>
          <cell r="C3714" t="str">
            <v xml:space="preserve">  L.C # MPB/PSH/128 S.PART SUESSEN ELITE</v>
          </cell>
          <cell r="D3714">
            <v>0</v>
          </cell>
          <cell r="E3714">
            <v>0</v>
          </cell>
          <cell r="F3714">
            <v>0</v>
          </cell>
          <cell r="G3714">
            <v>0</v>
          </cell>
        </row>
        <row r="3715">
          <cell r="A3715" t="str">
            <v>36-01-02-0019</v>
          </cell>
          <cell r="B3715">
            <v>0</v>
          </cell>
          <cell r="C3715" t="str">
            <v xml:space="preserve">  L.C # MPB/PSH/129 S.PART SWITZERLAND</v>
          </cell>
          <cell r="D3715">
            <v>0</v>
          </cell>
          <cell r="E3715">
            <v>0</v>
          </cell>
          <cell r="F3715">
            <v>0</v>
          </cell>
          <cell r="G3715">
            <v>0</v>
          </cell>
        </row>
        <row r="3716">
          <cell r="A3716" t="str">
            <v>36-01-02-0020</v>
          </cell>
          <cell r="B3716">
            <v>0</v>
          </cell>
          <cell r="C3716" t="str">
            <v xml:space="preserve">  L.C # SBL/21305 STEEL RING 50000 PCS</v>
          </cell>
          <cell r="D3716">
            <v>0</v>
          </cell>
          <cell r="E3716">
            <v>0</v>
          </cell>
          <cell r="F3716">
            <v>0</v>
          </cell>
          <cell r="G3716">
            <v>0</v>
          </cell>
        </row>
        <row r="3717">
          <cell r="A3717" t="str">
            <v>36-01-02-0021</v>
          </cell>
          <cell r="B3717">
            <v>0</v>
          </cell>
          <cell r="C3717" t="str">
            <v xml:space="preserve">  L.C # SBL/21311 SPINDLE BOLSTER TYPE50</v>
          </cell>
          <cell r="D3717">
            <v>0</v>
          </cell>
          <cell r="E3717">
            <v>0</v>
          </cell>
          <cell r="F3717">
            <v>0</v>
          </cell>
          <cell r="G3717">
            <v>0</v>
          </cell>
        </row>
        <row r="3718">
          <cell r="A3718" t="str">
            <v>36-01-02-0022</v>
          </cell>
          <cell r="B3718">
            <v>0</v>
          </cell>
          <cell r="C3718" t="str">
            <v xml:space="preserve">  L.C # 937359 RUBBER APRON 60000 PCS</v>
          </cell>
          <cell r="D3718">
            <v>0</v>
          </cell>
          <cell r="E3718">
            <v>0</v>
          </cell>
          <cell r="F3718">
            <v>0</v>
          </cell>
          <cell r="G3718">
            <v>0</v>
          </cell>
        </row>
        <row r="3719">
          <cell r="A3719" t="str">
            <v>36-01-02-0023</v>
          </cell>
          <cell r="B3719">
            <v>0</v>
          </cell>
          <cell r="C3719" t="str">
            <v xml:space="preserve">  L.C # 937371 S.PART SWITZERLAND</v>
          </cell>
          <cell r="D3719">
            <v>0</v>
          </cell>
          <cell r="E3719">
            <v>0</v>
          </cell>
          <cell r="F3719">
            <v>0</v>
          </cell>
          <cell r="G3719">
            <v>0</v>
          </cell>
        </row>
        <row r="3720">
          <cell r="A3720" t="str">
            <v>36-01-02-0024</v>
          </cell>
          <cell r="B3720">
            <v>0</v>
          </cell>
          <cell r="C3720" t="str">
            <v xml:space="preserve">  L.C # PSH/131 HAIRINESS TESTER TEXDATE</v>
          </cell>
          <cell r="D3720">
            <v>0</v>
          </cell>
          <cell r="E3720">
            <v>0</v>
          </cell>
          <cell r="F3720">
            <v>0</v>
          </cell>
          <cell r="G3720">
            <v>0</v>
          </cell>
        </row>
        <row r="3721">
          <cell r="A3721" t="str">
            <v>36-01-02-0025</v>
          </cell>
          <cell r="B3721">
            <v>0</v>
          </cell>
          <cell r="C3721" t="str">
            <v xml:space="preserve">  L.C # PSH/130 SPAR PARTS-ELASTIC FILAM</v>
          </cell>
          <cell r="D3721">
            <v>0</v>
          </cell>
          <cell r="E3721">
            <v>0</v>
          </cell>
          <cell r="F3721">
            <v>0</v>
          </cell>
          <cell r="G3721">
            <v>0</v>
          </cell>
        </row>
        <row r="3722">
          <cell r="A3722" t="str">
            <v>36-01-02-0026</v>
          </cell>
          <cell r="B3722">
            <v>0</v>
          </cell>
          <cell r="C3722" t="str">
            <v xml:space="preserve">  L.C # SBL/21319 ACCOTEX COTS EURO 3671</v>
          </cell>
          <cell r="D3722">
            <v>0</v>
          </cell>
          <cell r="E3722">
            <v>0</v>
          </cell>
          <cell r="F3722">
            <v>0</v>
          </cell>
          <cell r="G3722">
            <v>0</v>
          </cell>
        </row>
        <row r="3723">
          <cell r="A3723" t="str">
            <v>36-01-02-0027</v>
          </cell>
          <cell r="B3723">
            <v>0</v>
          </cell>
          <cell r="C3723" t="str">
            <v xml:space="preserve">  L.C # 21326 HABASIT SPINDLE TAPE</v>
          </cell>
          <cell r="D3723">
            <v>0</v>
          </cell>
          <cell r="E3723">
            <v>0</v>
          </cell>
          <cell r="F3723">
            <v>0</v>
          </cell>
          <cell r="G3723">
            <v>0</v>
          </cell>
        </row>
        <row r="3724">
          <cell r="A3724" t="str">
            <v>36-01-02-0028</v>
          </cell>
          <cell r="B3724">
            <v>0</v>
          </cell>
          <cell r="C3724" t="str">
            <v xml:space="preserve">  L.C # 21327 SPINDLE WITH BOLSTER 5000</v>
          </cell>
          <cell r="D3724">
            <v>0</v>
          </cell>
          <cell r="E3724">
            <v>0</v>
          </cell>
          <cell r="F3724">
            <v>0</v>
          </cell>
          <cell r="G3724">
            <v>0</v>
          </cell>
        </row>
        <row r="3725">
          <cell r="A3725" t="str">
            <v>36-01-02-0029</v>
          </cell>
          <cell r="B3725">
            <v>0</v>
          </cell>
          <cell r="C3725" t="str">
            <v xml:space="preserve">  L.C # MPB/PSH/134 BERKOL COTS SWITZERL</v>
          </cell>
          <cell r="D3725">
            <v>0</v>
          </cell>
          <cell r="E3725">
            <v>0</v>
          </cell>
          <cell r="F3725">
            <v>0</v>
          </cell>
          <cell r="G3725">
            <v>0</v>
          </cell>
        </row>
        <row r="3726">
          <cell r="A3726" t="str">
            <v>36-01-02-0030</v>
          </cell>
          <cell r="B3726">
            <v>0</v>
          </cell>
          <cell r="C3726" t="str">
            <v xml:space="preserve">  L.C # MPB/PSH/135 PSR0910 366 SCREW</v>
          </cell>
          <cell r="D3726">
            <v>0</v>
          </cell>
          <cell r="E3726">
            <v>0</v>
          </cell>
          <cell r="F3726">
            <v>0</v>
          </cell>
          <cell r="G3726">
            <v>0</v>
          </cell>
        </row>
        <row r="3727">
          <cell r="A3727" t="str">
            <v>36-01-02-0031</v>
          </cell>
          <cell r="B3727">
            <v>0</v>
          </cell>
          <cell r="C3727" t="str">
            <v xml:space="preserve">  L.C # 21335 LOPTEX SORTER 02 UNITS</v>
          </cell>
          <cell r="D3727">
            <v>0</v>
          </cell>
          <cell r="E3727">
            <v>0</v>
          </cell>
          <cell r="F3727">
            <v>0</v>
          </cell>
          <cell r="G3727">
            <v>0</v>
          </cell>
        </row>
        <row r="3728">
          <cell r="A3728" t="str">
            <v>36-01-02-0032</v>
          </cell>
          <cell r="B3728">
            <v>0</v>
          </cell>
          <cell r="C3728" t="str">
            <v xml:space="preserve">  L.C # 21329 SPARE PART CHINA</v>
          </cell>
          <cell r="D3728">
            <v>0</v>
          </cell>
          <cell r="E3728">
            <v>0</v>
          </cell>
          <cell r="F3728">
            <v>0</v>
          </cell>
          <cell r="G3728">
            <v>0</v>
          </cell>
        </row>
        <row r="3729">
          <cell r="A3729" t="str">
            <v>36-01-02-0033</v>
          </cell>
          <cell r="B3729">
            <v>0</v>
          </cell>
          <cell r="C3729" t="str">
            <v xml:space="preserve">  L.C # 937404 SPARE PART CHINA</v>
          </cell>
          <cell r="D3729">
            <v>0</v>
          </cell>
          <cell r="E3729">
            <v>0</v>
          </cell>
          <cell r="F3729">
            <v>0</v>
          </cell>
          <cell r="G3729">
            <v>0</v>
          </cell>
        </row>
        <row r="3730">
          <cell r="A3730" t="str">
            <v>36-01-02-0034</v>
          </cell>
          <cell r="B3730">
            <v>0</v>
          </cell>
          <cell r="C3730" t="str">
            <v xml:space="preserve">  L.C # MPB/LC/PSH/136 SPARE PARTS</v>
          </cell>
          <cell r="D3730">
            <v>0</v>
          </cell>
          <cell r="E3730">
            <v>0</v>
          </cell>
          <cell r="F3730">
            <v>0</v>
          </cell>
          <cell r="G3730">
            <v>0</v>
          </cell>
        </row>
        <row r="3731">
          <cell r="A3731" t="str">
            <v>36-01-02-0035</v>
          </cell>
          <cell r="B3731">
            <v>0</v>
          </cell>
          <cell r="C3731" t="str">
            <v xml:space="preserve">  L.C # MPB/LC/PSH/139 SPARE PARTS</v>
          </cell>
          <cell r="D3731">
            <v>0</v>
          </cell>
          <cell r="E3731">
            <v>0</v>
          </cell>
          <cell r="F3731">
            <v>0</v>
          </cell>
          <cell r="G3731">
            <v>0</v>
          </cell>
        </row>
        <row r="3732">
          <cell r="A3732" t="str">
            <v>36-01-02-0036</v>
          </cell>
          <cell r="B3732">
            <v>0</v>
          </cell>
          <cell r="C3732" t="str">
            <v xml:space="preserve">  L.C # KHI/1001 CONT 43/2001 RING BOBBI</v>
          </cell>
          <cell r="D3732">
            <v>0</v>
          </cell>
          <cell r="E3732">
            <v>0</v>
          </cell>
          <cell r="F3732">
            <v>0</v>
          </cell>
          <cell r="G3732">
            <v>0</v>
          </cell>
        </row>
        <row r="3733">
          <cell r="A3733" t="str">
            <v>36-01-02-0037</v>
          </cell>
          <cell r="B3733">
            <v>0</v>
          </cell>
          <cell r="C3733" t="str">
            <v xml:space="preserve">  CON # KHI/1001 162/2000 S/PARTS WARTSI</v>
          </cell>
          <cell r="D3733">
            <v>0</v>
          </cell>
          <cell r="E3733">
            <v>0</v>
          </cell>
          <cell r="F3733">
            <v>0</v>
          </cell>
          <cell r="G3733">
            <v>0</v>
          </cell>
        </row>
        <row r="3734">
          <cell r="A3734" t="str">
            <v>36-01-02-0038</v>
          </cell>
          <cell r="B3734">
            <v>0</v>
          </cell>
          <cell r="C3734" t="str">
            <v xml:space="preserve">  CONT # KHI/1001 044/2001 SPINDLE TAPE.</v>
          </cell>
          <cell r="D3734">
            <v>0</v>
          </cell>
          <cell r="E3734">
            <v>0</v>
          </cell>
          <cell r="F3734">
            <v>0</v>
          </cell>
          <cell r="G3734">
            <v>0</v>
          </cell>
        </row>
        <row r="3735">
          <cell r="A3735" t="str">
            <v>36-01-02-0039</v>
          </cell>
          <cell r="B3735">
            <v>0</v>
          </cell>
          <cell r="C3735" t="str">
            <v xml:space="preserve">  L.C # PSH/140 SPARE PARTS FOR WARTSILA</v>
          </cell>
          <cell r="D3735">
            <v>0</v>
          </cell>
          <cell r="E3735">
            <v>0</v>
          </cell>
          <cell r="F3735">
            <v>0</v>
          </cell>
          <cell r="G3735">
            <v>0</v>
          </cell>
        </row>
        <row r="3736">
          <cell r="A3736" t="str">
            <v>36-01-02-0040</v>
          </cell>
          <cell r="B3736">
            <v>0</v>
          </cell>
          <cell r="C3736" t="str">
            <v xml:space="preserve">  CONT # 1001/62/2001 BRAKER RING TRAVEL</v>
          </cell>
          <cell r="D3736">
            <v>0</v>
          </cell>
          <cell r="E3736">
            <v>0</v>
          </cell>
          <cell r="F3736">
            <v>0</v>
          </cell>
          <cell r="G3736">
            <v>0</v>
          </cell>
        </row>
        <row r="3737">
          <cell r="A3737" t="str">
            <v>36-01-02-0041</v>
          </cell>
          <cell r="B3737">
            <v>0</v>
          </cell>
          <cell r="C3737" t="str">
            <v xml:space="preserve">  L.C # 110 ABOUT 180 M DELFEX CLASSIC</v>
          </cell>
          <cell r="D3737">
            <v>0</v>
          </cell>
          <cell r="E3737">
            <v>0</v>
          </cell>
          <cell r="F3737">
            <v>0</v>
          </cell>
          <cell r="G3737">
            <v>0</v>
          </cell>
        </row>
        <row r="3738">
          <cell r="A3738" t="str">
            <v>36-01-02-0042</v>
          </cell>
          <cell r="B3738">
            <v>0</v>
          </cell>
          <cell r="C3738" t="str">
            <v xml:space="preserve">  -</v>
          </cell>
          <cell r="D3738">
            <v>0</v>
          </cell>
          <cell r="E3738">
            <v>0</v>
          </cell>
          <cell r="F3738">
            <v>0</v>
          </cell>
          <cell r="G3738">
            <v>0</v>
          </cell>
        </row>
        <row r="3739">
          <cell r="A3739" t="str">
            <v>36-01-02-0043</v>
          </cell>
          <cell r="B3739">
            <v>0</v>
          </cell>
          <cell r="C3739" t="str">
            <v xml:space="preserve">  L.C #MPB/LC/PSH/141 ACCOTEX PRESSFIT C</v>
          </cell>
          <cell r="D3739">
            <v>0</v>
          </cell>
          <cell r="E3739">
            <v>0</v>
          </cell>
          <cell r="F3739">
            <v>0</v>
          </cell>
          <cell r="G3739">
            <v>0</v>
          </cell>
        </row>
        <row r="3740">
          <cell r="A3740" t="str">
            <v>36-01-02-0044</v>
          </cell>
          <cell r="B3740">
            <v>0</v>
          </cell>
          <cell r="C3740" t="str">
            <v xml:space="preserve">  L.C # MPB/LC/PSH/2001/142 S/PARTS-TEXT</v>
          </cell>
          <cell r="D3740">
            <v>0</v>
          </cell>
          <cell r="E3740">
            <v>0</v>
          </cell>
          <cell r="F3740">
            <v>0</v>
          </cell>
          <cell r="G3740">
            <v>0</v>
          </cell>
        </row>
        <row r="3741">
          <cell r="A3741" t="str">
            <v>36-01-02-0045</v>
          </cell>
          <cell r="B3741">
            <v>0</v>
          </cell>
          <cell r="C3741" t="str">
            <v xml:space="preserve">  L.C # MPB/LC/PSH/143 PARTS TRUTZSCHLER</v>
          </cell>
          <cell r="D3741">
            <v>0</v>
          </cell>
          <cell r="E3741">
            <v>0</v>
          </cell>
          <cell r="F3741">
            <v>0</v>
          </cell>
          <cell r="G3741">
            <v>0</v>
          </cell>
        </row>
        <row r="3742">
          <cell r="A3742" t="str">
            <v>36-01-02-0046</v>
          </cell>
          <cell r="B3742">
            <v>0</v>
          </cell>
          <cell r="C3742" t="str">
            <v xml:space="preserve">  L.C # MPB/LC/PSH/144 PARTS-TEXTILE MAC</v>
          </cell>
          <cell r="D3742">
            <v>0</v>
          </cell>
          <cell r="E3742">
            <v>0</v>
          </cell>
          <cell r="F3742">
            <v>0</v>
          </cell>
          <cell r="G3742">
            <v>0</v>
          </cell>
        </row>
        <row r="3743">
          <cell r="A3743" t="str">
            <v>36-01-02-0047</v>
          </cell>
          <cell r="B3743">
            <v>0</v>
          </cell>
          <cell r="C3743" t="str">
            <v xml:space="preserve">  L.C # SBL/21360/01 PARTS-TEXTILE MACH.</v>
          </cell>
          <cell r="D3743">
            <v>0</v>
          </cell>
          <cell r="E3743">
            <v>0</v>
          </cell>
          <cell r="F3743">
            <v>0</v>
          </cell>
          <cell r="G3743">
            <v>0</v>
          </cell>
        </row>
        <row r="3744">
          <cell r="A3744" t="str">
            <v>36-01-02-0048</v>
          </cell>
          <cell r="B3744">
            <v>0</v>
          </cell>
          <cell r="C3744" t="str">
            <v xml:space="preserve">  L.C # PSH/145 SPARE PARTS-DIESEL GENER</v>
          </cell>
          <cell r="D3744">
            <v>0</v>
          </cell>
          <cell r="E3744">
            <v>0</v>
          </cell>
          <cell r="F3744">
            <v>0</v>
          </cell>
          <cell r="G3744">
            <v>0</v>
          </cell>
        </row>
        <row r="3745">
          <cell r="A3745" t="str">
            <v>36-01-02-0049</v>
          </cell>
          <cell r="B3745">
            <v>0</v>
          </cell>
          <cell r="C3745" t="str">
            <v xml:space="preserve">  L.C # 21370 SYNTHETIC RUBBER APRONS(WR</v>
          </cell>
          <cell r="D3745">
            <v>0</v>
          </cell>
          <cell r="E3745">
            <v>0</v>
          </cell>
          <cell r="F3745">
            <v>0</v>
          </cell>
          <cell r="G3745">
            <v>0</v>
          </cell>
        </row>
        <row r="3746">
          <cell r="A3746" t="str">
            <v>36-01-02-0050</v>
          </cell>
          <cell r="B3746">
            <v>0</v>
          </cell>
          <cell r="C3746" t="str">
            <v xml:space="preserve">  L.C # 21377 STEEL RING SUPPER POLISH</v>
          </cell>
          <cell r="D3746">
            <v>0</v>
          </cell>
          <cell r="E3746">
            <v>0</v>
          </cell>
          <cell r="F3746">
            <v>0</v>
          </cell>
          <cell r="G3746">
            <v>0</v>
          </cell>
        </row>
        <row r="3747">
          <cell r="A3747" t="str">
            <v>36-01-02-0051</v>
          </cell>
          <cell r="B3747">
            <v>0</v>
          </cell>
          <cell r="C3747" t="str">
            <v xml:space="preserve">  L.C # 146/01 FAG BRAND BALL,ROLLER BEA</v>
          </cell>
          <cell r="D3747">
            <v>0</v>
          </cell>
          <cell r="E3747">
            <v>0</v>
          </cell>
          <cell r="F3747">
            <v>0</v>
          </cell>
          <cell r="G3747">
            <v>0</v>
          </cell>
        </row>
        <row r="3748">
          <cell r="A3748" t="str">
            <v>36-01-02-0052</v>
          </cell>
          <cell r="B3748">
            <v>0</v>
          </cell>
          <cell r="C3748" t="str">
            <v xml:space="preserve">  L.C # MPB/LC/PSH/148-BOGE AIR COMPRESS</v>
          </cell>
          <cell r="D3748">
            <v>0</v>
          </cell>
          <cell r="E3748">
            <v>0</v>
          </cell>
          <cell r="F3748">
            <v>0</v>
          </cell>
          <cell r="G3748">
            <v>0</v>
          </cell>
        </row>
        <row r="3749">
          <cell r="A3749" t="str">
            <v>36-01-02-0053</v>
          </cell>
          <cell r="B3749">
            <v>0</v>
          </cell>
          <cell r="C3749" t="str">
            <v xml:space="preserve">  L.C # MPB/PSH/147 CIRCUIT BOARD AUTOCO</v>
          </cell>
          <cell r="D3749">
            <v>0</v>
          </cell>
          <cell r="E3749">
            <v>0</v>
          </cell>
          <cell r="F3749">
            <v>0</v>
          </cell>
          <cell r="G3749">
            <v>0</v>
          </cell>
        </row>
        <row r="3750">
          <cell r="A3750" t="str">
            <v>36-01-02-0054</v>
          </cell>
          <cell r="B3750">
            <v>0</v>
          </cell>
          <cell r="C3750" t="str">
            <v xml:space="preserve">  L.C # PSH/150 NEOFLE F FLAT CABLE 4G2.</v>
          </cell>
          <cell r="D3750">
            <v>0</v>
          </cell>
          <cell r="E3750">
            <v>0</v>
          </cell>
          <cell r="F3750">
            <v>0</v>
          </cell>
          <cell r="G3750">
            <v>0</v>
          </cell>
        </row>
        <row r="3751">
          <cell r="A3751" t="str">
            <v>36-01-02-0055</v>
          </cell>
          <cell r="B3751">
            <v>0</v>
          </cell>
          <cell r="C3751" t="str">
            <v xml:space="preserve">  L.C # 2001/157 SPARE PARTS TEXTILE MAC</v>
          </cell>
          <cell r="D3751">
            <v>0</v>
          </cell>
          <cell r="E3751">
            <v>0</v>
          </cell>
          <cell r="F3751">
            <v>0</v>
          </cell>
          <cell r="G3751">
            <v>0</v>
          </cell>
        </row>
        <row r="3752">
          <cell r="A3752" t="str">
            <v>36-01-02-0056</v>
          </cell>
          <cell r="B3752">
            <v>0</v>
          </cell>
          <cell r="C3752" t="str">
            <v xml:space="preserve">  L.C #2001/155 THREE PHASE INDUCTION MO</v>
          </cell>
          <cell r="D3752">
            <v>0</v>
          </cell>
          <cell r="E3752">
            <v>0</v>
          </cell>
          <cell r="F3752">
            <v>0</v>
          </cell>
          <cell r="G3752">
            <v>0</v>
          </cell>
        </row>
        <row r="3753">
          <cell r="A3753" t="str">
            <v>36-01-02-0057</v>
          </cell>
          <cell r="B3753">
            <v>0</v>
          </cell>
          <cell r="C3753" t="str">
            <v xml:space="preserve">  L.C # 2001/154 STEEL RING SUPPER POLIS</v>
          </cell>
          <cell r="D3753">
            <v>0</v>
          </cell>
          <cell r="E3753">
            <v>0</v>
          </cell>
          <cell r="F3753">
            <v>0</v>
          </cell>
          <cell r="G3753">
            <v>0</v>
          </cell>
        </row>
        <row r="3754">
          <cell r="A3754" t="str">
            <v>36-01-02-0058</v>
          </cell>
          <cell r="B3754">
            <v>0</v>
          </cell>
          <cell r="C3754" t="str">
            <v xml:space="preserve">  L.C # MPB/PSH/2001/159 PARTS POWER PLA</v>
          </cell>
          <cell r="D3754">
            <v>0</v>
          </cell>
          <cell r="E3754">
            <v>0</v>
          </cell>
          <cell r="F3754">
            <v>0</v>
          </cell>
          <cell r="G3754">
            <v>0</v>
          </cell>
        </row>
        <row r="3755">
          <cell r="A3755" t="str">
            <v>36-01-02-0059</v>
          </cell>
          <cell r="B3755">
            <v>0</v>
          </cell>
          <cell r="C3755" t="str">
            <v xml:space="preserve">  CONTRACT # KHI/CONT 224/2001 SPARE PAR</v>
          </cell>
          <cell r="D3755">
            <v>0</v>
          </cell>
          <cell r="E3755">
            <v>0</v>
          </cell>
          <cell r="F3755">
            <v>0</v>
          </cell>
          <cell r="G3755">
            <v>0</v>
          </cell>
        </row>
        <row r="3756">
          <cell r="A3756" t="str">
            <v>36-01-02-0060</v>
          </cell>
          <cell r="B3756">
            <v>0</v>
          </cell>
          <cell r="C3756" t="str">
            <v xml:space="preserve">  L.C # PSH/162 SPARE PARTS TETILE MACHN</v>
          </cell>
          <cell r="D3756">
            <v>0</v>
          </cell>
          <cell r="E3756">
            <v>0</v>
          </cell>
          <cell r="F3756">
            <v>0</v>
          </cell>
          <cell r="G3756">
            <v>0</v>
          </cell>
        </row>
        <row r="3757">
          <cell r="A3757" t="str">
            <v>36-01-02-0061</v>
          </cell>
          <cell r="B3757">
            <v>0</v>
          </cell>
          <cell r="C3757" t="str">
            <v xml:space="preserve">  L.C # PSH/163 SPARE PARTS TEXTILE MACH</v>
          </cell>
          <cell r="D3757">
            <v>0</v>
          </cell>
          <cell r="E3757">
            <v>0</v>
          </cell>
          <cell r="F3757">
            <v>0</v>
          </cell>
          <cell r="G3757">
            <v>0</v>
          </cell>
        </row>
        <row r="3758">
          <cell r="A3758" t="str">
            <v>36-01-02-0062</v>
          </cell>
          <cell r="B3758">
            <v>0</v>
          </cell>
          <cell r="C3758" t="str">
            <v xml:space="preserve">  L.C # PSH/164 PARTS TRUTZSCHLER BLOW R</v>
          </cell>
          <cell r="D3758">
            <v>0</v>
          </cell>
          <cell r="E3758">
            <v>0</v>
          </cell>
          <cell r="F3758">
            <v>0</v>
          </cell>
          <cell r="G3758">
            <v>0</v>
          </cell>
        </row>
        <row r="3759">
          <cell r="A3759" t="str">
            <v>36-01-02-0063</v>
          </cell>
          <cell r="B3759">
            <v>0</v>
          </cell>
          <cell r="C3759" t="str">
            <v xml:space="preserve">  L.C # 2001/165 SANY'SS TYPE FLYER.</v>
          </cell>
          <cell r="D3759">
            <v>0</v>
          </cell>
          <cell r="E3759">
            <v>0</v>
          </cell>
          <cell r="F3759">
            <v>0</v>
          </cell>
          <cell r="G3759">
            <v>0</v>
          </cell>
        </row>
        <row r="3760">
          <cell r="A3760" t="str">
            <v>36-01-02-0064</v>
          </cell>
          <cell r="B3760">
            <v>0</v>
          </cell>
          <cell r="C3760" t="str">
            <v xml:space="preserve">  L.C # 2001/169 10,000 PCS STEEL RING '</v>
          </cell>
          <cell r="D3760">
            <v>0</v>
          </cell>
          <cell r="E3760">
            <v>0</v>
          </cell>
          <cell r="F3760">
            <v>0</v>
          </cell>
          <cell r="G3760">
            <v>0</v>
          </cell>
        </row>
        <row r="3761">
          <cell r="A3761" t="str">
            <v>36-01-02-0065</v>
          </cell>
          <cell r="B3761">
            <v>0</v>
          </cell>
          <cell r="C3761" t="str">
            <v xml:space="preserve">  L.C # PSH/172 BERKOL ALUPRESS COTS</v>
          </cell>
          <cell r="D3761">
            <v>0</v>
          </cell>
          <cell r="E3761">
            <v>0</v>
          </cell>
          <cell r="F3761">
            <v>0</v>
          </cell>
          <cell r="G3761">
            <v>0</v>
          </cell>
        </row>
        <row r="3762">
          <cell r="A3762" t="str">
            <v>36-01-02-0066</v>
          </cell>
          <cell r="B3762">
            <v>0</v>
          </cell>
          <cell r="C3762" t="str">
            <v xml:space="preserve">  L.C # MPB/PSH/174 PENDLUM ARM,SPINDLES</v>
          </cell>
          <cell r="D3762">
            <v>0</v>
          </cell>
          <cell r="E3762">
            <v>0</v>
          </cell>
          <cell r="F3762">
            <v>0</v>
          </cell>
          <cell r="G3762">
            <v>0</v>
          </cell>
        </row>
        <row r="3763">
          <cell r="A3763" t="str">
            <v>36-01-02-0067</v>
          </cell>
          <cell r="B3763">
            <v>0</v>
          </cell>
          <cell r="C3763" t="str">
            <v xml:space="preserve">  L.C # 175 RUBBER COTS AND APPRONS</v>
          </cell>
          <cell r="D3763">
            <v>0</v>
          </cell>
          <cell r="E3763">
            <v>0</v>
          </cell>
          <cell r="F3763">
            <v>0</v>
          </cell>
          <cell r="G3763">
            <v>0</v>
          </cell>
        </row>
        <row r="3764">
          <cell r="A3764" t="str">
            <v>36-01-02-0068</v>
          </cell>
          <cell r="B3764">
            <v>0</v>
          </cell>
          <cell r="C3764" t="str">
            <v xml:space="preserve">  L.C # MPB/PSH/176 SPARE PARTS-TRUTZSCH</v>
          </cell>
          <cell r="D3764">
            <v>0</v>
          </cell>
          <cell r="E3764">
            <v>0</v>
          </cell>
          <cell r="F3764">
            <v>0</v>
          </cell>
          <cell r="G3764">
            <v>0</v>
          </cell>
        </row>
        <row r="3765">
          <cell r="A3765" t="str">
            <v>36-01-02-0069</v>
          </cell>
          <cell r="B3765">
            <v>0</v>
          </cell>
          <cell r="C3765" t="str">
            <v xml:space="preserve">  L.C # PSH/177 65 MINGLING CHAMBER.</v>
          </cell>
          <cell r="D3765">
            <v>0</v>
          </cell>
          <cell r="E3765">
            <v>0</v>
          </cell>
          <cell r="F3765">
            <v>0</v>
          </cell>
          <cell r="G3765">
            <v>0</v>
          </cell>
        </row>
        <row r="3766">
          <cell r="A3766" t="str">
            <v>36-01-02-0070</v>
          </cell>
          <cell r="B3766">
            <v>0</v>
          </cell>
          <cell r="C3766" t="str">
            <v xml:space="preserve">  L.C # MPB/PSH/2001/178 PARTS A/COMPRSS</v>
          </cell>
          <cell r="D3766">
            <v>0</v>
          </cell>
          <cell r="E3766">
            <v>0</v>
          </cell>
          <cell r="F3766">
            <v>0</v>
          </cell>
          <cell r="G3766">
            <v>0</v>
          </cell>
        </row>
        <row r="3767">
          <cell r="A3767" t="str">
            <v>36-01-02-0071</v>
          </cell>
          <cell r="B3767">
            <v>0</v>
          </cell>
          <cell r="C3767" t="str">
            <v xml:space="preserve">  L.C # MPB/PSH/2001/185 RUBBER APPRON W</v>
          </cell>
          <cell r="D3767">
            <v>0</v>
          </cell>
          <cell r="E3767">
            <v>0</v>
          </cell>
          <cell r="F3767">
            <v>0</v>
          </cell>
          <cell r="G3767">
            <v>0</v>
          </cell>
        </row>
        <row r="3768">
          <cell r="A3768" t="str">
            <v>36-01-02-0072</v>
          </cell>
          <cell r="B3768">
            <v>0</v>
          </cell>
          <cell r="C3768" t="str">
            <v xml:space="preserve">  L.C # MPB/2001/181 108000 PCS CONES</v>
          </cell>
          <cell r="D3768">
            <v>0</v>
          </cell>
          <cell r="E3768">
            <v>0</v>
          </cell>
          <cell r="F3768">
            <v>0</v>
          </cell>
          <cell r="G3768">
            <v>0</v>
          </cell>
        </row>
        <row r="3769">
          <cell r="A3769" t="str">
            <v>36-01-02-0073</v>
          </cell>
          <cell r="B3769">
            <v>0</v>
          </cell>
          <cell r="C3769" t="str">
            <v xml:space="preserve">  L.C # MPB/2001/182 AUTOMATIC BLENDER</v>
          </cell>
          <cell r="D3769">
            <v>0</v>
          </cell>
          <cell r="E3769">
            <v>0</v>
          </cell>
          <cell r="F3769">
            <v>0</v>
          </cell>
          <cell r="G3769">
            <v>0</v>
          </cell>
        </row>
        <row r="3770">
          <cell r="A3770" t="str">
            <v>36-01-02-0074</v>
          </cell>
          <cell r="B3770">
            <v>0</v>
          </cell>
          <cell r="C3770" t="str">
            <v xml:space="preserve">  L.C # MPB/2001/184 STEEL RING 'HY'BRAN</v>
          </cell>
          <cell r="D3770">
            <v>0</v>
          </cell>
          <cell r="E3770">
            <v>0</v>
          </cell>
          <cell r="F3770">
            <v>0</v>
          </cell>
          <cell r="G3770">
            <v>0</v>
          </cell>
        </row>
        <row r="3771">
          <cell r="A3771" t="str">
            <v>36-01-02-0075</v>
          </cell>
          <cell r="B3771">
            <v>0</v>
          </cell>
          <cell r="C3771" t="str">
            <v xml:space="preserve">  L.C # 2001/186 CYLINDER &amp; LICKERIN WIR</v>
          </cell>
          <cell r="D3771">
            <v>0</v>
          </cell>
          <cell r="E3771">
            <v>0</v>
          </cell>
          <cell r="F3771">
            <v>0</v>
          </cell>
          <cell r="G3771">
            <v>0</v>
          </cell>
        </row>
        <row r="3772">
          <cell r="A3772" t="str">
            <v>36-01-02-0076</v>
          </cell>
          <cell r="B3772">
            <v>0</v>
          </cell>
          <cell r="C3772" t="str">
            <v xml:space="preserve">  L.C # 2001/189 HABASIT SPINDLE TAPE.</v>
          </cell>
          <cell r="D3772">
            <v>0</v>
          </cell>
          <cell r="E3772">
            <v>0</v>
          </cell>
          <cell r="F3772">
            <v>0</v>
          </cell>
          <cell r="G3772">
            <v>0</v>
          </cell>
        </row>
        <row r="3773">
          <cell r="A3773" t="str">
            <v>36-01-02-0077</v>
          </cell>
          <cell r="B3773">
            <v>0</v>
          </cell>
          <cell r="C3773" t="str">
            <v xml:space="preserve">  L.C #PSH/2001/191 SPARE PARTS TEXTIL M</v>
          </cell>
          <cell r="D3773">
            <v>0</v>
          </cell>
          <cell r="E3773">
            <v>0</v>
          </cell>
          <cell r="F3773">
            <v>0</v>
          </cell>
          <cell r="G3773">
            <v>0</v>
          </cell>
        </row>
        <row r="3774">
          <cell r="A3774" t="str">
            <v>36-01-02-0078</v>
          </cell>
          <cell r="B3774">
            <v>0</v>
          </cell>
          <cell r="C3774" t="str">
            <v xml:space="preserve">  L.C # PSH/2001/192 SPARE PATS-TEXTIL M</v>
          </cell>
          <cell r="D3774">
            <v>0</v>
          </cell>
          <cell r="E3774">
            <v>0</v>
          </cell>
          <cell r="F3774">
            <v>0</v>
          </cell>
          <cell r="G3774">
            <v>0</v>
          </cell>
        </row>
        <row r="3775">
          <cell r="A3775" t="str">
            <v>36-01-02-0079</v>
          </cell>
          <cell r="B3775">
            <v>0</v>
          </cell>
          <cell r="C3775" t="str">
            <v xml:space="preserve">  L.C # PSH/2001/193 16000 PCS ACCOTX AP</v>
          </cell>
          <cell r="D3775">
            <v>0</v>
          </cell>
          <cell r="E3775">
            <v>0</v>
          </cell>
          <cell r="F3775">
            <v>0</v>
          </cell>
          <cell r="G3775">
            <v>0</v>
          </cell>
        </row>
        <row r="3776">
          <cell r="A3776" t="str">
            <v>36-01-02-0080</v>
          </cell>
          <cell r="B3776">
            <v>0</v>
          </cell>
          <cell r="C3776" t="str">
            <v xml:space="preserve">  L.C # PSH/2001/195 TRUTZSCHLR B/ROOM P</v>
          </cell>
          <cell r="D3776">
            <v>0</v>
          </cell>
          <cell r="E3776">
            <v>0</v>
          </cell>
          <cell r="F3776">
            <v>0</v>
          </cell>
          <cell r="G3776">
            <v>0</v>
          </cell>
        </row>
        <row r="3777">
          <cell r="A3777" t="str">
            <v>36-01-02-0081</v>
          </cell>
          <cell r="B3777">
            <v>0</v>
          </cell>
          <cell r="C3777" t="str">
            <v xml:space="preserve">  L.C # 2001/196 BRACKER RING TRAVELLER</v>
          </cell>
          <cell r="D3777">
            <v>0</v>
          </cell>
          <cell r="E3777">
            <v>0</v>
          </cell>
          <cell r="F3777">
            <v>0</v>
          </cell>
          <cell r="G3777">
            <v>0</v>
          </cell>
        </row>
        <row r="3778">
          <cell r="A3778" t="str">
            <v>36-01-02-0082</v>
          </cell>
          <cell r="B3778">
            <v>0</v>
          </cell>
          <cell r="C3778" t="str">
            <v xml:space="preserve">  L.C PSH/2002/197 SPARE PARTS DIESEL EN</v>
          </cell>
          <cell r="D3778">
            <v>0</v>
          </cell>
          <cell r="E3778">
            <v>0</v>
          </cell>
          <cell r="F3778">
            <v>0</v>
          </cell>
          <cell r="G3778">
            <v>0</v>
          </cell>
        </row>
        <row r="3779">
          <cell r="A3779" t="str">
            <v>36-01-02-0083</v>
          </cell>
          <cell r="B3779">
            <v>0</v>
          </cell>
          <cell r="C3779" t="str">
            <v xml:space="preserve">  L.C # 2002/199 DIGITL LEA STRNGTH TEST</v>
          </cell>
          <cell r="D3779">
            <v>0</v>
          </cell>
          <cell r="E3779">
            <v>0</v>
          </cell>
          <cell r="F3779">
            <v>0</v>
          </cell>
          <cell r="G3779">
            <v>0</v>
          </cell>
        </row>
        <row r="3780">
          <cell r="A3780" t="str">
            <v>36-01-02-0084</v>
          </cell>
          <cell r="B3780">
            <v>0</v>
          </cell>
          <cell r="C3780" t="str">
            <v xml:space="preserve">  L.C # 2002/202 SPARE PARTS TEXTILE MAC</v>
          </cell>
          <cell r="D3780">
            <v>0</v>
          </cell>
          <cell r="E3780">
            <v>0</v>
          </cell>
          <cell r="F3780">
            <v>0</v>
          </cell>
          <cell r="G3780">
            <v>0</v>
          </cell>
        </row>
        <row r="3781">
          <cell r="A3781" t="str">
            <v>36-01-02-0085</v>
          </cell>
          <cell r="B3781">
            <v>0</v>
          </cell>
          <cell r="C3781" t="str">
            <v xml:space="preserve">  L.C # 203 SPARE PARTS USTER EQUIPMENT</v>
          </cell>
          <cell r="D3781">
            <v>0</v>
          </cell>
          <cell r="E3781">
            <v>0</v>
          </cell>
          <cell r="F3781">
            <v>0</v>
          </cell>
          <cell r="G3781">
            <v>0</v>
          </cell>
        </row>
        <row r="3782">
          <cell r="A3782" t="str">
            <v>36-01-02-0086</v>
          </cell>
          <cell r="B3782">
            <v>0</v>
          </cell>
          <cell r="C3782" t="str">
            <v xml:space="preserve">  L.C # 2002/204 SPARE PARTS TRUTZSCHLER</v>
          </cell>
          <cell r="D3782">
            <v>0</v>
          </cell>
          <cell r="E3782">
            <v>0</v>
          </cell>
          <cell r="F3782">
            <v>0</v>
          </cell>
          <cell r="G3782">
            <v>0</v>
          </cell>
        </row>
        <row r="3783">
          <cell r="A3783" t="str">
            <v>36-01-02-0087</v>
          </cell>
          <cell r="B3783">
            <v>0</v>
          </cell>
          <cell r="C3783" t="str">
            <v xml:space="preserve">  L.C # 2002/205 SPARE PARTS BOGE COMPRS</v>
          </cell>
          <cell r="D3783">
            <v>0</v>
          </cell>
          <cell r="E3783">
            <v>0</v>
          </cell>
          <cell r="F3783">
            <v>0</v>
          </cell>
          <cell r="G3783">
            <v>0</v>
          </cell>
        </row>
        <row r="3784">
          <cell r="A3784" t="str">
            <v>36-01-02-0088</v>
          </cell>
          <cell r="B3784">
            <v>0</v>
          </cell>
          <cell r="C3784" t="str">
            <v xml:space="preserve">  L.C # 206 SPARE PARTS TEXTILE MACHINER</v>
          </cell>
          <cell r="D3784">
            <v>0</v>
          </cell>
          <cell r="E3784">
            <v>0</v>
          </cell>
          <cell r="F3784">
            <v>0</v>
          </cell>
          <cell r="G3784">
            <v>0</v>
          </cell>
        </row>
        <row r="3785">
          <cell r="A3785" t="str">
            <v>36-01-02-0089</v>
          </cell>
          <cell r="B3785">
            <v>0</v>
          </cell>
          <cell r="C3785" t="str">
            <v xml:space="preserve">  L.C # 2002/209 BUTTOM ROLLERS</v>
          </cell>
          <cell r="D3785">
            <v>0</v>
          </cell>
          <cell r="E3785">
            <v>0</v>
          </cell>
          <cell r="F3785">
            <v>0</v>
          </cell>
          <cell r="G3785">
            <v>0</v>
          </cell>
        </row>
        <row r="3786">
          <cell r="A3786" t="str">
            <v>36-01-02-0090</v>
          </cell>
          <cell r="B3786">
            <v>0</v>
          </cell>
          <cell r="C3786" t="str">
            <v xml:space="preserve">  L.C # PSH/210 SPARE PARTS TOYOTA FL-16</v>
          </cell>
          <cell r="D3786">
            <v>0</v>
          </cell>
          <cell r="E3786">
            <v>0</v>
          </cell>
          <cell r="F3786">
            <v>0</v>
          </cell>
          <cell r="G3786">
            <v>0</v>
          </cell>
        </row>
        <row r="3787">
          <cell r="A3787" t="str">
            <v>36-01-02-0091</v>
          </cell>
          <cell r="B3787">
            <v>0</v>
          </cell>
          <cell r="C3787" t="str">
            <v xml:space="preserve">  L.C # PSH/211 2 SORTER SYSTM SINGLE VR</v>
          </cell>
          <cell r="D3787">
            <v>0</v>
          </cell>
          <cell r="E3787">
            <v>0</v>
          </cell>
          <cell r="F3787">
            <v>0</v>
          </cell>
          <cell r="G3787">
            <v>0</v>
          </cell>
        </row>
        <row r="3788">
          <cell r="A3788" t="str">
            <v>36-01-02-0092</v>
          </cell>
          <cell r="B3788">
            <v>0</v>
          </cell>
          <cell r="C3788" t="str">
            <v xml:space="preserve">  CONT # MPB 2002/001 SLEEVE CONTROL</v>
          </cell>
          <cell r="D3788">
            <v>0</v>
          </cell>
          <cell r="E3788">
            <v>0</v>
          </cell>
          <cell r="F3788">
            <v>0</v>
          </cell>
          <cell r="G3788">
            <v>0</v>
          </cell>
        </row>
        <row r="3789">
          <cell r="A3789" t="str">
            <v>36-01-02-0093</v>
          </cell>
          <cell r="B3789">
            <v>0</v>
          </cell>
          <cell r="C3789" t="str">
            <v xml:space="preserve">  L.C # 1001/356/2002 SPARE PARTS TEX.MA</v>
          </cell>
          <cell r="D3789">
            <v>0</v>
          </cell>
          <cell r="E3789">
            <v>0</v>
          </cell>
          <cell r="F3789">
            <v>0</v>
          </cell>
          <cell r="G3789">
            <v>0</v>
          </cell>
        </row>
        <row r="3790">
          <cell r="A3790" t="str">
            <v>36-01-02-0094</v>
          </cell>
          <cell r="B3790">
            <v>0</v>
          </cell>
          <cell r="C3790" t="str">
            <v xml:space="preserve">  L.C # 1001/390/2002 USTER TESTING EQUI</v>
          </cell>
          <cell r="D3790">
            <v>0</v>
          </cell>
          <cell r="E3790">
            <v>0</v>
          </cell>
          <cell r="F3790">
            <v>0</v>
          </cell>
          <cell r="G3790">
            <v>0</v>
          </cell>
        </row>
        <row r="3791">
          <cell r="A3791" t="str">
            <v>36-01-02-0095</v>
          </cell>
          <cell r="B3791">
            <v>0</v>
          </cell>
          <cell r="C3791" t="str">
            <v xml:space="preserve">  L.C 1001/391/2002 SPARE PARTS DIESEL E</v>
          </cell>
          <cell r="D3791">
            <v>0</v>
          </cell>
          <cell r="E3791">
            <v>0</v>
          </cell>
          <cell r="F3791">
            <v>0</v>
          </cell>
          <cell r="G3791">
            <v>0</v>
          </cell>
        </row>
        <row r="3792">
          <cell r="A3792" t="str">
            <v>36-01-02-0096</v>
          </cell>
          <cell r="B3792">
            <v>0</v>
          </cell>
          <cell r="C3792" t="str">
            <v xml:space="preserve">  L.C # 1001/LC/425/2002 STEEL RING HY'B</v>
          </cell>
          <cell r="D3792">
            <v>0</v>
          </cell>
          <cell r="E3792">
            <v>0</v>
          </cell>
          <cell r="F3792">
            <v>0</v>
          </cell>
          <cell r="G3792">
            <v>0</v>
          </cell>
        </row>
        <row r="3793">
          <cell r="A3793" t="str">
            <v>36-01-02-0097</v>
          </cell>
          <cell r="B3793">
            <v>0</v>
          </cell>
          <cell r="C3793" t="str">
            <v xml:space="preserve">  L.C # MPB/LC/PSH 215 TRUTZSCHLER PARTS</v>
          </cell>
          <cell r="D3793">
            <v>0</v>
          </cell>
          <cell r="E3793">
            <v>0</v>
          </cell>
          <cell r="F3793">
            <v>0</v>
          </cell>
          <cell r="G3793">
            <v>0</v>
          </cell>
        </row>
        <row r="3794">
          <cell r="A3794" t="str">
            <v>36-01-02-0098</v>
          </cell>
          <cell r="B3794">
            <v>0</v>
          </cell>
          <cell r="C3794" t="str">
            <v xml:space="preserve">  L.C # MPB/LC/PSH/216 SPARE PARTS TEXTI</v>
          </cell>
          <cell r="D3794">
            <v>0</v>
          </cell>
          <cell r="E3794">
            <v>0</v>
          </cell>
          <cell r="F3794">
            <v>0</v>
          </cell>
          <cell r="G3794">
            <v>0</v>
          </cell>
        </row>
        <row r="3795">
          <cell r="A3795" t="str">
            <v>36-01-02-0099</v>
          </cell>
          <cell r="B3795">
            <v>0</v>
          </cell>
          <cell r="C3795" t="str">
            <v xml:space="preserve">  L.C MPB/LC/PSH/217 SPARE PARTS</v>
          </cell>
          <cell r="D3795">
            <v>0</v>
          </cell>
          <cell r="E3795">
            <v>0</v>
          </cell>
          <cell r="F3795">
            <v>0</v>
          </cell>
          <cell r="G3795">
            <v>0</v>
          </cell>
        </row>
        <row r="3796">
          <cell r="A3796" t="str">
            <v>36-01-02-0100</v>
          </cell>
          <cell r="B3796">
            <v>0</v>
          </cell>
          <cell r="C3796" t="str">
            <v xml:space="preserve">  LC # MPB/2002/218 5 ROLL HABASIT S/TAP</v>
          </cell>
          <cell r="D3796">
            <v>0</v>
          </cell>
          <cell r="E3796">
            <v>0</v>
          </cell>
          <cell r="F3796">
            <v>0</v>
          </cell>
          <cell r="G3796">
            <v>0</v>
          </cell>
        </row>
        <row r="3797">
          <cell r="A3797" t="str">
            <v>36-01-02-0101</v>
          </cell>
          <cell r="B3797">
            <v>0</v>
          </cell>
          <cell r="C3797" t="str">
            <v xml:space="preserve">  LC # MPB/LC/PSH/219 16060 PC ACCOTX CO</v>
          </cell>
          <cell r="D3797">
            <v>0</v>
          </cell>
          <cell r="E3797">
            <v>0</v>
          </cell>
          <cell r="F3797">
            <v>0</v>
          </cell>
          <cell r="G3797">
            <v>0</v>
          </cell>
        </row>
        <row r="3798">
          <cell r="A3798" t="str">
            <v>36-01-02-0102</v>
          </cell>
          <cell r="B3798">
            <v>0</v>
          </cell>
          <cell r="C3798" t="str">
            <v xml:space="preserve">  L.C # MPB/PSH/222 SPARE PARTS TRUTZSCH</v>
          </cell>
          <cell r="D3798">
            <v>0</v>
          </cell>
          <cell r="E3798">
            <v>0</v>
          </cell>
          <cell r="F3798">
            <v>0</v>
          </cell>
          <cell r="G3798">
            <v>0</v>
          </cell>
        </row>
        <row r="3799">
          <cell r="A3799" t="str">
            <v>36-01-02-0103</v>
          </cell>
          <cell r="B3799">
            <v>0</v>
          </cell>
          <cell r="C3799" t="str">
            <v xml:space="preserve">  L.C #MPB/PAH/221 ACCOTEX APRONS 20500</v>
          </cell>
          <cell r="D3799">
            <v>0</v>
          </cell>
          <cell r="E3799">
            <v>0</v>
          </cell>
          <cell r="F3799">
            <v>0</v>
          </cell>
          <cell r="G3799">
            <v>0</v>
          </cell>
        </row>
        <row r="3800">
          <cell r="A3800" t="str">
            <v>36-01-02-0104</v>
          </cell>
          <cell r="B3800">
            <v>0</v>
          </cell>
          <cell r="C3800" t="str">
            <v xml:space="preserve">  L.C # PSH/224 HOKUSHIN BRAND RUBBR APR</v>
          </cell>
          <cell r="D3800">
            <v>0</v>
          </cell>
          <cell r="E3800">
            <v>0</v>
          </cell>
          <cell r="F3800">
            <v>0</v>
          </cell>
          <cell r="G3800">
            <v>0</v>
          </cell>
        </row>
        <row r="3801">
          <cell r="A3801" t="str">
            <v>36-01-02-0105</v>
          </cell>
          <cell r="B3801">
            <v>0</v>
          </cell>
          <cell r="C3801" t="str">
            <v xml:space="preserve">  L.C # PSH/229 10100 ACCOTEX COTS</v>
          </cell>
          <cell r="D3801">
            <v>0</v>
          </cell>
          <cell r="E3801">
            <v>0</v>
          </cell>
          <cell r="F3801">
            <v>0</v>
          </cell>
          <cell r="G3801">
            <v>0</v>
          </cell>
        </row>
        <row r="3802">
          <cell r="A3802" t="str">
            <v>36-01-02-0106</v>
          </cell>
          <cell r="B3802">
            <v>0</v>
          </cell>
          <cell r="C3802" t="str">
            <v xml:space="preserve">  L.C # PSH/2002/230 PARTS TEXTILE MACH.</v>
          </cell>
          <cell r="D3802">
            <v>0</v>
          </cell>
          <cell r="E3802">
            <v>0</v>
          </cell>
          <cell r="F3802">
            <v>0</v>
          </cell>
          <cell r="G3802">
            <v>0</v>
          </cell>
        </row>
        <row r="3803">
          <cell r="A3803" t="str">
            <v>36-01-02-0107</v>
          </cell>
          <cell r="B3803">
            <v>0</v>
          </cell>
          <cell r="C3803" t="str">
            <v xml:space="preserve">  L.C # 2002/232 RUBBER APRON 'WRA' BRAN</v>
          </cell>
          <cell r="D3803">
            <v>0</v>
          </cell>
          <cell r="E3803">
            <v>0</v>
          </cell>
          <cell r="F3803">
            <v>0</v>
          </cell>
          <cell r="G3803">
            <v>0</v>
          </cell>
        </row>
        <row r="3804">
          <cell r="A3804" t="str">
            <v>36-01-02-0108</v>
          </cell>
          <cell r="B3804">
            <v>0</v>
          </cell>
          <cell r="C3804" t="str">
            <v xml:space="preserve">  L.C # PSH/235 SPARE PARTS TEXTILE MACH</v>
          </cell>
          <cell r="D3804">
            <v>0</v>
          </cell>
          <cell r="E3804">
            <v>0</v>
          </cell>
          <cell r="F3804">
            <v>0</v>
          </cell>
          <cell r="G3804">
            <v>0</v>
          </cell>
        </row>
        <row r="3805">
          <cell r="A3805" t="str">
            <v>36-01-02-0109</v>
          </cell>
          <cell r="B3805">
            <v>0</v>
          </cell>
          <cell r="C3805" t="str">
            <v xml:space="preserve">  L.C # 2002/238 SPARE PARTS RING FRAME</v>
          </cell>
          <cell r="D3805">
            <v>0</v>
          </cell>
          <cell r="E3805">
            <v>0</v>
          </cell>
          <cell r="F3805">
            <v>0</v>
          </cell>
          <cell r="G3805">
            <v>0</v>
          </cell>
        </row>
        <row r="3806">
          <cell r="A3806" t="str">
            <v>36-01-02-0110</v>
          </cell>
          <cell r="B3806">
            <v>0</v>
          </cell>
          <cell r="C3806" t="str">
            <v xml:space="preserve">  L.C # 2002/239 STEEL RING SUPER POLISH</v>
          </cell>
          <cell r="D3806">
            <v>0</v>
          </cell>
          <cell r="E3806">
            <v>0</v>
          </cell>
          <cell r="F3806">
            <v>0</v>
          </cell>
          <cell r="G3806">
            <v>0</v>
          </cell>
        </row>
        <row r="3807">
          <cell r="A3807" t="str">
            <v>36-01-02-0111</v>
          </cell>
          <cell r="B3807">
            <v>0</v>
          </cell>
          <cell r="C3807" t="str">
            <v xml:space="preserve">  L.C # 2002/240 STEEL RING HY BRAND</v>
          </cell>
          <cell r="D3807">
            <v>0</v>
          </cell>
          <cell r="E3807">
            <v>0</v>
          </cell>
          <cell r="F3807">
            <v>0</v>
          </cell>
          <cell r="G3807">
            <v>0</v>
          </cell>
        </row>
        <row r="3808">
          <cell r="A3808" t="str">
            <v>36-01-02-0112</v>
          </cell>
          <cell r="B3808">
            <v>0</v>
          </cell>
          <cell r="C3808" t="str">
            <v xml:space="preserve">  L.C # PSH/244 SPARE PARTS AIR COMPRESS</v>
          </cell>
          <cell r="D3808">
            <v>0</v>
          </cell>
          <cell r="E3808">
            <v>0</v>
          </cell>
          <cell r="F3808">
            <v>0</v>
          </cell>
          <cell r="G3808">
            <v>0</v>
          </cell>
        </row>
        <row r="3809">
          <cell r="A3809" t="str">
            <v>36-01-02-0113</v>
          </cell>
          <cell r="B3809">
            <v>0</v>
          </cell>
          <cell r="C3809" t="str">
            <v xml:space="preserve">  L.C # 2002/243 METALLIC WIRE GRINDNG R</v>
          </cell>
          <cell r="D3809">
            <v>0</v>
          </cell>
          <cell r="E3809">
            <v>0</v>
          </cell>
          <cell r="F3809">
            <v>0</v>
          </cell>
          <cell r="G3809">
            <v>0</v>
          </cell>
        </row>
        <row r="3810">
          <cell r="A3810" t="str">
            <v>36-01-02-0114</v>
          </cell>
          <cell r="B3810">
            <v>0</v>
          </cell>
          <cell r="C3810" t="str">
            <v xml:space="preserve">  L.C # 2002/246 TRUTZSCHLER BLOW ROOM.</v>
          </cell>
          <cell r="D3810">
            <v>0</v>
          </cell>
          <cell r="E3810">
            <v>0</v>
          </cell>
          <cell r="F3810">
            <v>0</v>
          </cell>
          <cell r="G3810">
            <v>0</v>
          </cell>
        </row>
        <row r="3811">
          <cell r="A3811" t="str">
            <v>36-01-02-0115</v>
          </cell>
          <cell r="B3811">
            <v>0</v>
          </cell>
          <cell r="C3811" t="str">
            <v xml:space="preserve">  L.C # 2002/251 SPARE PARTS POWER PLANT</v>
          </cell>
          <cell r="D3811">
            <v>0</v>
          </cell>
          <cell r="E3811">
            <v>0</v>
          </cell>
          <cell r="F3811">
            <v>0</v>
          </cell>
          <cell r="G3811">
            <v>0</v>
          </cell>
        </row>
        <row r="3812">
          <cell r="A3812" t="str">
            <v>36-01-02-0116</v>
          </cell>
          <cell r="B3812">
            <v>0</v>
          </cell>
          <cell r="C3812" t="str">
            <v xml:space="preserve">  L.C # MPB/LC/PSH/254 SPARE PARTS TEX.M</v>
          </cell>
          <cell r="D3812">
            <v>0</v>
          </cell>
          <cell r="E3812">
            <v>0</v>
          </cell>
          <cell r="F3812">
            <v>0</v>
          </cell>
          <cell r="G3812">
            <v>0</v>
          </cell>
        </row>
        <row r="3813">
          <cell r="A3813" t="str">
            <v>36-01-02-0117</v>
          </cell>
          <cell r="B3813">
            <v>0</v>
          </cell>
          <cell r="C3813" t="str">
            <v xml:space="preserve">  L.C # 2002/258 STEEL RING SUPPER"HY'BR</v>
          </cell>
          <cell r="D3813">
            <v>0</v>
          </cell>
          <cell r="E3813">
            <v>0</v>
          </cell>
          <cell r="F3813">
            <v>0</v>
          </cell>
          <cell r="G3813">
            <v>0</v>
          </cell>
        </row>
        <row r="3814">
          <cell r="A3814" t="str">
            <v>36-01-02-0118</v>
          </cell>
          <cell r="B3814">
            <v>0</v>
          </cell>
          <cell r="C3814" t="str">
            <v xml:space="preserve">  L.C # 2002/259 PARTS CROSROL MK.45 CAR</v>
          </cell>
          <cell r="D3814">
            <v>0</v>
          </cell>
          <cell r="E3814">
            <v>0</v>
          </cell>
          <cell r="F3814">
            <v>0</v>
          </cell>
          <cell r="G3814">
            <v>0</v>
          </cell>
        </row>
        <row r="3815">
          <cell r="A3815" t="str">
            <v>36-01-02-0119</v>
          </cell>
          <cell r="B3815">
            <v>0</v>
          </cell>
          <cell r="C3815" t="str">
            <v xml:space="preserve">  L.C # 2002/260 BOBBIN HANGER INTRNL BR</v>
          </cell>
          <cell r="D3815">
            <v>0</v>
          </cell>
          <cell r="E3815">
            <v>0</v>
          </cell>
          <cell r="F3815">
            <v>0</v>
          </cell>
          <cell r="G3815">
            <v>0</v>
          </cell>
        </row>
        <row r="3816">
          <cell r="A3816" t="str">
            <v>36-01-02-0120</v>
          </cell>
          <cell r="B3816">
            <v>0</v>
          </cell>
          <cell r="C3816" t="str">
            <v xml:space="preserve">  L.C # PSH/261 BRAKER RING TRAVELLERS</v>
          </cell>
          <cell r="D3816">
            <v>0</v>
          </cell>
          <cell r="E3816">
            <v>0</v>
          </cell>
          <cell r="F3816">
            <v>0</v>
          </cell>
          <cell r="G3816">
            <v>0</v>
          </cell>
        </row>
        <row r="3817">
          <cell r="A3817" t="str">
            <v>36-01-02-0121</v>
          </cell>
          <cell r="B3817">
            <v>0</v>
          </cell>
          <cell r="C3817" t="str">
            <v xml:space="preserve">  L.C # PSH/262 ACCOTEX PRESSFIT COTS.</v>
          </cell>
          <cell r="D3817">
            <v>0</v>
          </cell>
          <cell r="E3817">
            <v>0</v>
          </cell>
          <cell r="F3817">
            <v>0</v>
          </cell>
          <cell r="G3817">
            <v>0</v>
          </cell>
        </row>
        <row r="3818">
          <cell r="A3818" t="str">
            <v>36-01-02-0122</v>
          </cell>
          <cell r="B3818">
            <v>0</v>
          </cell>
          <cell r="C3818" t="str">
            <v xml:space="preserve">  L.C # PSH/2002/264 RING SUPPER 'HY'BRA</v>
          </cell>
          <cell r="D3818">
            <v>0</v>
          </cell>
          <cell r="E3818">
            <v>0</v>
          </cell>
          <cell r="F3818">
            <v>0</v>
          </cell>
          <cell r="G3818">
            <v>0</v>
          </cell>
        </row>
        <row r="3819">
          <cell r="A3819" t="str">
            <v>36-01-02-0123</v>
          </cell>
          <cell r="B3819">
            <v>0</v>
          </cell>
          <cell r="C3819" t="str">
            <v xml:space="preserve">  L.C # PSH/265 TRUETZSCHLER B/ROOM PART</v>
          </cell>
          <cell r="D3819">
            <v>0</v>
          </cell>
          <cell r="E3819">
            <v>0</v>
          </cell>
          <cell r="F3819">
            <v>0</v>
          </cell>
          <cell r="G3819">
            <v>0</v>
          </cell>
        </row>
        <row r="3820">
          <cell r="A3820" t="str">
            <v>36-01-02-0124</v>
          </cell>
          <cell r="B3820">
            <v>0</v>
          </cell>
          <cell r="C3820" t="str">
            <v xml:space="preserve">  L.C # 2002/267 GRAF METALIC CLOTHING.</v>
          </cell>
          <cell r="D3820">
            <v>0</v>
          </cell>
          <cell r="E3820">
            <v>0</v>
          </cell>
          <cell r="F3820">
            <v>0</v>
          </cell>
          <cell r="G3820">
            <v>0</v>
          </cell>
        </row>
        <row r="3821">
          <cell r="A3821" t="str">
            <v>36-01-02-0125</v>
          </cell>
          <cell r="B3821">
            <v>0</v>
          </cell>
          <cell r="C3821" t="str">
            <v xml:space="preserve">  L.C # PSH/268 ACCOTEX PRESSFIT COTS</v>
          </cell>
          <cell r="D3821">
            <v>0</v>
          </cell>
          <cell r="E3821">
            <v>0</v>
          </cell>
          <cell r="F3821">
            <v>0</v>
          </cell>
          <cell r="G3821">
            <v>0</v>
          </cell>
        </row>
        <row r="3822">
          <cell r="A3822" t="str">
            <v>36-01-02-0126</v>
          </cell>
          <cell r="B3822">
            <v>0</v>
          </cell>
          <cell r="C3822" t="str">
            <v xml:space="preserve">  L.C # PSH/269 SPARE PARTS TEXTILE MACH</v>
          </cell>
          <cell r="D3822">
            <v>0</v>
          </cell>
          <cell r="E3822">
            <v>0</v>
          </cell>
          <cell r="F3822">
            <v>0</v>
          </cell>
          <cell r="G3822">
            <v>0</v>
          </cell>
        </row>
        <row r="3823">
          <cell r="A3823" t="str">
            <v>36-01-02-0127</v>
          </cell>
          <cell r="B3823">
            <v>0</v>
          </cell>
          <cell r="C3823" t="str">
            <v xml:space="preserve">  L.C # PSH/2002/271 HABASIT SPINDLE TAP</v>
          </cell>
          <cell r="D3823">
            <v>0</v>
          </cell>
          <cell r="E3823">
            <v>0</v>
          </cell>
          <cell r="F3823">
            <v>0</v>
          </cell>
          <cell r="G3823">
            <v>0</v>
          </cell>
        </row>
        <row r="3824">
          <cell r="A3824" t="str">
            <v>36-01-02-0128</v>
          </cell>
          <cell r="B3824">
            <v>0</v>
          </cell>
          <cell r="C3824" t="str">
            <v xml:space="preserve">  L.C # 2002/272 BOBBIN HANGR &amp; SMPLX AP</v>
          </cell>
          <cell r="D3824">
            <v>0</v>
          </cell>
          <cell r="E3824">
            <v>0</v>
          </cell>
          <cell r="F3824">
            <v>0</v>
          </cell>
          <cell r="G3824">
            <v>0</v>
          </cell>
        </row>
        <row r="3825">
          <cell r="A3825" t="str">
            <v>36-01-02-0129</v>
          </cell>
          <cell r="B3825">
            <v>0</v>
          </cell>
          <cell r="C3825" t="str">
            <v xml:space="preserve">  L.C # 2002/273 LATTICE APRON</v>
          </cell>
          <cell r="D3825">
            <v>0</v>
          </cell>
          <cell r="E3825">
            <v>0</v>
          </cell>
          <cell r="F3825">
            <v>0</v>
          </cell>
          <cell r="G3825">
            <v>0</v>
          </cell>
        </row>
        <row r="3826">
          <cell r="A3826" t="str">
            <v>36-01-02-0130</v>
          </cell>
          <cell r="B3826">
            <v>0</v>
          </cell>
          <cell r="C3826" t="str">
            <v xml:space="preserve">  L.C # 2002/274 TRUTZSCHLER SECYROMAT</v>
          </cell>
          <cell r="D3826">
            <v>0</v>
          </cell>
          <cell r="E3826">
            <v>0</v>
          </cell>
          <cell r="F3826">
            <v>0</v>
          </cell>
          <cell r="G3826">
            <v>0</v>
          </cell>
        </row>
        <row r="3827">
          <cell r="A3827" t="str">
            <v>36-01-02-0131</v>
          </cell>
          <cell r="B3827">
            <v>0</v>
          </cell>
          <cell r="C3827" t="str">
            <v xml:space="preserve">  L.C # 2002/278 NOVIBRA SPINDLES HP-568</v>
          </cell>
          <cell r="D3827">
            <v>0</v>
          </cell>
          <cell r="E3827">
            <v>0</v>
          </cell>
          <cell r="F3827">
            <v>0</v>
          </cell>
          <cell r="G3827">
            <v>0</v>
          </cell>
        </row>
        <row r="3828">
          <cell r="A3828" t="str">
            <v>36-01-02-0132</v>
          </cell>
          <cell r="B3828">
            <v>0</v>
          </cell>
          <cell r="C3828" t="str">
            <v xml:space="preserve">  L.C 2002/282 SPINDLE COMPLETE BOLSTER</v>
          </cell>
          <cell r="D3828">
            <v>0</v>
          </cell>
          <cell r="E3828">
            <v>0</v>
          </cell>
          <cell r="F3828">
            <v>0</v>
          </cell>
          <cell r="G3828">
            <v>0</v>
          </cell>
        </row>
        <row r="3829">
          <cell r="A3829" t="str">
            <v>36-01-02-0133</v>
          </cell>
          <cell r="B3829">
            <v>0</v>
          </cell>
          <cell r="C3829" t="str">
            <v xml:space="preserve">  L.C # 2002/283 TOP APRON CRADLES 5000</v>
          </cell>
          <cell r="D3829">
            <v>0</v>
          </cell>
          <cell r="E3829">
            <v>0</v>
          </cell>
          <cell r="F3829">
            <v>0</v>
          </cell>
          <cell r="G3829">
            <v>0</v>
          </cell>
        </row>
        <row r="3830">
          <cell r="A3830" t="str">
            <v>36-01-02-0134</v>
          </cell>
          <cell r="B3830">
            <v>0</v>
          </cell>
          <cell r="C3830" t="str">
            <v xml:space="preserve">  L.C # 2002/284 IMO PUMP 3 SETS</v>
          </cell>
          <cell r="D3830">
            <v>0</v>
          </cell>
          <cell r="E3830">
            <v>0</v>
          </cell>
          <cell r="F3830">
            <v>0</v>
          </cell>
          <cell r="G3830">
            <v>0</v>
          </cell>
        </row>
        <row r="3831">
          <cell r="A3831" t="str">
            <v>36-01-02-0135</v>
          </cell>
          <cell r="B3831">
            <v>0</v>
          </cell>
          <cell r="C3831" t="str">
            <v xml:space="preserve">  L.C # MPB/PSH/2002/289 FAG BRAND ROLLE</v>
          </cell>
          <cell r="D3831">
            <v>0</v>
          </cell>
          <cell r="E3831">
            <v>0</v>
          </cell>
          <cell r="F3831">
            <v>0</v>
          </cell>
          <cell r="G3831">
            <v>0</v>
          </cell>
        </row>
        <row r="3832">
          <cell r="A3832" t="str">
            <v>36-01-02-0138</v>
          </cell>
          <cell r="B3832">
            <v>0</v>
          </cell>
          <cell r="C3832" t="str">
            <v xml:space="preserve">  L.C # MPB/PSH/102 TOP APRON CRADLE</v>
          </cell>
          <cell r="D3832">
            <v>0</v>
          </cell>
          <cell r="E3832">
            <v>0</v>
          </cell>
          <cell r="F3832">
            <v>0</v>
          </cell>
          <cell r="G3832">
            <v>0</v>
          </cell>
        </row>
        <row r="3833">
          <cell r="A3833" t="str">
            <v>36-01-02-0139</v>
          </cell>
          <cell r="B3833">
            <v>0</v>
          </cell>
          <cell r="C3833" t="str">
            <v xml:space="preserve">  L.C # PSH/2002/287 SPARE PARTS TRUTZ.</v>
          </cell>
          <cell r="D3833">
            <v>0</v>
          </cell>
          <cell r="E3833">
            <v>0</v>
          </cell>
          <cell r="F3833">
            <v>0</v>
          </cell>
          <cell r="G3833">
            <v>0</v>
          </cell>
        </row>
        <row r="3834">
          <cell r="A3834" t="str">
            <v>36-01-02-0140</v>
          </cell>
          <cell r="B3834">
            <v>0</v>
          </cell>
          <cell r="C3834" t="str">
            <v xml:space="preserve">  L.C # MPB/PSH/2002/288 PARTS POWER PLA</v>
          </cell>
          <cell r="D3834">
            <v>0</v>
          </cell>
          <cell r="E3834">
            <v>0</v>
          </cell>
          <cell r="F3834">
            <v>0</v>
          </cell>
          <cell r="G3834">
            <v>0</v>
          </cell>
        </row>
        <row r="3835">
          <cell r="A3835" t="str">
            <v>36-01-02-0141</v>
          </cell>
          <cell r="B3835">
            <v>0</v>
          </cell>
          <cell r="C3835" t="str">
            <v xml:space="preserve">  L.C # 1001/1909/2002 KEB INVERTERS</v>
          </cell>
          <cell r="D3835">
            <v>0</v>
          </cell>
          <cell r="E3835">
            <v>0</v>
          </cell>
          <cell r="F3835">
            <v>0</v>
          </cell>
          <cell r="G3835">
            <v>0</v>
          </cell>
        </row>
        <row r="3836">
          <cell r="A3836" t="str">
            <v>36-01-02-0142</v>
          </cell>
          <cell r="B3836">
            <v>0</v>
          </cell>
          <cell r="C3836" t="str">
            <v xml:space="preserve">  L.C # 1001/1916/2002 PARTS TEXTILE MAC</v>
          </cell>
          <cell r="D3836">
            <v>0</v>
          </cell>
          <cell r="E3836">
            <v>0</v>
          </cell>
          <cell r="F3836">
            <v>0</v>
          </cell>
          <cell r="G3836">
            <v>0</v>
          </cell>
        </row>
        <row r="3837">
          <cell r="A3837" t="str">
            <v>36-01-02-0143</v>
          </cell>
          <cell r="B3837">
            <v>0</v>
          </cell>
          <cell r="C3837" t="str">
            <v xml:space="preserve">  L.C # PSH/2002/297 ACCOTEX PRESSFIT CO</v>
          </cell>
          <cell r="D3837">
            <v>0</v>
          </cell>
          <cell r="E3837">
            <v>0</v>
          </cell>
          <cell r="F3837">
            <v>0</v>
          </cell>
          <cell r="G3837">
            <v>0</v>
          </cell>
        </row>
        <row r="3838">
          <cell r="A3838" t="str">
            <v>36-01-02-0144</v>
          </cell>
          <cell r="B3838">
            <v>0</v>
          </cell>
          <cell r="C3838" t="str">
            <v xml:space="preserve">  L.C # 2002/298 SPARE PARTS DIESEL ENGI</v>
          </cell>
          <cell r="D3838">
            <v>0</v>
          </cell>
          <cell r="E3838">
            <v>0</v>
          </cell>
          <cell r="F3838">
            <v>0</v>
          </cell>
          <cell r="G3838">
            <v>0</v>
          </cell>
        </row>
        <row r="3839">
          <cell r="A3839" t="str">
            <v>36-01-02-0145</v>
          </cell>
          <cell r="B3839">
            <v>0</v>
          </cell>
          <cell r="C3839" t="str">
            <v xml:space="preserve">  L.C #PSH/2002/299 PARTS TEXTILE MACHNE</v>
          </cell>
          <cell r="D3839">
            <v>0</v>
          </cell>
          <cell r="E3839">
            <v>0</v>
          </cell>
          <cell r="F3839">
            <v>0</v>
          </cell>
          <cell r="G3839">
            <v>0</v>
          </cell>
        </row>
        <row r="3840">
          <cell r="A3840" t="str">
            <v>36-01-02-0146</v>
          </cell>
          <cell r="B3840">
            <v>0</v>
          </cell>
          <cell r="C3840" t="str">
            <v xml:space="preserve">  L.C # PSH/2002/300 SPARE PARTS MACHINE</v>
          </cell>
          <cell r="D3840">
            <v>0</v>
          </cell>
          <cell r="E3840">
            <v>0</v>
          </cell>
          <cell r="F3840">
            <v>0</v>
          </cell>
          <cell r="G3840">
            <v>0</v>
          </cell>
        </row>
        <row r="3841">
          <cell r="A3841" t="str">
            <v>36-01-02-0147</v>
          </cell>
          <cell r="B3841">
            <v>0</v>
          </cell>
          <cell r="C3841" t="str">
            <v xml:space="preserve">  L.C # PSH/2002/302 PARTS MURATA 8R-2</v>
          </cell>
          <cell r="D3841">
            <v>0</v>
          </cell>
          <cell r="E3841">
            <v>0</v>
          </cell>
          <cell r="F3841">
            <v>0</v>
          </cell>
          <cell r="G3841">
            <v>0</v>
          </cell>
        </row>
        <row r="3842">
          <cell r="A3842" t="str">
            <v>36-01-02-0148</v>
          </cell>
          <cell r="B3842">
            <v>0</v>
          </cell>
          <cell r="C3842" t="str">
            <v xml:space="preserve">  L.C # 2002/286 TORSION &amp; COIL SPRING</v>
          </cell>
          <cell r="D3842">
            <v>0</v>
          </cell>
          <cell r="E3842">
            <v>0</v>
          </cell>
          <cell r="F3842">
            <v>0</v>
          </cell>
          <cell r="G3842">
            <v>0</v>
          </cell>
        </row>
        <row r="3843">
          <cell r="A3843" t="str">
            <v>36-01-02-0149</v>
          </cell>
          <cell r="B3843">
            <v>0</v>
          </cell>
          <cell r="C3843" t="str">
            <v xml:space="preserve">  L.C # 1001/2073/2002 BOTTOM ROLLER EJM</v>
          </cell>
          <cell r="D3843">
            <v>0</v>
          </cell>
          <cell r="E3843">
            <v>0</v>
          </cell>
          <cell r="F3843">
            <v>0</v>
          </cell>
          <cell r="G3843">
            <v>0</v>
          </cell>
        </row>
        <row r="3844">
          <cell r="A3844" t="str">
            <v>36-01-02-0150</v>
          </cell>
          <cell r="B3844">
            <v>0</v>
          </cell>
          <cell r="C3844" t="str">
            <v xml:space="preserve">  L.C # 1001/2074/2002 TEXTILE MACH.PART</v>
          </cell>
          <cell r="D3844">
            <v>0</v>
          </cell>
          <cell r="E3844">
            <v>0</v>
          </cell>
          <cell r="F3844">
            <v>0</v>
          </cell>
          <cell r="G3844">
            <v>0</v>
          </cell>
        </row>
        <row r="3845">
          <cell r="A3845" t="str">
            <v>36-01-02-0151</v>
          </cell>
          <cell r="B3845">
            <v>0</v>
          </cell>
          <cell r="C3845" t="str">
            <v xml:space="preserve">  L.C # 330/02/2012 VACUM YARN SLEAMING</v>
          </cell>
          <cell r="D3845">
            <v>0</v>
          </cell>
          <cell r="E3845">
            <v>0</v>
          </cell>
          <cell r="F3845">
            <v>0</v>
          </cell>
          <cell r="G3845">
            <v>0</v>
          </cell>
        </row>
        <row r="3846">
          <cell r="A3846" t="str">
            <v>36-01-02-0152</v>
          </cell>
          <cell r="B3846">
            <v>0</v>
          </cell>
          <cell r="C3846" t="str">
            <v xml:space="preserve">  L.C # 2002/304 LLDPE STRETCH FILM</v>
          </cell>
          <cell r="D3846">
            <v>0</v>
          </cell>
          <cell r="E3846">
            <v>0</v>
          </cell>
          <cell r="F3846">
            <v>0</v>
          </cell>
          <cell r="G3846">
            <v>0</v>
          </cell>
        </row>
        <row r="3847">
          <cell r="A3847" t="str">
            <v>36-01-02-0153</v>
          </cell>
          <cell r="B3847">
            <v>0</v>
          </cell>
          <cell r="C3847" t="str">
            <v xml:space="preserve">  L.C # 2002/307 RUBBER APRON</v>
          </cell>
          <cell r="D3847">
            <v>0</v>
          </cell>
          <cell r="E3847">
            <v>0</v>
          </cell>
          <cell r="F3847">
            <v>0</v>
          </cell>
          <cell r="G3847">
            <v>0</v>
          </cell>
        </row>
        <row r="3848">
          <cell r="A3848" t="str">
            <v>36-01-02-0154</v>
          </cell>
          <cell r="B3848">
            <v>0</v>
          </cell>
          <cell r="C3848" t="str">
            <v xml:space="preserve">  L.C # 2002/308 SPARE PARTS BLOW ROOM</v>
          </cell>
          <cell r="D3848">
            <v>0</v>
          </cell>
          <cell r="E3848">
            <v>0</v>
          </cell>
          <cell r="F3848">
            <v>0</v>
          </cell>
          <cell r="G3848">
            <v>0</v>
          </cell>
        </row>
        <row r="3849">
          <cell r="A3849" t="str">
            <v>36-01-02-0155</v>
          </cell>
          <cell r="B3849">
            <v>0</v>
          </cell>
          <cell r="C3849" t="str">
            <v xml:space="preserve">  L.C # 2002/309 HABASIT SPINDLE TAPE</v>
          </cell>
          <cell r="D3849">
            <v>0</v>
          </cell>
          <cell r="E3849">
            <v>0</v>
          </cell>
          <cell r="F3849">
            <v>0</v>
          </cell>
          <cell r="G3849">
            <v>0</v>
          </cell>
        </row>
        <row r="3850">
          <cell r="A3850" t="str">
            <v>36-01-02-0156</v>
          </cell>
          <cell r="B3850">
            <v>0</v>
          </cell>
          <cell r="C3850" t="str">
            <v xml:space="preserve">  L.C # 2138/2002 CATERPILLAR G3616 2 SE</v>
          </cell>
          <cell r="D3850">
            <v>0</v>
          </cell>
          <cell r="E3850">
            <v>0</v>
          </cell>
          <cell r="F3850">
            <v>0</v>
          </cell>
          <cell r="G3850">
            <v>0</v>
          </cell>
        </row>
        <row r="3851">
          <cell r="A3851" t="str">
            <v>36-01-02-0157</v>
          </cell>
          <cell r="B3851">
            <v>0</v>
          </cell>
          <cell r="C3851" t="str">
            <v xml:space="preserve">  L.C # 2003/310 ACCOTEX APRON PRESSFT C</v>
          </cell>
          <cell r="D3851">
            <v>0</v>
          </cell>
          <cell r="E3851">
            <v>0</v>
          </cell>
          <cell r="F3851">
            <v>0</v>
          </cell>
          <cell r="G3851">
            <v>0</v>
          </cell>
        </row>
        <row r="3852">
          <cell r="A3852" t="str">
            <v>36-01-02-0158</v>
          </cell>
          <cell r="B3852">
            <v>0</v>
          </cell>
          <cell r="C3852" t="str">
            <v xml:space="preserve">  L.C # 2003/311 FLAT TOPS</v>
          </cell>
          <cell r="D3852">
            <v>0</v>
          </cell>
          <cell r="E3852">
            <v>0</v>
          </cell>
          <cell r="F3852">
            <v>0</v>
          </cell>
          <cell r="G3852">
            <v>0</v>
          </cell>
        </row>
        <row r="3853">
          <cell r="A3853" t="str">
            <v>36-01-02-0159</v>
          </cell>
          <cell r="B3853">
            <v>0</v>
          </cell>
          <cell r="C3853" t="str">
            <v xml:space="preserve">  L.C # 2003/312 SPARE PARTS DIESEL ENGI</v>
          </cell>
          <cell r="D3853">
            <v>0</v>
          </cell>
          <cell r="E3853">
            <v>0</v>
          </cell>
          <cell r="F3853">
            <v>0</v>
          </cell>
          <cell r="G3853">
            <v>0</v>
          </cell>
        </row>
        <row r="3854">
          <cell r="A3854" t="str">
            <v>36-01-02-0160</v>
          </cell>
          <cell r="B3854">
            <v>0</v>
          </cell>
          <cell r="C3854" t="str">
            <v xml:space="preserve">  L.C # 2003/313 SPARE PARTS USTER EQUIP</v>
          </cell>
          <cell r="D3854">
            <v>0</v>
          </cell>
          <cell r="E3854">
            <v>0</v>
          </cell>
          <cell r="F3854">
            <v>0</v>
          </cell>
          <cell r="G3854">
            <v>0</v>
          </cell>
        </row>
        <row r="3855">
          <cell r="A3855" t="str">
            <v>36-01-02-0161</v>
          </cell>
          <cell r="B3855">
            <v>0</v>
          </cell>
          <cell r="C3855" t="str">
            <v xml:space="preserve">  L.C # 2003/315 120 PCS FLYERS FL-16</v>
          </cell>
          <cell r="D3855">
            <v>0</v>
          </cell>
          <cell r="E3855">
            <v>0</v>
          </cell>
          <cell r="F3855">
            <v>0</v>
          </cell>
          <cell r="G3855">
            <v>0</v>
          </cell>
        </row>
        <row r="3856">
          <cell r="A3856" t="str">
            <v>36-01-02-0162</v>
          </cell>
          <cell r="B3856">
            <v>0</v>
          </cell>
          <cell r="C3856" t="str">
            <v xml:space="preserve">  L.C # PSH/2003/320 PARTS TEXTILE MACHN</v>
          </cell>
          <cell r="D3856">
            <v>0</v>
          </cell>
          <cell r="E3856">
            <v>0</v>
          </cell>
          <cell r="F3856">
            <v>0</v>
          </cell>
          <cell r="G3856">
            <v>0</v>
          </cell>
        </row>
        <row r="3857">
          <cell r="A3857" t="str">
            <v>36-01-02-0163</v>
          </cell>
          <cell r="B3857">
            <v>0</v>
          </cell>
          <cell r="C3857" t="str">
            <v xml:space="preserve">  L.C # 2002/321 ROVING END OPNER</v>
          </cell>
          <cell r="D3857">
            <v>0</v>
          </cell>
          <cell r="E3857">
            <v>0</v>
          </cell>
          <cell r="F3857">
            <v>0</v>
          </cell>
          <cell r="G3857">
            <v>0</v>
          </cell>
        </row>
        <row r="3858">
          <cell r="A3858" t="str">
            <v>36-01-02-0164</v>
          </cell>
          <cell r="B3858">
            <v>0</v>
          </cell>
          <cell r="C3858" t="str">
            <v xml:space="preserve">  L.C # 2002/322 APRON AND 2 BALE PLUCKE</v>
          </cell>
          <cell r="D3858">
            <v>0</v>
          </cell>
          <cell r="E3858">
            <v>0</v>
          </cell>
          <cell r="F3858">
            <v>0</v>
          </cell>
          <cell r="G3858">
            <v>0</v>
          </cell>
        </row>
        <row r="3859">
          <cell r="A3859" t="str">
            <v>36-01-02-0165</v>
          </cell>
          <cell r="B3859">
            <v>0</v>
          </cell>
          <cell r="C3859" t="str">
            <v xml:space="preserve">  L.C 2002/323 TOP APRONS, PULLY HANGER</v>
          </cell>
          <cell r="D3859">
            <v>0</v>
          </cell>
          <cell r="E3859">
            <v>0</v>
          </cell>
          <cell r="F3859">
            <v>0</v>
          </cell>
          <cell r="G3859">
            <v>0</v>
          </cell>
        </row>
        <row r="3860">
          <cell r="A3860" t="str">
            <v>36-01-02-0166</v>
          </cell>
          <cell r="B3860">
            <v>0</v>
          </cell>
          <cell r="C3860" t="str">
            <v xml:space="preserve">  L.C 3 PSH/2003/318 PARTS TEXTILE MACHN</v>
          </cell>
          <cell r="D3860">
            <v>0</v>
          </cell>
          <cell r="E3860">
            <v>0</v>
          </cell>
          <cell r="F3860">
            <v>0</v>
          </cell>
          <cell r="G3860">
            <v>0</v>
          </cell>
        </row>
        <row r="3861">
          <cell r="A3861" t="str">
            <v>36-01-02-0167</v>
          </cell>
          <cell r="B3861">
            <v>0</v>
          </cell>
          <cell r="C3861" t="str">
            <v xml:space="preserve">  L.C # 2003/319 STEEL RING POLISH 'HY'</v>
          </cell>
          <cell r="D3861">
            <v>0</v>
          </cell>
          <cell r="E3861">
            <v>0</v>
          </cell>
          <cell r="F3861">
            <v>0</v>
          </cell>
          <cell r="G3861">
            <v>0</v>
          </cell>
        </row>
        <row r="3862">
          <cell r="A3862" t="str">
            <v>36-01-02-0168</v>
          </cell>
          <cell r="B3862">
            <v>0</v>
          </cell>
          <cell r="C3862" t="str">
            <v xml:space="preserve">  L.C PSH/2003/324 1 SERVO MOTOR AC</v>
          </cell>
          <cell r="D3862">
            <v>0</v>
          </cell>
          <cell r="E3862">
            <v>0</v>
          </cell>
          <cell r="F3862">
            <v>0</v>
          </cell>
          <cell r="G3862">
            <v>0</v>
          </cell>
        </row>
        <row r="3863">
          <cell r="A3863" t="str">
            <v>36-01-02-0169</v>
          </cell>
          <cell r="B3863">
            <v>0</v>
          </cell>
          <cell r="C3863" t="str">
            <v xml:space="preserve">  L.C # 2003/325 SPARE PARTS MURATA M.J.</v>
          </cell>
          <cell r="D3863">
            <v>0</v>
          </cell>
          <cell r="E3863">
            <v>0</v>
          </cell>
          <cell r="F3863">
            <v>0</v>
          </cell>
          <cell r="G3863">
            <v>0</v>
          </cell>
        </row>
        <row r="3864">
          <cell r="A3864" t="str">
            <v>36-01-02-0170</v>
          </cell>
          <cell r="B3864">
            <v>0</v>
          </cell>
          <cell r="C3864" t="str">
            <v xml:space="preserve">  L.C # 2002/326 NOVIBRA SPINDLES 4000 P</v>
          </cell>
          <cell r="D3864">
            <v>0</v>
          </cell>
          <cell r="E3864">
            <v>0</v>
          </cell>
          <cell r="F3864">
            <v>0</v>
          </cell>
          <cell r="G3864">
            <v>0</v>
          </cell>
        </row>
        <row r="3865">
          <cell r="A3865" t="str">
            <v>36-01-02-0171</v>
          </cell>
          <cell r="B3865">
            <v>0</v>
          </cell>
          <cell r="C3865" t="str">
            <v xml:space="preserve">  L.C # 2003/327 LATTTICE APRON &amp; ELITUB</v>
          </cell>
          <cell r="D3865">
            <v>0</v>
          </cell>
          <cell r="E3865">
            <v>0</v>
          </cell>
          <cell r="F3865">
            <v>0</v>
          </cell>
          <cell r="G3865">
            <v>0</v>
          </cell>
        </row>
        <row r="3866">
          <cell r="A3866" t="str">
            <v>36-01-02-0172</v>
          </cell>
          <cell r="B3866">
            <v>0</v>
          </cell>
          <cell r="C3866" t="str">
            <v xml:space="preserve">  L.C # 2003/329 RUBBER TOLLER GRINDING</v>
          </cell>
          <cell r="D3866">
            <v>0</v>
          </cell>
          <cell r="E3866">
            <v>0</v>
          </cell>
          <cell r="F3866">
            <v>0</v>
          </cell>
          <cell r="G3866">
            <v>0</v>
          </cell>
        </row>
        <row r="3867">
          <cell r="A3867" t="str">
            <v>36-01-02-0173</v>
          </cell>
          <cell r="B3867">
            <v>0</v>
          </cell>
          <cell r="C3867" t="str">
            <v xml:space="preserve">  L.C # 2003/330 NOZZLE FOR OVERHEAD CLE</v>
          </cell>
          <cell r="D3867">
            <v>0</v>
          </cell>
          <cell r="E3867">
            <v>0</v>
          </cell>
          <cell r="F3867">
            <v>0</v>
          </cell>
          <cell r="G3867">
            <v>0</v>
          </cell>
        </row>
        <row r="3868">
          <cell r="A3868" t="str">
            <v>36-01-02-0174</v>
          </cell>
          <cell r="B3868">
            <v>0</v>
          </cell>
          <cell r="C3868" t="str">
            <v xml:space="preserve">  L.C # 2003/331 SPARE PARTS TEXTILE MAC</v>
          </cell>
          <cell r="D3868">
            <v>0</v>
          </cell>
          <cell r="E3868">
            <v>0</v>
          </cell>
          <cell r="F3868">
            <v>0</v>
          </cell>
          <cell r="G3868">
            <v>0</v>
          </cell>
        </row>
        <row r="3869">
          <cell r="A3869" t="str">
            <v>36-01-02-0175</v>
          </cell>
          <cell r="B3869">
            <v>0</v>
          </cell>
          <cell r="C3869" t="str">
            <v xml:space="preserve">  L.C # 1001/LC/289/2003 30,000 BOBBIN '</v>
          </cell>
          <cell r="D3869">
            <v>0</v>
          </cell>
          <cell r="E3869">
            <v>0</v>
          </cell>
          <cell r="F3869">
            <v>0</v>
          </cell>
          <cell r="G3869">
            <v>0</v>
          </cell>
        </row>
        <row r="3870">
          <cell r="A3870" t="str">
            <v>36-01-02-0176</v>
          </cell>
          <cell r="B3870">
            <v>0</v>
          </cell>
          <cell r="C3870" t="str">
            <v xml:space="preserve">  L.C # 1001/290/2003 66,000 BOBBIN "7"</v>
          </cell>
          <cell r="D3870">
            <v>0</v>
          </cell>
          <cell r="E3870">
            <v>0</v>
          </cell>
          <cell r="F3870">
            <v>0</v>
          </cell>
          <cell r="G3870">
            <v>0</v>
          </cell>
        </row>
        <row r="3871">
          <cell r="A3871" t="str">
            <v>36-01-02-0177</v>
          </cell>
          <cell r="B3871">
            <v>0</v>
          </cell>
          <cell r="C3871" t="str">
            <v xml:space="preserve">  L.C # PSH/2003/333  5200 ACCOTEX COTS</v>
          </cell>
          <cell r="D3871">
            <v>0</v>
          </cell>
          <cell r="E3871">
            <v>0</v>
          </cell>
          <cell r="F3871">
            <v>0</v>
          </cell>
          <cell r="G3871">
            <v>0</v>
          </cell>
        </row>
        <row r="3872">
          <cell r="A3872" t="str">
            <v>36-01-02-0178</v>
          </cell>
          <cell r="B3872">
            <v>0</v>
          </cell>
          <cell r="C3872" t="str">
            <v xml:space="preserve">  L.C # PSH/2002/332 ABB FREQUENCY CONVR</v>
          </cell>
          <cell r="D3872">
            <v>0</v>
          </cell>
          <cell r="E3872">
            <v>0</v>
          </cell>
          <cell r="F3872">
            <v>0</v>
          </cell>
          <cell r="G3872">
            <v>0</v>
          </cell>
        </row>
        <row r="3873">
          <cell r="A3873" t="str">
            <v>36-01-02-0179</v>
          </cell>
          <cell r="B3873">
            <v>0</v>
          </cell>
          <cell r="C3873" t="str">
            <v xml:space="preserve">  L.C # MPB/PAH/2003/334 ACCOTEX PRS.COT</v>
          </cell>
          <cell r="D3873">
            <v>0</v>
          </cell>
          <cell r="E3873">
            <v>0</v>
          </cell>
          <cell r="F3873">
            <v>0</v>
          </cell>
          <cell r="G3873">
            <v>0</v>
          </cell>
        </row>
        <row r="3874">
          <cell r="A3874" t="str">
            <v>36-01-02-0180</v>
          </cell>
          <cell r="B3874">
            <v>0</v>
          </cell>
          <cell r="C3874" t="str">
            <v xml:space="preserve">  L.C # MPB/PSH/2003/336 24 VDC UPS PENE</v>
          </cell>
          <cell r="D3874">
            <v>0</v>
          </cell>
          <cell r="E3874">
            <v>0</v>
          </cell>
          <cell r="F3874">
            <v>0</v>
          </cell>
          <cell r="G3874">
            <v>0</v>
          </cell>
        </row>
        <row r="3875">
          <cell r="A3875" t="str">
            <v>36-01-02-0181</v>
          </cell>
          <cell r="B3875">
            <v>0</v>
          </cell>
          <cell r="C3875" t="str">
            <v xml:space="preserve">  L.C # MPB/PSH/2003/337 PARTS TEXTILE M</v>
          </cell>
          <cell r="D3875">
            <v>0</v>
          </cell>
          <cell r="E3875">
            <v>0</v>
          </cell>
          <cell r="F3875">
            <v>0</v>
          </cell>
          <cell r="G3875">
            <v>0</v>
          </cell>
        </row>
        <row r="3876">
          <cell r="A3876" t="str">
            <v>36-01-02-0182</v>
          </cell>
          <cell r="B3876">
            <v>0</v>
          </cell>
          <cell r="C3876" t="str">
            <v xml:space="preserve">  L.C #MPB/PSH/2003/338 10000 PC COIL SP</v>
          </cell>
          <cell r="D3876">
            <v>0</v>
          </cell>
          <cell r="E3876">
            <v>0</v>
          </cell>
          <cell r="F3876">
            <v>0</v>
          </cell>
          <cell r="G3876">
            <v>0</v>
          </cell>
        </row>
        <row r="3877">
          <cell r="A3877" t="str">
            <v>36-01-02-0183</v>
          </cell>
          <cell r="B3877">
            <v>0</v>
          </cell>
          <cell r="C3877" t="str">
            <v xml:space="preserve">  L.C # 2003/339 SPARE PARTS TEXTILE MAC</v>
          </cell>
          <cell r="D3877">
            <v>0</v>
          </cell>
          <cell r="E3877">
            <v>0</v>
          </cell>
          <cell r="F3877">
            <v>0</v>
          </cell>
          <cell r="G3877">
            <v>0</v>
          </cell>
        </row>
        <row r="3878">
          <cell r="A3878" t="str">
            <v>36-01-02-0184</v>
          </cell>
          <cell r="B3878">
            <v>0</v>
          </cell>
          <cell r="C3878" t="str">
            <v xml:space="preserve">  L.C # 2003/340 2 NIHON SPINDLE SP1-RA.</v>
          </cell>
          <cell r="D3878">
            <v>0</v>
          </cell>
          <cell r="E3878">
            <v>0</v>
          </cell>
          <cell r="F3878">
            <v>0</v>
          </cell>
          <cell r="G3878">
            <v>0</v>
          </cell>
        </row>
        <row r="3879">
          <cell r="A3879" t="str">
            <v>36-01-02-0185</v>
          </cell>
          <cell r="B3879">
            <v>0</v>
          </cell>
          <cell r="C3879" t="str">
            <v xml:space="preserve">  CONT # 2003/008 1 KJ=5120 INDICATE MOV</v>
          </cell>
          <cell r="D3879">
            <v>0</v>
          </cell>
          <cell r="E3879">
            <v>0</v>
          </cell>
          <cell r="F3879">
            <v>0</v>
          </cell>
          <cell r="G3879">
            <v>0</v>
          </cell>
        </row>
        <row r="3880">
          <cell r="A3880" t="str">
            <v>36-01-02-0186</v>
          </cell>
          <cell r="B3880">
            <v>0</v>
          </cell>
          <cell r="C3880" t="str">
            <v xml:space="preserve">  L.C # MPB/PSH/2003/345 PERFORATED CONE</v>
          </cell>
          <cell r="D3880">
            <v>0</v>
          </cell>
          <cell r="E3880">
            <v>0</v>
          </cell>
          <cell r="F3880">
            <v>0</v>
          </cell>
          <cell r="G3880">
            <v>0</v>
          </cell>
        </row>
        <row r="3881">
          <cell r="A3881" t="str">
            <v>36-01-02-0187</v>
          </cell>
          <cell r="B3881">
            <v>0</v>
          </cell>
          <cell r="C3881" t="str">
            <v xml:space="preserve">  L.C # MPB/PSH/2003/346 STEEL RING 3HY</v>
          </cell>
          <cell r="D3881">
            <v>0</v>
          </cell>
          <cell r="E3881">
            <v>0</v>
          </cell>
          <cell r="F3881">
            <v>0</v>
          </cell>
          <cell r="G3881">
            <v>0</v>
          </cell>
        </row>
        <row r="3882">
          <cell r="A3882" t="str">
            <v>36-01-02-0188</v>
          </cell>
          <cell r="B3882">
            <v>0</v>
          </cell>
          <cell r="C3882" t="str">
            <v xml:space="preserve">  L.C # 2003/347 CYLINDR DOFFER LICKER W</v>
          </cell>
          <cell r="D3882">
            <v>0</v>
          </cell>
          <cell r="E3882">
            <v>0</v>
          </cell>
          <cell r="F3882">
            <v>0</v>
          </cell>
          <cell r="G3882">
            <v>0</v>
          </cell>
        </row>
        <row r="3883">
          <cell r="A3883" t="str">
            <v>36-01-02-0189</v>
          </cell>
          <cell r="B3883">
            <v>0</v>
          </cell>
          <cell r="C3883" t="str">
            <v xml:space="preserve">  L.C # 2003/348 SPARE PARTS</v>
          </cell>
          <cell r="D3883">
            <v>0</v>
          </cell>
          <cell r="E3883">
            <v>0</v>
          </cell>
          <cell r="F3883">
            <v>0</v>
          </cell>
          <cell r="G3883">
            <v>0</v>
          </cell>
        </row>
        <row r="3884">
          <cell r="A3884" t="str">
            <v>36-01-02-0190</v>
          </cell>
          <cell r="B3884">
            <v>0</v>
          </cell>
          <cell r="C3884" t="str">
            <v xml:space="preserve">  L.C # 1001/LC/447/2003 CATERPILLAR PAR</v>
          </cell>
          <cell r="D3884">
            <v>0</v>
          </cell>
          <cell r="E3884">
            <v>0</v>
          </cell>
          <cell r="F3884">
            <v>0</v>
          </cell>
          <cell r="G3884">
            <v>0</v>
          </cell>
        </row>
        <row r="3885">
          <cell r="A3885" t="str">
            <v>36-01-02-0191</v>
          </cell>
          <cell r="B3885">
            <v>0</v>
          </cell>
          <cell r="C3885" t="str">
            <v xml:space="preserve">  L.C # 2003/349 SPARE PARTS YAMATOKEI 7</v>
          </cell>
          <cell r="D3885">
            <v>0</v>
          </cell>
          <cell r="E3885">
            <v>0</v>
          </cell>
          <cell r="F3885">
            <v>0</v>
          </cell>
          <cell r="G3885">
            <v>0</v>
          </cell>
        </row>
        <row r="3886">
          <cell r="A3886" t="str">
            <v>36-01-02-0192</v>
          </cell>
          <cell r="B3886">
            <v>0</v>
          </cell>
          <cell r="C3886" t="str">
            <v xml:space="preserve">  L.C # 2003/350 SPINDLE BOLSTER KNEE BR</v>
          </cell>
          <cell r="D3886">
            <v>0</v>
          </cell>
          <cell r="E3886">
            <v>0</v>
          </cell>
          <cell r="F3886">
            <v>0</v>
          </cell>
          <cell r="G3886">
            <v>0</v>
          </cell>
        </row>
        <row r="3887">
          <cell r="A3887" t="str">
            <v>36-01-02-0193</v>
          </cell>
          <cell r="B3887">
            <v>0</v>
          </cell>
          <cell r="C3887" t="str">
            <v xml:space="preserve">  L.C # 2003/351 PARTS TEXTILE MACHINERY</v>
          </cell>
          <cell r="D3887">
            <v>0</v>
          </cell>
          <cell r="E3887">
            <v>0</v>
          </cell>
          <cell r="F3887">
            <v>0</v>
          </cell>
          <cell r="G3887">
            <v>0</v>
          </cell>
        </row>
        <row r="3888">
          <cell r="A3888" t="str">
            <v>36-01-02-0194</v>
          </cell>
          <cell r="B3888">
            <v>0</v>
          </cell>
          <cell r="C3888" t="str">
            <v xml:space="preserve">  L.C 2003/352 RING BOBBIN "7" LIFT.</v>
          </cell>
          <cell r="D3888">
            <v>0</v>
          </cell>
          <cell r="E3888">
            <v>0</v>
          </cell>
          <cell r="F3888">
            <v>0</v>
          </cell>
          <cell r="G3888">
            <v>0</v>
          </cell>
        </row>
        <row r="3889">
          <cell r="A3889" t="str">
            <v>36-01-02-0195</v>
          </cell>
          <cell r="B3889">
            <v>0</v>
          </cell>
          <cell r="C3889" t="str">
            <v xml:space="preserve">  CONT # 1001/207/2003 PARTS TEXTILE MAC</v>
          </cell>
          <cell r="D3889">
            <v>0</v>
          </cell>
          <cell r="E3889">
            <v>0</v>
          </cell>
          <cell r="F3889">
            <v>0</v>
          </cell>
          <cell r="G3889">
            <v>0</v>
          </cell>
        </row>
        <row r="3890">
          <cell r="A3890" t="str">
            <v>36-01-02-0196</v>
          </cell>
          <cell r="B3890">
            <v>0</v>
          </cell>
          <cell r="C3890" t="str">
            <v xml:space="preserve">  CONT # 2003/009 ROLLER LUBRICATING UNI</v>
          </cell>
          <cell r="D3890">
            <v>0</v>
          </cell>
          <cell r="E3890">
            <v>0</v>
          </cell>
          <cell r="F3890">
            <v>0</v>
          </cell>
          <cell r="G3890">
            <v>0</v>
          </cell>
        </row>
        <row r="3891">
          <cell r="A3891" t="str">
            <v>36-01-02-0197</v>
          </cell>
          <cell r="B3891">
            <v>0</v>
          </cell>
          <cell r="C3891" t="str">
            <v xml:space="preserve">  L.C # 2003/353 10,000 SPINDLE BOLISTER</v>
          </cell>
          <cell r="D3891">
            <v>0</v>
          </cell>
          <cell r="E3891">
            <v>0</v>
          </cell>
          <cell r="F3891">
            <v>0</v>
          </cell>
          <cell r="G3891">
            <v>0</v>
          </cell>
        </row>
        <row r="3892">
          <cell r="A3892" t="str">
            <v>36-01-02-0198</v>
          </cell>
          <cell r="B3892">
            <v>0</v>
          </cell>
          <cell r="C3892" t="str">
            <v xml:space="preserve">  L.C # 2003/354 ELECTRIC MOTOR</v>
          </cell>
          <cell r="D3892">
            <v>0</v>
          </cell>
          <cell r="E3892">
            <v>0</v>
          </cell>
          <cell r="F3892">
            <v>0</v>
          </cell>
          <cell r="G3892">
            <v>0</v>
          </cell>
        </row>
        <row r="3893">
          <cell r="A3893" t="str">
            <v>36-01-02-0199</v>
          </cell>
          <cell r="B3893">
            <v>0</v>
          </cell>
          <cell r="C3893" t="str">
            <v xml:space="preserve">  L.C # 2003/355 FREQUENCY CONVERTERS</v>
          </cell>
          <cell r="D3893">
            <v>0</v>
          </cell>
          <cell r="E3893">
            <v>0</v>
          </cell>
          <cell r="F3893">
            <v>0</v>
          </cell>
          <cell r="G3893">
            <v>0</v>
          </cell>
        </row>
        <row r="3894">
          <cell r="A3894" t="str">
            <v>36-01-02-0200</v>
          </cell>
          <cell r="B3894">
            <v>0</v>
          </cell>
          <cell r="C3894" t="str">
            <v xml:space="preserve">  L.C # 2003/356 320 ROLLS LLDPE STRETCH</v>
          </cell>
          <cell r="D3894">
            <v>0</v>
          </cell>
          <cell r="E3894">
            <v>0</v>
          </cell>
          <cell r="F3894">
            <v>0</v>
          </cell>
          <cell r="G3894">
            <v>0</v>
          </cell>
        </row>
        <row r="3895">
          <cell r="A3895" t="str">
            <v>36-01-02-0201</v>
          </cell>
          <cell r="B3895">
            <v>0</v>
          </cell>
          <cell r="C3895" t="str">
            <v xml:space="preserve">  L.C # 2003/357 BOGE COMPRESSOR, DRYER</v>
          </cell>
          <cell r="D3895">
            <v>0</v>
          </cell>
          <cell r="E3895">
            <v>0</v>
          </cell>
          <cell r="F3895">
            <v>0</v>
          </cell>
          <cell r="G3895">
            <v>0</v>
          </cell>
        </row>
        <row r="3896">
          <cell r="A3896" t="str">
            <v>36-01-02-0202</v>
          </cell>
          <cell r="B3896">
            <v>0</v>
          </cell>
          <cell r="C3896" t="str">
            <v xml:space="preserve">  L.C # 2002/358 GRAF CARD CLOTHING DK-9</v>
          </cell>
          <cell r="D3896">
            <v>0</v>
          </cell>
          <cell r="E3896">
            <v>0</v>
          </cell>
          <cell r="F3896">
            <v>0</v>
          </cell>
          <cell r="G3896">
            <v>0</v>
          </cell>
        </row>
        <row r="3897">
          <cell r="A3897" t="str">
            <v>36-01-02-0203</v>
          </cell>
          <cell r="B3897">
            <v>0</v>
          </cell>
          <cell r="C3897" t="str">
            <v xml:space="preserve">  L.C # MPB/2003/359 ROVING END OPENER</v>
          </cell>
          <cell r="D3897">
            <v>0</v>
          </cell>
          <cell r="E3897">
            <v>0</v>
          </cell>
          <cell r="F3897">
            <v>0</v>
          </cell>
          <cell r="G3897">
            <v>0</v>
          </cell>
        </row>
        <row r="3898">
          <cell r="A3898" t="str">
            <v>36-01-02-0204</v>
          </cell>
          <cell r="B3898">
            <v>0</v>
          </cell>
          <cell r="C3898" t="str">
            <v xml:space="preserve">  L.C 3 2003/360 SPARE PARTS TRUETZSCHLE</v>
          </cell>
          <cell r="D3898">
            <v>0</v>
          </cell>
          <cell r="E3898">
            <v>0</v>
          </cell>
          <cell r="F3898">
            <v>0</v>
          </cell>
          <cell r="G3898">
            <v>0</v>
          </cell>
        </row>
        <row r="3899">
          <cell r="A3899" t="str">
            <v>36-01-02-0205</v>
          </cell>
          <cell r="B3899">
            <v>0</v>
          </cell>
          <cell r="C3899" t="str">
            <v xml:space="preserve">  L.C # 2003/362 PARTS DIESEL GENRATOR</v>
          </cell>
          <cell r="D3899">
            <v>0</v>
          </cell>
          <cell r="E3899">
            <v>0</v>
          </cell>
          <cell r="F3899">
            <v>0</v>
          </cell>
          <cell r="G3899">
            <v>0</v>
          </cell>
        </row>
        <row r="3900">
          <cell r="A3900" t="str">
            <v>36-01-02-0206</v>
          </cell>
          <cell r="B3900">
            <v>0</v>
          </cell>
          <cell r="C3900" t="str">
            <v xml:space="preserve">  L.C # 2003/363 75000 ABS RING BOBBIN W</v>
          </cell>
          <cell r="D3900">
            <v>0</v>
          </cell>
          <cell r="E3900">
            <v>0</v>
          </cell>
          <cell r="F3900">
            <v>0</v>
          </cell>
          <cell r="G3900">
            <v>0</v>
          </cell>
        </row>
        <row r="3901">
          <cell r="A3901" t="str">
            <v>36-01-02-0207</v>
          </cell>
          <cell r="B3901">
            <v>0</v>
          </cell>
          <cell r="C3901" t="str">
            <v xml:space="preserve">  L.C # 2003/365 GRAF CARD CLOTHING TRUT</v>
          </cell>
          <cell r="D3901">
            <v>0</v>
          </cell>
          <cell r="E3901">
            <v>0</v>
          </cell>
          <cell r="F3901">
            <v>0</v>
          </cell>
          <cell r="G3901">
            <v>0</v>
          </cell>
        </row>
        <row r="3902">
          <cell r="A3902" t="str">
            <v>36-01-02-0208</v>
          </cell>
          <cell r="B3902">
            <v>0</v>
          </cell>
          <cell r="C3902" t="str">
            <v xml:space="preserve">  L.C # 2003/366 PARTS AIR COMPRESSOR</v>
          </cell>
          <cell r="D3902">
            <v>0</v>
          </cell>
          <cell r="E3902">
            <v>0</v>
          </cell>
          <cell r="F3902">
            <v>0</v>
          </cell>
          <cell r="G3902">
            <v>0</v>
          </cell>
        </row>
        <row r="3903">
          <cell r="A3903" t="str">
            <v>36-01-02-0209</v>
          </cell>
          <cell r="B3903">
            <v>0</v>
          </cell>
          <cell r="C3903" t="str">
            <v xml:space="preserve">  L.C # 2003/367 PARTS TEXTILE MACHINERY</v>
          </cell>
          <cell r="D3903">
            <v>0</v>
          </cell>
          <cell r="E3903">
            <v>0</v>
          </cell>
          <cell r="F3903">
            <v>0</v>
          </cell>
          <cell r="G3903">
            <v>0</v>
          </cell>
        </row>
        <row r="3904">
          <cell r="A3904" t="str">
            <v>36-01-02-0210</v>
          </cell>
          <cell r="B3904">
            <v>0</v>
          </cell>
          <cell r="C3904" t="str">
            <v xml:space="preserve">  L.C # 2003/368 BOLESTER ROLLER BEARING</v>
          </cell>
          <cell r="D3904">
            <v>0</v>
          </cell>
          <cell r="E3904">
            <v>0</v>
          </cell>
          <cell r="F3904">
            <v>0</v>
          </cell>
          <cell r="G3904">
            <v>0</v>
          </cell>
        </row>
        <row r="3905">
          <cell r="A3905" t="str">
            <v>36-01-02-0211</v>
          </cell>
          <cell r="B3905">
            <v>0</v>
          </cell>
          <cell r="C3905" t="str">
            <v xml:space="preserve">  L.C # 894/2003  BRACKER SPINNING RINGS</v>
          </cell>
          <cell r="D3905">
            <v>0</v>
          </cell>
          <cell r="E3905">
            <v>0</v>
          </cell>
          <cell r="F3905">
            <v>0</v>
          </cell>
          <cell r="G3905">
            <v>0</v>
          </cell>
        </row>
        <row r="3906">
          <cell r="A3906" t="str">
            <v>36-01-02-0212</v>
          </cell>
          <cell r="B3906">
            <v>0</v>
          </cell>
          <cell r="C3906" t="str">
            <v xml:space="preserve">  L.C # 895/2003 TOP APRON CRADLES</v>
          </cell>
          <cell r="D3906">
            <v>0</v>
          </cell>
          <cell r="E3906">
            <v>0</v>
          </cell>
          <cell r="F3906">
            <v>0</v>
          </cell>
          <cell r="G3906">
            <v>0</v>
          </cell>
        </row>
        <row r="3907">
          <cell r="A3907" t="str">
            <v>36-01-02-0213</v>
          </cell>
          <cell r="B3907">
            <v>0</v>
          </cell>
          <cell r="C3907" t="str">
            <v xml:space="preserve">  L.C # 1001/LC/934/2003 SPARE PARTS</v>
          </cell>
          <cell r="D3907">
            <v>0</v>
          </cell>
          <cell r="E3907">
            <v>0</v>
          </cell>
          <cell r="F3907">
            <v>0</v>
          </cell>
          <cell r="G3907">
            <v>0</v>
          </cell>
        </row>
        <row r="3908">
          <cell r="A3908" t="str">
            <v>36-01-02-0214</v>
          </cell>
          <cell r="B3908">
            <v>0</v>
          </cell>
          <cell r="C3908" t="str">
            <v xml:space="preserve">  L.C # 2003/370 ACCOTEX COTS &amp; APRONS</v>
          </cell>
          <cell r="D3908">
            <v>0</v>
          </cell>
          <cell r="E3908">
            <v>0</v>
          </cell>
          <cell r="F3908">
            <v>0</v>
          </cell>
          <cell r="G3908">
            <v>0</v>
          </cell>
        </row>
        <row r="3909">
          <cell r="A3909" t="str">
            <v>36-01-02-0215</v>
          </cell>
          <cell r="B3909">
            <v>0</v>
          </cell>
          <cell r="C3909" t="str">
            <v xml:space="preserve">  L.C @ 2003/371 PARTS TEXTILE MACHINERY</v>
          </cell>
          <cell r="D3909">
            <v>0</v>
          </cell>
          <cell r="E3909">
            <v>0</v>
          </cell>
          <cell r="F3909">
            <v>0</v>
          </cell>
          <cell r="G3909">
            <v>0</v>
          </cell>
        </row>
        <row r="3910">
          <cell r="A3910" t="str">
            <v>36-01-02-0216</v>
          </cell>
          <cell r="B3910">
            <v>0</v>
          </cell>
          <cell r="C3910" t="str">
            <v xml:space="preserve">  L.C # 2003/372 STEEL RING &amp; BOTTOM ROL</v>
          </cell>
          <cell r="D3910">
            <v>0</v>
          </cell>
          <cell r="E3910">
            <v>0</v>
          </cell>
          <cell r="F3910">
            <v>0</v>
          </cell>
          <cell r="G3910">
            <v>0</v>
          </cell>
        </row>
        <row r="3911">
          <cell r="A3911" t="str">
            <v>36-01-02-0217</v>
          </cell>
          <cell r="B3911">
            <v>0</v>
          </cell>
          <cell r="C3911" t="str">
            <v xml:space="preserve">  L.C # 2003/373 PARTS TRUTZSCHLER B/ROO</v>
          </cell>
          <cell r="D3911">
            <v>0</v>
          </cell>
          <cell r="E3911">
            <v>0</v>
          </cell>
          <cell r="F3911">
            <v>0</v>
          </cell>
          <cell r="G3911">
            <v>0</v>
          </cell>
        </row>
        <row r="3912">
          <cell r="A3912" t="str">
            <v>36-01-02-0218</v>
          </cell>
          <cell r="B3912">
            <v>0</v>
          </cell>
          <cell r="C3912" t="str">
            <v xml:space="preserve">  L.C # 2003/374 RUBBER APRON 'WRA ' BRA</v>
          </cell>
          <cell r="D3912">
            <v>0</v>
          </cell>
          <cell r="E3912">
            <v>0</v>
          </cell>
          <cell r="F3912">
            <v>0</v>
          </cell>
          <cell r="G3912">
            <v>0</v>
          </cell>
        </row>
        <row r="3913">
          <cell r="A3913" t="str">
            <v>36-01-02-0219</v>
          </cell>
          <cell r="B3913">
            <v>0</v>
          </cell>
          <cell r="C3913" t="str">
            <v xml:space="preserve">  L.C # 934/2003 PARTS TEXTILE MACHINERY</v>
          </cell>
          <cell r="D3913">
            <v>0</v>
          </cell>
          <cell r="E3913">
            <v>0</v>
          </cell>
          <cell r="F3913">
            <v>0</v>
          </cell>
          <cell r="G3913">
            <v>0</v>
          </cell>
        </row>
        <row r="3914">
          <cell r="A3914" t="str">
            <v>36-01-02-0220</v>
          </cell>
          <cell r="B3914">
            <v>0</v>
          </cell>
          <cell r="C3914" t="str">
            <v xml:space="preserve">  L.C # 278/02 NOVIBRA HIGH SPEED SPINDL</v>
          </cell>
          <cell r="D3914">
            <v>0</v>
          </cell>
          <cell r="E3914">
            <v>0</v>
          </cell>
          <cell r="F3914">
            <v>0</v>
          </cell>
          <cell r="G3914">
            <v>0</v>
          </cell>
        </row>
        <row r="3915">
          <cell r="A3915" t="str">
            <v>36-01-02-0221</v>
          </cell>
          <cell r="B3915">
            <v>0</v>
          </cell>
          <cell r="C3915" t="str">
            <v xml:space="preserve">  CONT # 1001/368/2003 SLUDGE PUMP 2 PCS</v>
          </cell>
          <cell r="D3915">
            <v>0</v>
          </cell>
          <cell r="E3915">
            <v>0</v>
          </cell>
          <cell r="F3915">
            <v>0</v>
          </cell>
          <cell r="G3915">
            <v>0</v>
          </cell>
        </row>
        <row r="3916">
          <cell r="A3916" t="str">
            <v>36-01-02-0222</v>
          </cell>
          <cell r="B3916">
            <v>0</v>
          </cell>
          <cell r="C3916" t="str">
            <v xml:space="preserve">  L.C # 380/03 TEXTILE SPINDLE</v>
          </cell>
          <cell r="D3916">
            <v>0</v>
          </cell>
          <cell r="E3916">
            <v>0</v>
          </cell>
          <cell r="F3916">
            <v>0</v>
          </cell>
          <cell r="G3916">
            <v>0</v>
          </cell>
        </row>
        <row r="3917">
          <cell r="A3917" t="str">
            <v>36-01-02-0223</v>
          </cell>
          <cell r="B3917">
            <v>0</v>
          </cell>
          <cell r="C3917" t="str">
            <v xml:space="preserve">  L.C # 381/03 SPARE PARTS</v>
          </cell>
          <cell r="D3917">
            <v>0</v>
          </cell>
          <cell r="E3917">
            <v>0</v>
          </cell>
          <cell r="F3917">
            <v>0</v>
          </cell>
          <cell r="G3917">
            <v>0</v>
          </cell>
        </row>
        <row r="3918">
          <cell r="A3918" t="str">
            <v>36-01-02-0224</v>
          </cell>
          <cell r="B3918">
            <v>0</v>
          </cell>
          <cell r="C3918" t="str">
            <v xml:space="preserve">  L.C # 382/03 SPARE PARTS</v>
          </cell>
          <cell r="D3918">
            <v>0</v>
          </cell>
          <cell r="E3918">
            <v>0</v>
          </cell>
          <cell r="F3918">
            <v>0</v>
          </cell>
          <cell r="G3918">
            <v>0</v>
          </cell>
        </row>
        <row r="3919">
          <cell r="A3919" t="str">
            <v>36-01-02-0225</v>
          </cell>
          <cell r="B3919">
            <v>0</v>
          </cell>
          <cell r="C3919" t="str">
            <v xml:space="preserve">  L.C # 386/03  BRACKER SPINNING</v>
          </cell>
          <cell r="D3919">
            <v>0</v>
          </cell>
          <cell r="E3919">
            <v>0</v>
          </cell>
          <cell r="F3919">
            <v>0</v>
          </cell>
          <cell r="G3919">
            <v>0</v>
          </cell>
        </row>
        <row r="3920">
          <cell r="A3920" t="str">
            <v>36-01-02-0226</v>
          </cell>
          <cell r="B3920">
            <v>0</v>
          </cell>
          <cell r="C3920" t="str">
            <v xml:space="preserve">  L.C # 389/03 WRA APRONS</v>
          </cell>
          <cell r="D3920">
            <v>0</v>
          </cell>
          <cell r="E3920">
            <v>0</v>
          </cell>
          <cell r="F3920">
            <v>0</v>
          </cell>
          <cell r="G3920">
            <v>0</v>
          </cell>
        </row>
        <row r="3921">
          <cell r="A3921" t="str">
            <v>36-01-02-0227</v>
          </cell>
          <cell r="B3921">
            <v>0</v>
          </cell>
          <cell r="C3921" t="str">
            <v xml:space="preserve">  L.C # 388/03 SPARE PARTS</v>
          </cell>
          <cell r="D3921">
            <v>0</v>
          </cell>
          <cell r="E3921">
            <v>0</v>
          </cell>
          <cell r="F3921">
            <v>0</v>
          </cell>
          <cell r="G3921">
            <v>0</v>
          </cell>
        </row>
        <row r="3922">
          <cell r="A3922" t="str">
            <v>36-01-02-0228</v>
          </cell>
          <cell r="B3922">
            <v>0</v>
          </cell>
          <cell r="C3922" t="str">
            <v xml:space="preserve">  L.C # 391/03 SPARE PARTS</v>
          </cell>
          <cell r="D3922">
            <v>0</v>
          </cell>
          <cell r="E3922">
            <v>0</v>
          </cell>
          <cell r="F3922">
            <v>0</v>
          </cell>
          <cell r="G3922">
            <v>0</v>
          </cell>
        </row>
        <row r="3923">
          <cell r="A3923" t="str">
            <v>36-01-02-0229</v>
          </cell>
          <cell r="B3923">
            <v>0</v>
          </cell>
          <cell r="C3923" t="str">
            <v xml:space="preserve">  L.C # 392/03 SPARE PARTS</v>
          </cell>
          <cell r="D3923">
            <v>0</v>
          </cell>
          <cell r="E3923">
            <v>0</v>
          </cell>
          <cell r="F3923">
            <v>0</v>
          </cell>
          <cell r="G3923">
            <v>0</v>
          </cell>
        </row>
        <row r="3924">
          <cell r="A3924" t="str">
            <v>36-01-02-0230</v>
          </cell>
          <cell r="B3924">
            <v>0</v>
          </cell>
          <cell r="C3924" t="str">
            <v xml:space="preserve">  L.C # 393/03 SPARE PARTS</v>
          </cell>
          <cell r="D3924">
            <v>0</v>
          </cell>
          <cell r="E3924">
            <v>0</v>
          </cell>
          <cell r="F3924">
            <v>0</v>
          </cell>
          <cell r="G3924">
            <v>0</v>
          </cell>
        </row>
        <row r="3925">
          <cell r="A3925" t="str">
            <v>36-01-02-0231</v>
          </cell>
          <cell r="B3925">
            <v>0</v>
          </cell>
          <cell r="C3925" t="str">
            <v xml:space="preserve">  L.C # 394/03 SPARE PARTS</v>
          </cell>
          <cell r="D3925">
            <v>0</v>
          </cell>
          <cell r="E3925">
            <v>0</v>
          </cell>
          <cell r="F3925">
            <v>0</v>
          </cell>
          <cell r="G3925">
            <v>0</v>
          </cell>
        </row>
        <row r="3926">
          <cell r="A3926" t="str">
            <v>36-01-02-0232</v>
          </cell>
          <cell r="B3926">
            <v>0</v>
          </cell>
          <cell r="C3926" t="str">
            <v xml:space="preserve">  L.C # 361/03  BOGE SCREW AIR COMPRESSO</v>
          </cell>
          <cell r="D3926">
            <v>0</v>
          </cell>
          <cell r="E3926">
            <v>0</v>
          </cell>
          <cell r="F3926">
            <v>0</v>
          </cell>
          <cell r="G3926">
            <v>0</v>
          </cell>
        </row>
        <row r="3927">
          <cell r="A3927" t="str">
            <v>36-01-02-0233</v>
          </cell>
          <cell r="B3927">
            <v>0</v>
          </cell>
          <cell r="C3927" t="str">
            <v xml:space="preserve">  L/C # 827/2003 SINGLE TREATMENT SYSTEM</v>
          </cell>
          <cell r="D3927">
            <v>0</v>
          </cell>
          <cell r="E3927">
            <v>0</v>
          </cell>
          <cell r="F3927">
            <v>0</v>
          </cell>
          <cell r="G3927">
            <v>0</v>
          </cell>
        </row>
        <row r="3928">
          <cell r="A3928" t="str">
            <v>36-01-02-0234</v>
          </cell>
          <cell r="B3928">
            <v>0</v>
          </cell>
          <cell r="C3928" t="str">
            <v xml:space="preserve">  L/C # 395/03 SPARE PARTS</v>
          </cell>
          <cell r="D3928">
            <v>0</v>
          </cell>
          <cell r="E3928">
            <v>0</v>
          </cell>
          <cell r="F3928">
            <v>0</v>
          </cell>
          <cell r="G3928">
            <v>0</v>
          </cell>
        </row>
        <row r="3929">
          <cell r="A3929" t="str">
            <v>36-01-02-0235</v>
          </cell>
          <cell r="B3929">
            <v>0</v>
          </cell>
          <cell r="C3929" t="str">
            <v xml:space="preserve">  L.C # 396/03 SPARE PARTS</v>
          </cell>
          <cell r="D3929">
            <v>0</v>
          </cell>
          <cell r="E3929">
            <v>0</v>
          </cell>
          <cell r="F3929">
            <v>0</v>
          </cell>
          <cell r="G3929">
            <v>0</v>
          </cell>
        </row>
        <row r="3930">
          <cell r="A3930" t="str">
            <v>36-01-02-0236</v>
          </cell>
          <cell r="B3930">
            <v>0</v>
          </cell>
          <cell r="C3930" t="str">
            <v xml:space="preserve">  L.C # 1001/1145/2003 GUDFOS MOTOR</v>
          </cell>
          <cell r="D3930">
            <v>0</v>
          </cell>
          <cell r="E3930">
            <v>0</v>
          </cell>
          <cell r="F3930">
            <v>0</v>
          </cell>
          <cell r="G3930">
            <v>0</v>
          </cell>
        </row>
        <row r="3931">
          <cell r="A3931" t="str">
            <v>36-01-02-0237</v>
          </cell>
          <cell r="B3931">
            <v>0</v>
          </cell>
          <cell r="C3931" t="str">
            <v xml:space="preserve">  L.C # 397/03 SPARE PARTS</v>
          </cell>
          <cell r="D3931">
            <v>0</v>
          </cell>
          <cell r="E3931">
            <v>0</v>
          </cell>
          <cell r="F3931">
            <v>0</v>
          </cell>
          <cell r="G3931">
            <v>0</v>
          </cell>
        </row>
        <row r="3932">
          <cell r="A3932" t="str">
            <v>36-01-02-0238</v>
          </cell>
          <cell r="B3932">
            <v>0</v>
          </cell>
          <cell r="C3932" t="str">
            <v xml:space="preserve">  L.C # 398/03 SPARE PARTS</v>
          </cell>
          <cell r="D3932">
            <v>0</v>
          </cell>
          <cell r="E3932">
            <v>0</v>
          </cell>
          <cell r="F3932">
            <v>0</v>
          </cell>
          <cell r="G3932">
            <v>0</v>
          </cell>
        </row>
        <row r="3933">
          <cell r="A3933" t="str">
            <v>36-01-02-0239</v>
          </cell>
          <cell r="B3933">
            <v>0</v>
          </cell>
          <cell r="C3933" t="str">
            <v xml:space="preserve">  L.C # 399/03 SPARE PARTS</v>
          </cell>
          <cell r="D3933">
            <v>0</v>
          </cell>
          <cell r="E3933">
            <v>0</v>
          </cell>
          <cell r="F3933">
            <v>0</v>
          </cell>
          <cell r="G3933">
            <v>0</v>
          </cell>
        </row>
        <row r="3934">
          <cell r="A3934" t="str">
            <v>36-01-02-0240</v>
          </cell>
          <cell r="B3934">
            <v>0</v>
          </cell>
          <cell r="C3934" t="str">
            <v xml:space="preserve">  L.C # 400/03 SPARE PARTS</v>
          </cell>
          <cell r="D3934">
            <v>0</v>
          </cell>
          <cell r="E3934">
            <v>0</v>
          </cell>
          <cell r="F3934">
            <v>0</v>
          </cell>
          <cell r="G3934">
            <v>0</v>
          </cell>
        </row>
        <row r="3935">
          <cell r="A3935" t="str">
            <v>36-01-02-0241</v>
          </cell>
          <cell r="B3935">
            <v>0</v>
          </cell>
          <cell r="C3935" t="str">
            <v xml:space="preserve">  L.C # 401/03 SPARE PARTS</v>
          </cell>
          <cell r="D3935">
            <v>0</v>
          </cell>
          <cell r="E3935">
            <v>0</v>
          </cell>
          <cell r="F3935">
            <v>0</v>
          </cell>
          <cell r="G3935">
            <v>0</v>
          </cell>
        </row>
        <row r="3936">
          <cell r="A3936" t="str">
            <v>36-01-02-0242</v>
          </cell>
          <cell r="B3936">
            <v>0</v>
          </cell>
          <cell r="C3936" t="str">
            <v xml:space="preserve">  L.C # 402/03 MOTOR TYPE MEZ</v>
          </cell>
          <cell r="D3936">
            <v>0</v>
          </cell>
          <cell r="E3936">
            <v>0</v>
          </cell>
          <cell r="F3936">
            <v>0</v>
          </cell>
          <cell r="G3936">
            <v>0</v>
          </cell>
        </row>
        <row r="3937">
          <cell r="A3937" t="str">
            <v>36-01-02-0243</v>
          </cell>
          <cell r="B3937">
            <v>0</v>
          </cell>
          <cell r="C3937" t="str">
            <v xml:space="preserve">  L.C # 404/03 STEEL RING</v>
          </cell>
          <cell r="D3937">
            <v>0</v>
          </cell>
          <cell r="E3937">
            <v>0</v>
          </cell>
          <cell r="F3937">
            <v>0</v>
          </cell>
          <cell r="G3937">
            <v>0</v>
          </cell>
        </row>
        <row r="3938">
          <cell r="A3938" t="str">
            <v>36-01-02-0244</v>
          </cell>
          <cell r="B3938">
            <v>0</v>
          </cell>
          <cell r="C3938" t="str">
            <v xml:space="preserve">  L.C # 405/03 SPARE PARTS</v>
          </cell>
          <cell r="D3938">
            <v>0</v>
          </cell>
          <cell r="E3938">
            <v>0</v>
          </cell>
          <cell r="F3938">
            <v>0</v>
          </cell>
          <cell r="G3938">
            <v>0</v>
          </cell>
        </row>
        <row r="3939">
          <cell r="A3939" t="str">
            <v>36-01-02-0245</v>
          </cell>
          <cell r="B3939">
            <v>0</v>
          </cell>
          <cell r="C3939" t="str">
            <v xml:space="preserve">  L/C # 1001/1525/2003 PLASTIC PERFIT CO</v>
          </cell>
          <cell r="D3939">
            <v>0</v>
          </cell>
          <cell r="E3939">
            <v>0</v>
          </cell>
          <cell r="F3939">
            <v>0</v>
          </cell>
          <cell r="G3939">
            <v>0</v>
          </cell>
        </row>
        <row r="3940">
          <cell r="A3940" t="str">
            <v>36-01-02-0246</v>
          </cell>
          <cell r="B3940">
            <v>0</v>
          </cell>
          <cell r="C3940" t="str">
            <v xml:space="preserve">  L.C # 2003/406 GRAF CARD CLOTHING</v>
          </cell>
          <cell r="D3940">
            <v>0</v>
          </cell>
          <cell r="E3940">
            <v>0</v>
          </cell>
          <cell r="F3940">
            <v>0</v>
          </cell>
          <cell r="G3940">
            <v>0</v>
          </cell>
        </row>
        <row r="3941">
          <cell r="A3941" t="str">
            <v>36-01-02-0247</v>
          </cell>
          <cell r="B3941">
            <v>0</v>
          </cell>
          <cell r="C3941" t="str">
            <v xml:space="preserve">  L/C # 2003/407 TRUTZSCHLER B/ROOM PART</v>
          </cell>
          <cell r="D3941">
            <v>0</v>
          </cell>
          <cell r="E3941">
            <v>0</v>
          </cell>
          <cell r="F3941">
            <v>0</v>
          </cell>
          <cell r="G3941">
            <v>0</v>
          </cell>
        </row>
        <row r="3942">
          <cell r="A3942" t="str">
            <v>36-01-02-0248</v>
          </cell>
          <cell r="B3942">
            <v>0</v>
          </cell>
          <cell r="C3942" t="str">
            <v xml:space="preserve">  L/C # 2003/408 FREQUENCY CONVERTER</v>
          </cell>
          <cell r="D3942">
            <v>0</v>
          </cell>
          <cell r="E3942">
            <v>0</v>
          </cell>
          <cell r="F3942">
            <v>0</v>
          </cell>
          <cell r="G3942">
            <v>0</v>
          </cell>
        </row>
        <row r="3943">
          <cell r="A3943" t="str">
            <v>36-01-02-0249</v>
          </cell>
          <cell r="B3943">
            <v>0</v>
          </cell>
          <cell r="C3943" t="str">
            <v xml:space="preserve">  L/C # 2003/409 TAKE UP DRUMS</v>
          </cell>
          <cell r="D3943">
            <v>0</v>
          </cell>
          <cell r="E3943">
            <v>0</v>
          </cell>
          <cell r="F3943">
            <v>0</v>
          </cell>
          <cell r="G3943">
            <v>0</v>
          </cell>
        </row>
        <row r="3944">
          <cell r="A3944" t="str">
            <v>36-01-02-0250</v>
          </cell>
          <cell r="B3944">
            <v>0</v>
          </cell>
          <cell r="C3944" t="str">
            <v xml:space="preserve">  L.C # 2003/410 KEB INVERTERS &amp; OPERATO</v>
          </cell>
          <cell r="D3944">
            <v>0</v>
          </cell>
          <cell r="E3944">
            <v>0</v>
          </cell>
          <cell r="F3944">
            <v>0</v>
          </cell>
          <cell r="G3944">
            <v>0</v>
          </cell>
        </row>
        <row r="3945">
          <cell r="A3945" t="str">
            <v>36-01-02-0251</v>
          </cell>
          <cell r="B3945">
            <v>0</v>
          </cell>
          <cell r="C3945" t="str">
            <v xml:space="preserve">  L.C # 411/03 RUBBER APPRONS 36000 PCS</v>
          </cell>
          <cell r="D3945">
            <v>0</v>
          </cell>
          <cell r="E3945">
            <v>0</v>
          </cell>
          <cell r="F3945">
            <v>0</v>
          </cell>
          <cell r="G3945">
            <v>0</v>
          </cell>
        </row>
        <row r="3946">
          <cell r="A3946" t="str">
            <v>36-01-02-0252</v>
          </cell>
          <cell r="B3946">
            <v>0</v>
          </cell>
          <cell r="C3946" t="str">
            <v xml:space="preserve">  L.C # 2003/412 HABASIT SPINDLE TAPE 5</v>
          </cell>
          <cell r="D3946">
            <v>12276</v>
          </cell>
          <cell r="E3946">
            <v>0</v>
          </cell>
          <cell r="F3946">
            <v>0</v>
          </cell>
          <cell r="G3946">
            <v>0</v>
          </cell>
        </row>
        <row r="3947">
          <cell r="A3947" t="str">
            <v>36-01-02-0253</v>
          </cell>
          <cell r="B3947">
            <v>0</v>
          </cell>
          <cell r="C3947" t="str">
            <v xml:space="preserve">  L.C # 2003/413 BALL &amp; ROLLER BEARING</v>
          </cell>
          <cell r="D3947">
            <v>0</v>
          </cell>
          <cell r="E3947">
            <v>0</v>
          </cell>
          <cell r="F3947">
            <v>0</v>
          </cell>
          <cell r="G3947">
            <v>0</v>
          </cell>
        </row>
        <row r="3948">
          <cell r="A3948" t="str">
            <v>36-01-02-0254</v>
          </cell>
          <cell r="B3948">
            <v>0</v>
          </cell>
          <cell r="C3948" t="str">
            <v xml:space="preserve">  L.C # 2003/415 15000 PCS ACCOTEX COT</v>
          </cell>
          <cell r="D3948">
            <v>0</v>
          </cell>
          <cell r="E3948">
            <v>0</v>
          </cell>
          <cell r="F3948">
            <v>0</v>
          </cell>
          <cell r="G3948">
            <v>0</v>
          </cell>
        </row>
        <row r="3949">
          <cell r="A3949" t="str">
            <v>36-01-02-0255</v>
          </cell>
          <cell r="B3949">
            <v>0</v>
          </cell>
          <cell r="C3949" t="str">
            <v xml:space="preserve">  L/C # 2003/417 BRACKER SPINNING RINGS</v>
          </cell>
          <cell r="D3949">
            <v>0</v>
          </cell>
          <cell r="E3949">
            <v>0</v>
          </cell>
          <cell r="F3949">
            <v>0</v>
          </cell>
          <cell r="G3949">
            <v>0</v>
          </cell>
        </row>
        <row r="3950">
          <cell r="A3950" t="str">
            <v>36-01-02-0256</v>
          </cell>
          <cell r="B3950">
            <v>0</v>
          </cell>
          <cell r="C3950" t="str">
            <v xml:space="preserve">  L.C # 2003/418 LATTICE APRON 10000 PCS</v>
          </cell>
          <cell r="D3950">
            <v>0</v>
          </cell>
          <cell r="E3950">
            <v>0</v>
          </cell>
          <cell r="F3950">
            <v>0</v>
          </cell>
          <cell r="G3950">
            <v>0</v>
          </cell>
        </row>
        <row r="3951">
          <cell r="A3951" t="str">
            <v>36-01-02-0257</v>
          </cell>
          <cell r="B3951">
            <v>0</v>
          </cell>
          <cell r="C3951" t="str">
            <v xml:space="preserve">  L.C # 2003/423 BOBBIN HANGER</v>
          </cell>
          <cell r="D3951">
            <v>0</v>
          </cell>
          <cell r="E3951">
            <v>0</v>
          </cell>
          <cell r="F3951">
            <v>0</v>
          </cell>
          <cell r="G3951">
            <v>0</v>
          </cell>
        </row>
        <row r="3952">
          <cell r="A3952" t="str">
            <v>36-01-02-0258</v>
          </cell>
          <cell r="B3952">
            <v>0</v>
          </cell>
          <cell r="C3952" t="str">
            <v xml:space="preserve">  L/C # 2003/424 CROSROL MK.4 SPARE PART</v>
          </cell>
          <cell r="D3952">
            <v>0</v>
          </cell>
          <cell r="E3952">
            <v>0</v>
          </cell>
          <cell r="F3952">
            <v>0</v>
          </cell>
          <cell r="G3952">
            <v>0</v>
          </cell>
        </row>
        <row r="3953">
          <cell r="A3953" t="str">
            <v>36-01-02-0259</v>
          </cell>
          <cell r="B3953">
            <v>0</v>
          </cell>
          <cell r="C3953" t="str">
            <v xml:space="preserve">  L/C # 2098/2003 RUBBER APRON 'WRA" BRA</v>
          </cell>
          <cell r="D3953">
            <v>0</v>
          </cell>
          <cell r="E3953">
            <v>0</v>
          </cell>
          <cell r="F3953">
            <v>0</v>
          </cell>
          <cell r="G3953">
            <v>0</v>
          </cell>
        </row>
        <row r="3954">
          <cell r="A3954" t="str">
            <v>36-01-02-0260</v>
          </cell>
          <cell r="B3954">
            <v>0</v>
          </cell>
          <cell r="C3954" t="str">
            <v xml:space="preserve">  L/C # 2003/427 FUEL NOZZLE ELEMENT</v>
          </cell>
          <cell r="D3954">
            <v>0</v>
          </cell>
          <cell r="E3954">
            <v>0</v>
          </cell>
          <cell r="F3954">
            <v>0</v>
          </cell>
          <cell r="G3954">
            <v>0</v>
          </cell>
        </row>
        <row r="3955">
          <cell r="A3955" t="str">
            <v>36-01-02-0261</v>
          </cell>
          <cell r="B3955">
            <v>0</v>
          </cell>
          <cell r="C3955" t="str">
            <v xml:space="preserve">  L/C # 023/2004 SYNTHETIC RUBBER APPRON</v>
          </cell>
          <cell r="D3955">
            <v>0</v>
          </cell>
          <cell r="E3955">
            <v>0</v>
          </cell>
          <cell r="F3955">
            <v>0</v>
          </cell>
          <cell r="G3955">
            <v>0</v>
          </cell>
        </row>
        <row r="3956">
          <cell r="A3956" t="str">
            <v>36-01-02-0262</v>
          </cell>
          <cell r="B3956">
            <v>0</v>
          </cell>
          <cell r="C3956" t="str">
            <v xml:space="preserve">  L/C # 028/2004 TRUTZSCHLR BLOW ROOM PA</v>
          </cell>
          <cell r="D3956">
            <v>0</v>
          </cell>
          <cell r="E3956">
            <v>0</v>
          </cell>
          <cell r="F3956">
            <v>0</v>
          </cell>
          <cell r="G3956">
            <v>0</v>
          </cell>
        </row>
        <row r="3957">
          <cell r="A3957" t="str">
            <v>36-01-02-0263</v>
          </cell>
          <cell r="B3957">
            <v>0</v>
          </cell>
          <cell r="C3957" t="str">
            <v xml:space="preserve">  L/C # 065/2004 HABASIT SPINDLE TAPE</v>
          </cell>
          <cell r="D3957">
            <v>0</v>
          </cell>
          <cell r="E3957">
            <v>0</v>
          </cell>
          <cell r="F3957">
            <v>0</v>
          </cell>
          <cell r="G3957">
            <v>0</v>
          </cell>
        </row>
        <row r="3958">
          <cell r="A3958" t="str">
            <v>36-01-02-0264</v>
          </cell>
          <cell r="B3958">
            <v>0</v>
          </cell>
          <cell r="C3958" t="str">
            <v xml:space="preserve">  C.A.D INV # 543679 DT. 29-10-2003.</v>
          </cell>
          <cell r="D3958">
            <v>0</v>
          </cell>
          <cell r="E3958">
            <v>0</v>
          </cell>
          <cell r="F3958">
            <v>0</v>
          </cell>
          <cell r="G3958">
            <v>0</v>
          </cell>
        </row>
        <row r="3959">
          <cell r="A3959" t="str">
            <v>36-01-02-0265</v>
          </cell>
          <cell r="B3959">
            <v>0</v>
          </cell>
          <cell r="C3959" t="str">
            <v xml:space="preserve">  L/C # 223/2004 SPARE PARTS DIESEL ENGI</v>
          </cell>
          <cell r="D3959">
            <v>0</v>
          </cell>
          <cell r="E3959">
            <v>0</v>
          </cell>
          <cell r="F3959">
            <v>0</v>
          </cell>
          <cell r="G3959">
            <v>0</v>
          </cell>
        </row>
        <row r="3960">
          <cell r="A3960" t="str">
            <v>36-01-02-0266</v>
          </cell>
          <cell r="B3960">
            <v>0</v>
          </cell>
          <cell r="C3960" t="str">
            <v xml:space="preserve">  L/C # 2004/430 PART TRUTZSCHLER B/ROOM</v>
          </cell>
          <cell r="D3960">
            <v>0</v>
          </cell>
          <cell r="E3960">
            <v>0</v>
          </cell>
          <cell r="F3960">
            <v>0</v>
          </cell>
          <cell r="G3960">
            <v>0</v>
          </cell>
        </row>
        <row r="3961">
          <cell r="A3961" t="str">
            <v>36-01-02-0267</v>
          </cell>
          <cell r="B3961">
            <v>0</v>
          </cell>
          <cell r="C3961" t="str">
            <v xml:space="preserve">  L/C # 2004/431 SPARE PARTS TEXTILE MAC</v>
          </cell>
          <cell r="D3961">
            <v>0</v>
          </cell>
          <cell r="E3961">
            <v>0</v>
          </cell>
          <cell r="F3961">
            <v>0</v>
          </cell>
          <cell r="G3961">
            <v>0</v>
          </cell>
        </row>
        <row r="3962">
          <cell r="A3962" t="str">
            <v>36-01-02-0268</v>
          </cell>
          <cell r="B3962">
            <v>0</v>
          </cell>
          <cell r="C3962" t="str">
            <v xml:space="preserve">  L/C # 2004/432 CYLINDER WIRE, DOFFER W</v>
          </cell>
          <cell r="D3962">
            <v>0</v>
          </cell>
          <cell r="E3962">
            <v>0</v>
          </cell>
          <cell r="F3962">
            <v>0</v>
          </cell>
          <cell r="G3962">
            <v>0</v>
          </cell>
        </row>
        <row r="3963">
          <cell r="A3963" t="str">
            <v>36-01-02-0269</v>
          </cell>
          <cell r="B3963">
            <v>0</v>
          </cell>
          <cell r="C3963" t="str">
            <v xml:space="preserve">  L/C # 2004/433 PENDULAM ARM 3600 PCS</v>
          </cell>
          <cell r="D3963">
            <v>0</v>
          </cell>
          <cell r="E3963">
            <v>0</v>
          </cell>
          <cell r="F3963">
            <v>0</v>
          </cell>
          <cell r="G3963">
            <v>0</v>
          </cell>
        </row>
        <row r="3964">
          <cell r="A3964" t="str">
            <v>36-01-02-0270</v>
          </cell>
          <cell r="B3964">
            <v>0</v>
          </cell>
          <cell r="C3964" t="str">
            <v xml:space="preserve">  L/C # 2004/434 SPARE PARTS</v>
          </cell>
          <cell r="D3964">
            <v>0</v>
          </cell>
          <cell r="E3964">
            <v>0</v>
          </cell>
          <cell r="F3964">
            <v>0</v>
          </cell>
          <cell r="G3964">
            <v>0</v>
          </cell>
        </row>
        <row r="3965">
          <cell r="A3965" t="str">
            <v>36-01-02-0271</v>
          </cell>
          <cell r="B3965">
            <v>0</v>
          </cell>
          <cell r="C3965" t="str">
            <v xml:space="preserve">  L/C # 2004/435 RING SUPPER "HY" BRAND</v>
          </cell>
          <cell r="D3965">
            <v>0</v>
          </cell>
          <cell r="E3965">
            <v>0</v>
          </cell>
          <cell r="F3965">
            <v>0</v>
          </cell>
          <cell r="G3965">
            <v>0</v>
          </cell>
        </row>
        <row r="3966">
          <cell r="A3966" t="str">
            <v>36-01-02-0272</v>
          </cell>
          <cell r="B3966">
            <v>0</v>
          </cell>
          <cell r="C3966" t="str">
            <v xml:space="preserve">  L/C # 2004/437 SPARE PARTS TEXTILE MAC</v>
          </cell>
          <cell r="D3966">
            <v>0</v>
          </cell>
          <cell r="E3966">
            <v>0</v>
          </cell>
          <cell r="F3966">
            <v>0</v>
          </cell>
          <cell r="G3966">
            <v>0</v>
          </cell>
        </row>
        <row r="3967">
          <cell r="A3967" t="str">
            <v>36-01-02-0273</v>
          </cell>
          <cell r="B3967">
            <v>0</v>
          </cell>
          <cell r="C3967" t="str">
            <v xml:space="preserve">  L/C # 2004/438 MICRONAIRE MODEL 775</v>
          </cell>
          <cell r="D3967">
            <v>0</v>
          </cell>
          <cell r="E3967">
            <v>0</v>
          </cell>
          <cell r="F3967">
            <v>0</v>
          </cell>
          <cell r="G3967">
            <v>0</v>
          </cell>
        </row>
        <row r="3968">
          <cell r="A3968" t="str">
            <v>36-01-02-0274</v>
          </cell>
          <cell r="B3968">
            <v>0</v>
          </cell>
          <cell r="C3968" t="str">
            <v xml:space="preserve">  L/C # 2004/440 ACCOTEX &amp; PRESSFIT APRO</v>
          </cell>
          <cell r="D3968">
            <v>0</v>
          </cell>
          <cell r="E3968">
            <v>0</v>
          </cell>
          <cell r="F3968">
            <v>0</v>
          </cell>
          <cell r="G3968">
            <v>0</v>
          </cell>
        </row>
        <row r="3969">
          <cell r="A3969" t="str">
            <v>36-01-02-0275</v>
          </cell>
          <cell r="B3969">
            <v>0</v>
          </cell>
          <cell r="C3969" t="str">
            <v xml:space="preserve">  L/C # 2004/441 PLASTIC PERFORRATED CON</v>
          </cell>
          <cell r="D3969">
            <v>0</v>
          </cell>
          <cell r="E3969">
            <v>0</v>
          </cell>
          <cell r="F3969">
            <v>0</v>
          </cell>
          <cell r="G3969">
            <v>0</v>
          </cell>
        </row>
        <row r="3970">
          <cell r="A3970" t="str">
            <v>36-01-02-0276</v>
          </cell>
          <cell r="B3970">
            <v>0</v>
          </cell>
          <cell r="C3970" t="str">
            <v xml:space="preserve">  L/C # 2004/442 JOINTER AQUA SPLICERS</v>
          </cell>
          <cell r="D3970">
            <v>687101.85</v>
          </cell>
          <cell r="E3970">
            <v>0</v>
          </cell>
          <cell r="F3970">
            <v>0</v>
          </cell>
          <cell r="G3970">
            <v>0</v>
          </cell>
        </row>
        <row r="3971">
          <cell r="A3971" t="str">
            <v>36-01-02-0277</v>
          </cell>
          <cell r="B3971">
            <v>0</v>
          </cell>
          <cell r="C3971" t="str">
            <v xml:space="preserve">  L/C # 2004/443 RUBBER APRONS 'WRA' BRA</v>
          </cell>
          <cell r="D3971">
            <v>0</v>
          </cell>
          <cell r="E3971">
            <v>0</v>
          </cell>
          <cell r="F3971">
            <v>0</v>
          </cell>
          <cell r="G3971">
            <v>0</v>
          </cell>
        </row>
        <row r="3972">
          <cell r="A3972" t="str">
            <v>36-01-02-0278</v>
          </cell>
          <cell r="B3972">
            <v>0</v>
          </cell>
          <cell r="C3972" t="str">
            <v xml:space="preserve">  L/C # 2004/444 ACCOTEX COTS 24,726 PCS</v>
          </cell>
          <cell r="D3972">
            <v>0</v>
          </cell>
          <cell r="E3972">
            <v>0</v>
          </cell>
          <cell r="F3972">
            <v>0</v>
          </cell>
          <cell r="G3972">
            <v>0</v>
          </cell>
        </row>
        <row r="3973">
          <cell r="A3973" t="str">
            <v>36-01-02-0279</v>
          </cell>
          <cell r="B3973">
            <v>0</v>
          </cell>
          <cell r="C3973" t="str">
            <v xml:space="preserve">  L/C # 2004/445 DEEP GROVE BALL BEARING</v>
          </cell>
          <cell r="D3973">
            <v>0</v>
          </cell>
          <cell r="E3973">
            <v>0</v>
          </cell>
          <cell r="F3973">
            <v>0</v>
          </cell>
          <cell r="G3973">
            <v>0</v>
          </cell>
        </row>
        <row r="3974">
          <cell r="A3974" t="str">
            <v>36-01-02-0280</v>
          </cell>
          <cell r="B3974">
            <v>0</v>
          </cell>
          <cell r="C3974" t="str">
            <v xml:space="preserve">  L/C # 2004/447 SPARE PARTS USTER EQUIP</v>
          </cell>
          <cell r="D3974">
            <v>0</v>
          </cell>
          <cell r="E3974">
            <v>0</v>
          </cell>
          <cell r="F3974">
            <v>0</v>
          </cell>
          <cell r="G3974">
            <v>0</v>
          </cell>
        </row>
        <row r="3975">
          <cell r="A3975" t="str">
            <v>36-01-02-0281</v>
          </cell>
          <cell r="B3975">
            <v>0</v>
          </cell>
          <cell r="C3975" t="str">
            <v xml:space="preserve">  L/C # 2004/450 STEAM CYLINDER</v>
          </cell>
          <cell r="D3975">
            <v>0</v>
          </cell>
          <cell r="E3975">
            <v>0</v>
          </cell>
          <cell r="F3975">
            <v>0</v>
          </cell>
          <cell r="G3975">
            <v>0</v>
          </cell>
        </row>
        <row r="3976">
          <cell r="A3976" t="str">
            <v>36-01-02-0282</v>
          </cell>
          <cell r="B3976">
            <v>0</v>
          </cell>
          <cell r="C3976" t="str">
            <v xml:space="preserve">  CAD (INV # 90006048) OIL SEPARATOR.</v>
          </cell>
          <cell r="D3976">
            <v>0</v>
          </cell>
          <cell r="E3976">
            <v>0</v>
          </cell>
          <cell r="F3976">
            <v>0</v>
          </cell>
          <cell r="G3976">
            <v>0</v>
          </cell>
        </row>
        <row r="3977">
          <cell r="A3977" t="str">
            <v>36-01-02-0283</v>
          </cell>
          <cell r="B3977">
            <v>0</v>
          </cell>
          <cell r="C3977" t="str">
            <v xml:space="preserve">  C.A.D INV # 3245346/4000 6500 PCS APRO</v>
          </cell>
          <cell r="D3977">
            <v>0</v>
          </cell>
          <cell r="E3977">
            <v>0</v>
          </cell>
          <cell r="F3977">
            <v>0</v>
          </cell>
          <cell r="G3977">
            <v>0</v>
          </cell>
        </row>
        <row r="3978">
          <cell r="A3978" t="str">
            <v>36-01-02-0284</v>
          </cell>
          <cell r="B3978">
            <v>0</v>
          </cell>
          <cell r="C3978" t="str">
            <v xml:space="preserve">  L/C # 2004/453 HABASIT SPINDLE TAPE TS</v>
          </cell>
          <cell r="D3978">
            <v>0</v>
          </cell>
          <cell r="E3978">
            <v>0</v>
          </cell>
          <cell r="F3978">
            <v>0</v>
          </cell>
          <cell r="G3978">
            <v>0</v>
          </cell>
        </row>
        <row r="3979">
          <cell r="A3979" t="str">
            <v>36-01-02-0285</v>
          </cell>
          <cell r="B3979">
            <v>0</v>
          </cell>
          <cell r="C3979" t="str">
            <v xml:space="preserve">  L/C # 2004/454 LUWA OVERHEAD CLEANER</v>
          </cell>
          <cell r="D3979">
            <v>0</v>
          </cell>
          <cell r="E3979">
            <v>0</v>
          </cell>
          <cell r="F3979">
            <v>0</v>
          </cell>
          <cell r="G3979">
            <v>0</v>
          </cell>
        </row>
        <row r="3980">
          <cell r="A3980" t="str">
            <v>36-01-02-0286</v>
          </cell>
          <cell r="B3980">
            <v>0</v>
          </cell>
          <cell r="C3980" t="str">
            <v xml:space="preserve">  L/C # 2004/455 RUBBER APRON 35000 PCS</v>
          </cell>
          <cell r="D3980">
            <v>0</v>
          </cell>
          <cell r="E3980">
            <v>0</v>
          </cell>
          <cell r="F3980">
            <v>0</v>
          </cell>
          <cell r="G3980">
            <v>0</v>
          </cell>
        </row>
        <row r="3981">
          <cell r="A3981" t="str">
            <v>36-01-02-0287</v>
          </cell>
          <cell r="B3981">
            <v>0</v>
          </cell>
          <cell r="C3981" t="str">
            <v xml:space="preserve">  L/C # 2004/456 SLUB DEVICE 'CSTU" TYPE</v>
          </cell>
          <cell r="D3981">
            <v>0</v>
          </cell>
          <cell r="E3981">
            <v>0</v>
          </cell>
          <cell r="F3981">
            <v>0</v>
          </cell>
          <cell r="G3981">
            <v>0</v>
          </cell>
        </row>
        <row r="3982">
          <cell r="A3982" t="str">
            <v>36-01-02-0288</v>
          </cell>
          <cell r="B3982">
            <v>0</v>
          </cell>
          <cell r="C3982" t="str">
            <v xml:space="preserve">  L/C # 2004/457 PLANOFIL KIT TWO</v>
          </cell>
          <cell r="D3982">
            <v>0</v>
          </cell>
          <cell r="E3982">
            <v>0</v>
          </cell>
          <cell r="F3982">
            <v>0</v>
          </cell>
          <cell r="G3982">
            <v>0</v>
          </cell>
        </row>
        <row r="3983">
          <cell r="A3983" t="str">
            <v>36-01-02-0289</v>
          </cell>
          <cell r="B3983">
            <v>0</v>
          </cell>
          <cell r="C3983" t="str">
            <v xml:space="preserve">  L/C # 2004/458 SYNTHETIC RUBBER APRONS</v>
          </cell>
          <cell r="D3983">
            <v>0</v>
          </cell>
          <cell r="E3983">
            <v>0</v>
          </cell>
          <cell r="F3983">
            <v>0</v>
          </cell>
          <cell r="G3983">
            <v>0</v>
          </cell>
        </row>
        <row r="3984">
          <cell r="A3984" t="str">
            <v>36-01-02-0290</v>
          </cell>
          <cell r="B3984">
            <v>0</v>
          </cell>
          <cell r="C3984" t="str">
            <v xml:space="preserve">  L/C # 2004/459 CLYINDER &amp; DOFFER WIRE</v>
          </cell>
          <cell r="D3984">
            <v>0</v>
          </cell>
          <cell r="E3984">
            <v>0</v>
          </cell>
          <cell r="F3984">
            <v>0</v>
          </cell>
          <cell r="G3984">
            <v>0</v>
          </cell>
        </row>
        <row r="3985">
          <cell r="A3985" t="str">
            <v>36-01-02-0291</v>
          </cell>
          <cell r="B3985">
            <v>0</v>
          </cell>
          <cell r="C3985" t="str">
            <v xml:space="preserve">  L/C # 2004/462 SPARE PARTS AIR COMPRES</v>
          </cell>
          <cell r="D3985">
            <v>0</v>
          </cell>
          <cell r="E3985">
            <v>0</v>
          </cell>
          <cell r="F3985">
            <v>0</v>
          </cell>
          <cell r="G3985">
            <v>0</v>
          </cell>
        </row>
        <row r="3986">
          <cell r="A3986" t="str">
            <v>36-01-02-0292</v>
          </cell>
          <cell r="B3986">
            <v>0</v>
          </cell>
          <cell r="C3986" t="str">
            <v xml:space="preserve">  L/C # 2004/463 3 FREQUENCY INVERTER MO</v>
          </cell>
          <cell r="D3986">
            <v>117377.72</v>
          </cell>
          <cell r="E3986">
            <v>0</v>
          </cell>
          <cell r="F3986">
            <v>0</v>
          </cell>
          <cell r="G3986">
            <v>0</v>
          </cell>
        </row>
        <row r="3987">
          <cell r="A3987" t="str">
            <v>36-01-02-0293</v>
          </cell>
          <cell r="B3987">
            <v>0</v>
          </cell>
          <cell r="C3987" t="str">
            <v xml:space="preserve">  L/C # 2004/476 FREQUENCY INVERTER 13 P</v>
          </cell>
          <cell r="D3987">
            <v>1041304.96</v>
          </cell>
          <cell r="E3987">
            <v>0</v>
          </cell>
          <cell r="F3987">
            <v>0</v>
          </cell>
          <cell r="G3987">
            <v>0</v>
          </cell>
        </row>
        <row r="3988">
          <cell r="A3988" t="str">
            <v>36-01-02-0294</v>
          </cell>
          <cell r="B3988">
            <v>0</v>
          </cell>
          <cell r="C3988" t="str">
            <v xml:space="preserve">  L/C # 2004/475 PLASTIC PERFORATED DY C</v>
          </cell>
          <cell r="D3988">
            <v>780941.3</v>
          </cell>
          <cell r="E3988">
            <v>0</v>
          </cell>
          <cell r="F3988">
            <v>0</v>
          </cell>
          <cell r="G3988">
            <v>0</v>
          </cell>
        </row>
        <row r="3989">
          <cell r="A3989" t="str">
            <v>36-01-02-0295</v>
          </cell>
          <cell r="B3989">
            <v>0</v>
          </cell>
          <cell r="C3989" t="str">
            <v xml:space="preserve">  L/C # 2004/473 RUBBER APRON 'WRA" BRAN</v>
          </cell>
          <cell r="D3989">
            <v>574370.68000000005</v>
          </cell>
          <cell r="E3989">
            <v>0</v>
          </cell>
          <cell r="F3989">
            <v>0</v>
          </cell>
          <cell r="G3989">
            <v>0</v>
          </cell>
        </row>
        <row r="3990">
          <cell r="A3990" t="str">
            <v>36-01-02-0296</v>
          </cell>
          <cell r="B3990">
            <v>0</v>
          </cell>
          <cell r="C3990" t="str">
            <v xml:space="preserve">  L/C # 2004/477 40,000 PCS DAE SUNG BOB</v>
          </cell>
          <cell r="D3990">
            <v>881676.6</v>
          </cell>
          <cell r="E3990">
            <v>0</v>
          </cell>
          <cell r="F3990">
            <v>0</v>
          </cell>
          <cell r="G3990">
            <v>0</v>
          </cell>
        </row>
        <row r="3991">
          <cell r="A3991" t="str">
            <v>36-01-02-0297</v>
          </cell>
          <cell r="B3991">
            <v>0</v>
          </cell>
          <cell r="C3991" t="str">
            <v xml:space="preserve">  L/C # 2004/478 STEEL RING CUP &amp; BOBBIN</v>
          </cell>
          <cell r="D3991">
            <v>254181.5</v>
          </cell>
          <cell r="E3991">
            <v>0</v>
          </cell>
          <cell r="F3991">
            <v>0</v>
          </cell>
          <cell r="G3991">
            <v>0</v>
          </cell>
        </row>
        <row r="3992">
          <cell r="A3992" t="str">
            <v>36-01-02-0298</v>
          </cell>
          <cell r="B3992">
            <v>0</v>
          </cell>
          <cell r="C3992" t="str">
            <v xml:space="preserve">  L/C # 2004/479 GRAF SERVICE MACHINE</v>
          </cell>
          <cell r="D3992">
            <v>1750</v>
          </cell>
          <cell r="E3992">
            <v>0</v>
          </cell>
          <cell r="F3992">
            <v>0</v>
          </cell>
          <cell r="G3992">
            <v>0</v>
          </cell>
        </row>
        <row r="3993">
          <cell r="A3993" t="str">
            <v>36-01-02-0299</v>
          </cell>
          <cell r="B3993">
            <v>0</v>
          </cell>
          <cell r="C3993" t="str">
            <v xml:space="preserve">  L/C # 1397/2004 160 ROLLS LLDPE STRETC</v>
          </cell>
          <cell r="D3993">
            <v>283966</v>
          </cell>
          <cell r="E3993">
            <v>0</v>
          </cell>
          <cell r="F3993">
            <v>0</v>
          </cell>
          <cell r="G3993">
            <v>0</v>
          </cell>
        </row>
        <row r="3994">
          <cell r="A3994" t="str">
            <v>36-01-02-0300</v>
          </cell>
          <cell r="B3994">
            <v>0</v>
          </cell>
          <cell r="C3994" t="str">
            <v xml:space="preserve">  CONT 1001-381/2004 GRAF STATIONERY FLA</v>
          </cell>
          <cell r="D3994">
            <v>184049</v>
          </cell>
          <cell r="E3994">
            <v>0</v>
          </cell>
          <cell r="F3994">
            <v>0</v>
          </cell>
          <cell r="G3994">
            <v>0</v>
          </cell>
        </row>
        <row r="3995">
          <cell r="A3995" t="str">
            <v>36-01-02-0301</v>
          </cell>
          <cell r="B3995">
            <v>0</v>
          </cell>
          <cell r="C3995" t="str">
            <v xml:space="preserve">  L/C # 2004/481 377,400 PCS PAPER CONE</v>
          </cell>
          <cell r="D3995">
            <v>723606.85</v>
          </cell>
          <cell r="E3995">
            <v>0</v>
          </cell>
          <cell r="F3995">
            <v>0</v>
          </cell>
          <cell r="G3995">
            <v>0</v>
          </cell>
        </row>
        <row r="3996">
          <cell r="A3996" t="str">
            <v>36-01-02-0302</v>
          </cell>
          <cell r="B3996">
            <v>0</v>
          </cell>
          <cell r="C3996" t="str">
            <v xml:space="preserve">  L/C # 2004/482 65000 PCS RUBBER APPRON</v>
          </cell>
          <cell r="D3996">
            <v>271577.01</v>
          </cell>
          <cell r="E3996">
            <v>0</v>
          </cell>
          <cell r="F3996">
            <v>0</v>
          </cell>
          <cell r="G3996">
            <v>0</v>
          </cell>
        </row>
        <row r="3997">
          <cell r="A3997" t="str">
            <v>36-01-02-0303</v>
          </cell>
          <cell r="B3997">
            <v>0</v>
          </cell>
          <cell r="C3997" t="str">
            <v xml:space="preserve">  L/C # 2004/483 BOGE SCREW COMPRESSOR</v>
          </cell>
          <cell r="D3997">
            <v>1056</v>
          </cell>
          <cell r="E3997">
            <v>0</v>
          </cell>
          <cell r="F3997">
            <v>0</v>
          </cell>
          <cell r="G3997">
            <v>0</v>
          </cell>
        </row>
        <row r="3998">
          <cell r="A3998" t="str">
            <v>36-01-02-0304</v>
          </cell>
          <cell r="B3998">
            <v>0</v>
          </cell>
          <cell r="C3998" t="str">
            <v xml:space="preserve">  L/C # 2004/484 SPARE PARTS TRUTZLER</v>
          </cell>
          <cell r="D3998">
            <v>1000</v>
          </cell>
          <cell r="E3998">
            <v>0</v>
          </cell>
          <cell r="F3998">
            <v>0</v>
          </cell>
          <cell r="G3998">
            <v>0</v>
          </cell>
        </row>
        <row r="3999">
          <cell r="A3999" t="str">
            <v>36-01-02-0305</v>
          </cell>
          <cell r="B3999">
            <v>0</v>
          </cell>
          <cell r="C3999" t="str">
            <v xml:space="preserve">  L/C # 2004/486 SPARE PARTS SR 80 SLIVE</v>
          </cell>
          <cell r="D3999">
            <v>1000</v>
          </cell>
          <cell r="E3999">
            <v>0</v>
          </cell>
          <cell r="F3999">
            <v>0</v>
          </cell>
          <cell r="G3999">
            <v>0</v>
          </cell>
        </row>
        <row r="4000">
          <cell r="A4000" t="str">
            <v>36-01-02-0306</v>
          </cell>
          <cell r="B4000">
            <v>0</v>
          </cell>
          <cell r="C4000" t="str">
            <v xml:space="preserve">  L/C # 2004/487 SPARE PARTS DIESEL ENGI</v>
          </cell>
          <cell r="D4000">
            <v>0</v>
          </cell>
          <cell r="E4000">
            <v>0</v>
          </cell>
          <cell r="F4000">
            <v>0</v>
          </cell>
          <cell r="G4000">
            <v>0</v>
          </cell>
        </row>
        <row r="4001">
          <cell r="A4001" t="str">
            <v>36-01-02-0307</v>
          </cell>
          <cell r="B4001">
            <v>0</v>
          </cell>
          <cell r="C4001" t="str">
            <v xml:space="preserve">  L/C # 2004/488 5000 PCS SPINDLE BOLIST</v>
          </cell>
          <cell r="D4001">
            <v>1366</v>
          </cell>
          <cell r="E4001">
            <v>0</v>
          </cell>
          <cell r="F4001">
            <v>0</v>
          </cell>
          <cell r="G4001">
            <v>0</v>
          </cell>
        </row>
        <row r="4002">
          <cell r="A4002" t="str">
            <v>36-01-02-0308</v>
          </cell>
          <cell r="B4002">
            <v>0</v>
          </cell>
          <cell r="C4002" t="str">
            <v xml:space="preserve">  L/C # 2004/492 SPARE PARTS TEXTILE MAC</v>
          </cell>
          <cell r="D4002">
            <v>0</v>
          </cell>
          <cell r="E4002">
            <v>0</v>
          </cell>
          <cell r="F4002">
            <v>0</v>
          </cell>
          <cell r="G4002">
            <v>0</v>
          </cell>
        </row>
        <row r="4003">
          <cell r="A4003" t="str">
            <v>36-01-02-0309</v>
          </cell>
          <cell r="B4003">
            <v>0</v>
          </cell>
          <cell r="C4003" t="str">
            <v xml:space="preserve">  L/C # 2004/490 20.000 PCS DAE SUNG BOB</v>
          </cell>
          <cell r="D4003">
            <v>1000</v>
          </cell>
          <cell r="E4003">
            <v>0</v>
          </cell>
          <cell r="F4003">
            <v>0</v>
          </cell>
          <cell r="G4003">
            <v>0</v>
          </cell>
        </row>
        <row r="4004">
          <cell r="A4004" t="str">
            <v>36-01-02-0310</v>
          </cell>
          <cell r="B4004">
            <v>0</v>
          </cell>
          <cell r="C4004" t="str">
            <v xml:space="preserve">  L/C # 2004/491 STEEL RING CUP</v>
          </cell>
          <cell r="D4004">
            <v>1000</v>
          </cell>
          <cell r="E4004">
            <v>0</v>
          </cell>
          <cell r="F4004">
            <v>0</v>
          </cell>
          <cell r="G4004">
            <v>0</v>
          </cell>
        </row>
        <row r="4005">
          <cell r="A4005" t="str">
            <v>36-01-02-0311</v>
          </cell>
          <cell r="B4005">
            <v>0</v>
          </cell>
          <cell r="C4005" t="str">
            <v xml:space="preserve">  L/C # 2004/495 SPARE PARTS U.A.E.</v>
          </cell>
          <cell r="D4005">
            <v>1000</v>
          </cell>
          <cell r="E4005">
            <v>0</v>
          </cell>
          <cell r="F4005">
            <v>0</v>
          </cell>
          <cell r="G4005">
            <v>0</v>
          </cell>
        </row>
        <row r="4006">
          <cell r="A4006" t="str">
            <v>36-01-02-0312</v>
          </cell>
          <cell r="B4006">
            <v>0</v>
          </cell>
          <cell r="C4006" t="str">
            <v xml:space="preserve">  L/C # 2004/496 SPARE PARTS U.A.E.</v>
          </cell>
          <cell r="D4006">
            <v>1000</v>
          </cell>
          <cell r="E4006">
            <v>0</v>
          </cell>
          <cell r="F4006">
            <v>0</v>
          </cell>
          <cell r="G4006">
            <v>0</v>
          </cell>
        </row>
        <row r="4007">
          <cell r="A4007" t="str">
            <v>36-01-02-0313</v>
          </cell>
          <cell r="B4007">
            <v>0</v>
          </cell>
          <cell r="C4007" t="str">
            <v xml:space="preserve">  L/C # 200/499 SPARE PARTS TEXTILE MACH</v>
          </cell>
          <cell r="D4007">
            <v>1000</v>
          </cell>
          <cell r="E4007">
            <v>0</v>
          </cell>
          <cell r="F4007">
            <v>0</v>
          </cell>
          <cell r="G4007">
            <v>0</v>
          </cell>
        </row>
        <row r="4008">
          <cell r="A4008" t="str">
            <v>36-01-02-0314</v>
          </cell>
          <cell r="B4008">
            <v>0</v>
          </cell>
          <cell r="C4008" t="str">
            <v xml:space="preserve">  L/C # 2004/502 10,000 PCS DAE SUNG RIN</v>
          </cell>
          <cell r="D4008">
            <v>1000</v>
          </cell>
          <cell r="E4008">
            <v>0</v>
          </cell>
          <cell r="F4008">
            <v>0</v>
          </cell>
          <cell r="G4008">
            <v>0</v>
          </cell>
        </row>
        <row r="4009">
          <cell r="A4009" t="str">
            <v>36-01-02-0315</v>
          </cell>
          <cell r="B4009">
            <v>0</v>
          </cell>
          <cell r="C4009" t="str">
            <v xml:space="preserve">  L/C # 2004/503 SPARE PARTS TRUTZ.BLOW</v>
          </cell>
          <cell r="D4009">
            <v>1000</v>
          </cell>
          <cell r="E4009">
            <v>0</v>
          </cell>
          <cell r="F4009">
            <v>0</v>
          </cell>
          <cell r="G4009">
            <v>0</v>
          </cell>
        </row>
        <row r="4010">
          <cell r="A4010" t="str">
            <v>36-01-02-0316</v>
          </cell>
          <cell r="B4010">
            <v>0</v>
          </cell>
          <cell r="C4010" t="str">
            <v xml:space="preserve">  L/C # 2004/500 SPARE PARTS TEXTILE MAC</v>
          </cell>
          <cell r="D4010">
            <v>1000</v>
          </cell>
          <cell r="E4010">
            <v>0</v>
          </cell>
          <cell r="F4010">
            <v>0</v>
          </cell>
          <cell r="G4010">
            <v>0</v>
          </cell>
        </row>
        <row r="4011">
          <cell r="A4011" t="str">
            <v>36-01-02-0317</v>
          </cell>
          <cell r="B4011">
            <v>0</v>
          </cell>
          <cell r="C4011" t="str">
            <v xml:space="preserve">  L/C # 2004/507 SPARE PARTS TRUTZSCHLER</v>
          </cell>
          <cell r="D4011">
            <v>0</v>
          </cell>
          <cell r="E4011">
            <v>0</v>
          </cell>
          <cell r="F4011">
            <v>0</v>
          </cell>
          <cell r="G4011">
            <v>0</v>
          </cell>
        </row>
        <row r="4012">
          <cell r="A4012" t="str">
            <v>36-01-02-0318</v>
          </cell>
          <cell r="B4012">
            <v>0</v>
          </cell>
          <cell r="C4012" t="str">
            <v xml:space="preserve">  L/C # 2004/508 CYLINDER WIRE, DOFFER W</v>
          </cell>
          <cell r="D4012">
            <v>0</v>
          </cell>
          <cell r="E4012">
            <v>0</v>
          </cell>
          <cell r="F4012">
            <v>0</v>
          </cell>
          <cell r="G4012">
            <v>0</v>
          </cell>
        </row>
        <row r="4013">
          <cell r="A4013" t="str">
            <v>36-01-02-0319</v>
          </cell>
          <cell r="B4013">
            <v>0</v>
          </cell>
          <cell r="C4013" t="str">
            <v xml:space="preserve">  L/C # 2004/509 29,000 PCS STEEL RING</v>
          </cell>
          <cell r="D4013">
            <v>0</v>
          </cell>
          <cell r="E4013">
            <v>0</v>
          </cell>
          <cell r="F4013">
            <v>0</v>
          </cell>
          <cell r="G4013">
            <v>0</v>
          </cell>
        </row>
        <row r="4014">
          <cell r="A4014" t="str">
            <v>36-01-02-0320</v>
          </cell>
          <cell r="B4014">
            <v>0</v>
          </cell>
          <cell r="C4014" t="str">
            <v xml:space="preserve">  CONT # 517/2004 COMPLETE SET ARGUS AD-</v>
          </cell>
          <cell r="D4014">
            <v>0</v>
          </cell>
          <cell r="E4014">
            <v>0</v>
          </cell>
          <cell r="F4014">
            <v>0</v>
          </cell>
          <cell r="G4014">
            <v>0</v>
          </cell>
        </row>
        <row r="4015">
          <cell r="A4015" t="str">
            <v>36-01-02-0321</v>
          </cell>
          <cell r="B4015">
            <v>0</v>
          </cell>
          <cell r="C4015" t="str">
            <v xml:space="preserve">  L/C # 2004/513 20,000 RING BOBBIN</v>
          </cell>
          <cell r="D4015">
            <v>0</v>
          </cell>
          <cell r="E4015">
            <v>0</v>
          </cell>
          <cell r="F4015">
            <v>0</v>
          </cell>
          <cell r="G4015">
            <v>0</v>
          </cell>
        </row>
        <row r="4016">
          <cell r="A4016" t="str">
            <v>36-01-02-0322</v>
          </cell>
          <cell r="B4016">
            <v>0</v>
          </cell>
          <cell r="C4016" t="str">
            <v xml:space="preserve">  L/C # MPB/LC/PSH/2004/515 87,500 APRON</v>
          </cell>
          <cell r="D4016">
            <v>0</v>
          </cell>
          <cell r="E4016">
            <v>0</v>
          </cell>
          <cell r="F4016">
            <v>0</v>
          </cell>
          <cell r="G4016">
            <v>0</v>
          </cell>
        </row>
        <row r="4017">
          <cell r="A4017" t="str">
            <v>36-01-02-0333</v>
          </cell>
          <cell r="B4017">
            <v>0</v>
          </cell>
          <cell r="C4017" t="str">
            <v xml:space="preserve">  L/C # 2004/514 ACCOTEX COTS AND APRONS</v>
          </cell>
          <cell r="D4017">
            <v>0</v>
          </cell>
          <cell r="E4017">
            <v>0</v>
          </cell>
          <cell r="F4017">
            <v>0</v>
          </cell>
          <cell r="G4017">
            <v>0</v>
          </cell>
        </row>
        <row r="4018">
          <cell r="A4018" t="str">
            <v>36-01-02-0334</v>
          </cell>
          <cell r="B4018">
            <v>0</v>
          </cell>
          <cell r="C4018" t="str">
            <v xml:space="preserve">  L/C # 2004/517 SPARE PARTS TEXTILE MAC</v>
          </cell>
          <cell r="D4018">
            <v>0</v>
          </cell>
          <cell r="E4018">
            <v>0</v>
          </cell>
          <cell r="F4018">
            <v>0</v>
          </cell>
          <cell r="G4018">
            <v>0</v>
          </cell>
        </row>
        <row r="4019">
          <cell r="A4019" t="str">
            <v>36-01-02-0335</v>
          </cell>
          <cell r="B4019">
            <v>0</v>
          </cell>
          <cell r="C4019" t="str">
            <v xml:space="preserve">  L/C # 2004/518 BOBBIN HANGER</v>
          </cell>
          <cell r="D4019">
            <v>0</v>
          </cell>
          <cell r="E4019">
            <v>0</v>
          </cell>
          <cell r="F4019">
            <v>0</v>
          </cell>
          <cell r="G4019">
            <v>0</v>
          </cell>
        </row>
        <row r="4020">
          <cell r="A4020" t="str">
            <v>36-01-02-0336</v>
          </cell>
          <cell r="B4020">
            <v>0</v>
          </cell>
          <cell r="C4020" t="str">
            <v xml:space="preserve">  L/C # 2178/2004 FRONT ROLLER AND ROLLE</v>
          </cell>
          <cell r="D4020">
            <v>0</v>
          </cell>
          <cell r="E4020">
            <v>0</v>
          </cell>
          <cell r="F4020">
            <v>0</v>
          </cell>
          <cell r="G4020">
            <v>0</v>
          </cell>
        </row>
        <row r="4021">
          <cell r="A4021" t="str">
            <v>36-01-02-0337</v>
          </cell>
          <cell r="B4021">
            <v>0</v>
          </cell>
          <cell r="C4021" t="str">
            <v xml:space="preserve">  L/C # 2004/519 SPINDLE BOLISTER</v>
          </cell>
          <cell r="D4021">
            <v>0</v>
          </cell>
          <cell r="E4021">
            <v>0</v>
          </cell>
          <cell r="F4021">
            <v>0</v>
          </cell>
          <cell r="G4021">
            <v>0</v>
          </cell>
        </row>
        <row r="4022">
          <cell r="A4022" t="str">
            <v>36-01-02-0338</v>
          </cell>
          <cell r="B4022">
            <v>0</v>
          </cell>
          <cell r="C4022" t="str">
            <v xml:space="preserve">  L/C # 2004/520 SPINDLE WITH BOLISTER</v>
          </cell>
          <cell r="D4022">
            <v>0</v>
          </cell>
          <cell r="E4022">
            <v>0</v>
          </cell>
          <cell r="F4022">
            <v>0</v>
          </cell>
          <cell r="G4022">
            <v>0</v>
          </cell>
        </row>
        <row r="4023">
          <cell r="A4023" t="str">
            <v>36-01-02-0339</v>
          </cell>
          <cell r="B4023">
            <v>0</v>
          </cell>
          <cell r="C4023" t="str">
            <v xml:space="preserve">  L/C # 32296-04 2 TCM FORK LIFTER FD 30</v>
          </cell>
          <cell r="D4023">
            <v>0</v>
          </cell>
          <cell r="E4023">
            <v>0</v>
          </cell>
          <cell r="F4023">
            <v>0</v>
          </cell>
          <cell r="G4023">
            <v>0</v>
          </cell>
        </row>
        <row r="4024">
          <cell r="A4024" t="str">
            <v>36-01-03</v>
          </cell>
          <cell r="B4024">
            <v>0</v>
          </cell>
          <cell r="C4024" t="str">
            <v>***C.W.I.P (POWER PLANT)</v>
          </cell>
          <cell r="D4024">
            <v>0</v>
          </cell>
          <cell r="E4024">
            <v>0</v>
          </cell>
          <cell r="F4024">
            <v>0</v>
          </cell>
          <cell r="G4024">
            <v>0</v>
          </cell>
        </row>
        <row r="4025">
          <cell r="A4025" t="str">
            <v>36-01-03-0001</v>
          </cell>
          <cell r="B4025">
            <v>0</v>
          </cell>
          <cell r="C4025" t="str">
            <v xml:space="preserve">  C.W.I.P (POWER PLANT)</v>
          </cell>
          <cell r="D4025">
            <v>0</v>
          </cell>
          <cell r="E4025">
            <v>0</v>
          </cell>
          <cell r="F4025">
            <v>0</v>
          </cell>
          <cell r="G4025">
            <v>0</v>
          </cell>
        </row>
        <row r="4026">
          <cell r="A4026" t="str">
            <v>36-01-15</v>
          </cell>
          <cell r="B4026">
            <v>0</v>
          </cell>
          <cell r="C4026" t="str">
            <v>***C.W.I.P (PREVIOUS YEAR'S L.C)</v>
          </cell>
          <cell r="D4026">
            <v>0</v>
          </cell>
          <cell r="E4026">
            <v>0</v>
          </cell>
          <cell r="F4026">
            <v>0</v>
          </cell>
          <cell r="G4026">
            <v>0</v>
          </cell>
        </row>
        <row r="4027">
          <cell r="A4027" t="str">
            <v>36-01-15-0001</v>
          </cell>
          <cell r="B4027">
            <v>0</v>
          </cell>
          <cell r="C4027" t="str">
            <v xml:space="preserve">  L.C. 5370 DRAWING FRAME 1 SET</v>
          </cell>
          <cell r="D4027">
            <v>0</v>
          </cell>
          <cell r="E4027">
            <v>0</v>
          </cell>
          <cell r="F4027">
            <v>0</v>
          </cell>
          <cell r="G4027">
            <v>0</v>
          </cell>
        </row>
        <row r="4028">
          <cell r="A4028" t="str">
            <v>36-01-15-0002</v>
          </cell>
          <cell r="B4028">
            <v>0</v>
          </cell>
          <cell r="C4028" t="str">
            <v xml:space="preserve">  L.C. 5371 SAVIO AUTO CONER 3 SETS</v>
          </cell>
          <cell r="D4028">
            <v>0</v>
          </cell>
          <cell r="E4028">
            <v>0</v>
          </cell>
          <cell r="F4028">
            <v>0</v>
          </cell>
          <cell r="G4028">
            <v>0</v>
          </cell>
        </row>
        <row r="4029">
          <cell r="A4029" t="str">
            <v>36-01-15-0003</v>
          </cell>
          <cell r="B4029">
            <v>0</v>
          </cell>
          <cell r="C4029" t="str">
            <v xml:space="preserve">  L.C. 5373 SIMPLEX HOWA 5 SETS</v>
          </cell>
          <cell r="D4029">
            <v>0</v>
          </cell>
          <cell r="E4029">
            <v>0</v>
          </cell>
          <cell r="F4029">
            <v>0</v>
          </cell>
          <cell r="G4029">
            <v>0</v>
          </cell>
        </row>
        <row r="4030">
          <cell r="A4030" t="str">
            <v>36-01-15-0004</v>
          </cell>
          <cell r="B4030">
            <v>0</v>
          </cell>
          <cell r="C4030" t="str">
            <v xml:space="preserve">  L.C. 126422 AUXILLARY MACHINE JAPAN</v>
          </cell>
          <cell r="D4030">
            <v>0</v>
          </cell>
          <cell r="E4030">
            <v>0</v>
          </cell>
          <cell r="F4030">
            <v>0</v>
          </cell>
          <cell r="G4030">
            <v>0</v>
          </cell>
        </row>
        <row r="4031">
          <cell r="A4031" t="str">
            <v>36-01-15-0005</v>
          </cell>
          <cell r="B4031">
            <v>0</v>
          </cell>
          <cell r="C4031" t="str">
            <v xml:space="preserve">  L.C. 126458 CROS ROL CARDS SPARES</v>
          </cell>
          <cell r="D4031">
            <v>0</v>
          </cell>
          <cell r="E4031">
            <v>0</v>
          </cell>
          <cell r="F4031">
            <v>0</v>
          </cell>
          <cell r="G4031">
            <v>0</v>
          </cell>
        </row>
        <row r="4032">
          <cell r="A4032" t="str">
            <v>36-01-15-0006</v>
          </cell>
          <cell r="B4032">
            <v>0</v>
          </cell>
          <cell r="C4032" t="str">
            <v xml:space="preserve">  L.C. 20079/94/PSH/03 MARZOLI SPARE PAR</v>
          </cell>
          <cell r="D4032">
            <v>0</v>
          </cell>
          <cell r="E4032">
            <v>0</v>
          </cell>
          <cell r="F4032">
            <v>0</v>
          </cell>
          <cell r="G4032">
            <v>0</v>
          </cell>
        </row>
        <row r="4033">
          <cell r="A4033" t="str">
            <v>36-01-15-0007</v>
          </cell>
          <cell r="B4033">
            <v>0</v>
          </cell>
          <cell r="C4033" t="str">
            <v xml:space="preserve">  L.C. 6161/94 SAVIO AUTO CONER 2 NOS</v>
          </cell>
          <cell r="D4033">
            <v>0</v>
          </cell>
          <cell r="E4033">
            <v>0</v>
          </cell>
          <cell r="F4033">
            <v>0</v>
          </cell>
          <cell r="G4033">
            <v>0</v>
          </cell>
        </row>
        <row r="4034">
          <cell r="A4034" t="str">
            <v>36-01-15-0008</v>
          </cell>
          <cell r="B4034">
            <v>0</v>
          </cell>
          <cell r="C4034" t="str">
            <v xml:space="preserve">  L.C. KLCU/94/6160 DRAWING FRAMES</v>
          </cell>
          <cell r="D4034">
            <v>0</v>
          </cell>
          <cell r="E4034">
            <v>0</v>
          </cell>
          <cell r="F4034">
            <v>0</v>
          </cell>
          <cell r="G4034">
            <v>0</v>
          </cell>
        </row>
        <row r="4035">
          <cell r="A4035" t="str">
            <v>36-01-15-0009</v>
          </cell>
          <cell r="B4035">
            <v>0</v>
          </cell>
          <cell r="C4035" t="str">
            <v xml:space="preserve">  L.C. 46/28 CARDING MACHINE 7 SETS</v>
          </cell>
          <cell r="D4035">
            <v>0</v>
          </cell>
          <cell r="E4035">
            <v>0</v>
          </cell>
          <cell r="F4035">
            <v>0</v>
          </cell>
          <cell r="G4035">
            <v>0</v>
          </cell>
        </row>
        <row r="4036">
          <cell r="A4036" t="str">
            <v>36-01-15-0010</v>
          </cell>
          <cell r="B4036">
            <v>0</v>
          </cell>
          <cell r="C4036" t="str">
            <v xml:space="preserve">  L.C. 126311 DEISEL GENERATOR</v>
          </cell>
          <cell r="D4036">
            <v>0</v>
          </cell>
          <cell r="E4036">
            <v>0</v>
          </cell>
          <cell r="F4036">
            <v>0</v>
          </cell>
          <cell r="G4036">
            <v>0</v>
          </cell>
        </row>
        <row r="4037">
          <cell r="A4037" t="str">
            <v>36-01-15-0011</v>
          </cell>
          <cell r="B4037">
            <v>0</v>
          </cell>
          <cell r="C4037" t="str">
            <v xml:space="preserve">  L.C. PC.0277/01/47/51 CROSSROL INVERTE</v>
          </cell>
          <cell r="D4037">
            <v>0</v>
          </cell>
          <cell r="E4037">
            <v>0</v>
          </cell>
          <cell r="F4037">
            <v>0</v>
          </cell>
          <cell r="G4037">
            <v>0</v>
          </cell>
        </row>
        <row r="4038">
          <cell r="A4038" t="str">
            <v>36-01-15-0012</v>
          </cell>
          <cell r="B4038">
            <v>0</v>
          </cell>
          <cell r="C4038" t="str">
            <v xml:space="preserve">  L.C. PC.0277/01/47/52 CROSROLL PARTS</v>
          </cell>
          <cell r="D4038">
            <v>0</v>
          </cell>
          <cell r="E4038">
            <v>0</v>
          </cell>
          <cell r="F4038">
            <v>0</v>
          </cell>
          <cell r="G4038">
            <v>0</v>
          </cell>
        </row>
        <row r="4039">
          <cell r="A4039" t="str">
            <v>36-01-15-0013</v>
          </cell>
          <cell r="B4039">
            <v>0</v>
          </cell>
          <cell r="C4039" t="str">
            <v xml:space="preserve">  L.C. 20258/95 SAVIO AUTOCONERS ITALY.</v>
          </cell>
          <cell r="D4039">
            <v>0</v>
          </cell>
          <cell r="E4039">
            <v>0</v>
          </cell>
          <cell r="F4039">
            <v>0</v>
          </cell>
          <cell r="G4039">
            <v>0</v>
          </cell>
        </row>
        <row r="4040">
          <cell r="A4040" t="str">
            <v>36-01-15-0014</v>
          </cell>
          <cell r="B4040">
            <v>0</v>
          </cell>
          <cell r="C4040" t="str">
            <v xml:space="preserve">  L.C.126950 RING FRAMES (15 SETS)</v>
          </cell>
          <cell r="D4040">
            <v>0</v>
          </cell>
          <cell r="E4040">
            <v>0</v>
          </cell>
          <cell r="F4040">
            <v>0</v>
          </cell>
          <cell r="G4040">
            <v>0</v>
          </cell>
        </row>
        <row r="4041">
          <cell r="A4041" t="str">
            <v>36-01-15-0015</v>
          </cell>
          <cell r="B4041">
            <v>0</v>
          </cell>
          <cell r="C4041" t="str">
            <v xml:space="preserve">  L.C. 20318/96 16 SET CARDING M/C CHINA</v>
          </cell>
          <cell r="D4041">
            <v>0</v>
          </cell>
          <cell r="E4041">
            <v>0</v>
          </cell>
          <cell r="F4041">
            <v>0</v>
          </cell>
          <cell r="G4041">
            <v>0</v>
          </cell>
        </row>
        <row r="4042">
          <cell r="A4042" t="str">
            <v>36-01-15-0016</v>
          </cell>
          <cell r="B4042">
            <v>0</v>
          </cell>
          <cell r="C4042" t="str">
            <v xml:space="preserve">  L.C. PC.0277/01/48/08 SAVIO AUTOCONER</v>
          </cell>
          <cell r="D4042">
            <v>0</v>
          </cell>
          <cell r="E4042">
            <v>0</v>
          </cell>
          <cell r="F4042">
            <v>0</v>
          </cell>
          <cell r="G4042">
            <v>0</v>
          </cell>
        </row>
        <row r="4043">
          <cell r="A4043" t="str">
            <v>36-01-15-0017</v>
          </cell>
          <cell r="B4043">
            <v>0</v>
          </cell>
          <cell r="C4043" t="str">
            <v xml:space="preserve">  L.C. SBL/20334/96/PSH/03 MARZOLI PARTS</v>
          </cell>
          <cell r="D4043">
            <v>0</v>
          </cell>
          <cell r="E4043">
            <v>0</v>
          </cell>
          <cell r="F4043">
            <v>0</v>
          </cell>
          <cell r="G4043">
            <v>0</v>
          </cell>
        </row>
        <row r="4044">
          <cell r="A4044" t="str">
            <v>36-01-15-0018</v>
          </cell>
          <cell r="B4044">
            <v>0</v>
          </cell>
          <cell r="C4044" t="str">
            <v xml:space="preserve">  L.C. 127000 SIMPLEX BOBBIN CHINA (5000</v>
          </cell>
          <cell r="D4044">
            <v>0</v>
          </cell>
          <cell r="E4044">
            <v>0</v>
          </cell>
          <cell r="F4044">
            <v>0</v>
          </cell>
          <cell r="G4044">
            <v>0</v>
          </cell>
        </row>
        <row r="4045">
          <cell r="A4045" t="str">
            <v>36-01-15-0019</v>
          </cell>
          <cell r="B4045">
            <v>0</v>
          </cell>
          <cell r="C4045" t="str">
            <v xml:space="preserve">  BOGE KOMPRESSOREN GMBH GERMANY.</v>
          </cell>
          <cell r="D4045">
            <v>0</v>
          </cell>
          <cell r="E4045">
            <v>0</v>
          </cell>
          <cell r="F4045">
            <v>0</v>
          </cell>
          <cell r="G4045">
            <v>0</v>
          </cell>
        </row>
        <row r="4046">
          <cell r="A4046" t="str">
            <v>36-01-15-0020</v>
          </cell>
          <cell r="B4046">
            <v>0</v>
          </cell>
          <cell r="C4046" t="str">
            <v xml:space="preserve">  L.C. 127051 SAVIO ITALY SPARE PARTS</v>
          </cell>
          <cell r="D4046">
            <v>0</v>
          </cell>
          <cell r="E4046">
            <v>0</v>
          </cell>
          <cell r="F4046">
            <v>0</v>
          </cell>
          <cell r="G4046">
            <v>0</v>
          </cell>
        </row>
        <row r="4047">
          <cell r="A4047" t="str">
            <v>36-01-15-0021</v>
          </cell>
          <cell r="B4047">
            <v>0</v>
          </cell>
          <cell r="C4047" t="str">
            <v xml:space="preserve">  L.C. 20357/96 3 MEIJI AIR COMPRESSOR J</v>
          </cell>
          <cell r="D4047">
            <v>0</v>
          </cell>
          <cell r="E4047">
            <v>0</v>
          </cell>
          <cell r="F4047">
            <v>0</v>
          </cell>
          <cell r="G4047">
            <v>0</v>
          </cell>
        </row>
        <row r="4048">
          <cell r="A4048" t="str">
            <v>36-01-15-0022</v>
          </cell>
          <cell r="B4048">
            <v>0</v>
          </cell>
          <cell r="C4048" t="str">
            <v xml:space="preserve">  L.C. 20384/96 CARDING MACHINE 8 SETS.</v>
          </cell>
          <cell r="D4048">
            <v>0</v>
          </cell>
          <cell r="E4048">
            <v>0</v>
          </cell>
          <cell r="F4048">
            <v>0</v>
          </cell>
          <cell r="G4048">
            <v>0</v>
          </cell>
        </row>
        <row r="4049">
          <cell r="A4049" t="str">
            <v>36-01-15-0023</v>
          </cell>
          <cell r="B4049">
            <v>0</v>
          </cell>
          <cell r="C4049" t="str">
            <v xml:space="preserve">  CHINA TEXTILE MACHINERY TECHNOLOGY-CHI</v>
          </cell>
          <cell r="D4049">
            <v>0</v>
          </cell>
          <cell r="E4049">
            <v>0</v>
          </cell>
          <cell r="F4049">
            <v>0</v>
          </cell>
          <cell r="G4049">
            <v>0</v>
          </cell>
        </row>
        <row r="4050">
          <cell r="A4050" t="str">
            <v>36-01-15-0024</v>
          </cell>
          <cell r="B4050">
            <v>0</v>
          </cell>
          <cell r="C4050" t="str">
            <v xml:space="preserve">  L.C. 20409/96 VOUK SPARE PARTS-ITALY.</v>
          </cell>
          <cell r="D4050">
            <v>0</v>
          </cell>
          <cell r="E4050">
            <v>0</v>
          </cell>
          <cell r="F4050">
            <v>0</v>
          </cell>
          <cell r="G4050">
            <v>0</v>
          </cell>
        </row>
        <row r="4051">
          <cell r="A4051" t="str">
            <v>36-01-15-0025</v>
          </cell>
          <cell r="B4051">
            <v>0</v>
          </cell>
          <cell r="C4051" t="str">
            <v xml:space="preserve">  L.C 20429/96 SCHLAFHORST PARTS GERMANY</v>
          </cell>
          <cell r="D4051">
            <v>0</v>
          </cell>
          <cell r="E4051">
            <v>0</v>
          </cell>
          <cell r="F4051">
            <v>0</v>
          </cell>
          <cell r="G4051">
            <v>0</v>
          </cell>
        </row>
        <row r="4052">
          <cell r="A4052" t="str">
            <v>36-01-15-0026</v>
          </cell>
          <cell r="B4052">
            <v>0</v>
          </cell>
          <cell r="C4052" t="str">
            <v xml:space="preserve">  L.C. 20431/97 40 SETS RING FRAMES CHIN</v>
          </cell>
          <cell r="D4052">
            <v>0</v>
          </cell>
          <cell r="E4052">
            <v>0</v>
          </cell>
          <cell r="F4052">
            <v>0</v>
          </cell>
          <cell r="G4052">
            <v>0</v>
          </cell>
        </row>
        <row r="4053">
          <cell r="A4053" t="str">
            <v>36-01-15-0027</v>
          </cell>
          <cell r="B4053">
            <v>0</v>
          </cell>
          <cell r="C4053" t="str">
            <v xml:space="preserve">  L.C. 127153 SECOND HAND TEXTILE MACHIN</v>
          </cell>
          <cell r="D4053">
            <v>0</v>
          </cell>
          <cell r="E4053">
            <v>0</v>
          </cell>
          <cell r="F4053">
            <v>0</v>
          </cell>
          <cell r="G4053">
            <v>0</v>
          </cell>
        </row>
        <row r="4054">
          <cell r="A4054" t="str">
            <v>36-01-15-0028</v>
          </cell>
          <cell r="B4054">
            <v>0</v>
          </cell>
          <cell r="C4054" t="str">
            <v xml:space="preserve">  L.C.20436/97 1 LINE B/RM &amp; 20 SETS CAR</v>
          </cell>
          <cell r="D4054">
            <v>0</v>
          </cell>
          <cell r="E4054">
            <v>0</v>
          </cell>
          <cell r="F4054">
            <v>0</v>
          </cell>
          <cell r="G4054">
            <v>0</v>
          </cell>
        </row>
        <row r="4055">
          <cell r="A4055" t="str">
            <v>36-01-15-0029</v>
          </cell>
          <cell r="B4055">
            <v>0</v>
          </cell>
          <cell r="C4055" t="str">
            <v xml:space="preserve">  L.C. 20437/97 20 SETS RING FRAMES CHIN</v>
          </cell>
          <cell r="D4055">
            <v>0</v>
          </cell>
          <cell r="E4055">
            <v>0</v>
          </cell>
          <cell r="F4055">
            <v>0</v>
          </cell>
          <cell r="G4055">
            <v>0</v>
          </cell>
        </row>
        <row r="4056">
          <cell r="A4056" t="str">
            <v>36-01-15-0030</v>
          </cell>
          <cell r="B4056">
            <v>0</v>
          </cell>
          <cell r="C4056" t="str">
            <v xml:space="preserve">  L/C 20443/97 3 SET CROSROL CARDS ENGLA</v>
          </cell>
          <cell r="D4056">
            <v>0</v>
          </cell>
          <cell r="E4056">
            <v>0</v>
          </cell>
          <cell r="F4056">
            <v>0</v>
          </cell>
          <cell r="G4056">
            <v>0</v>
          </cell>
        </row>
        <row r="4057">
          <cell r="A4057" t="str">
            <v>36-01-15-0031</v>
          </cell>
          <cell r="B4057">
            <v>0</v>
          </cell>
          <cell r="C4057" t="str">
            <v xml:space="preserve">  L.C. 20444/97 SAVIO AUTOMATC CONE 11 S</v>
          </cell>
          <cell r="D4057">
            <v>0</v>
          </cell>
          <cell r="E4057">
            <v>0</v>
          </cell>
          <cell r="F4057">
            <v>0</v>
          </cell>
          <cell r="G4057">
            <v>0</v>
          </cell>
        </row>
        <row r="4058">
          <cell r="A4058" t="str">
            <v>36-01-15-0032</v>
          </cell>
          <cell r="B4058">
            <v>0</v>
          </cell>
          <cell r="C4058" t="str">
            <v xml:space="preserve">  L.C. 127187 5 FRAMES TOYODA DRAWING JP</v>
          </cell>
          <cell r="D4058">
            <v>0</v>
          </cell>
          <cell r="E4058">
            <v>0</v>
          </cell>
          <cell r="F4058">
            <v>0</v>
          </cell>
          <cell r="G4058">
            <v>0</v>
          </cell>
        </row>
        <row r="4059">
          <cell r="A4059" t="str">
            <v>36-01-15-0033</v>
          </cell>
          <cell r="B4059">
            <v>0</v>
          </cell>
          <cell r="C4059" t="str">
            <v xml:space="preserve">  L.C. 127183/DA 5 SETS HOWA ROVING FRAM</v>
          </cell>
          <cell r="D4059">
            <v>0</v>
          </cell>
          <cell r="E4059">
            <v>0</v>
          </cell>
          <cell r="F4059">
            <v>0</v>
          </cell>
          <cell r="G4059">
            <v>0</v>
          </cell>
        </row>
        <row r="4060">
          <cell r="A4060" t="str">
            <v>36-01-15-0034</v>
          </cell>
          <cell r="B4060">
            <v>0</v>
          </cell>
          <cell r="C4060" t="str">
            <v xml:space="preserve">  L.C. 20458/97 42 SETS SPINNING RING FR</v>
          </cell>
          <cell r="D4060">
            <v>0</v>
          </cell>
          <cell r="E4060">
            <v>0</v>
          </cell>
          <cell r="F4060">
            <v>0</v>
          </cell>
          <cell r="G4060">
            <v>0</v>
          </cell>
        </row>
        <row r="4061">
          <cell r="A4061" t="str">
            <v>36-01-15-0035</v>
          </cell>
          <cell r="B4061">
            <v>0</v>
          </cell>
          <cell r="C4061" t="str">
            <v xml:space="preserve">  L.C. 127195 AUXILLIARY MACHINES-CROSRO</v>
          </cell>
          <cell r="D4061">
            <v>0</v>
          </cell>
          <cell r="E4061">
            <v>0</v>
          </cell>
          <cell r="F4061">
            <v>0</v>
          </cell>
          <cell r="G4061">
            <v>0</v>
          </cell>
        </row>
        <row r="4062">
          <cell r="A4062" t="str">
            <v>36-01-15-0036</v>
          </cell>
          <cell r="B4062">
            <v>0</v>
          </cell>
          <cell r="C4062" t="str">
            <v xml:space="preserve">  L.C. 49/15 7 SET BOGE SCREW A.COMPSR G</v>
          </cell>
          <cell r="D4062">
            <v>0</v>
          </cell>
          <cell r="E4062">
            <v>0</v>
          </cell>
          <cell r="F4062">
            <v>0</v>
          </cell>
          <cell r="G4062">
            <v>0</v>
          </cell>
        </row>
        <row r="4063">
          <cell r="A4063" t="str">
            <v>36-01-15-0037</v>
          </cell>
          <cell r="B4063">
            <v>0</v>
          </cell>
          <cell r="C4063" t="str">
            <v xml:space="preserve">  L.C. 127202 4 SETS CATERPILLAR GENERAT</v>
          </cell>
          <cell r="D4063">
            <v>0</v>
          </cell>
          <cell r="E4063">
            <v>0</v>
          </cell>
          <cell r="F4063">
            <v>0</v>
          </cell>
          <cell r="G4063">
            <v>0</v>
          </cell>
        </row>
        <row r="4064">
          <cell r="A4064" t="str">
            <v>36-01-15-0038</v>
          </cell>
          <cell r="B4064">
            <v>0</v>
          </cell>
          <cell r="C4064" t="str">
            <v xml:space="preserve">  L.C. 20472/97 BOGE AIR COMPRESSOR-GERM</v>
          </cell>
          <cell r="D4064">
            <v>0</v>
          </cell>
          <cell r="E4064">
            <v>0</v>
          </cell>
          <cell r="F4064">
            <v>0</v>
          </cell>
          <cell r="G4064">
            <v>0</v>
          </cell>
        </row>
        <row r="4065">
          <cell r="A4065" t="str">
            <v>36-01-15-0039</v>
          </cell>
          <cell r="B4065">
            <v>0</v>
          </cell>
          <cell r="C4065" t="str">
            <v xml:space="preserve">  L.C. 20473/97 ASSEMBLING MACHINE JAPAN</v>
          </cell>
          <cell r="D4065">
            <v>0</v>
          </cell>
          <cell r="E4065">
            <v>0</v>
          </cell>
          <cell r="F4065">
            <v>0</v>
          </cell>
          <cell r="G4065">
            <v>0</v>
          </cell>
        </row>
        <row r="4066">
          <cell r="A4066" t="str">
            <v>36-01-15-0040</v>
          </cell>
          <cell r="B4066">
            <v>0</v>
          </cell>
          <cell r="C4066" t="str">
            <v xml:space="preserve">  L.C 49/22/0903 SPARE PARTS OF MARZOLI</v>
          </cell>
          <cell r="D4066">
            <v>0</v>
          </cell>
          <cell r="E4066">
            <v>0</v>
          </cell>
          <cell r="F4066">
            <v>0</v>
          </cell>
          <cell r="G4066">
            <v>0</v>
          </cell>
        </row>
        <row r="4067">
          <cell r="A4067" t="str">
            <v>36-01-15-0041</v>
          </cell>
          <cell r="B4067">
            <v>0</v>
          </cell>
          <cell r="C4067" t="str">
            <v xml:space="preserve">  L.C. 20483/97 USTER TESTING INSTRUMENT</v>
          </cell>
          <cell r="D4067">
            <v>0</v>
          </cell>
          <cell r="E4067">
            <v>0</v>
          </cell>
          <cell r="F4067">
            <v>0</v>
          </cell>
          <cell r="G4067">
            <v>0</v>
          </cell>
        </row>
        <row r="4068">
          <cell r="A4068" t="str">
            <v>36-01-15-0042</v>
          </cell>
          <cell r="B4068">
            <v>0</v>
          </cell>
          <cell r="C4068" t="str">
            <v xml:space="preserve">  L.C.20507 COMBING MACHINERY-SWITZERLAN</v>
          </cell>
          <cell r="D4068">
            <v>0</v>
          </cell>
          <cell r="E4068">
            <v>0</v>
          </cell>
          <cell r="F4068">
            <v>0</v>
          </cell>
          <cell r="G4068">
            <v>0</v>
          </cell>
        </row>
        <row r="4069">
          <cell r="A4069" t="str">
            <v>36-01-15-0043</v>
          </cell>
          <cell r="B4069">
            <v>0</v>
          </cell>
          <cell r="C4069" t="str">
            <v xml:space="preserve">  L.C. 20509/97 MAINT.KIT BOGE AIR COMPR</v>
          </cell>
          <cell r="D4069">
            <v>0</v>
          </cell>
          <cell r="E4069">
            <v>0</v>
          </cell>
          <cell r="F4069">
            <v>0</v>
          </cell>
          <cell r="G4069">
            <v>0</v>
          </cell>
        </row>
        <row r="4070">
          <cell r="A4070" t="str">
            <v>36-01-15-0044</v>
          </cell>
          <cell r="B4070">
            <v>0</v>
          </cell>
          <cell r="C4070" t="str">
            <v xml:space="preserve">  L.C. 97/030 1 BLOW ROOM INSTALATION-GR</v>
          </cell>
          <cell r="D4070">
            <v>0</v>
          </cell>
          <cell r="E4070">
            <v>0</v>
          </cell>
          <cell r="F4070">
            <v>0</v>
          </cell>
          <cell r="G4070">
            <v>0</v>
          </cell>
        </row>
        <row r="4071">
          <cell r="A4071" t="str">
            <v>36-01-15-0045</v>
          </cell>
          <cell r="B4071">
            <v>0</v>
          </cell>
          <cell r="C4071" t="str">
            <v xml:space="preserve">  L.C. 97/031 LUWA COMPLETE OVRHEAD 50 S</v>
          </cell>
          <cell r="D4071">
            <v>0</v>
          </cell>
          <cell r="E4071">
            <v>0</v>
          </cell>
          <cell r="F4071">
            <v>0</v>
          </cell>
          <cell r="G4071">
            <v>0</v>
          </cell>
        </row>
        <row r="4072">
          <cell r="A4072" t="str">
            <v>36-01-15-0046</v>
          </cell>
          <cell r="B4072">
            <v>0</v>
          </cell>
          <cell r="C4072" t="str">
            <v xml:space="preserve">  L.C. TSU 970070 COTTON B/ROOM INST.GRM</v>
          </cell>
          <cell r="D4072">
            <v>0</v>
          </cell>
          <cell r="E4072">
            <v>0</v>
          </cell>
          <cell r="F4072">
            <v>0</v>
          </cell>
          <cell r="G4072">
            <v>0</v>
          </cell>
        </row>
        <row r="4073">
          <cell r="A4073" t="str">
            <v>36-01-15-0047</v>
          </cell>
          <cell r="B4073">
            <v>0</v>
          </cell>
          <cell r="C4073" t="str">
            <v xml:space="preserve">  L.C. TSU-970126 10 SETS SAVIO A/CONR I</v>
          </cell>
          <cell r="D4073">
            <v>0</v>
          </cell>
          <cell r="E4073">
            <v>0</v>
          </cell>
          <cell r="F4073">
            <v>0</v>
          </cell>
          <cell r="G4073">
            <v>0</v>
          </cell>
        </row>
        <row r="4074">
          <cell r="A4074" t="str">
            <v>36-01-15-0048</v>
          </cell>
          <cell r="B4074">
            <v>0</v>
          </cell>
          <cell r="C4074" t="str">
            <v xml:space="preserve">  L.C. 20543/97TOYODA TEXTILE SPINN. MAC</v>
          </cell>
          <cell r="D4074">
            <v>0</v>
          </cell>
          <cell r="E4074">
            <v>0</v>
          </cell>
          <cell r="F4074">
            <v>0</v>
          </cell>
          <cell r="G4074">
            <v>0</v>
          </cell>
        </row>
        <row r="4075">
          <cell r="A4075" t="str">
            <v>36-01-15-0049</v>
          </cell>
          <cell r="B4075">
            <v>0</v>
          </cell>
          <cell r="C4075" t="str">
            <v xml:space="preserve">  L.C. 20544/97 HEAVY DUTY FORK LIFTER</v>
          </cell>
          <cell r="D4075">
            <v>0</v>
          </cell>
          <cell r="E4075">
            <v>0</v>
          </cell>
          <cell r="F4075">
            <v>0</v>
          </cell>
          <cell r="G4075">
            <v>0</v>
          </cell>
        </row>
        <row r="4076">
          <cell r="A4076" t="str">
            <v>36-01-15-0050</v>
          </cell>
          <cell r="B4076">
            <v>0</v>
          </cell>
          <cell r="C4076" t="str">
            <v xml:space="preserve">  L.C. 97/1 2 SETS DIESEL GENERATOR-KORE</v>
          </cell>
          <cell r="D4076">
            <v>0</v>
          </cell>
          <cell r="E4076">
            <v>0</v>
          </cell>
          <cell r="F4076">
            <v>0</v>
          </cell>
          <cell r="G4076">
            <v>0</v>
          </cell>
        </row>
        <row r="4077">
          <cell r="A4077" t="str">
            <v>36-01-15-0051</v>
          </cell>
          <cell r="B4077">
            <v>0</v>
          </cell>
          <cell r="C4077" t="str">
            <v xml:space="preserve">  L.C. 20558/97 TATEISHI COMPLETE SPNS C</v>
          </cell>
          <cell r="D4077">
            <v>0</v>
          </cell>
          <cell r="E4077">
            <v>0</v>
          </cell>
          <cell r="F4077">
            <v>0</v>
          </cell>
          <cell r="G4077">
            <v>0</v>
          </cell>
        </row>
        <row r="4078">
          <cell r="A4078" t="str">
            <v>36-01-15-0052</v>
          </cell>
          <cell r="B4078">
            <v>0</v>
          </cell>
          <cell r="C4078" t="str">
            <v xml:space="preserve">  L/C 127276 3 BOGE SCREW AIR COMPRESSOR</v>
          </cell>
          <cell r="D4078">
            <v>0</v>
          </cell>
          <cell r="E4078">
            <v>0</v>
          </cell>
          <cell r="F4078">
            <v>0</v>
          </cell>
          <cell r="G4078">
            <v>0</v>
          </cell>
        </row>
        <row r="4079">
          <cell r="A4079" t="str">
            <v>36-01-15-0053</v>
          </cell>
          <cell r="B4079">
            <v>0</v>
          </cell>
          <cell r="C4079" t="str">
            <v xml:space="preserve">  L.C. 127288 LUWA COMPLETE LABORATORY S</v>
          </cell>
          <cell r="D4079">
            <v>0</v>
          </cell>
          <cell r="E4079">
            <v>0</v>
          </cell>
          <cell r="F4079">
            <v>0</v>
          </cell>
          <cell r="G4079">
            <v>0</v>
          </cell>
        </row>
        <row r="4080">
          <cell r="A4080" t="str">
            <v>36-01-15-0054</v>
          </cell>
          <cell r="B4080">
            <v>0</v>
          </cell>
          <cell r="C4080" t="str">
            <v xml:space="preserve">  L/C NO: 127306 TOYODA'S SPNG MACH-JAPA</v>
          </cell>
          <cell r="D4080">
            <v>0</v>
          </cell>
          <cell r="E4080">
            <v>0</v>
          </cell>
          <cell r="F4080">
            <v>0</v>
          </cell>
          <cell r="G4080">
            <v>0</v>
          </cell>
        </row>
        <row r="4081">
          <cell r="A4081" t="str">
            <v>36-01-15-0055</v>
          </cell>
          <cell r="B4081">
            <v>0</v>
          </cell>
          <cell r="C4081" t="str">
            <v xml:space="preserve">  L.C. 20601/98 TESTING EQUIP.LAB-GERMAN</v>
          </cell>
          <cell r="D4081">
            <v>0</v>
          </cell>
          <cell r="E4081">
            <v>0</v>
          </cell>
          <cell r="F4081">
            <v>0</v>
          </cell>
          <cell r="G4081">
            <v>0</v>
          </cell>
        </row>
        <row r="4082">
          <cell r="A4082" t="str">
            <v>36-01-15-0056</v>
          </cell>
          <cell r="B4082">
            <v>0</v>
          </cell>
          <cell r="C4082" t="str">
            <v xml:space="preserve">  L.C. 20628/98 BLOW ROOM EXT.MACH.GERMA</v>
          </cell>
          <cell r="D4082">
            <v>0</v>
          </cell>
          <cell r="E4082">
            <v>0</v>
          </cell>
          <cell r="F4082">
            <v>0</v>
          </cell>
          <cell r="G4082">
            <v>0</v>
          </cell>
        </row>
        <row r="4083">
          <cell r="A4083" t="str">
            <v>36-01-15-0057</v>
          </cell>
          <cell r="B4083">
            <v>0</v>
          </cell>
          <cell r="C4083" t="str">
            <v xml:space="preserve">  L.C 20687 BALE PLUCKER 7 CONDENSOR CHI</v>
          </cell>
          <cell r="D4083">
            <v>0</v>
          </cell>
          <cell r="E4083">
            <v>0</v>
          </cell>
          <cell r="F4083">
            <v>0</v>
          </cell>
          <cell r="G4083">
            <v>0</v>
          </cell>
        </row>
        <row r="4084">
          <cell r="A4084" t="str">
            <v>36-01-15-0058</v>
          </cell>
          <cell r="B4084">
            <v>0</v>
          </cell>
          <cell r="C4084" t="str">
            <v xml:space="preserve">  L.C 20690 2 X TRUTZSCHLER HIGH PROD.CA</v>
          </cell>
          <cell r="D4084">
            <v>0</v>
          </cell>
          <cell r="E4084">
            <v>0</v>
          </cell>
          <cell r="F4084">
            <v>0</v>
          </cell>
          <cell r="G4084">
            <v>0</v>
          </cell>
        </row>
        <row r="4085">
          <cell r="A4085" t="str">
            <v>36-01-15-0059</v>
          </cell>
          <cell r="B4085">
            <v>0</v>
          </cell>
          <cell r="C4085" t="str">
            <v xml:space="preserve">  L.C.127527 CROSROL DOFFER, CYLDER &amp; WI</v>
          </cell>
          <cell r="D4085">
            <v>0</v>
          </cell>
          <cell r="E4085">
            <v>0</v>
          </cell>
          <cell r="F4085">
            <v>0</v>
          </cell>
          <cell r="G4085">
            <v>0</v>
          </cell>
        </row>
        <row r="4086">
          <cell r="A4086" t="str">
            <v>36-01-15-0060</v>
          </cell>
          <cell r="B4086">
            <v>0</v>
          </cell>
          <cell r="C4086" t="str">
            <v xml:space="preserve">   L.C# 20752 MINGLING CHAMBER 60 PCS</v>
          </cell>
          <cell r="D4086">
            <v>0</v>
          </cell>
          <cell r="E4086">
            <v>0</v>
          </cell>
          <cell r="F4086">
            <v>0</v>
          </cell>
          <cell r="G4086">
            <v>0</v>
          </cell>
        </row>
        <row r="4087">
          <cell r="A4087" t="str">
            <v>36-01-15-0061</v>
          </cell>
          <cell r="B4087">
            <v>0</v>
          </cell>
          <cell r="C4087" t="str">
            <v xml:space="preserve">  L.C # SBL/20761 USTER TESTING INSTRUME</v>
          </cell>
          <cell r="D4087">
            <v>0</v>
          </cell>
          <cell r="E4087">
            <v>0</v>
          </cell>
          <cell r="F4087">
            <v>0</v>
          </cell>
          <cell r="G4087">
            <v>0</v>
          </cell>
        </row>
        <row r="4088">
          <cell r="A4088" t="str">
            <v>36-01-15-0062</v>
          </cell>
          <cell r="B4088">
            <v>0</v>
          </cell>
          <cell r="C4088" t="str">
            <v xml:space="preserve">  L/C SBL20794/99 YARN STRENGTH TEST CHI</v>
          </cell>
          <cell r="D4088">
            <v>0</v>
          </cell>
          <cell r="E4088">
            <v>0</v>
          </cell>
          <cell r="F4088">
            <v>0</v>
          </cell>
          <cell r="G4088">
            <v>0</v>
          </cell>
        </row>
        <row r="4089">
          <cell r="A4089" t="str">
            <v>36-01-15-0063</v>
          </cell>
          <cell r="B4089">
            <v>0</v>
          </cell>
          <cell r="C4089" t="str">
            <v xml:space="preserve">  L/C SBL 20797/99 PLAST RING BOBBIN CHI</v>
          </cell>
          <cell r="D4089">
            <v>0</v>
          </cell>
          <cell r="E4089">
            <v>0</v>
          </cell>
          <cell r="F4089">
            <v>0</v>
          </cell>
          <cell r="G4089">
            <v>0</v>
          </cell>
        </row>
        <row r="4090">
          <cell r="A4090" t="str">
            <v>36-01-15-0064</v>
          </cell>
          <cell r="B4090">
            <v>0</v>
          </cell>
          <cell r="C4090" t="str">
            <v xml:space="preserve">  L/C# 20786/98 BLACK STEL RINGPG4254 CH</v>
          </cell>
          <cell r="D4090">
            <v>0</v>
          </cell>
          <cell r="E4090">
            <v>0</v>
          </cell>
          <cell r="F4090">
            <v>0</v>
          </cell>
          <cell r="G4090">
            <v>0</v>
          </cell>
        </row>
        <row r="4091">
          <cell r="A4091" t="str">
            <v>36-01-15-0065</v>
          </cell>
          <cell r="B4091">
            <v>0</v>
          </cell>
          <cell r="C4091" t="str">
            <v xml:space="preserve">  L/C # 20777 1500 HIG SPEED SPINDLE GER</v>
          </cell>
          <cell r="D4091">
            <v>0</v>
          </cell>
          <cell r="E4091">
            <v>0</v>
          </cell>
          <cell r="F4091">
            <v>0</v>
          </cell>
          <cell r="G4091">
            <v>0</v>
          </cell>
        </row>
        <row r="4092">
          <cell r="A4092" t="str">
            <v>36-01-15-0066</v>
          </cell>
          <cell r="B4092">
            <v>0</v>
          </cell>
          <cell r="C4092" t="str">
            <v xml:space="preserve">  L/C 20787 8RL HABASIT SPINDLE TAPE SWI</v>
          </cell>
          <cell r="D4092">
            <v>0</v>
          </cell>
          <cell r="E4092">
            <v>0</v>
          </cell>
          <cell r="F4092">
            <v>0</v>
          </cell>
          <cell r="G4092">
            <v>0</v>
          </cell>
        </row>
        <row r="4093">
          <cell r="A4093" t="str">
            <v>36-01-15-0067</v>
          </cell>
          <cell r="B4093">
            <v>0</v>
          </cell>
          <cell r="C4093" t="str">
            <v xml:space="preserve">  L.C.20817 USTER TESTING INSTRUMENT</v>
          </cell>
          <cell r="D4093">
            <v>0</v>
          </cell>
          <cell r="E4093">
            <v>0</v>
          </cell>
          <cell r="F4093">
            <v>0</v>
          </cell>
          <cell r="G4093">
            <v>0</v>
          </cell>
        </row>
        <row r="4094">
          <cell r="A4094" t="str">
            <v>36-01-15-0068</v>
          </cell>
          <cell r="B4094">
            <v>0</v>
          </cell>
          <cell r="C4094" t="str">
            <v xml:space="preserve">  L.C.20818 HASHIN COMPRESSOR WATER COOL</v>
          </cell>
          <cell r="D4094">
            <v>0</v>
          </cell>
          <cell r="E4094">
            <v>0</v>
          </cell>
          <cell r="F4094">
            <v>0</v>
          </cell>
          <cell r="G4094">
            <v>0</v>
          </cell>
        </row>
        <row r="4095">
          <cell r="A4095" t="str">
            <v>36-01-15-0069</v>
          </cell>
          <cell r="B4095">
            <v>0</v>
          </cell>
          <cell r="C4095" t="str">
            <v xml:space="preserve">  L.C.20820 NIHON SPIRA OILING SPNDLE MA</v>
          </cell>
          <cell r="D4095">
            <v>0</v>
          </cell>
          <cell r="E4095">
            <v>0</v>
          </cell>
          <cell r="F4095">
            <v>0</v>
          </cell>
          <cell r="G4095">
            <v>0</v>
          </cell>
        </row>
        <row r="4096">
          <cell r="A4096" t="str">
            <v>36-01-15-0070</v>
          </cell>
          <cell r="B4096">
            <v>0</v>
          </cell>
          <cell r="C4096" t="str">
            <v xml:space="preserve">  L.C.20823 SPARE PARTS CRSROL CARDS MK4</v>
          </cell>
          <cell r="D4096">
            <v>0</v>
          </cell>
          <cell r="E4096">
            <v>0</v>
          </cell>
          <cell r="F4096">
            <v>0</v>
          </cell>
          <cell r="G4096">
            <v>0</v>
          </cell>
        </row>
        <row r="4097">
          <cell r="A4097" t="str">
            <v>36-01-15-0071</v>
          </cell>
          <cell r="B4097">
            <v>0</v>
          </cell>
          <cell r="C4097" t="str">
            <v xml:space="preserve">  L.C 20830  PATS OF TRUTZSCHLER DK 803.</v>
          </cell>
          <cell r="D4097">
            <v>0</v>
          </cell>
          <cell r="E4097">
            <v>0</v>
          </cell>
          <cell r="F4097">
            <v>0</v>
          </cell>
          <cell r="G4097">
            <v>0</v>
          </cell>
        </row>
        <row r="4098">
          <cell r="A4098" t="str">
            <v>36-01-15-0072</v>
          </cell>
          <cell r="B4098">
            <v>0</v>
          </cell>
          <cell r="C4098" t="str">
            <v xml:space="preserve">  L.C.127654 TEXTILE MACH.GRAF TRAVERSIN</v>
          </cell>
          <cell r="D4098">
            <v>0</v>
          </cell>
          <cell r="E4098">
            <v>0</v>
          </cell>
          <cell r="F4098">
            <v>0</v>
          </cell>
          <cell r="G4098">
            <v>0</v>
          </cell>
        </row>
        <row r="4099">
          <cell r="A4099" t="str">
            <v>36-01-15-0073</v>
          </cell>
          <cell r="B4099">
            <v>0</v>
          </cell>
          <cell r="C4099" t="str">
            <v xml:space="preserve">  L.C. 99/062 HIGH PERFORMANCE DRAW FRAM</v>
          </cell>
          <cell r="D4099">
            <v>0</v>
          </cell>
          <cell r="E4099">
            <v>0</v>
          </cell>
          <cell r="F4099">
            <v>0</v>
          </cell>
          <cell r="G4099">
            <v>0</v>
          </cell>
        </row>
        <row r="4100">
          <cell r="A4100" t="str">
            <v>36-01-15-0074</v>
          </cell>
          <cell r="B4100">
            <v>0</v>
          </cell>
          <cell r="C4100" t="str">
            <v xml:space="preserve">  L.C. 20870 GRAF METTALIC CARD CLOTH-SW</v>
          </cell>
          <cell r="D4100">
            <v>0</v>
          </cell>
          <cell r="E4100">
            <v>0</v>
          </cell>
          <cell r="F4100">
            <v>0</v>
          </cell>
          <cell r="G4100">
            <v>0</v>
          </cell>
        </row>
        <row r="4101">
          <cell r="A4101" t="str">
            <v>36-01-15-0075</v>
          </cell>
          <cell r="B4101">
            <v>0</v>
          </cell>
          <cell r="C4101" t="str">
            <v xml:space="preserve">  L.C. 20874/99 PARTS FOR TEXTILE MCHY G</v>
          </cell>
          <cell r="D4101">
            <v>0</v>
          </cell>
          <cell r="E4101">
            <v>0</v>
          </cell>
          <cell r="F4101">
            <v>0</v>
          </cell>
          <cell r="G4101">
            <v>0</v>
          </cell>
        </row>
        <row r="4102">
          <cell r="A4102" t="str">
            <v>36-01-15-0076</v>
          </cell>
          <cell r="B4102">
            <v>0</v>
          </cell>
          <cell r="C4102" t="str">
            <v xml:space="preserve">  L.C. 127682 TESTING EQUP.FOR YARN SWIS</v>
          </cell>
          <cell r="D4102">
            <v>0</v>
          </cell>
          <cell r="E4102">
            <v>0</v>
          </cell>
          <cell r="F4102">
            <v>0</v>
          </cell>
          <cell r="G4102">
            <v>0</v>
          </cell>
        </row>
        <row r="4103">
          <cell r="A4103" t="str">
            <v>36-01-15-0077</v>
          </cell>
          <cell r="B4103">
            <v>0</v>
          </cell>
          <cell r="C4103" t="str">
            <v xml:space="preserve">  L.C.99/068 10 SET SOFT CORN SPUN (SPAI</v>
          </cell>
          <cell r="D4103">
            <v>0</v>
          </cell>
          <cell r="E4103">
            <v>0</v>
          </cell>
          <cell r="F4103">
            <v>0</v>
          </cell>
          <cell r="G4103">
            <v>0</v>
          </cell>
        </row>
        <row r="4104">
          <cell r="A4104" t="str">
            <v>36-01-15-0078</v>
          </cell>
          <cell r="B4104">
            <v>0</v>
          </cell>
          <cell r="C4104" t="str">
            <v xml:space="preserve">  L.C.99/070 SAVIO CONE WINDER/TWINSPLIC</v>
          </cell>
          <cell r="D4104">
            <v>0</v>
          </cell>
          <cell r="E4104">
            <v>0</v>
          </cell>
          <cell r="F4104">
            <v>0</v>
          </cell>
          <cell r="G4104">
            <v>0</v>
          </cell>
        </row>
        <row r="4105">
          <cell r="A4105" t="str">
            <v>36-01-15-0079</v>
          </cell>
          <cell r="B4105">
            <v>0</v>
          </cell>
          <cell r="C4105" t="str">
            <v xml:space="preserve">  L.C. 20911/99 BLOW ROOM BLENDOMAT GERM</v>
          </cell>
          <cell r="D4105">
            <v>0</v>
          </cell>
          <cell r="E4105">
            <v>0</v>
          </cell>
          <cell r="F4105">
            <v>0</v>
          </cell>
          <cell r="G4105">
            <v>0</v>
          </cell>
        </row>
        <row r="4106">
          <cell r="A4106" t="str">
            <v>36-01-15-0080</v>
          </cell>
          <cell r="B4106">
            <v>0</v>
          </cell>
          <cell r="C4106" t="str">
            <v xml:space="preserve">  L.C. 20909/99 PUMP FEEDER SYSTEMS 3 QT</v>
          </cell>
          <cell r="D4106">
            <v>0</v>
          </cell>
          <cell r="E4106">
            <v>0</v>
          </cell>
          <cell r="F4106">
            <v>0</v>
          </cell>
          <cell r="G4106">
            <v>0</v>
          </cell>
        </row>
        <row r="4107">
          <cell r="A4107" t="str">
            <v>36-01-15-0081</v>
          </cell>
          <cell r="B4107">
            <v>0</v>
          </cell>
          <cell r="C4107" t="str">
            <v xml:space="preserve">  L.C. 99/073 6 DRAW FRAME HSR 1000-GERM</v>
          </cell>
          <cell r="D4107">
            <v>0</v>
          </cell>
          <cell r="E4107">
            <v>0</v>
          </cell>
          <cell r="F4107">
            <v>0</v>
          </cell>
          <cell r="G4107">
            <v>0</v>
          </cell>
        </row>
        <row r="4108">
          <cell r="A4108" t="str">
            <v>36-01-15-0082</v>
          </cell>
          <cell r="B4108">
            <v>0</v>
          </cell>
          <cell r="C4108" t="str">
            <v xml:space="preserve">  L.C.330/99/1478 TESTING EQUIP.YARN-SWI</v>
          </cell>
          <cell r="D4108">
            <v>0</v>
          </cell>
          <cell r="E4108">
            <v>0</v>
          </cell>
          <cell r="F4108">
            <v>0</v>
          </cell>
          <cell r="G4108">
            <v>0</v>
          </cell>
        </row>
        <row r="4109">
          <cell r="A4109" t="str">
            <v>36-01-15-0083</v>
          </cell>
          <cell r="B4109">
            <v>0</v>
          </cell>
          <cell r="C4109" t="str">
            <v xml:space="preserve">  L.C.99/075 4 TRUETZSCHLR PROD.CARD DK9</v>
          </cell>
          <cell r="D4109">
            <v>0</v>
          </cell>
          <cell r="E4109">
            <v>0</v>
          </cell>
          <cell r="F4109">
            <v>0</v>
          </cell>
          <cell r="G4109">
            <v>0</v>
          </cell>
        </row>
        <row r="4110">
          <cell r="A4110" t="str">
            <v>36-01-15-0084</v>
          </cell>
          <cell r="B4110">
            <v>0</v>
          </cell>
          <cell r="C4110" t="str">
            <v xml:space="preserve">  L.C # MWT/99/0776 2 MCI COMBER-ITALY</v>
          </cell>
          <cell r="D4110">
            <v>0</v>
          </cell>
          <cell r="E4110">
            <v>0</v>
          </cell>
          <cell r="F4110">
            <v>0</v>
          </cell>
          <cell r="G4110">
            <v>0</v>
          </cell>
        </row>
        <row r="4111">
          <cell r="A4111" t="str">
            <v>36-01-15-0085</v>
          </cell>
          <cell r="B4111">
            <v>0</v>
          </cell>
          <cell r="C4111" t="str">
            <v xml:space="preserve">  L.C 20972/99 TESTING EQUIPMENT YARN-SW</v>
          </cell>
          <cell r="D4111">
            <v>0</v>
          </cell>
          <cell r="E4111">
            <v>0</v>
          </cell>
          <cell r="F4111">
            <v>0</v>
          </cell>
          <cell r="G4111">
            <v>0</v>
          </cell>
        </row>
        <row r="4112">
          <cell r="A4112" t="str">
            <v>36-01-15-0086</v>
          </cell>
          <cell r="B4112">
            <v>0</v>
          </cell>
          <cell r="C4112" t="str">
            <v xml:space="preserve">  L.C # 20978 RING SPINNING FRAME CHINA</v>
          </cell>
          <cell r="D4112">
            <v>0</v>
          </cell>
          <cell r="E4112">
            <v>0</v>
          </cell>
          <cell r="F4112">
            <v>0</v>
          </cell>
          <cell r="G4112">
            <v>0</v>
          </cell>
        </row>
        <row r="4113">
          <cell r="A4113" t="str">
            <v>36-01-15-0087</v>
          </cell>
          <cell r="B4113">
            <v>0</v>
          </cell>
          <cell r="C4113" t="str">
            <v xml:space="preserve">  L.C # 20980/99 TEXTILE COMBER MACH.SWI</v>
          </cell>
          <cell r="D4113">
            <v>0</v>
          </cell>
          <cell r="E4113">
            <v>0</v>
          </cell>
          <cell r="F4113">
            <v>0</v>
          </cell>
          <cell r="G4113">
            <v>0</v>
          </cell>
        </row>
        <row r="4114">
          <cell r="A4114" t="str">
            <v>36-01-15-0088</v>
          </cell>
          <cell r="B4114">
            <v>0</v>
          </cell>
          <cell r="C4114" t="str">
            <v xml:space="preserve">  L.C# 99/078 SPARE PARTS OF TEXTILE MAC</v>
          </cell>
          <cell r="D4114">
            <v>0</v>
          </cell>
          <cell r="E4114">
            <v>0</v>
          </cell>
          <cell r="F4114">
            <v>0</v>
          </cell>
          <cell r="G4114">
            <v>0</v>
          </cell>
        </row>
        <row r="4115">
          <cell r="A4115" t="str">
            <v>36-01-15-0089</v>
          </cell>
          <cell r="B4115">
            <v>0</v>
          </cell>
          <cell r="C4115" t="str">
            <v xml:space="preserve">  L.C # 99/076 6000 PCS SUESSEN NOVIBRA</v>
          </cell>
          <cell r="D4115">
            <v>0</v>
          </cell>
          <cell r="E4115">
            <v>0</v>
          </cell>
          <cell r="F4115">
            <v>0</v>
          </cell>
          <cell r="G4115">
            <v>0</v>
          </cell>
        </row>
        <row r="4116">
          <cell r="A4116" t="str">
            <v>36-01-15-0090</v>
          </cell>
          <cell r="B4116">
            <v>0</v>
          </cell>
          <cell r="C4116" t="str">
            <v xml:space="preserve">  L.C # 99/079 FAG BRAND BALL ROLLER</v>
          </cell>
          <cell r="D4116">
            <v>0</v>
          </cell>
          <cell r="E4116">
            <v>0</v>
          </cell>
          <cell r="F4116">
            <v>0</v>
          </cell>
          <cell r="G4116">
            <v>0</v>
          </cell>
        </row>
        <row r="4117">
          <cell r="A4117" t="str">
            <v>36-01-15-0091</v>
          </cell>
          <cell r="B4117">
            <v>0</v>
          </cell>
          <cell r="C4117" t="str">
            <v xml:space="preserve">  L.C # 21004/99 1 SAVIOU AUTO CONER-ITA</v>
          </cell>
          <cell r="D4117">
            <v>0</v>
          </cell>
          <cell r="E4117">
            <v>0</v>
          </cell>
          <cell r="F4117">
            <v>0</v>
          </cell>
          <cell r="G4117">
            <v>0</v>
          </cell>
        </row>
        <row r="4118">
          <cell r="A4118" t="str">
            <v>36-01-15-0092</v>
          </cell>
          <cell r="B4118">
            <v>0</v>
          </cell>
          <cell r="C4118" t="str">
            <v xml:space="preserve">  L.C.99/082 2 PANEL PAK FOR ACS II-SWIS</v>
          </cell>
          <cell r="D4118">
            <v>0</v>
          </cell>
          <cell r="E4118">
            <v>0</v>
          </cell>
          <cell r="F4118">
            <v>0</v>
          </cell>
          <cell r="G4118">
            <v>0</v>
          </cell>
        </row>
        <row r="4119">
          <cell r="A4119" t="str">
            <v>36-01-15-0093</v>
          </cell>
          <cell r="B4119">
            <v>0</v>
          </cell>
          <cell r="C4119" t="str">
            <v xml:space="preserve">  L.C 99/081 AUTOMATIC BALE PLUCKER-CHIN</v>
          </cell>
          <cell r="D4119">
            <v>0</v>
          </cell>
          <cell r="E4119">
            <v>0</v>
          </cell>
          <cell r="F4119">
            <v>0</v>
          </cell>
          <cell r="G4119">
            <v>0</v>
          </cell>
        </row>
        <row r="4120">
          <cell r="A4120" t="str">
            <v>36-01-15-0094</v>
          </cell>
          <cell r="B4120">
            <v>0</v>
          </cell>
          <cell r="C4120" t="str">
            <v xml:space="preserve">  L.C # 21007/99 S/PARTS AUTO CONER-GERM</v>
          </cell>
          <cell r="D4120">
            <v>0</v>
          </cell>
          <cell r="E4120">
            <v>0</v>
          </cell>
          <cell r="F4120">
            <v>0</v>
          </cell>
          <cell r="G4120">
            <v>0</v>
          </cell>
        </row>
        <row r="4121">
          <cell r="A4121" t="str">
            <v>36-01-15-0095</v>
          </cell>
          <cell r="B4121">
            <v>0</v>
          </cell>
          <cell r="C4121" t="str">
            <v xml:space="preserve">  L.C # 21011/99 7 HIGH PERFRMNCE D/FRAM</v>
          </cell>
          <cell r="D4121">
            <v>0</v>
          </cell>
          <cell r="E4121">
            <v>0</v>
          </cell>
          <cell r="F4121">
            <v>0</v>
          </cell>
          <cell r="G4121">
            <v>0</v>
          </cell>
        </row>
        <row r="4122">
          <cell r="A4122" t="str">
            <v>36-01-15-0096</v>
          </cell>
          <cell r="B4122">
            <v>0</v>
          </cell>
          <cell r="C4122" t="str">
            <v xml:space="preserve">  L.C.# 21012 SPARE PARTS-TEXTILE MACHIN</v>
          </cell>
          <cell r="D4122">
            <v>0</v>
          </cell>
          <cell r="E4122">
            <v>0</v>
          </cell>
          <cell r="F4122">
            <v>0</v>
          </cell>
          <cell r="G4122">
            <v>0</v>
          </cell>
        </row>
        <row r="4123">
          <cell r="A4123" t="str">
            <v>36-01-15-0097</v>
          </cell>
          <cell r="B4123">
            <v>0</v>
          </cell>
          <cell r="C4123" t="str">
            <v xml:space="preserve">  L.C # 2000/084 SPARE PARTS TEXTILE MAC</v>
          </cell>
          <cell r="D4123">
            <v>0</v>
          </cell>
          <cell r="E4123">
            <v>0</v>
          </cell>
          <cell r="F4123">
            <v>0</v>
          </cell>
          <cell r="G4123">
            <v>0</v>
          </cell>
        </row>
        <row r="4124">
          <cell r="A4124" t="str">
            <v>36-01-15-0098</v>
          </cell>
          <cell r="B4124">
            <v>0</v>
          </cell>
          <cell r="C4124" t="str">
            <v xml:space="preserve">  L.C.# 2000/83 SPARE PARTS TEXTILE MACH</v>
          </cell>
          <cell r="D4124">
            <v>0</v>
          </cell>
          <cell r="E4124">
            <v>0</v>
          </cell>
          <cell r="F4124">
            <v>0</v>
          </cell>
          <cell r="G4124">
            <v>0</v>
          </cell>
        </row>
        <row r="4125">
          <cell r="A4125" t="str">
            <v>36-01-15-0099</v>
          </cell>
          <cell r="B4125">
            <v>0</v>
          </cell>
          <cell r="C4125" t="str">
            <v xml:space="preserve">  L.C # 21026 FREQUENCY INVERTR RING FRA</v>
          </cell>
          <cell r="D4125">
            <v>0</v>
          </cell>
          <cell r="E4125">
            <v>0</v>
          </cell>
          <cell r="F4125">
            <v>0</v>
          </cell>
          <cell r="G4125">
            <v>0</v>
          </cell>
        </row>
        <row r="4126">
          <cell r="A4126" t="str">
            <v>36-01-15-0100</v>
          </cell>
          <cell r="B4126">
            <v>0</v>
          </cell>
          <cell r="C4126" t="str">
            <v xml:space="preserve">  L.C 89/2000 BOBBIN HANGR-BRAKE SYSTEM.</v>
          </cell>
          <cell r="D4126">
            <v>0</v>
          </cell>
          <cell r="E4126">
            <v>0</v>
          </cell>
          <cell r="F4126">
            <v>0</v>
          </cell>
          <cell r="G4126">
            <v>0</v>
          </cell>
        </row>
        <row r="4127">
          <cell r="A4127" t="str">
            <v>36-01-15-0101</v>
          </cell>
          <cell r="B4127">
            <v>0</v>
          </cell>
          <cell r="C4127" t="str">
            <v xml:space="preserve">  L.C # 21039/00 HABST SPINDLE &amp; BLOWR T</v>
          </cell>
          <cell r="D4127">
            <v>0</v>
          </cell>
          <cell r="E4127">
            <v>0</v>
          </cell>
          <cell r="F4127">
            <v>0</v>
          </cell>
          <cell r="G4127">
            <v>0</v>
          </cell>
        </row>
        <row r="4128">
          <cell r="A4128" t="str">
            <v>36-01-15-0102</v>
          </cell>
          <cell r="B4128">
            <v>0</v>
          </cell>
          <cell r="C4128" t="str">
            <v xml:space="preserve">  L.C # 21029/00 UNILAP E-30 &amp; COMBER E-</v>
          </cell>
          <cell r="D4128">
            <v>0</v>
          </cell>
          <cell r="E4128">
            <v>0</v>
          </cell>
          <cell r="F4128">
            <v>0</v>
          </cell>
          <cell r="G4128">
            <v>0</v>
          </cell>
        </row>
        <row r="4129">
          <cell r="A4129" t="str">
            <v>36-01-15-0103</v>
          </cell>
          <cell r="B4129">
            <v>0</v>
          </cell>
          <cell r="C4129" t="str">
            <v xml:space="preserve">  L.C # 88/2000 ELITE SPINNING MACHINE E</v>
          </cell>
          <cell r="D4129">
            <v>0</v>
          </cell>
          <cell r="E4129">
            <v>0</v>
          </cell>
          <cell r="F4129">
            <v>0</v>
          </cell>
          <cell r="G4129">
            <v>0</v>
          </cell>
        </row>
        <row r="4130">
          <cell r="A4130" t="str">
            <v>36-01-15-0104</v>
          </cell>
          <cell r="B4130">
            <v>0</v>
          </cell>
          <cell r="C4130" t="str">
            <v xml:space="preserve">  L.C # 21037/00 NOVIBRA SPINDLES H-P 68</v>
          </cell>
          <cell r="D4130">
            <v>0</v>
          </cell>
          <cell r="E4130">
            <v>0</v>
          </cell>
          <cell r="F4130">
            <v>0</v>
          </cell>
          <cell r="G4130">
            <v>0</v>
          </cell>
        </row>
        <row r="4131">
          <cell r="A4131" t="str">
            <v>36-01-15-0105</v>
          </cell>
          <cell r="B4131">
            <v>0</v>
          </cell>
          <cell r="C4131" t="str">
            <v xml:space="preserve">  L.C # 83/2000 SPARE PARTS OF TEXTILE M</v>
          </cell>
          <cell r="D4131">
            <v>0</v>
          </cell>
          <cell r="E4131">
            <v>0</v>
          </cell>
          <cell r="F4131">
            <v>0</v>
          </cell>
          <cell r="G4131">
            <v>0</v>
          </cell>
        </row>
        <row r="4132">
          <cell r="A4132" t="str">
            <v>36-01-15-0106</v>
          </cell>
          <cell r="B4132">
            <v>0</v>
          </cell>
          <cell r="C4132" t="str">
            <v xml:space="preserve">  L.C # 85/2000 TOYODA'S FL-16 SIMPLX FR</v>
          </cell>
          <cell r="D4132">
            <v>0</v>
          </cell>
          <cell r="E4132">
            <v>0</v>
          </cell>
          <cell r="F4132">
            <v>0</v>
          </cell>
          <cell r="G4132">
            <v>0</v>
          </cell>
        </row>
        <row r="4133">
          <cell r="A4133" t="str">
            <v>36-01-15-0107</v>
          </cell>
          <cell r="B4133">
            <v>0</v>
          </cell>
          <cell r="C4133" t="str">
            <v xml:space="preserve">  L.C # 87/2000 SPARE PARTS TEXTILE MACH</v>
          </cell>
          <cell r="D4133">
            <v>0</v>
          </cell>
          <cell r="E4133">
            <v>0</v>
          </cell>
          <cell r="F4133">
            <v>0</v>
          </cell>
          <cell r="G4133">
            <v>0</v>
          </cell>
        </row>
        <row r="4134">
          <cell r="A4134" t="str">
            <v>36-01-15-0108</v>
          </cell>
          <cell r="B4134">
            <v>0</v>
          </cell>
          <cell r="C4134" t="str">
            <v xml:space="preserve">  L.C # 21033/00 SPARE PARTS TEXTILE MAC</v>
          </cell>
          <cell r="D4134">
            <v>0</v>
          </cell>
          <cell r="E4134">
            <v>0</v>
          </cell>
          <cell r="F4134">
            <v>0</v>
          </cell>
          <cell r="G4134">
            <v>0</v>
          </cell>
        </row>
        <row r="4135">
          <cell r="A4135" t="str">
            <v>36-01-15-0109</v>
          </cell>
          <cell r="B4135">
            <v>0</v>
          </cell>
          <cell r="C4135" t="str">
            <v xml:space="preserve">  L.C # 657/2000 PARTS FOR TEXTILE MACH.</v>
          </cell>
          <cell r="D4135">
            <v>0</v>
          </cell>
          <cell r="E4135">
            <v>0</v>
          </cell>
          <cell r="F4135">
            <v>0</v>
          </cell>
          <cell r="G4135">
            <v>0</v>
          </cell>
        </row>
        <row r="4136">
          <cell r="A4136" t="str">
            <v>36-01-15-0110</v>
          </cell>
          <cell r="B4136">
            <v>0</v>
          </cell>
          <cell r="C4136" t="str">
            <v xml:space="preserve">  L.C # 21047/2000 SPARE PARTS TEXTILE M</v>
          </cell>
          <cell r="D4136">
            <v>0</v>
          </cell>
          <cell r="E4136">
            <v>0</v>
          </cell>
          <cell r="F4136">
            <v>0</v>
          </cell>
          <cell r="G4136">
            <v>0</v>
          </cell>
        </row>
        <row r="4137">
          <cell r="A4137" t="str">
            <v>36-01-15-0111</v>
          </cell>
          <cell r="B4137">
            <v>0</v>
          </cell>
          <cell r="C4137" t="str">
            <v xml:space="preserve">  L.C # 90/2000 SPARE PARTS FOR TEX.MACH</v>
          </cell>
          <cell r="D4137">
            <v>0</v>
          </cell>
          <cell r="E4137">
            <v>0</v>
          </cell>
          <cell r="F4137">
            <v>0</v>
          </cell>
          <cell r="G4137">
            <v>0</v>
          </cell>
        </row>
        <row r="4138">
          <cell r="A4138" t="str">
            <v>36-01-15-0112</v>
          </cell>
          <cell r="B4138">
            <v>0</v>
          </cell>
          <cell r="C4138" t="str">
            <v xml:space="preserve">  L.C # 91/2000 SPARE PARTS TEXTILE MACH</v>
          </cell>
          <cell r="D4138">
            <v>0</v>
          </cell>
          <cell r="E4138">
            <v>0</v>
          </cell>
          <cell r="F4138">
            <v>0</v>
          </cell>
          <cell r="G4138">
            <v>0</v>
          </cell>
        </row>
        <row r="4139">
          <cell r="A4139" t="str">
            <v>36-01-15-0113</v>
          </cell>
          <cell r="B4139">
            <v>0</v>
          </cell>
          <cell r="C4139" t="str">
            <v xml:space="preserve">  L.C # 21058 TOYODA FL-16 SMPLX FLY FRA</v>
          </cell>
          <cell r="D4139">
            <v>0</v>
          </cell>
          <cell r="E4139">
            <v>0</v>
          </cell>
          <cell r="F4139">
            <v>0</v>
          </cell>
          <cell r="G4139">
            <v>0</v>
          </cell>
        </row>
        <row r="4140">
          <cell r="A4140" t="str">
            <v>36-01-15-0114</v>
          </cell>
          <cell r="B4140">
            <v>0</v>
          </cell>
          <cell r="C4140" t="str">
            <v xml:space="preserve">  L.C # 21064/00 SPIRA SPINDLE OILING MA</v>
          </cell>
          <cell r="D4140">
            <v>0</v>
          </cell>
          <cell r="E4140">
            <v>0</v>
          </cell>
          <cell r="F4140">
            <v>0</v>
          </cell>
          <cell r="G4140">
            <v>0</v>
          </cell>
        </row>
        <row r="4141">
          <cell r="A4141" t="str">
            <v>36-01-15-0115</v>
          </cell>
          <cell r="B4141">
            <v>0</v>
          </cell>
          <cell r="C4141" t="str">
            <v xml:space="preserve">  L.C# MPB/LC/PSH/92 TOOLS,WITH LOCK DVI</v>
          </cell>
          <cell r="D4141">
            <v>0</v>
          </cell>
          <cell r="E4141">
            <v>0</v>
          </cell>
          <cell r="F4141">
            <v>0</v>
          </cell>
          <cell r="G4141">
            <v>0</v>
          </cell>
        </row>
        <row r="4142">
          <cell r="A4142" t="str">
            <v>36-01-15-0116</v>
          </cell>
          <cell r="B4142">
            <v>0</v>
          </cell>
          <cell r="C4142" t="str">
            <v xml:space="preserve">  L.C # 330/00/0827 DESP. ELITE SPINNING</v>
          </cell>
          <cell r="D4142">
            <v>0</v>
          </cell>
          <cell r="E4142">
            <v>0</v>
          </cell>
          <cell r="F4142">
            <v>0</v>
          </cell>
          <cell r="G4142">
            <v>0</v>
          </cell>
        </row>
        <row r="4143">
          <cell r="A4143" t="str">
            <v>36-01-15-0117</v>
          </cell>
          <cell r="B4143">
            <v>0</v>
          </cell>
          <cell r="C4143" t="str">
            <v xml:space="preserve">  L.C MPB/LC/93 SPARE PARTS-TEXTILE MACH</v>
          </cell>
          <cell r="D4143">
            <v>0</v>
          </cell>
          <cell r="E4143">
            <v>0</v>
          </cell>
          <cell r="F4143">
            <v>0</v>
          </cell>
          <cell r="G4143">
            <v>0</v>
          </cell>
        </row>
        <row r="4144">
          <cell r="A4144" t="str">
            <v>36-01-15-0118</v>
          </cell>
          <cell r="B4144">
            <v>0</v>
          </cell>
          <cell r="C4144" t="str">
            <v xml:space="preserve">  L.C # 21069/00 A/COMPRESSOR-CONTROL PN</v>
          </cell>
          <cell r="D4144">
            <v>0</v>
          </cell>
          <cell r="E4144">
            <v>0</v>
          </cell>
          <cell r="F4144">
            <v>0</v>
          </cell>
          <cell r="G4144">
            <v>0</v>
          </cell>
        </row>
        <row r="4145">
          <cell r="A4145" t="str">
            <v>36-01-15-0119</v>
          </cell>
          <cell r="B4145">
            <v>0</v>
          </cell>
          <cell r="C4145" t="str">
            <v xml:space="preserve">  L.C # 330/00/0691 TRUTZ.B/R HIGH CARD</v>
          </cell>
          <cell r="D4145">
            <v>0</v>
          </cell>
          <cell r="E4145">
            <v>0</v>
          </cell>
          <cell r="F4145">
            <v>0</v>
          </cell>
          <cell r="G4145">
            <v>0</v>
          </cell>
        </row>
        <row r="4146">
          <cell r="A4146" t="str">
            <v>36-01-15-0120</v>
          </cell>
          <cell r="B4146">
            <v>0</v>
          </cell>
          <cell r="C4146" t="str">
            <v xml:space="preserve">  L.C# 330/00/0682 SAVIO AUTOMATIC C/WIN</v>
          </cell>
          <cell r="D4146">
            <v>0</v>
          </cell>
          <cell r="E4146">
            <v>0</v>
          </cell>
          <cell r="F4146">
            <v>0</v>
          </cell>
          <cell r="G4146">
            <v>0</v>
          </cell>
        </row>
        <row r="4147">
          <cell r="A4147" t="str">
            <v>36-01-15-0121</v>
          </cell>
          <cell r="B4147">
            <v>0</v>
          </cell>
          <cell r="C4147" t="str">
            <v xml:space="preserve">  L.C # 330/00/0692 LUWA OVERHEAD</v>
          </cell>
          <cell r="D4147">
            <v>0</v>
          </cell>
          <cell r="E4147">
            <v>0</v>
          </cell>
          <cell r="F4147">
            <v>0</v>
          </cell>
          <cell r="G4147">
            <v>0</v>
          </cell>
        </row>
        <row r="4148">
          <cell r="A4148" t="str">
            <v>36-01-15-0122</v>
          </cell>
          <cell r="B4148">
            <v>0</v>
          </cell>
          <cell r="C4148" t="str">
            <v xml:space="preserve">  L.C # 21076 AUTO BALE PLUCKER &amp; CONDNS</v>
          </cell>
          <cell r="D4148">
            <v>0</v>
          </cell>
          <cell r="E4148">
            <v>0</v>
          </cell>
          <cell r="F4148">
            <v>0</v>
          </cell>
          <cell r="G4148">
            <v>0</v>
          </cell>
        </row>
        <row r="4149">
          <cell r="A4149" t="str">
            <v>36-01-15-0123</v>
          </cell>
          <cell r="B4149">
            <v>0</v>
          </cell>
          <cell r="C4149" t="str">
            <v xml:space="preserve">  L.C # 95/2000 COMPLETE SPINDLE KNEE BR</v>
          </cell>
          <cell r="D4149">
            <v>0</v>
          </cell>
          <cell r="E4149">
            <v>0</v>
          </cell>
          <cell r="F4149">
            <v>0</v>
          </cell>
          <cell r="G4149">
            <v>0</v>
          </cell>
        </row>
        <row r="4150">
          <cell r="A4150" t="str">
            <v>36-01-15-0124</v>
          </cell>
          <cell r="B4150">
            <v>0</v>
          </cell>
          <cell r="C4150" t="str">
            <v xml:space="preserve">  L.C # 937239 TOP ROLLER &amp; APRON..</v>
          </cell>
          <cell r="D4150">
            <v>0</v>
          </cell>
          <cell r="E4150">
            <v>0</v>
          </cell>
          <cell r="F4150">
            <v>0</v>
          </cell>
          <cell r="G4150">
            <v>0</v>
          </cell>
        </row>
        <row r="4151">
          <cell r="A4151" t="str">
            <v>36-01-15-0125</v>
          </cell>
          <cell r="B4151">
            <v>0</v>
          </cell>
          <cell r="C4151" t="str">
            <v xml:space="preserve">  L.C #97 DESP.PART FOR SSHI MAN B&amp;W GEN</v>
          </cell>
          <cell r="D4151">
            <v>0</v>
          </cell>
          <cell r="E4151">
            <v>0</v>
          </cell>
          <cell r="F4151">
            <v>0</v>
          </cell>
          <cell r="G4151">
            <v>0</v>
          </cell>
        </row>
        <row r="4152">
          <cell r="A4152" t="str">
            <v>36-01-15-0126</v>
          </cell>
          <cell r="B4152">
            <v>0</v>
          </cell>
          <cell r="C4152" t="str">
            <v xml:space="preserve">  L.C # MPB/PSH/101 SPARE PART OF WARTSI</v>
          </cell>
          <cell r="D4152">
            <v>0</v>
          </cell>
          <cell r="E4152">
            <v>0</v>
          </cell>
          <cell r="F4152">
            <v>0</v>
          </cell>
          <cell r="G4152">
            <v>0</v>
          </cell>
        </row>
        <row r="4153">
          <cell r="A4153" t="str">
            <v>36-01-15-0127</v>
          </cell>
          <cell r="B4153">
            <v>0</v>
          </cell>
          <cell r="C4153" t="str">
            <v xml:space="preserve">  L.C # 94 SPARE PARTS TEXTILE MACHINERY</v>
          </cell>
          <cell r="D4153">
            <v>0</v>
          </cell>
          <cell r="E4153">
            <v>0</v>
          </cell>
          <cell r="F4153">
            <v>0</v>
          </cell>
          <cell r="G4153">
            <v>0</v>
          </cell>
        </row>
        <row r="4154">
          <cell r="A4154" t="str">
            <v>36-01-15-0128</v>
          </cell>
          <cell r="B4154">
            <v>0</v>
          </cell>
          <cell r="C4154" t="str">
            <v xml:space="preserve">  L.C # 95 MPB-PSH COMPLETE SPINDLE-KNEE</v>
          </cell>
          <cell r="D4154">
            <v>0</v>
          </cell>
          <cell r="E4154">
            <v>0</v>
          </cell>
          <cell r="F4154">
            <v>0</v>
          </cell>
          <cell r="G4154">
            <v>0</v>
          </cell>
        </row>
        <row r="4155">
          <cell r="A4155" t="str">
            <v>36-01-15-0129</v>
          </cell>
          <cell r="B4155">
            <v>0</v>
          </cell>
          <cell r="C4155" t="str">
            <v xml:space="preserve">  L.C # 1001/600/2000 2 SETS SAVIO A/CON</v>
          </cell>
          <cell r="D4155">
            <v>0</v>
          </cell>
          <cell r="E4155">
            <v>0</v>
          </cell>
          <cell r="F4155">
            <v>0</v>
          </cell>
          <cell r="G4155">
            <v>0</v>
          </cell>
        </row>
        <row r="4156">
          <cell r="A4156" t="str">
            <v>36-01-15-0130</v>
          </cell>
          <cell r="B4156">
            <v>0</v>
          </cell>
          <cell r="C4156" t="str">
            <v xml:space="preserve">  L.C # 628/2000 DESP.SPARE PARTS-WARTSI</v>
          </cell>
          <cell r="D4156">
            <v>0</v>
          </cell>
          <cell r="E4156">
            <v>0</v>
          </cell>
          <cell r="F4156">
            <v>0</v>
          </cell>
          <cell r="G4156">
            <v>0</v>
          </cell>
        </row>
        <row r="4157">
          <cell r="A4157" t="str">
            <v>36-01-15-0131</v>
          </cell>
          <cell r="B4157">
            <v>0</v>
          </cell>
          <cell r="C4157" t="str">
            <v xml:space="preserve">  L.C # 96 1 SET RUBBER ROLLER GRINDING</v>
          </cell>
          <cell r="D4157">
            <v>0</v>
          </cell>
          <cell r="E4157">
            <v>0</v>
          </cell>
          <cell r="F4157">
            <v>0</v>
          </cell>
          <cell r="G4157">
            <v>0</v>
          </cell>
        </row>
        <row r="4158">
          <cell r="A4158" t="str">
            <v>36-01-15-0132</v>
          </cell>
          <cell r="B4158">
            <v>0</v>
          </cell>
          <cell r="C4158" t="str">
            <v xml:space="preserve">  L.C # 99 SPARE PARTS TRUTZSCHLER</v>
          </cell>
          <cell r="D4158">
            <v>0</v>
          </cell>
          <cell r="E4158">
            <v>0</v>
          </cell>
          <cell r="F4158">
            <v>0</v>
          </cell>
          <cell r="G4158">
            <v>0</v>
          </cell>
        </row>
        <row r="4159">
          <cell r="A4159" t="str">
            <v>36-01-15-0133</v>
          </cell>
          <cell r="B4159">
            <v>0</v>
          </cell>
          <cell r="C4159" t="str">
            <v xml:space="preserve">  L.C # 98 HABASIT SPINDLE TAPE</v>
          </cell>
          <cell r="D4159">
            <v>0</v>
          </cell>
          <cell r="E4159">
            <v>0</v>
          </cell>
          <cell r="F4159">
            <v>0</v>
          </cell>
          <cell r="G4159">
            <v>0</v>
          </cell>
        </row>
        <row r="4160">
          <cell r="A4160" t="str">
            <v>36-01-15-0134</v>
          </cell>
          <cell r="B4160">
            <v>0</v>
          </cell>
          <cell r="C4160" t="str">
            <v xml:space="preserve">  L.C # 100/2000 SPARE PARTS TEXTILE MAC</v>
          </cell>
          <cell r="D4160">
            <v>0</v>
          </cell>
          <cell r="E4160">
            <v>0</v>
          </cell>
          <cell r="F4160">
            <v>0</v>
          </cell>
          <cell r="G4160">
            <v>0</v>
          </cell>
        </row>
        <row r="4161">
          <cell r="A4161" t="str">
            <v>36-01-15-0135</v>
          </cell>
          <cell r="B4161">
            <v>0</v>
          </cell>
          <cell r="C4161" t="str">
            <v xml:space="preserve">  L.C # 20/1270 USED SECOND HAND TWISTER</v>
          </cell>
          <cell r="D4161">
            <v>0</v>
          </cell>
          <cell r="E4161">
            <v>0</v>
          </cell>
          <cell r="F4161">
            <v>0</v>
          </cell>
          <cell r="G4161">
            <v>0</v>
          </cell>
        </row>
        <row r="4162">
          <cell r="A4162" t="str">
            <v>36-01-15-0136</v>
          </cell>
          <cell r="B4162">
            <v>0</v>
          </cell>
          <cell r="C4162" t="str">
            <v xml:space="preserve">  L.C# KHI/1001/701/2000 SPARE PART TEXT</v>
          </cell>
          <cell r="D4162">
            <v>0</v>
          </cell>
          <cell r="E4162">
            <v>0</v>
          </cell>
          <cell r="F4162">
            <v>0</v>
          </cell>
          <cell r="G4162">
            <v>0</v>
          </cell>
        </row>
        <row r="4163">
          <cell r="A4163" t="str">
            <v>36-01-15-0137</v>
          </cell>
          <cell r="B4163">
            <v>0</v>
          </cell>
          <cell r="C4163" t="str">
            <v xml:space="preserve">  L.C# KHI/1001/669/2000 TOP APRON CRADL</v>
          </cell>
          <cell r="D4163">
            <v>0</v>
          </cell>
          <cell r="E4163">
            <v>0</v>
          </cell>
          <cell r="F4163">
            <v>0</v>
          </cell>
          <cell r="G4163">
            <v>0</v>
          </cell>
        </row>
        <row r="4164">
          <cell r="A4164" t="str">
            <v>36-01-15-0138</v>
          </cell>
          <cell r="B4164">
            <v>0</v>
          </cell>
          <cell r="C4164" t="str">
            <v xml:space="preserve">  L.C # MPB/PSH/102 TOP APRON CRADLE</v>
          </cell>
          <cell r="D4164">
            <v>0</v>
          </cell>
          <cell r="E4164">
            <v>0</v>
          </cell>
          <cell r="F4164">
            <v>0</v>
          </cell>
          <cell r="G4164">
            <v>0</v>
          </cell>
        </row>
        <row r="4165">
          <cell r="A4165" t="str">
            <v>36-01-15-0139</v>
          </cell>
          <cell r="B4165">
            <v>0</v>
          </cell>
          <cell r="C4165" t="str">
            <v xml:space="preserve">  L.C # MPB/PSH/100 S/PARTS TEXTILE MACH</v>
          </cell>
          <cell r="D4165">
            <v>0</v>
          </cell>
          <cell r="E4165">
            <v>0</v>
          </cell>
          <cell r="F4165">
            <v>0</v>
          </cell>
          <cell r="G4165">
            <v>0</v>
          </cell>
        </row>
        <row r="4166">
          <cell r="A4166" t="str">
            <v>36-01-15-0140</v>
          </cell>
          <cell r="B4166">
            <v>0</v>
          </cell>
          <cell r="C4166" t="str">
            <v xml:space="preserve">  L.C # MPB/PSH/102 S/PARTS TEXTILE MACH</v>
          </cell>
          <cell r="D4166">
            <v>0</v>
          </cell>
          <cell r="E4166">
            <v>0</v>
          </cell>
          <cell r="F4166">
            <v>0</v>
          </cell>
          <cell r="G4166">
            <v>0</v>
          </cell>
        </row>
        <row r="4167">
          <cell r="A4167" t="str">
            <v>36-01-15-0141</v>
          </cell>
          <cell r="B4167">
            <v>0</v>
          </cell>
          <cell r="C4167" t="str">
            <v xml:space="preserve">  L.C # 21129/00/PSH/003 LOOSE BOSS ROLL</v>
          </cell>
          <cell r="D4167">
            <v>0</v>
          </cell>
          <cell r="E4167">
            <v>0</v>
          </cell>
          <cell r="F4167">
            <v>0</v>
          </cell>
          <cell r="G4167">
            <v>0</v>
          </cell>
        </row>
        <row r="4168">
          <cell r="A4168" t="str">
            <v>36-01-15-0142</v>
          </cell>
          <cell r="B4168">
            <v>0</v>
          </cell>
          <cell r="C4168" t="str">
            <v xml:space="preserve">  L.C # MPB/PSH/2000/103 BOGE COMPRESSOR</v>
          </cell>
          <cell r="D4168">
            <v>0</v>
          </cell>
          <cell r="E4168">
            <v>0</v>
          </cell>
          <cell r="F4168">
            <v>0</v>
          </cell>
          <cell r="G4168">
            <v>0</v>
          </cell>
        </row>
        <row r="4169">
          <cell r="A4169" t="str">
            <v>36-01-15-0143</v>
          </cell>
          <cell r="B4169">
            <v>0</v>
          </cell>
          <cell r="C4169" t="str">
            <v xml:space="preserve">  L.C # 104/2000 ACCOTEX PRESSFIT COTS</v>
          </cell>
          <cell r="D4169">
            <v>0</v>
          </cell>
          <cell r="E4169">
            <v>0</v>
          </cell>
          <cell r="F4169">
            <v>0</v>
          </cell>
          <cell r="G4169">
            <v>0</v>
          </cell>
        </row>
        <row r="4170">
          <cell r="A4170" t="str">
            <v>36-01-15-0144</v>
          </cell>
          <cell r="B4170">
            <v>0</v>
          </cell>
          <cell r="C4170" t="str">
            <v xml:space="preserve">  L.C # 937205  SPARE PARTS FOR TEXTILE</v>
          </cell>
          <cell r="D4170">
            <v>0</v>
          </cell>
          <cell r="E4170">
            <v>0</v>
          </cell>
          <cell r="F4170">
            <v>0</v>
          </cell>
          <cell r="G4170">
            <v>0</v>
          </cell>
        </row>
        <row r="4171">
          <cell r="A4171" t="str">
            <v>36-01-15-0145</v>
          </cell>
          <cell r="B4171">
            <v>0</v>
          </cell>
          <cell r="C4171" t="str">
            <v xml:space="preserve">  L.C # 105 SPARE PARTS FOR TEXTILE</v>
          </cell>
          <cell r="D4171">
            <v>0</v>
          </cell>
          <cell r="E4171">
            <v>0</v>
          </cell>
          <cell r="F4171">
            <v>0</v>
          </cell>
          <cell r="G4171">
            <v>0</v>
          </cell>
        </row>
        <row r="4172">
          <cell r="A4172" t="str">
            <v>36-01-15-0146</v>
          </cell>
          <cell r="B4172">
            <v>0</v>
          </cell>
          <cell r="C4172" t="str">
            <v xml:space="preserve">  L.C # 21150/00/PSH/03 50,000 STEEL RIN</v>
          </cell>
          <cell r="D4172">
            <v>0</v>
          </cell>
          <cell r="E4172">
            <v>0</v>
          </cell>
          <cell r="F4172">
            <v>0</v>
          </cell>
          <cell r="G4172">
            <v>0</v>
          </cell>
        </row>
        <row r="4173">
          <cell r="A4173" t="str">
            <v>36-01-15-0147</v>
          </cell>
          <cell r="B4173">
            <v>0</v>
          </cell>
          <cell r="C4173" t="str">
            <v xml:space="preserve">  L.C # 106/2000 1 SET COMPLETE USTER</v>
          </cell>
          <cell r="D4173">
            <v>0</v>
          </cell>
          <cell r="E4173">
            <v>0</v>
          </cell>
          <cell r="F4173">
            <v>0</v>
          </cell>
          <cell r="G4173">
            <v>0</v>
          </cell>
        </row>
        <row r="4174">
          <cell r="A4174" t="str">
            <v>36-01-15-0148</v>
          </cell>
          <cell r="B4174">
            <v>0</v>
          </cell>
          <cell r="C4174" t="str">
            <v xml:space="preserve">  L.C # 21155/00 SPARE PARTS FOR TEXTILE</v>
          </cell>
          <cell r="D4174">
            <v>0</v>
          </cell>
          <cell r="E4174">
            <v>0</v>
          </cell>
          <cell r="F4174">
            <v>0</v>
          </cell>
          <cell r="G4174">
            <v>0</v>
          </cell>
        </row>
        <row r="4175">
          <cell r="A4175" t="str">
            <v>36-01-15-0149</v>
          </cell>
          <cell r="B4175">
            <v>0</v>
          </cell>
          <cell r="C4175" t="str">
            <v xml:space="preserve">  L.C #21136/00 SYNTHETIC RUBER APRON,CO</v>
          </cell>
          <cell r="D4175">
            <v>0</v>
          </cell>
          <cell r="E4175">
            <v>0</v>
          </cell>
          <cell r="F4175">
            <v>0</v>
          </cell>
          <cell r="G4175">
            <v>0</v>
          </cell>
        </row>
        <row r="4176">
          <cell r="A4176" t="str">
            <v>36-01-15-0150</v>
          </cell>
          <cell r="B4176">
            <v>0</v>
          </cell>
          <cell r="C4176" t="str">
            <v xml:space="preserve">  L.C # 937212 300 PCS LOOSE BOSS ROLLER</v>
          </cell>
          <cell r="D4176">
            <v>0</v>
          </cell>
          <cell r="E4176">
            <v>0</v>
          </cell>
          <cell r="F4176">
            <v>0</v>
          </cell>
          <cell r="G4176">
            <v>0</v>
          </cell>
        </row>
        <row r="4177">
          <cell r="A4177" t="str">
            <v>36-01-15-0151</v>
          </cell>
          <cell r="B4177">
            <v>0</v>
          </cell>
          <cell r="C4177" t="str">
            <v xml:space="preserve">  L.C # 108 00724 AXILIARY EQUIPMENT</v>
          </cell>
          <cell r="D4177">
            <v>0</v>
          </cell>
          <cell r="E4177">
            <v>0</v>
          </cell>
          <cell r="F4177">
            <v>0</v>
          </cell>
          <cell r="G4177">
            <v>0</v>
          </cell>
        </row>
        <row r="4178">
          <cell r="A4178" t="str">
            <v>36-01-15-0152</v>
          </cell>
          <cell r="B4178">
            <v>0</v>
          </cell>
          <cell r="C4178" t="str">
            <v xml:space="preserve">  L.C # 110 ABOUT 180 M DELFEX CLASSIC.</v>
          </cell>
          <cell r="D4178">
            <v>0</v>
          </cell>
          <cell r="E4178">
            <v>0</v>
          </cell>
          <cell r="F4178">
            <v>0</v>
          </cell>
          <cell r="G4178">
            <v>0</v>
          </cell>
        </row>
        <row r="4179">
          <cell r="A4179" t="str">
            <v>36-01-15-0153</v>
          </cell>
          <cell r="B4179">
            <v>0</v>
          </cell>
          <cell r="C4179" t="str">
            <v xml:space="preserve">  L.C # 107 1 TOYODA HIGH SPEED SIMPLEX.</v>
          </cell>
          <cell r="D4179">
            <v>0</v>
          </cell>
          <cell r="E4179">
            <v>0</v>
          </cell>
          <cell r="F4179">
            <v>0</v>
          </cell>
          <cell r="G4179">
            <v>0</v>
          </cell>
        </row>
        <row r="4180">
          <cell r="A4180" t="str">
            <v>36-01-15-0154</v>
          </cell>
          <cell r="B4180">
            <v>0</v>
          </cell>
          <cell r="C4180" t="str">
            <v xml:space="preserve">  L.C # 109 ACRYLIC STAPLE FIBRE 500 M/T</v>
          </cell>
          <cell r="D4180">
            <v>0</v>
          </cell>
          <cell r="E4180">
            <v>0</v>
          </cell>
          <cell r="F4180">
            <v>0</v>
          </cell>
          <cell r="G4180">
            <v>0</v>
          </cell>
        </row>
        <row r="4181">
          <cell r="A4181" t="str">
            <v>36-01-15-0155</v>
          </cell>
          <cell r="B4181">
            <v>0</v>
          </cell>
          <cell r="C4181" t="str">
            <v xml:space="preserve">  L.C # 937235 SPARE PARTS</v>
          </cell>
          <cell r="D4181">
            <v>0</v>
          </cell>
          <cell r="E4181">
            <v>0</v>
          </cell>
          <cell r="F4181">
            <v>0</v>
          </cell>
          <cell r="G4181">
            <v>0</v>
          </cell>
        </row>
        <row r="4182">
          <cell r="A4182" t="str">
            <v>36-01-15-0156</v>
          </cell>
          <cell r="B4182">
            <v>0</v>
          </cell>
          <cell r="C4182" t="str">
            <v xml:space="preserve">  L.C # 937261 50000 RING BOBBBIN.</v>
          </cell>
          <cell r="D4182">
            <v>0</v>
          </cell>
          <cell r="E4182">
            <v>0</v>
          </cell>
          <cell r="F4182">
            <v>0</v>
          </cell>
          <cell r="G4182">
            <v>0</v>
          </cell>
        </row>
        <row r="4183">
          <cell r="A4183" t="str">
            <v>36-01-15-0157</v>
          </cell>
          <cell r="B4183">
            <v>0</v>
          </cell>
          <cell r="C4183" t="str">
            <v xml:space="preserve">  L.C # 21207/00 2 SET FIRE PROTECT SYST</v>
          </cell>
          <cell r="D4183">
            <v>0</v>
          </cell>
          <cell r="E4183">
            <v>0</v>
          </cell>
          <cell r="F4183">
            <v>0</v>
          </cell>
          <cell r="G4183">
            <v>0</v>
          </cell>
        </row>
        <row r="4184">
          <cell r="A4184" t="str">
            <v>36-01-15-0158</v>
          </cell>
          <cell r="B4184">
            <v>0</v>
          </cell>
          <cell r="C4184" t="str">
            <v xml:space="preserve">  L.C # 937272 2 PCS (LASE) BEARING</v>
          </cell>
          <cell r="D4184">
            <v>0</v>
          </cell>
          <cell r="E4184">
            <v>0</v>
          </cell>
          <cell r="F4184">
            <v>0</v>
          </cell>
          <cell r="G4184">
            <v>0</v>
          </cell>
        </row>
        <row r="4185">
          <cell r="A4185" t="str">
            <v>36-01-15-0159</v>
          </cell>
          <cell r="B4185">
            <v>0</v>
          </cell>
          <cell r="C4185" t="str">
            <v xml:space="preserve">  L.C # 21216 15000 PCS STEEL RING</v>
          </cell>
          <cell r="D4185">
            <v>0</v>
          </cell>
          <cell r="E4185">
            <v>0</v>
          </cell>
          <cell r="F4185">
            <v>0</v>
          </cell>
          <cell r="G4185">
            <v>0</v>
          </cell>
        </row>
        <row r="4186">
          <cell r="A4186" t="str">
            <v>36-01-15-0160</v>
          </cell>
          <cell r="B4186">
            <v>0</v>
          </cell>
          <cell r="C4186" t="str">
            <v xml:space="preserve">  L.C#937274 500M OLFL CLASSIC HBL 30507</v>
          </cell>
          <cell r="D4186">
            <v>0</v>
          </cell>
          <cell r="E4186">
            <v>0</v>
          </cell>
          <cell r="F4186">
            <v>0</v>
          </cell>
          <cell r="G4186">
            <v>0</v>
          </cell>
        </row>
        <row r="4187">
          <cell r="A4187" t="str">
            <v>36-01-15-0161</v>
          </cell>
          <cell r="B4187">
            <v>0</v>
          </cell>
          <cell r="C4187" t="str">
            <v xml:space="preserve">  L.C # 111 SPARE PARTS FOR TEXTILE MACH</v>
          </cell>
          <cell r="D4187">
            <v>0</v>
          </cell>
          <cell r="E4187">
            <v>0</v>
          </cell>
          <cell r="F4187">
            <v>0</v>
          </cell>
          <cell r="G4187">
            <v>0</v>
          </cell>
        </row>
        <row r="4188">
          <cell r="A4188" t="str">
            <v>36-01-15-0162</v>
          </cell>
          <cell r="B4188">
            <v>0</v>
          </cell>
          <cell r="C4188" t="str">
            <v xml:space="preserve">  L.C # 112 SPARE PARTS FOR TEXTILE MACH</v>
          </cell>
          <cell r="D4188">
            <v>0</v>
          </cell>
          <cell r="E4188">
            <v>0</v>
          </cell>
          <cell r="F4188">
            <v>0</v>
          </cell>
          <cell r="G4188">
            <v>0</v>
          </cell>
        </row>
        <row r="4189">
          <cell r="A4189" t="str">
            <v>36-01-15-0163</v>
          </cell>
          <cell r="B4189">
            <v>0</v>
          </cell>
          <cell r="C4189" t="str">
            <v xml:space="preserve">  L.C # 114 SPARE PARTS FOR TEXTILE MACH</v>
          </cell>
          <cell r="D4189">
            <v>0</v>
          </cell>
          <cell r="E4189">
            <v>0</v>
          </cell>
          <cell r="F4189">
            <v>0</v>
          </cell>
          <cell r="G4189">
            <v>0</v>
          </cell>
        </row>
        <row r="4190">
          <cell r="A4190" t="str">
            <v>36-01-15-0164</v>
          </cell>
          <cell r="B4190">
            <v>0</v>
          </cell>
          <cell r="C4190" t="str">
            <v xml:space="preserve">  L.C # 113 1 UNIT TCM FORK LIFTER.</v>
          </cell>
          <cell r="D4190">
            <v>0</v>
          </cell>
          <cell r="E4190">
            <v>0</v>
          </cell>
          <cell r="F4190">
            <v>0</v>
          </cell>
          <cell r="G4190">
            <v>0</v>
          </cell>
        </row>
        <row r="4191">
          <cell r="A4191" t="str">
            <v>36-01-15-0165</v>
          </cell>
          <cell r="B4191">
            <v>0</v>
          </cell>
          <cell r="C4191" t="str">
            <v xml:space="preserve">  L.C # 21240 SYNTHETIC RUBBER APPRONS</v>
          </cell>
          <cell r="D4191">
            <v>0</v>
          </cell>
          <cell r="E4191">
            <v>0</v>
          </cell>
          <cell r="F4191">
            <v>0</v>
          </cell>
          <cell r="G4191">
            <v>0</v>
          </cell>
        </row>
        <row r="4192">
          <cell r="A4192" t="str">
            <v>36-01-15-0166</v>
          </cell>
          <cell r="B4192">
            <v>0</v>
          </cell>
          <cell r="C4192" t="str">
            <v xml:space="preserve">  L.C # 2000/119 1000 PCS SPINDLE BOLIST</v>
          </cell>
          <cell r="D4192">
            <v>0</v>
          </cell>
          <cell r="E4192">
            <v>0</v>
          </cell>
          <cell r="F4192">
            <v>0</v>
          </cell>
          <cell r="G4192">
            <v>0</v>
          </cell>
        </row>
        <row r="4193">
          <cell r="A4193" t="str">
            <v>36-01-15-0167</v>
          </cell>
          <cell r="B4193">
            <v>0</v>
          </cell>
          <cell r="C4193" t="str">
            <v xml:space="preserve">  L.C # 2000/116 SPARE PARTS-TEXTILE MAC</v>
          </cell>
          <cell r="D4193">
            <v>0</v>
          </cell>
          <cell r="E4193">
            <v>0</v>
          </cell>
          <cell r="F4193">
            <v>0</v>
          </cell>
          <cell r="G4193">
            <v>0</v>
          </cell>
        </row>
        <row r="4194">
          <cell r="A4194" t="str">
            <v>36-01-15-0168</v>
          </cell>
          <cell r="B4194">
            <v>0</v>
          </cell>
          <cell r="C4194" t="str">
            <v xml:space="preserve">  L.C # 2000/118 PALATTIZING MACHINE.</v>
          </cell>
          <cell r="D4194">
            <v>0</v>
          </cell>
          <cell r="E4194">
            <v>0</v>
          </cell>
          <cell r="F4194">
            <v>0</v>
          </cell>
          <cell r="G4194">
            <v>0</v>
          </cell>
        </row>
        <row r="4195">
          <cell r="A4195" t="str">
            <v>36-01-15-0169</v>
          </cell>
          <cell r="B4195">
            <v>0</v>
          </cell>
          <cell r="C4195" t="str">
            <v xml:space="preserve">  L.C # 2000/117 3800 KG DUO-PLAST STRET</v>
          </cell>
          <cell r="D4195">
            <v>0</v>
          </cell>
          <cell r="E4195">
            <v>0</v>
          </cell>
          <cell r="F4195">
            <v>0</v>
          </cell>
          <cell r="G4195">
            <v>0</v>
          </cell>
        </row>
        <row r="4196">
          <cell r="A4196" t="str">
            <v>36-01-15-0170</v>
          </cell>
          <cell r="B4196">
            <v>0</v>
          </cell>
          <cell r="C4196" t="str">
            <v xml:space="preserve">  L.C # PSH/132 2 COMPLETE SOFT CARE-SPU</v>
          </cell>
          <cell r="D4196">
            <v>0</v>
          </cell>
          <cell r="E4196">
            <v>0</v>
          </cell>
          <cell r="F4196">
            <v>0</v>
          </cell>
          <cell r="G4196">
            <v>0</v>
          </cell>
        </row>
        <row r="4197">
          <cell r="A4197" t="str">
            <v>36-01-15-0171</v>
          </cell>
          <cell r="B4197">
            <v>0</v>
          </cell>
          <cell r="C4197" t="str">
            <v xml:space="preserve">  L.C #330/01/0662   2 ELITE SPINNING MA</v>
          </cell>
          <cell r="D4197">
            <v>0</v>
          </cell>
          <cell r="E4197">
            <v>0</v>
          </cell>
          <cell r="F4197">
            <v>0</v>
          </cell>
          <cell r="G4197">
            <v>0</v>
          </cell>
        </row>
        <row r="4198">
          <cell r="A4198" t="str">
            <v>36-01-15-0172</v>
          </cell>
          <cell r="B4198">
            <v>0</v>
          </cell>
          <cell r="C4198" t="str">
            <v xml:space="preserve">  L.C # 0864 11 DK-903 CARDS &amp; 3 DRAW HS</v>
          </cell>
          <cell r="D4198">
            <v>0</v>
          </cell>
          <cell r="E4198">
            <v>0</v>
          </cell>
          <cell r="F4198">
            <v>0</v>
          </cell>
          <cell r="G4198">
            <v>0</v>
          </cell>
        </row>
        <row r="4199">
          <cell r="A4199" t="str">
            <v>36-01-15-0173</v>
          </cell>
          <cell r="B4199">
            <v>0</v>
          </cell>
          <cell r="C4199" t="str">
            <v xml:space="preserve">  L.C # 2001/152 SAVIO CONE WINDER-ORION</v>
          </cell>
          <cell r="D4199">
            <v>0</v>
          </cell>
          <cell r="E4199">
            <v>0</v>
          </cell>
          <cell r="F4199">
            <v>0</v>
          </cell>
          <cell r="G4199">
            <v>0</v>
          </cell>
        </row>
        <row r="4200">
          <cell r="A4200" t="str">
            <v>36-01-15-0174</v>
          </cell>
          <cell r="B4200">
            <v>0</v>
          </cell>
          <cell r="C4200" t="str">
            <v xml:space="preserve">  L.C # PSH/151 10 JOINTAIR AQUA SPLICER</v>
          </cell>
          <cell r="D4200">
            <v>0</v>
          </cell>
          <cell r="E4200">
            <v>0</v>
          </cell>
          <cell r="F4200">
            <v>0</v>
          </cell>
          <cell r="G4200">
            <v>0</v>
          </cell>
        </row>
        <row r="4201">
          <cell r="A4201" t="str">
            <v>36-01-15-0175</v>
          </cell>
          <cell r="B4201">
            <v>0</v>
          </cell>
          <cell r="C4201" t="str">
            <v xml:space="preserve">  L.C # 2001/153 LUWA COMPLTE COMPACT FI</v>
          </cell>
          <cell r="D4201">
            <v>0</v>
          </cell>
          <cell r="E4201">
            <v>0</v>
          </cell>
          <cell r="F4201">
            <v>0</v>
          </cell>
          <cell r="G4201">
            <v>0</v>
          </cell>
        </row>
        <row r="4202">
          <cell r="A4202" t="str">
            <v>36-02</v>
          </cell>
          <cell r="B4202">
            <v>0</v>
          </cell>
          <cell r="C4202" t="str">
            <v>**C.W.I.P (BUILDING)</v>
          </cell>
          <cell r="D4202">
            <v>11907907</v>
          </cell>
          <cell r="E4202">
            <v>0</v>
          </cell>
          <cell r="F4202">
            <v>11907907</v>
          </cell>
          <cell r="G4202">
            <v>0</v>
          </cell>
        </row>
        <row r="4203">
          <cell r="A4203" t="str">
            <v>36-02-01</v>
          </cell>
          <cell r="B4203">
            <v>0</v>
          </cell>
          <cell r="C4203" t="str">
            <v>***C.W.I.P (BUILDING THROUGH IZHAR PVT L</v>
          </cell>
          <cell r="D4203">
            <v>11907907</v>
          </cell>
          <cell r="E4203">
            <v>0</v>
          </cell>
          <cell r="F4203">
            <v>11907907</v>
          </cell>
          <cell r="G4203">
            <v>0</v>
          </cell>
        </row>
        <row r="4204">
          <cell r="A4204" t="str">
            <v>36-02-01-0001</v>
          </cell>
          <cell r="B4204">
            <v>0</v>
          </cell>
          <cell r="C4204" t="str">
            <v xml:space="preserve">  C.W.I.P. ( BUILDING EXT. THROUGH IZHAR</v>
          </cell>
          <cell r="D4204">
            <v>0</v>
          </cell>
          <cell r="E4204">
            <v>0</v>
          </cell>
          <cell r="F4204">
            <v>0</v>
          </cell>
          <cell r="G4204">
            <v>0</v>
          </cell>
        </row>
        <row r="4205">
          <cell r="A4205" t="str">
            <v>36-02-01-0002</v>
          </cell>
          <cell r="B4205">
            <v>0</v>
          </cell>
          <cell r="C4205" t="str">
            <v xml:space="preserve">  C.W.I.P. ( BUILDING WORKER HOSTEL)</v>
          </cell>
          <cell r="D4205">
            <v>0</v>
          </cell>
          <cell r="E4205">
            <v>0</v>
          </cell>
          <cell r="F4205">
            <v>0</v>
          </cell>
          <cell r="G4205">
            <v>0</v>
          </cell>
        </row>
        <row r="4206">
          <cell r="A4206" t="str">
            <v>36-02-01-0003</v>
          </cell>
          <cell r="B4206">
            <v>0</v>
          </cell>
          <cell r="C4206" t="str">
            <v xml:space="preserve">  C.W.I.P.(BUILDING PHASE 2 THROUGH IZHA</v>
          </cell>
          <cell r="D4206">
            <v>0</v>
          </cell>
          <cell r="E4206">
            <v>0</v>
          </cell>
          <cell r="F4206">
            <v>0</v>
          </cell>
          <cell r="G4206">
            <v>0</v>
          </cell>
        </row>
        <row r="4207">
          <cell r="A4207" t="str">
            <v>36-02-01-0004</v>
          </cell>
          <cell r="B4207">
            <v>0</v>
          </cell>
          <cell r="C4207" t="str">
            <v xml:space="preserve">  FAMILY COLONY THROUGH IZHAR.</v>
          </cell>
          <cell r="D4207">
            <v>0</v>
          </cell>
          <cell r="E4207">
            <v>0</v>
          </cell>
          <cell r="F4207">
            <v>0</v>
          </cell>
          <cell r="G4207">
            <v>0</v>
          </cell>
        </row>
        <row r="4208">
          <cell r="A4208" t="str">
            <v>36-02-01-0005</v>
          </cell>
          <cell r="B4208">
            <v>0</v>
          </cell>
          <cell r="C4208" t="str">
            <v xml:space="preserve">  C.W.I.P. STEEL MATERIAL CONTROL A/C</v>
          </cell>
          <cell r="D4208">
            <v>0</v>
          </cell>
          <cell r="E4208">
            <v>0</v>
          </cell>
          <cell r="F4208">
            <v>0</v>
          </cell>
          <cell r="G4208">
            <v>0</v>
          </cell>
        </row>
        <row r="4209">
          <cell r="A4209" t="str">
            <v>36-02-01-0006</v>
          </cell>
          <cell r="B4209">
            <v>0</v>
          </cell>
          <cell r="C4209" t="str">
            <v xml:space="preserve">  C.W.I.P CEMENT MATERIAL CONTROL A/C</v>
          </cell>
          <cell r="D4209">
            <v>0</v>
          </cell>
          <cell r="E4209">
            <v>0</v>
          </cell>
          <cell r="F4209">
            <v>0</v>
          </cell>
          <cell r="G4209">
            <v>0</v>
          </cell>
        </row>
        <row r="4210">
          <cell r="A4210" t="str">
            <v>36-02-01-0007</v>
          </cell>
          <cell r="B4210">
            <v>0</v>
          </cell>
          <cell r="C4210" t="str">
            <v xml:space="preserve">  C.W.I.P ( LABOUR COLONY BUILDING)</v>
          </cell>
          <cell r="D4210">
            <v>0</v>
          </cell>
          <cell r="E4210">
            <v>0</v>
          </cell>
          <cell r="F4210">
            <v>0</v>
          </cell>
          <cell r="G4210">
            <v>0</v>
          </cell>
        </row>
        <row r="4211">
          <cell r="A4211" t="str">
            <v>36-02-01-0008</v>
          </cell>
          <cell r="B4211">
            <v>0</v>
          </cell>
          <cell r="C4211" t="str">
            <v xml:space="preserve">  C.W.I.P. GADOON POWER PLANT(BLD &amp; MSCH</v>
          </cell>
          <cell r="D4211">
            <v>0</v>
          </cell>
          <cell r="E4211">
            <v>0</v>
          </cell>
          <cell r="F4211">
            <v>0</v>
          </cell>
          <cell r="G4211">
            <v>0</v>
          </cell>
        </row>
        <row r="4212">
          <cell r="A4212" t="str">
            <v>36-02-01-0009</v>
          </cell>
          <cell r="B4212">
            <v>0</v>
          </cell>
          <cell r="C4212" t="str">
            <v xml:space="preserve">  C.W.I.P. PETROL PUMP.</v>
          </cell>
          <cell r="D4212">
            <v>0</v>
          </cell>
          <cell r="E4212">
            <v>0</v>
          </cell>
          <cell r="F4212">
            <v>0</v>
          </cell>
          <cell r="G4212">
            <v>0</v>
          </cell>
        </row>
        <row r="4213">
          <cell r="A4213" t="str">
            <v>36-02-01-0010</v>
          </cell>
          <cell r="B4213">
            <v>0</v>
          </cell>
          <cell r="C4213" t="str">
            <v xml:space="preserve">  C.W.I.P NEW  GODOWN (IZHAR (PVT-MILL #</v>
          </cell>
          <cell r="D4213">
            <v>0</v>
          </cell>
          <cell r="E4213">
            <v>0</v>
          </cell>
          <cell r="F4213">
            <v>0</v>
          </cell>
          <cell r="G4213">
            <v>0</v>
          </cell>
        </row>
        <row r="4214">
          <cell r="A4214" t="str">
            <v>36-02-01-0011</v>
          </cell>
          <cell r="B4214">
            <v>0</v>
          </cell>
          <cell r="C4214" t="str">
            <v xml:space="preserve">  C.W.I.P. MAIN ROAD (IZHAR PVT. LTD)</v>
          </cell>
          <cell r="D4214">
            <v>0</v>
          </cell>
          <cell r="E4214">
            <v>0</v>
          </cell>
          <cell r="F4214">
            <v>0</v>
          </cell>
          <cell r="G4214">
            <v>0</v>
          </cell>
        </row>
        <row r="4215">
          <cell r="A4215" t="str">
            <v>36-02-01-0012</v>
          </cell>
          <cell r="B4215">
            <v>0</v>
          </cell>
          <cell r="C4215" t="str">
            <v xml:space="preserve">  C.W.I.P W/SHOP EXTENSION (IZHAR PVT LT</v>
          </cell>
          <cell r="D4215">
            <v>0</v>
          </cell>
          <cell r="E4215">
            <v>0</v>
          </cell>
          <cell r="F4215">
            <v>0</v>
          </cell>
          <cell r="G4215">
            <v>0</v>
          </cell>
        </row>
        <row r="4216">
          <cell r="A4216" t="str">
            <v>36-02-01-0013</v>
          </cell>
          <cell r="B4216">
            <v>0</v>
          </cell>
          <cell r="C4216" t="str">
            <v xml:space="preserve">  C.W.I.P GODOWN EXT.MILL-3(IZHAR PVT LT</v>
          </cell>
          <cell r="D4216">
            <v>0</v>
          </cell>
          <cell r="E4216">
            <v>0</v>
          </cell>
          <cell r="F4216">
            <v>0</v>
          </cell>
          <cell r="G4216">
            <v>0</v>
          </cell>
        </row>
        <row r="4217">
          <cell r="A4217" t="str">
            <v>36-02-01-0014</v>
          </cell>
          <cell r="B4217">
            <v>0</v>
          </cell>
          <cell r="C4217" t="str">
            <v xml:space="preserve">  C.W.I.P. DOUBLING DEPTT.</v>
          </cell>
          <cell r="D4217">
            <v>0</v>
          </cell>
          <cell r="E4217">
            <v>0</v>
          </cell>
          <cell r="F4217">
            <v>0</v>
          </cell>
          <cell r="G4217">
            <v>0</v>
          </cell>
        </row>
        <row r="4218">
          <cell r="A4218" t="str">
            <v>36-02-01-0015</v>
          </cell>
          <cell r="B4218">
            <v>0</v>
          </cell>
          <cell r="C4218" t="str">
            <v xml:space="preserve">  C.W.I.P. BAILING PRESS IZHAR (PVT) LTD</v>
          </cell>
          <cell r="D4218">
            <v>0</v>
          </cell>
          <cell r="E4218">
            <v>0</v>
          </cell>
          <cell r="F4218">
            <v>0</v>
          </cell>
          <cell r="G4218">
            <v>0</v>
          </cell>
        </row>
        <row r="4219">
          <cell r="A4219" t="str">
            <v>36-02-01-0016</v>
          </cell>
          <cell r="B4219">
            <v>0</v>
          </cell>
          <cell r="C4219" t="str">
            <v xml:space="preserve">  C.W.I.P. DRAIN MILL # 4 (IZHAR PVT LTD</v>
          </cell>
          <cell r="D4219">
            <v>0</v>
          </cell>
          <cell r="E4219">
            <v>0</v>
          </cell>
          <cell r="F4219">
            <v>0</v>
          </cell>
          <cell r="G4219">
            <v>0</v>
          </cell>
        </row>
        <row r="4220">
          <cell r="A4220" t="str">
            <v>36-02-01-0017</v>
          </cell>
          <cell r="B4220">
            <v>0</v>
          </cell>
          <cell r="C4220" t="str">
            <v xml:space="preserve">  C.W.I.P. TURBINE (POWER PLANT&amp; ADMIN)</v>
          </cell>
          <cell r="D4220">
            <v>0</v>
          </cell>
          <cell r="E4220">
            <v>0</v>
          </cell>
          <cell r="F4220">
            <v>0</v>
          </cell>
          <cell r="G4220">
            <v>0</v>
          </cell>
        </row>
        <row r="4221">
          <cell r="A4221" t="str">
            <v>36-02-01-0018</v>
          </cell>
          <cell r="B4221">
            <v>0</v>
          </cell>
          <cell r="C4221" t="str">
            <v xml:space="preserve">  C.W.I.P. COMPACT SPINNING -IZHAR PVT L</v>
          </cell>
          <cell r="D4221">
            <v>0</v>
          </cell>
          <cell r="E4221">
            <v>0</v>
          </cell>
          <cell r="F4221">
            <v>0</v>
          </cell>
          <cell r="G4221">
            <v>0</v>
          </cell>
        </row>
        <row r="4222">
          <cell r="A4222" t="str">
            <v>36-02-01-0019</v>
          </cell>
          <cell r="B4222">
            <v>0</v>
          </cell>
          <cell r="C4222" t="str">
            <v xml:space="preserve">  C.W.I.P.U.GROUND WATER TANK (IZHAR PVT</v>
          </cell>
          <cell r="D4222">
            <v>0</v>
          </cell>
          <cell r="E4222">
            <v>0</v>
          </cell>
          <cell r="F4222">
            <v>0</v>
          </cell>
          <cell r="G4222">
            <v>0</v>
          </cell>
        </row>
        <row r="4223">
          <cell r="A4223" t="str">
            <v>36-02-01-0020</v>
          </cell>
          <cell r="B4223">
            <v>0</v>
          </cell>
          <cell r="C4223" t="str">
            <v xml:space="preserve">  C.W.I.P. LABOUR COLONY SINGLE ROOM P.P</v>
          </cell>
          <cell r="D4223">
            <v>0</v>
          </cell>
          <cell r="E4223">
            <v>0</v>
          </cell>
          <cell r="F4223">
            <v>0</v>
          </cell>
          <cell r="G4223">
            <v>0</v>
          </cell>
        </row>
        <row r="4224">
          <cell r="A4224" t="str">
            <v>36-02-01-0021</v>
          </cell>
          <cell r="B4224">
            <v>0</v>
          </cell>
          <cell r="C4224" t="str">
            <v xml:space="preserve">  C.W.I.P. NEW FAMILY COLONY DOUBLE ROOM</v>
          </cell>
          <cell r="D4224">
            <v>0</v>
          </cell>
          <cell r="E4224">
            <v>0</v>
          </cell>
          <cell r="F4224">
            <v>0</v>
          </cell>
          <cell r="G4224">
            <v>0</v>
          </cell>
        </row>
        <row r="4225">
          <cell r="A4225" t="str">
            <v>36-02-01-0022</v>
          </cell>
          <cell r="B4225">
            <v>0</v>
          </cell>
          <cell r="C4225" t="str">
            <v xml:space="preserve">  C.W.I.P. COTTON GODOWN MILL #4 PHASE I</v>
          </cell>
          <cell r="D4225">
            <v>0</v>
          </cell>
          <cell r="E4225">
            <v>0</v>
          </cell>
          <cell r="F4225">
            <v>0</v>
          </cell>
          <cell r="G4225">
            <v>0</v>
          </cell>
        </row>
        <row r="4226">
          <cell r="A4226" t="str">
            <v>36-02-01-0024</v>
          </cell>
          <cell r="B4226">
            <v>0</v>
          </cell>
          <cell r="C4226" t="str">
            <v xml:space="preserve">  C.W.I.P. BLOW ROOM EXTENSION MILL # 2</v>
          </cell>
          <cell r="D4226">
            <v>0</v>
          </cell>
          <cell r="E4226">
            <v>0</v>
          </cell>
          <cell r="F4226">
            <v>0</v>
          </cell>
          <cell r="G4226">
            <v>0</v>
          </cell>
        </row>
        <row r="4227">
          <cell r="A4227" t="str">
            <v>36-02-01-0025</v>
          </cell>
          <cell r="B4227">
            <v>0</v>
          </cell>
          <cell r="C4227" t="str">
            <v xml:space="preserve">  C.W.I.P. COTTON GGODOWN MILL # 4 PHASE</v>
          </cell>
          <cell r="D4227">
            <v>0</v>
          </cell>
          <cell r="E4227">
            <v>0</v>
          </cell>
          <cell r="F4227">
            <v>0</v>
          </cell>
          <cell r="G4227">
            <v>0</v>
          </cell>
        </row>
        <row r="4228">
          <cell r="A4228" t="str">
            <v>36-02-01-0026</v>
          </cell>
          <cell r="B4228">
            <v>0</v>
          </cell>
          <cell r="C4228" t="str">
            <v xml:space="preserve">  C.W.I.P. WASTE COTTON LOADING SHED</v>
          </cell>
          <cell r="D4228">
            <v>0</v>
          </cell>
          <cell r="E4228">
            <v>0</v>
          </cell>
          <cell r="F4228">
            <v>0</v>
          </cell>
          <cell r="G4228">
            <v>0</v>
          </cell>
        </row>
        <row r="4229">
          <cell r="A4229" t="str">
            <v>36-02-01-0027</v>
          </cell>
          <cell r="B4229">
            <v>0</v>
          </cell>
          <cell r="C4229" t="str">
            <v xml:space="preserve">  C.W.I.P BUILDING MILL # 6 (PHASE-I)</v>
          </cell>
          <cell r="D4229">
            <v>0</v>
          </cell>
          <cell r="E4229">
            <v>0</v>
          </cell>
          <cell r="F4229">
            <v>0</v>
          </cell>
          <cell r="G4229">
            <v>0</v>
          </cell>
        </row>
        <row r="4230">
          <cell r="A4230" t="str">
            <v>36-02-01-0028</v>
          </cell>
          <cell r="B4230">
            <v>0</v>
          </cell>
          <cell r="C4230" t="str">
            <v xml:space="preserve">  C.W.I.P EXTENTION OF POWER PLANT.</v>
          </cell>
          <cell r="D4230">
            <v>0</v>
          </cell>
          <cell r="E4230">
            <v>0</v>
          </cell>
          <cell r="F4230">
            <v>0</v>
          </cell>
          <cell r="G4230">
            <v>0</v>
          </cell>
        </row>
        <row r="4231">
          <cell r="A4231" t="str">
            <v>36-02-01-0029</v>
          </cell>
          <cell r="B4231">
            <v>0</v>
          </cell>
          <cell r="C4231" t="str">
            <v xml:space="preserve">  C.W.I.P BUILDING MILL # 7</v>
          </cell>
          <cell r="D4231">
            <v>0</v>
          </cell>
          <cell r="E4231">
            <v>0</v>
          </cell>
          <cell r="F4231">
            <v>0</v>
          </cell>
          <cell r="G4231">
            <v>0</v>
          </cell>
        </row>
        <row r="4232">
          <cell r="A4232" t="str">
            <v>36-02-01-0030</v>
          </cell>
          <cell r="B4232">
            <v>0</v>
          </cell>
          <cell r="C4232" t="str">
            <v xml:space="preserve">  C.W.I.P BUILDING MILL # 6 (PHASE-II)</v>
          </cell>
          <cell r="D4232">
            <v>0</v>
          </cell>
          <cell r="E4232">
            <v>0</v>
          </cell>
          <cell r="F4232">
            <v>0</v>
          </cell>
          <cell r="G4232">
            <v>0</v>
          </cell>
        </row>
        <row r="4233">
          <cell r="A4233" t="str">
            <v>36-02-01-0031</v>
          </cell>
          <cell r="B4233">
            <v>0</v>
          </cell>
          <cell r="C4233" t="str">
            <v xml:space="preserve">  C.W.I.P DOUBLING DEPTT. IZHAR (PVT) LT</v>
          </cell>
          <cell r="D4233">
            <v>0</v>
          </cell>
          <cell r="E4233">
            <v>0</v>
          </cell>
          <cell r="F4233">
            <v>0</v>
          </cell>
          <cell r="G4233">
            <v>0</v>
          </cell>
        </row>
        <row r="4234">
          <cell r="A4234" t="str">
            <v>36-02-01-0032</v>
          </cell>
          <cell r="B4234">
            <v>0</v>
          </cell>
          <cell r="C4234" t="str">
            <v xml:space="preserve">  C.W.I.P POWER PLANT-2 EXTENTION IZHAR</v>
          </cell>
          <cell r="D4234">
            <v>0</v>
          </cell>
          <cell r="E4234">
            <v>0</v>
          </cell>
          <cell r="F4234">
            <v>0</v>
          </cell>
          <cell r="G4234">
            <v>0</v>
          </cell>
        </row>
        <row r="4235">
          <cell r="A4235" t="str">
            <v>36-02-01-0033</v>
          </cell>
          <cell r="B4235">
            <v>0</v>
          </cell>
          <cell r="C4235" t="str">
            <v xml:space="preserve">  C.W.I.P RENOVATION OF BLOW ROOM &amp; CARD</v>
          </cell>
          <cell r="D4235">
            <v>4371390</v>
          </cell>
          <cell r="E4235">
            <v>0</v>
          </cell>
          <cell r="F4235">
            <v>0</v>
          </cell>
          <cell r="G4235">
            <v>0</v>
          </cell>
        </row>
        <row r="4236">
          <cell r="A4236" t="str">
            <v>36-02-01-0034</v>
          </cell>
          <cell r="B4236">
            <v>0</v>
          </cell>
          <cell r="C4236" t="str">
            <v xml:space="preserve">  C.W.I.P ROAD DRAIN PLINTH PROTECTION M</v>
          </cell>
          <cell r="D4236">
            <v>3074991</v>
          </cell>
          <cell r="E4236">
            <v>0</v>
          </cell>
          <cell r="F4236">
            <v>0</v>
          </cell>
          <cell r="G4236">
            <v>0</v>
          </cell>
        </row>
        <row r="4237">
          <cell r="A4237" t="str">
            <v>36-02-01-0035</v>
          </cell>
          <cell r="B4237">
            <v>0</v>
          </cell>
          <cell r="C4237" t="str">
            <v xml:space="preserve">  C.W.I.P SHELL STRUCTURE-GTM</v>
          </cell>
          <cell r="D4237">
            <v>3234791</v>
          </cell>
          <cell r="E4237">
            <v>0</v>
          </cell>
          <cell r="F4237">
            <v>0</v>
          </cell>
          <cell r="G4237">
            <v>0</v>
          </cell>
        </row>
        <row r="4238">
          <cell r="A4238" t="str">
            <v>36-02-01-0036</v>
          </cell>
          <cell r="B4238">
            <v>0</v>
          </cell>
          <cell r="C4238" t="str">
            <v xml:space="preserve">  C.W.I.P POWER PLANT # 2 NEW</v>
          </cell>
          <cell r="D4238">
            <v>1110599</v>
          </cell>
          <cell r="E4238">
            <v>0</v>
          </cell>
          <cell r="F4238">
            <v>0</v>
          </cell>
          <cell r="G4238">
            <v>0</v>
          </cell>
        </row>
        <row r="4239">
          <cell r="A4239" t="str">
            <v>36-02-01-0037</v>
          </cell>
          <cell r="B4239">
            <v>0</v>
          </cell>
          <cell r="C4239" t="str">
            <v xml:space="preserve">  C.W.I.P MILL # 2(EXTENSION WORK) IZHAR</v>
          </cell>
          <cell r="D4239">
            <v>116136</v>
          </cell>
          <cell r="E4239">
            <v>0</v>
          </cell>
          <cell r="F4239">
            <v>0</v>
          </cell>
          <cell r="G4239">
            <v>0</v>
          </cell>
        </row>
        <row r="4240">
          <cell r="A4240" t="str">
            <v>36-02-02</v>
          </cell>
          <cell r="B4240">
            <v>0</v>
          </cell>
          <cell r="C4240" t="str">
            <v>***C.W.I.P (BUILDING THROUGH IZHAR CONST</v>
          </cell>
          <cell r="D4240">
            <v>0</v>
          </cell>
          <cell r="E4240">
            <v>0</v>
          </cell>
          <cell r="F4240">
            <v>0</v>
          </cell>
          <cell r="G4240">
            <v>0</v>
          </cell>
        </row>
        <row r="4241">
          <cell r="A4241" t="str">
            <v>36-02-02-0001</v>
          </cell>
          <cell r="B4241">
            <v>0</v>
          </cell>
          <cell r="C4241" t="str">
            <v xml:space="preserve">  C.W.I.P-BUILDING PHASE-3 IZHAR CONSTR</v>
          </cell>
          <cell r="D4241">
            <v>0</v>
          </cell>
          <cell r="E4241">
            <v>0</v>
          </cell>
          <cell r="F4241">
            <v>0</v>
          </cell>
          <cell r="G4241">
            <v>0</v>
          </cell>
        </row>
        <row r="4242">
          <cell r="A4242" t="str">
            <v>36-02-02-0002</v>
          </cell>
          <cell r="B4242">
            <v>0</v>
          </cell>
          <cell r="C4242" t="str">
            <v xml:space="preserve">  C.W.I.P RESIDENTAIL COLONY MILL # 6</v>
          </cell>
          <cell r="D4242">
            <v>0</v>
          </cell>
          <cell r="E4242">
            <v>0</v>
          </cell>
          <cell r="F4242">
            <v>0</v>
          </cell>
          <cell r="G4242">
            <v>0</v>
          </cell>
        </row>
        <row r="4243">
          <cell r="A4243" t="str">
            <v>36-02-02-0003</v>
          </cell>
          <cell r="B4243">
            <v>0</v>
          </cell>
          <cell r="C4243" t="str">
            <v xml:space="preserve">  C.W.I.P.LABOUR COLONY MILL # 1&amp; 2  IZH</v>
          </cell>
          <cell r="D4243">
            <v>0</v>
          </cell>
          <cell r="E4243">
            <v>0</v>
          </cell>
          <cell r="F4243">
            <v>0</v>
          </cell>
          <cell r="G4243">
            <v>0</v>
          </cell>
        </row>
        <row r="4244">
          <cell r="A4244" t="str">
            <v>36-02-02-0004</v>
          </cell>
          <cell r="B4244">
            <v>0</v>
          </cell>
          <cell r="C4244" t="str">
            <v xml:space="preserve">  C.W.I.P (OTHER PROJECT CONSTRUCT BY RA</v>
          </cell>
          <cell r="D4244">
            <v>0</v>
          </cell>
          <cell r="E4244">
            <v>0</v>
          </cell>
          <cell r="F4244">
            <v>0</v>
          </cell>
          <cell r="G4244">
            <v>0</v>
          </cell>
        </row>
        <row r="4245">
          <cell r="A4245" t="str">
            <v>36-02-03</v>
          </cell>
          <cell r="B4245">
            <v>0</v>
          </cell>
          <cell r="C4245" t="str">
            <v>***C.W.I.P (THROUGH OTHER CONTACTOR)</v>
          </cell>
          <cell r="D4245">
            <v>0</v>
          </cell>
          <cell r="E4245">
            <v>0</v>
          </cell>
          <cell r="F4245">
            <v>0</v>
          </cell>
          <cell r="G4245">
            <v>0</v>
          </cell>
        </row>
        <row r="4246">
          <cell r="A4246" t="str">
            <v>36-02-03-0001</v>
          </cell>
          <cell r="B4246">
            <v>0</v>
          </cell>
          <cell r="C4246" t="str">
            <v xml:space="preserve">  KHAWAJA BROTHERS FOR KITCHEN &amp; BATHROO</v>
          </cell>
          <cell r="D4246">
            <v>0</v>
          </cell>
          <cell r="E4246">
            <v>0</v>
          </cell>
          <cell r="F4246">
            <v>0</v>
          </cell>
          <cell r="G4246">
            <v>0</v>
          </cell>
        </row>
        <row r="4247">
          <cell r="A4247" t="str">
            <v>36-02-03-0002</v>
          </cell>
          <cell r="B4247">
            <v>0</v>
          </cell>
          <cell r="C4247" t="str">
            <v xml:space="preserve">  C.W.I.P. NEW MOSQUE GATE # 2-ZOOM ENGI</v>
          </cell>
          <cell r="D4247">
            <v>0</v>
          </cell>
          <cell r="E4247">
            <v>0</v>
          </cell>
          <cell r="F4247">
            <v>0</v>
          </cell>
          <cell r="G4247">
            <v>0</v>
          </cell>
        </row>
        <row r="4248">
          <cell r="A4248" t="str">
            <v>36-02-03-0003</v>
          </cell>
          <cell r="B4248">
            <v>0</v>
          </cell>
          <cell r="C4248" t="str">
            <v xml:space="preserve">  NEW LABOUR COLONY IN ROAD # 5-ZOOM ENG</v>
          </cell>
          <cell r="D4248">
            <v>0</v>
          </cell>
          <cell r="E4248">
            <v>0</v>
          </cell>
          <cell r="F4248">
            <v>0</v>
          </cell>
          <cell r="G4248">
            <v>0</v>
          </cell>
        </row>
        <row r="4249">
          <cell r="A4249" t="str">
            <v>36-02-03-0004</v>
          </cell>
          <cell r="B4249">
            <v>0</v>
          </cell>
          <cell r="C4249" t="str">
            <v xml:space="preserve">  C.WI.P. MILL # 7 BACK PREMISESS (RANA)</v>
          </cell>
          <cell r="D4249">
            <v>0</v>
          </cell>
          <cell r="E4249">
            <v>0</v>
          </cell>
          <cell r="F4249">
            <v>0</v>
          </cell>
          <cell r="G4249">
            <v>0</v>
          </cell>
        </row>
        <row r="4250">
          <cell r="A4250" t="str">
            <v>36-02-03-0005</v>
          </cell>
          <cell r="B4250">
            <v>0</v>
          </cell>
          <cell r="C4250" t="str">
            <v xml:space="preserve">  C.W.I.P LABOUR COLONY MILL # 06 BY RAN</v>
          </cell>
          <cell r="D4250">
            <v>0</v>
          </cell>
          <cell r="E4250">
            <v>0</v>
          </cell>
          <cell r="F4250">
            <v>0</v>
          </cell>
          <cell r="G4250">
            <v>0</v>
          </cell>
        </row>
        <row r="4251">
          <cell r="A4251" t="str">
            <v>36-03</v>
          </cell>
          <cell r="B4251">
            <v>0</v>
          </cell>
          <cell r="C4251" t="str">
            <v>**C.W.I.P (ELECTRICAL INSTALLATION)</v>
          </cell>
          <cell r="D4251">
            <v>0</v>
          </cell>
          <cell r="E4251">
            <v>0</v>
          </cell>
          <cell r="F4251">
            <v>0</v>
          </cell>
          <cell r="G4251">
            <v>0</v>
          </cell>
        </row>
        <row r="4252">
          <cell r="A4252" t="str">
            <v>36-03-01</v>
          </cell>
          <cell r="B4252">
            <v>0</v>
          </cell>
          <cell r="C4252" t="str">
            <v>***C.W.I.P. ELECTRIC INSTALLATION</v>
          </cell>
          <cell r="D4252">
            <v>0</v>
          </cell>
          <cell r="E4252">
            <v>0</v>
          </cell>
          <cell r="F4252">
            <v>0</v>
          </cell>
          <cell r="G4252">
            <v>0</v>
          </cell>
        </row>
        <row r="4253">
          <cell r="A4253" t="str">
            <v>36-03-01-0001</v>
          </cell>
          <cell r="B4253">
            <v>0</v>
          </cell>
          <cell r="C4253" t="str">
            <v xml:space="preserve">  C.W.I.P (ELECTRICAL INSTALLATION)</v>
          </cell>
          <cell r="D4253">
            <v>0</v>
          </cell>
          <cell r="E4253">
            <v>0</v>
          </cell>
          <cell r="F4253">
            <v>0</v>
          </cell>
          <cell r="G4253">
            <v>0</v>
          </cell>
        </row>
        <row r="4254">
          <cell r="A4254" t="str">
            <v>41</v>
          </cell>
          <cell r="B4254">
            <v>0</v>
          </cell>
          <cell r="C4254" t="str">
            <v>*LONG TERM INVESTMENTS</v>
          </cell>
          <cell r="D4254">
            <v>0</v>
          </cell>
          <cell r="E4254">
            <v>0</v>
          </cell>
          <cell r="F4254">
            <v>0</v>
          </cell>
          <cell r="G4254">
            <v>0</v>
          </cell>
        </row>
        <row r="4255">
          <cell r="A4255" t="str">
            <v>41-01</v>
          </cell>
          <cell r="B4255">
            <v>0</v>
          </cell>
          <cell r="C4255" t="str">
            <v>**INVESTMENTS IN SHARES</v>
          </cell>
          <cell r="D4255">
            <v>0</v>
          </cell>
          <cell r="E4255">
            <v>0</v>
          </cell>
          <cell r="F4255">
            <v>0</v>
          </cell>
          <cell r="G4255">
            <v>0</v>
          </cell>
        </row>
        <row r="4256">
          <cell r="A4256" t="str">
            <v>41-01-01</v>
          </cell>
          <cell r="B4256">
            <v>0</v>
          </cell>
          <cell r="C4256" t="str">
            <v>***INVESTMENTS IN ASSOCIATED COMPANY</v>
          </cell>
          <cell r="D4256">
            <v>0</v>
          </cell>
          <cell r="E4256">
            <v>0</v>
          </cell>
          <cell r="F4256">
            <v>0</v>
          </cell>
          <cell r="G4256">
            <v>0</v>
          </cell>
        </row>
        <row r="4257">
          <cell r="A4257" t="str">
            <v>41-01-01-0001</v>
          </cell>
          <cell r="B4257">
            <v>0</v>
          </cell>
          <cell r="C4257" t="str">
            <v xml:space="preserve">  INVESTMENT IN LUCKY CEMENT LTD.</v>
          </cell>
          <cell r="D4257">
            <v>0</v>
          </cell>
          <cell r="E4257">
            <v>0</v>
          </cell>
          <cell r="F4257">
            <v>0</v>
          </cell>
          <cell r="G4257">
            <v>0</v>
          </cell>
        </row>
        <row r="4258">
          <cell r="A4258" t="str">
            <v>41-02</v>
          </cell>
          <cell r="B4258">
            <v>0</v>
          </cell>
          <cell r="C4258" t="str">
            <v>**OTHER INVESTMENTS</v>
          </cell>
          <cell r="D4258">
            <v>0</v>
          </cell>
          <cell r="E4258">
            <v>0</v>
          </cell>
          <cell r="F4258">
            <v>0</v>
          </cell>
          <cell r="G4258">
            <v>0</v>
          </cell>
        </row>
        <row r="4259">
          <cell r="A4259" t="str">
            <v>41-02-01</v>
          </cell>
          <cell r="B4259">
            <v>0</v>
          </cell>
          <cell r="C4259" t="str">
            <v>***PROVISION FOR DIMINUTION IN SHARE</v>
          </cell>
          <cell r="D4259">
            <v>0</v>
          </cell>
          <cell r="E4259">
            <v>0</v>
          </cell>
          <cell r="F4259">
            <v>0</v>
          </cell>
          <cell r="G4259">
            <v>0</v>
          </cell>
        </row>
        <row r="4260">
          <cell r="A4260" t="str">
            <v>41-02-01-0001</v>
          </cell>
          <cell r="B4260">
            <v>0</v>
          </cell>
          <cell r="C4260" t="str">
            <v xml:space="preserve">  PROVISION FOR DIMINUTION IN SHARE LUCK</v>
          </cell>
          <cell r="D4260">
            <v>0</v>
          </cell>
          <cell r="E4260">
            <v>0</v>
          </cell>
          <cell r="F4260">
            <v>0</v>
          </cell>
          <cell r="G4260">
            <v>0</v>
          </cell>
        </row>
        <row r="4261">
          <cell r="A4261" t="str">
            <v>47</v>
          </cell>
          <cell r="B4261">
            <v>0</v>
          </cell>
          <cell r="C4261" t="str">
            <v>*L.T.DEPOSITS,PREPAYMENTS &amp; DEFERRED COS</v>
          </cell>
          <cell r="D4261">
            <v>2455714</v>
          </cell>
          <cell r="E4261">
            <v>0</v>
          </cell>
          <cell r="F4261">
            <v>2455714</v>
          </cell>
          <cell r="G4261">
            <v>0</v>
          </cell>
        </row>
        <row r="4262">
          <cell r="A4262" t="str">
            <v>47-01</v>
          </cell>
          <cell r="B4262">
            <v>0</v>
          </cell>
          <cell r="C4262" t="str">
            <v>**L.T.DEPOSITS</v>
          </cell>
          <cell r="D4262">
            <v>2455714</v>
          </cell>
          <cell r="E4262">
            <v>0</v>
          </cell>
          <cell r="F4262">
            <v>2455714</v>
          </cell>
          <cell r="G4262">
            <v>0</v>
          </cell>
        </row>
        <row r="4263">
          <cell r="A4263" t="str">
            <v>47-01-01</v>
          </cell>
          <cell r="B4263">
            <v>0</v>
          </cell>
          <cell r="C4263" t="str">
            <v>***L.T.DEPOSITS (FACTORY)</v>
          </cell>
          <cell r="D4263">
            <v>2380714</v>
          </cell>
          <cell r="E4263">
            <v>0</v>
          </cell>
          <cell r="F4263">
            <v>2380714</v>
          </cell>
          <cell r="G4263">
            <v>0</v>
          </cell>
        </row>
        <row r="4264">
          <cell r="A4264" t="str">
            <v>47-01-01-0001</v>
          </cell>
          <cell r="B4264">
            <v>0</v>
          </cell>
          <cell r="C4264" t="str">
            <v xml:space="preserve">  SECURITY DEPOSIT</v>
          </cell>
          <cell r="D4264">
            <v>2060440</v>
          </cell>
          <cell r="E4264">
            <v>0</v>
          </cell>
          <cell r="F4264">
            <v>0</v>
          </cell>
          <cell r="G4264">
            <v>0</v>
          </cell>
        </row>
        <row r="4265">
          <cell r="A4265" t="str">
            <v>47-01-01-0002</v>
          </cell>
          <cell r="B4265">
            <v>0</v>
          </cell>
          <cell r="C4265" t="str">
            <v xml:space="preserve">  LICENCE SECURITY</v>
          </cell>
          <cell r="D4265">
            <v>1000</v>
          </cell>
          <cell r="E4265">
            <v>0</v>
          </cell>
          <cell r="F4265">
            <v>0</v>
          </cell>
          <cell r="G4265">
            <v>0</v>
          </cell>
        </row>
        <row r="4266">
          <cell r="A4266" t="str">
            <v>47-01-01-0003</v>
          </cell>
          <cell r="B4266">
            <v>0</v>
          </cell>
          <cell r="C4266" t="str">
            <v xml:space="preserve">  HOUSE RENT SECURITY</v>
          </cell>
          <cell r="D4266">
            <v>20000</v>
          </cell>
          <cell r="E4266">
            <v>0</v>
          </cell>
          <cell r="F4266">
            <v>0</v>
          </cell>
          <cell r="G4266">
            <v>0</v>
          </cell>
        </row>
        <row r="4267">
          <cell r="A4267" t="str">
            <v>47-01-01-0004</v>
          </cell>
          <cell r="B4267">
            <v>0</v>
          </cell>
          <cell r="C4267" t="str">
            <v xml:space="preserve">  TELEPHONE DEPOSITE</v>
          </cell>
          <cell r="D4267">
            <v>54274</v>
          </cell>
          <cell r="E4267">
            <v>0</v>
          </cell>
          <cell r="F4267">
            <v>0</v>
          </cell>
          <cell r="G4267">
            <v>0</v>
          </cell>
        </row>
        <row r="4268">
          <cell r="A4268" t="str">
            <v>47-01-01-0005</v>
          </cell>
          <cell r="B4268">
            <v>0</v>
          </cell>
          <cell r="C4268" t="str">
            <v xml:space="preserve">  SECURITY DEPOSIT SUI NORTHERN GAS PIPE</v>
          </cell>
          <cell r="D4268">
            <v>215000</v>
          </cell>
          <cell r="E4268">
            <v>0</v>
          </cell>
          <cell r="F4268">
            <v>0</v>
          </cell>
          <cell r="G4268">
            <v>0</v>
          </cell>
        </row>
        <row r="4269">
          <cell r="A4269" t="str">
            <v>47-01-01-0006</v>
          </cell>
          <cell r="B4269">
            <v>0</v>
          </cell>
          <cell r="C4269" t="str">
            <v xml:space="preserve">  PINDI OFFICE SECURITY</v>
          </cell>
          <cell r="D4269">
            <v>30000</v>
          </cell>
          <cell r="E4269">
            <v>0</v>
          </cell>
          <cell r="F4269">
            <v>0</v>
          </cell>
          <cell r="G4269">
            <v>0</v>
          </cell>
        </row>
        <row r="4270">
          <cell r="A4270" t="str">
            <v>47-01-02</v>
          </cell>
          <cell r="B4270">
            <v>0</v>
          </cell>
          <cell r="C4270" t="str">
            <v>***L.T.DEPOSITS (KARACHI)</v>
          </cell>
          <cell r="D4270">
            <v>75000</v>
          </cell>
          <cell r="E4270">
            <v>0</v>
          </cell>
          <cell r="F4270">
            <v>75000</v>
          </cell>
          <cell r="G4270">
            <v>0</v>
          </cell>
        </row>
        <row r="4271">
          <cell r="A4271" t="str">
            <v>47-01-02-0001</v>
          </cell>
          <cell r="B4271">
            <v>0</v>
          </cell>
          <cell r="C4271" t="str">
            <v xml:space="preserve">  SECURITY.DEPOSITS CENTRAL DEPOSITORY C</v>
          </cell>
          <cell r="D4271">
            <v>75000</v>
          </cell>
          <cell r="E4271">
            <v>0</v>
          </cell>
          <cell r="F4271">
            <v>0</v>
          </cell>
          <cell r="G4271">
            <v>0</v>
          </cell>
        </row>
        <row r="4272">
          <cell r="A4272" t="str">
            <v>51</v>
          </cell>
          <cell r="B4272">
            <v>0</v>
          </cell>
          <cell r="C4272" t="str">
            <v>*S. T. ADVANCES, DEPOSITS &amp; PREPAYMENTS</v>
          </cell>
          <cell r="D4272">
            <v>208611509.18000001</v>
          </cell>
          <cell r="E4272">
            <v>0</v>
          </cell>
          <cell r="F4272">
            <v>209332861.99000001</v>
          </cell>
          <cell r="G4272">
            <v>721352.81</v>
          </cell>
        </row>
        <row r="4273">
          <cell r="A4273" t="str">
            <v>51-01</v>
          </cell>
          <cell r="B4273">
            <v>721352.5</v>
          </cell>
          <cell r="C4273" t="str">
            <v>**ADVANCE AGAINST EXPENSES</v>
          </cell>
          <cell r="D4273">
            <v>619612.9</v>
          </cell>
          <cell r="E4273">
            <v>0</v>
          </cell>
          <cell r="F4273">
            <v>619852.35</v>
          </cell>
          <cell r="G4273">
            <v>239.45</v>
          </cell>
        </row>
        <row r="4274">
          <cell r="A4274" t="str">
            <v>51-01-01</v>
          </cell>
          <cell r="B4274">
            <v>239.449951171875</v>
          </cell>
          <cell r="C4274" t="str">
            <v>***ADVANCE AGAINST EXPENSES (FACTORY)</v>
          </cell>
          <cell r="D4274">
            <v>157309.54999999999</v>
          </cell>
          <cell r="E4274">
            <v>0</v>
          </cell>
          <cell r="F4274">
            <v>157309.54999999999</v>
          </cell>
          <cell r="G4274">
            <v>0</v>
          </cell>
        </row>
        <row r="4275">
          <cell r="A4275" t="str">
            <v>51-01-01-0001</v>
          </cell>
          <cell r="B4275">
            <v>0</v>
          </cell>
          <cell r="C4275" t="str">
            <v xml:space="preserve">  NASIM BINDER</v>
          </cell>
          <cell r="D4275">
            <v>0</v>
          </cell>
          <cell r="E4275">
            <v>0</v>
          </cell>
          <cell r="F4275">
            <v>0</v>
          </cell>
          <cell r="G4275">
            <v>0</v>
          </cell>
        </row>
        <row r="4276">
          <cell r="A4276" t="str">
            <v>51-01-01-0002</v>
          </cell>
          <cell r="B4276">
            <v>0</v>
          </cell>
          <cell r="C4276" t="str">
            <v xml:space="preserve">  HAYAT KHAN IMPREST ACCOUNT</v>
          </cell>
          <cell r="D4276">
            <v>0</v>
          </cell>
          <cell r="E4276">
            <v>0</v>
          </cell>
          <cell r="F4276">
            <v>0</v>
          </cell>
          <cell r="G4276">
            <v>0</v>
          </cell>
        </row>
        <row r="4277">
          <cell r="A4277" t="str">
            <v>51-01-01-0003</v>
          </cell>
          <cell r="B4277">
            <v>0</v>
          </cell>
          <cell r="C4277" t="str">
            <v xml:space="preserve">  KARACHI OFFICE IMPREST</v>
          </cell>
          <cell r="D4277">
            <v>0</v>
          </cell>
          <cell r="E4277">
            <v>0</v>
          </cell>
          <cell r="F4277">
            <v>0</v>
          </cell>
          <cell r="G4277">
            <v>0</v>
          </cell>
        </row>
        <row r="4278">
          <cell r="A4278" t="str">
            <v>51-01-01-0004</v>
          </cell>
          <cell r="B4278">
            <v>0</v>
          </cell>
          <cell r="C4278" t="str">
            <v xml:space="preserve">  SABZALI IMPREST</v>
          </cell>
          <cell r="D4278">
            <v>0</v>
          </cell>
          <cell r="E4278">
            <v>0</v>
          </cell>
          <cell r="F4278">
            <v>0</v>
          </cell>
          <cell r="G4278">
            <v>0</v>
          </cell>
        </row>
        <row r="4279">
          <cell r="A4279" t="str">
            <v>51-01-01-0005</v>
          </cell>
          <cell r="B4279">
            <v>0</v>
          </cell>
          <cell r="C4279" t="str">
            <v xml:space="preserve">  M.OWAIS IMPREST</v>
          </cell>
          <cell r="D4279">
            <v>0</v>
          </cell>
          <cell r="E4279">
            <v>0</v>
          </cell>
          <cell r="F4279">
            <v>0</v>
          </cell>
          <cell r="G4279">
            <v>0</v>
          </cell>
        </row>
        <row r="4280">
          <cell r="A4280" t="str">
            <v>51-01-01-0006</v>
          </cell>
          <cell r="B4280">
            <v>0</v>
          </cell>
          <cell r="C4280" t="str">
            <v xml:space="preserve">  BABAR AFZAL IMPREST A/C</v>
          </cell>
          <cell r="D4280">
            <v>0</v>
          </cell>
          <cell r="E4280">
            <v>0</v>
          </cell>
          <cell r="F4280">
            <v>0</v>
          </cell>
          <cell r="G4280">
            <v>0</v>
          </cell>
        </row>
        <row r="4281">
          <cell r="A4281" t="str">
            <v>51-01-01-0007</v>
          </cell>
          <cell r="B4281">
            <v>0</v>
          </cell>
          <cell r="C4281" t="str">
            <v xml:space="preserve">  ISLAMABAD OFFICE IMPREST</v>
          </cell>
          <cell r="D4281">
            <v>0</v>
          </cell>
          <cell r="E4281">
            <v>0</v>
          </cell>
          <cell r="F4281">
            <v>0</v>
          </cell>
          <cell r="G4281">
            <v>0</v>
          </cell>
        </row>
        <row r="4282">
          <cell r="A4282" t="str">
            <v>51-01-01-0008</v>
          </cell>
          <cell r="B4282">
            <v>0</v>
          </cell>
          <cell r="C4282" t="str">
            <v xml:space="preserve">  ABID SHAH IMPREST</v>
          </cell>
          <cell r="D4282">
            <v>0</v>
          </cell>
          <cell r="E4282">
            <v>0</v>
          </cell>
          <cell r="F4282">
            <v>0</v>
          </cell>
          <cell r="G4282">
            <v>0</v>
          </cell>
        </row>
        <row r="4283">
          <cell r="A4283" t="str">
            <v>51-01-01-0009</v>
          </cell>
          <cell r="B4283">
            <v>0</v>
          </cell>
          <cell r="C4283" t="str">
            <v xml:space="preserve">  NAWAZ LOADING UNLOADING</v>
          </cell>
          <cell r="D4283">
            <v>0</v>
          </cell>
          <cell r="E4283">
            <v>0</v>
          </cell>
          <cell r="F4283">
            <v>0</v>
          </cell>
          <cell r="G4283">
            <v>0</v>
          </cell>
        </row>
        <row r="4284">
          <cell r="A4284" t="str">
            <v>51-01-01-0010</v>
          </cell>
          <cell r="B4284">
            <v>0</v>
          </cell>
          <cell r="C4284" t="str">
            <v xml:space="preserve">  SHER AFZAL P.CONTRACTOR</v>
          </cell>
          <cell r="D4284">
            <v>0</v>
          </cell>
          <cell r="E4284">
            <v>0</v>
          </cell>
          <cell r="F4284">
            <v>0</v>
          </cell>
          <cell r="G4284">
            <v>0</v>
          </cell>
        </row>
        <row r="4285">
          <cell r="A4285" t="str">
            <v>51-01-01-0011</v>
          </cell>
          <cell r="B4285">
            <v>0</v>
          </cell>
          <cell r="C4285" t="str">
            <v xml:space="preserve">  MUHAMMAD HUSSAIN CONTRACTOR</v>
          </cell>
          <cell r="D4285">
            <v>0</v>
          </cell>
          <cell r="E4285">
            <v>0</v>
          </cell>
          <cell r="F4285">
            <v>0</v>
          </cell>
          <cell r="G4285">
            <v>0</v>
          </cell>
        </row>
        <row r="4286">
          <cell r="A4286" t="str">
            <v>51-01-01-0012</v>
          </cell>
          <cell r="B4286">
            <v>0</v>
          </cell>
          <cell r="C4286" t="str">
            <v xml:space="preserve">  GHULAM ALI CONTRACTOR</v>
          </cell>
          <cell r="D4286">
            <v>0</v>
          </cell>
          <cell r="E4286">
            <v>0</v>
          </cell>
          <cell r="F4286">
            <v>0</v>
          </cell>
          <cell r="G4286">
            <v>0</v>
          </cell>
        </row>
        <row r="4287">
          <cell r="A4287" t="str">
            <v>51-01-01-0013</v>
          </cell>
          <cell r="B4287">
            <v>0</v>
          </cell>
          <cell r="C4287" t="str">
            <v xml:space="preserve">  ASHRAF MASIH CONTRACTOR (SWEEPER)</v>
          </cell>
          <cell r="D4287">
            <v>0</v>
          </cell>
          <cell r="E4287">
            <v>0</v>
          </cell>
          <cell r="F4287">
            <v>0</v>
          </cell>
          <cell r="G4287">
            <v>0</v>
          </cell>
        </row>
        <row r="4288">
          <cell r="A4288" t="str">
            <v>51-01-01-0014</v>
          </cell>
          <cell r="B4288">
            <v>0</v>
          </cell>
          <cell r="C4288" t="str">
            <v xml:space="preserve">  M. IBRAHIM DRIVER IMPREST A/C</v>
          </cell>
          <cell r="D4288">
            <v>0</v>
          </cell>
          <cell r="E4288">
            <v>0</v>
          </cell>
          <cell r="F4288">
            <v>0</v>
          </cell>
          <cell r="G4288">
            <v>0</v>
          </cell>
        </row>
        <row r="4289">
          <cell r="A4289" t="str">
            <v>51-01-01-0015</v>
          </cell>
          <cell r="B4289">
            <v>0</v>
          </cell>
          <cell r="C4289" t="str">
            <v xml:space="preserve">  INAYAT CONTRACTORS</v>
          </cell>
          <cell r="D4289">
            <v>0</v>
          </cell>
          <cell r="E4289">
            <v>0</v>
          </cell>
          <cell r="F4289">
            <v>0</v>
          </cell>
          <cell r="G4289">
            <v>0</v>
          </cell>
        </row>
        <row r="4290">
          <cell r="A4290" t="str">
            <v>51-01-01-0016</v>
          </cell>
          <cell r="B4290">
            <v>0</v>
          </cell>
          <cell r="C4290" t="str">
            <v xml:space="preserve">  INAYATULLAH DRIVER IMPREST A/C</v>
          </cell>
          <cell r="D4290">
            <v>0</v>
          </cell>
          <cell r="E4290">
            <v>0</v>
          </cell>
          <cell r="F4290">
            <v>0</v>
          </cell>
          <cell r="G4290">
            <v>0</v>
          </cell>
        </row>
        <row r="4291">
          <cell r="A4291" t="str">
            <v>51-01-01-0017</v>
          </cell>
          <cell r="B4291">
            <v>0</v>
          </cell>
          <cell r="C4291" t="str">
            <v xml:space="preserve">  HYDER ZAMAN CONTRACTOR</v>
          </cell>
          <cell r="D4291">
            <v>0</v>
          </cell>
          <cell r="E4291">
            <v>0</v>
          </cell>
          <cell r="F4291">
            <v>0</v>
          </cell>
          <cell r="G4291">
            <v>0</v>
          </cell>
        </row>
        <row r="4292">
          <cell r="A4292" t="str">
            <v>51-01-01-0018</v>
          </cell>
          <cell r="B4292">
            <v>0</v>
          </cell>
          <cell r="C4292" t="str">
            <v xml:space="preserve">  ABDULLAH JAN CONTRACTOR</v>
          </cell>
          <cell r="D4292">
            <v>0</v>
          </cell>
          <cell r="E4292">
            <v>0</v>
          </cell>
          <cell r="F4292">
            <v>0</v>
          </cell>
          <cell r="G4292">
            <v>0</v>
          </cell>
        </row>
        <row r="4293">
          <cell r="A4293" t="str">
            <v>51-01-01-0019</v>
          </cell>
          <cell r="B4293">
            <v>0</v>
          </cell>
          <cell r="C4293" t="str">
            <v xml:space="preserve">  MUHAMMAD ARIF DRIVER DATSUN PRK-1072</v>
          </cell>
          <cell r="D4293">
            <v>0</v>
          </cell>
          <cell r="E4293">
            <v>0</v>
          </cell>
          <cell r="F4293">
            <v>0</v>
          </cell>
          <cell r="G4293">
            <v>0</v>
          </cell>
        </row>
        <row r="4294">
          <cell r="A4294" t="str">
            <v>51-01-01-0020</v>
          </cell>
          <cell r="B4294">
            <v>0</v>
          </cell>
          <cell r="C4294" t="str">
            <v xml:space="preserve">  GHULAM SARWAR MAZDA BUS DRIVER</v>
          </cell>
          <cell r="D4294">
            <v>0</v>
          </cell>
          <cell r="E4294">
            <v>0</v>
          </cell>
          <cell r="F4294">
            <v>0</v>
          </cell>
          <cell r="G4294">
            <v>0</v>
          </cell>
        </row>
        <row r="4295">
          <cell r="A4295" t="str">
            <v>51-01-01-0021</v>
          </cell>
          <cell r="B4295">
            <v>0</v>
          </cell>
          <cell r="C4295" t="str">
            <v xml:space="preserve">  MUHAMMAD JAVAID IMPREST A/C</v>
          </cell>
          <cell r="D4295">
            <v>0</v>
          </cell>
          <cell r="E4295">
            <v>0</v>
          </cell>
          <cell r="F4295">
            <v>0</v>
          </cell>
          <cell r="G4295">
            <v>0</v>
          </cell>
        </row>
        <row r="4296">
          <cell r="A4296" t="str">
            <v>51-01-01-0022</v>
          </cell>
          <cell r="B4296">
            <v>0</v>
          </cell>
          <cell r="C4296" t="str">
            <v xml:space="preserve">  BOOTA MASIH CONTRACTOR</v>
          </cell>
          <cell r="D4296">
            <v>0</v>
          </cell>
          <cell r="E4296">
            <v>0</v>
          </cell>
          <cell r="F4296">
            <v>0</v>
          </cell>
          <cell r="G4296">
            <v>0</v>
          </cell>
        </row>
        <row r="4297">
          <cell r="A4297" t="str">
            <v>51-01-01-0023</v>
          </cell>
          <cell r="B4297">
            <v>0</v>
          </cell>
          <cell r="C4297" t="str">
            <v xml:space="preserve">  NAZIR HUSSAIN LOADING CONTRACTOR</v>
          </cell>
          <cell r="D4297">
            <v>0</v>
          </cell>
          <cell r="E4297">
            <v>0</v>
          </cell>
          <cell r="F4297">
            <v>0</v>
          </cell>
          <cell r="G4297">
            <v>0</v>
          </cell>
        </row>
        <row r="4298">
          <cell r="A4298" t="str">
            <v>51-01-01-0024</v>
          </cell>
          <cell r="B4298">
            <v>0</v>
          </cell>
          <cell r="C4298" t="str">
            <v xml:space="preserve">  SULTAN MUHAMMED DRIVER</v>
          </cell>
          <cell r="D4298">
            <v>0</v>
          </cell>
          <cell r="E4298">
            <v>0</v>
          </cell>
          <cell r="F4298">
            <v>0</v>
          </cell>
          <cell r="G4298">
            <v>0</v>
          </cell>
        </row>
        <row r="4299">
          <cell r="A4299" t="str">
            <v>51-01-01-0025</v>
          </cell>
          <cell r="B4299">
            <v>0</v>
          </cell>
          <cell r="C4299" t="str">
            <v xml:space="preserve">  EHSANULLAH SHAH-DRIVER.</v>
          </cell>
          <cell r="D4299">
            <v>0</v>
          </cell>
          <cell r="E4299">
            <v>0</v>
          </cell>
          <cell r="F4299">
            <v>0</v>
          </cell>
          <cell r="G4299">
            <v>0</v>
          </cell>
        </row>
        <row r="4300">
          <cell r="A4300" t="str">
            <v>51-01-01-0026</v>
          </cell>
          <cell r="B4300">
            <v>0</v>
          </cell>
          <cell r="C4300" t="str">
            <v xml:space="preserve">  DAULAT NOOR DRIVER.</v>
          </cell>
          <cell r="D4300">
            <v>0</v>
          </cell>
          <cell r="E4300">
            <v>0</v>
          </cell>
          <cell r="F4300">
            <v>0</v>
          </cell>
          <cell r="G4300">
            <v>0</v>
          </cell>
        </row>
        <row r="4301">
          <cell r="A4301" t="str">
            <v>51-01-01-0027</v>
          </cell>
          <cell r="B4301">
            <v>0</v>
          </cell>
          <cell r="C4301" t="str">
            <v xml:space="preserve">  ADVANCE TO MR.HAKKI AGST TRAVELLING EX</v>
          </cell>
          <cell r="D4301">
            <v>0</v>
          </cell>
          <cell r="E4301">
            <v>0</v>
          </cell>
          <cell r="F4301">
            <v>0</v>
          </cell>
          <cell r="G4301">
            <v>0</v>
          </cell>
        </row>
        <row r="4302">
          <cell r="A4302" t="str">
            <v>51-01-01-0028</v>
          </cell>
          <cell r="B4302">
            <v>0</v>
          </cell>
          <cell r="C4302" t="str">
            <v xml:space="preserve">  M.SHAKIL AHMED IMPREST</v>
          </cell>
          <cell r="D4302">
            <v>0</v>
          </cell>
          <cell r="E4302">
            <v>0</v>
          </cell>
          <cell r="F4302">
            <v>0</v>
          </cell>
          <cell r="G4302">
            <v>0</v>
          </cell>
        </row>
        <row r="4303">
          <cell r="A4303" t="str">
            <v>51-01-01-0029</v>
          </cell>
          <cell r="B4303">
            <v>0</v>
          </cell>
          <cell r="C4303" t="str">
            <v xml:space="preserve">  MUHAMMED SULTAN</v>
          </cell>
          <cell r="D4303">
            <v>10000</v>
          </cell>
          <cell r="E4303">
            <v>0</v>
          </cell>
          <cell r="F4303">
            <v>0</v>
          </cell>
          <cell r="G4303">
            <v>0</v>
          </cell>
        </row>
        <row r="4304">
          <cell r="A4304" t="str">
            <v>51-01-01-0030</v>
          </cell>
          <cell r="B4304">
            <v>0</v>
          </cell>
          <cell r="C4304" t="str">
            <v xml:space="preserve">  YOUSAF MASIH</v>
          </cell>
          <cell r="D4304">
            <v>0</v>
          </cell>
          <cell r="E4304">
            <v>0</v>
          </cell>
          <cell r="F4304">
            <v>0</v>
          </cell>
          <cell r="G4304">
            <v>0</v>
          </cell>
        </row>
        <row r="4305">
          <cell r="A4305" t="str">
            <v>51-01-01-0031</v>
          </cell>
          <cell r="B4305">
            <v>0</v>
          </cell>
          <cell r="C4305" t="str">
            <v xml:space="preserve">  SYED KALAM DRIVER</v>
          </cell>
          <cell r="D4305">
            <v>0</v>
          </cell>
          <cell r="E4305">
            <v>0</v>
          </cell>
          <cell r="F4305">
            <v>0</v>
          </cell>
          <cell r="G4305">
            <v>0</v>
          </cell>
        </row>
        <row r="4306">
          <cell r="A4306" t="str">
            <v>51-01-01-0032</v>
          </cell>
          <cell r="B4306">
            <v>0</v>
          </cell>
          <cell r="C4306" t="str">
            <v xml:space="preserve">  MUHAMMED ASAD IMPREST A/C</v>
          </cell>
          <cell r="D4306">
            <v>0</v>
          </cell>
          <cell r="E4306">
            <v>0</v>
          </cell>
          <cell r="F4306">
            <v>0</v>
          </cell>
          <cell r="G4306">
            <v>0</v>
          </cell>
        </row>
        <row r="4307">
          <cell r="A4307" t="str">
            <v>51-01-01-0033</v>
          </cell>
          <cell r="B4307">
            <v>0</v>
          </cell>
          <cell r="C4307" t="str">
            <v xml:space="preserve">  BARKAT ALI PACKING CONTRACTOR.</v>
          </cell>
          <cell r="D4307">
            <v>0</v>
          </cell>
          <cell r="E4307">
            <v>0</v>
          </cell>
          <cell r="F4307">
            <v>0</v>
          </cell>
          <cell r="G4307">
            <v>0</v>
          </cell>
        </row>
        <row r="4308">
          <cell r="A4308" t="str">
            <v>51-01-01-0034</v>
          </cell>
          <cell r="B4308">
            <v>0</v>
          </cell>
          <cell r="C4308" t="str">
            <v xml:space="preserve">  JAN MUHAMMED LOADING CONTRACTOR,</v>
          </cell>
          <cell r="D4308">
            <v>0</v>
          </cell>
          <cell r="E4308">
            <v>0</v>
          </cell>
          <cell r="F4308">
            <v>0</v>
          </cell>
          <cell r="G4308">
            <v>0</v>
          </cell>
        </row>
        <row r="4309">
          <cell r="A4309" t="str">
            <v>51-01-01-0035</v>
          </cell>
          <cell r="B4309">
            <v>0</v>
          </cell>
          <cell r="C4309" t="str">
            <v xml:space="preserve">  SHABBIR AHMED DRIVER.</v>
          </cell>
          <cell r="D4309">
            <v>0</v>
          </cell>
          <cell r="E4309">
            <v>0</v>
          </cell>
          <cell r="F4309">
            <v>0</v>
          </cell>
          <cell r="G4309">
            <v>0</v>
          </cell>
        </row>
        <row r="4310">
          <cell r="A4310" t="str">
            <v>51-01-01-0036</v>
          </cell>
          <cell r="B4310">
            <v>0</v>
          </cell>
          <cell r="C4310" t="str">
            <v xml:space="preserve">  SHABBIR AHMED (DRIVER) IMPREST</v>
          </cell>
          <cell r="D4310">
            <v>0</v>
          </cell>
          <cell r="E4310">
            <v>0</v>
          </cell>
          <cell r="F4310">
            <v>0</v>
          </cell>
          <cell r="G4310">
            <v>0</v>
          </cell>
        </row>
        <row r="4311">
          <cell r="A4311" t="str">
            <v>51-01-01-0037</v>
          </cell>
          <cell r="B4311">
            <v>0</v>
          </cell>
          <cell r="C4311" t="str">
            <v xml:space="preserve">  FAZAL DAD</v>
          </cell>
          <cell r="D4311">
            <v>0</v>
          </cell>
          <cell r="E4311">
            <v>0</v>
          </cell>
          <cell r="F4311">
            <v>0</v>
          </cell>
          <cell r="G4311">
            <v>0</v>
          </cell>
        </row>
        <row r="4312">
          <cell r="A4312" t="str">
            <v>51-01-01-0038</v>
          </cell>
          <cell r="B4312">
            <v>0</v>
          </cell>
          <cell r="C4312" t="str">
            <v xml:space="preserve">  MAQSOOD HUSSAIN LOADING CONTRACTOR.</v>
          </cell>
          <cell r="D4312">
            <v>0</v>
          </cell>
          <cell r="E4312">
            <v>0</v>
          </cell>
          <cell r="F4312">
            <v>0</v>
          </cell>
          <cell r="G4312">
            <v>0</v>
          </cell>
        </row>
        <row r="4313">
          <cell r="A4313" t="str">
            <v>51-01-01-0039</v>
          </cell>
          <cell r="B4313">
            <v>0</v>
          </cell>
          <cell r="C4313" t="str">
            <v xml:space="preserve">  ADVANCE TO MR. MUKHTAR AHMED MALIK</v>
          </cell>
          <cell r="D4313">
            <v>0</v>
          </cell>
          <cell r="E4313">
            <v>0</v>
          </cell>
          <cell r="F4313">
            <v>0</v>
          </cell>
          <cell r="G4313">
            <v>0</v>
          </cell>
        </row>
        <row r="4314">
          <cell r="A4314" t="str">
            <v>51-01-01-0040</v>
          </cell>
          <cell r="B4314">
            <v>0</v>
          </cell>
          <cell r="C4314" t="str">
            <v xml:space="preserve">  SOHAIL AHMED IMPREST A/C</v>
          </cell>
          <cell r="D4314">
            <v>0</v>
          </cell>
          <cell r="E4314">
            <v>0</v>
          </cell>
          <cell r="F4314">
            <v>0</v>
          </cell>
          <cell r="G4314">
            <v>0</v>
          </cell>
        </row>
        <row r="4315">
          <cell r="A4315" t="str">
            <v>51-01-01-0041</v>
          </cell>
          <cell r="B4315">
            <v>0</v>
          </cell>
          <cell r="C4315" t="str">
            <v xml:space="preserve">  MUHAMMAD YOUSUF LOADING CONTRACTOR</v>
          </cell>
          <cell r="D4315">
            <v>0</v>
          </cell>
          <cell r="E4315">
            <v>0</v>
          </cell>
          <cell r="F4315">
            <v>0</v>
          </cell>
          <cell r="G4315">
            <v>0</v>
          </cell>
        </row>
        <row r="4316">
          <cell r="A4316" t="str">
            <v>51-01-01-0042</v>
          </cell>
          <cell r="B4316">
            <v>0</v>
          </cell>
          <cell r="C4316" t="str">
            <v xml:space="preserve">  MOHABBAT KHAN</v>
          </cell>
          <cell r="D4316">
            <v>0</v>
          </cell>
          <cell r="E4316">
            <v>0</v>
          </cell>
          <cell r="F4316">
            <v>0</v>
          </cell>
          <cell r="G4316">
            <v>0</v>
          </cell>
        </row>
        <row r="4317">
          <cell r="A4317" t="str">
            <v>51-01-01-0043</v>
          </cell>
          <cell r="B4317">
            <v>0</v>
          </cell>
          <cell r="C4317" t="str">
            <v xml:space="preserve">  HAMID MALIK NASR</v>
          </cell>
          <cell r="D4317">
            <v>0</v>
          </cell>
          <cell r="E4317">
            <v>0</v>
          </cell>
          <cell r="F4317">
            <v>0</v>
          </cell>
          <cell r="G4317">
            <v>0</v>
          </cell>
        </row>
        <row r="4318">
          <cell r="A4318" t="str">
            <v>51-01-01-0044</v>
          </cell>
          <cell r="B4318">
            <v>0</v>
          </cell>
          <cell r="C4318" t="str">
            <v xml:space="preserve">  IFTIKHAR S.A.KHAN (IMPREST ADMIN)</v>
          </cell>
          <cell r="D4318">
            <v>0</v>
          </cell>
          <cell r="E4318">
            <v>0</v>
          </cell>
          <cell r="F4318">
            <v>0</v>
          </cell>
          <cell r="G4318">
            <v>0</v>
          </cell>
        </row>
        <row r="4319">
          <cell r="A4319" t="str">
            <v>51-01-01-0045</v>
          </cell>
          <cell r="B4319">
            <v>0</v>
          </cell>
          <cell r="C4319" t="str">
            <v xml:space="preserve">  ADVANCE AGAINST TRAVELLING</v>
          </cell>
          <cell r="D4319">
            <v>4000</v>
          </cell>
          <cell r="E4319">
            <v>0</v>
          </cell>
          <cell r="F4319">
            <v>0</v>
          </cell>
          <cell r="G4319">
            <v>0</v>
          </cell>
        </row>
        <row r="4320">
          <cell r="A4320" t="str">
            <v>51-01-01-0046</v>
          </cell>
          <cell r="B4320">
            <v>0</v>
          </cell>
          <cell r="C4320" t="str">
            <v xml:space="preserve">  ADVANCE AGAINST PURCHASE</v>
          </cell>
          <cell r="D4320">
            <v>0</v>
          </cell>
          <cell r="E4320">
            <v>0</v>
          </cell>
          <cell r="F4320">
            <v>0</v>
          </cell>
          <cell r="G4320">
            <v>0</v>
          </cell>
        </row>
        <row r="4321">
          <cell r="A4321" t="str">
            <v>51-01-01-0047</v>
          </cell>
          <cell r="B4321">
            <v>0</v>
          </cell>
          <cell r="C4321" t="str">
            <v xml:space="preserve">  TASNEEM AHMED</v>
          </cell>
          <cell r="D4321">
            <v>0</v>
          </cell>
          <cell r="E4321">
            <v>0</v>
          </cell>
          <cell r="F4321">
            <v>0</v>
          </cell>
          <cell r="G4321">
            <v>0</v>
          </cell>
        </row>
        <row r="4322">
          <cell r="A4322" t="str">
            <v>51-01-01-0048</v>
          </cell>
          <cell r="B4322">
            <v>0</v>
          </cell>
          <cell r="C4322" t="str">
            <v xml:space="preserve">  MUHAMMED SALEEM KHAN DOUBLING CONTRACT</v>
          </cell>
          <cell r="D4322">
            <v>0</v>
          </cell>
          <cell r="E4322">
            <v>0</v>
          </cell>
          <cell r="F4322">
            <v>0</v>
          </cell>
          <cell r="G4322">
            <v>0</v>
          </cell>
        </row>
        <row r="4323">
          <cell r="A4323" t="str">
            <v>51-01-01-0049</v>
          </cell>
          <cell r="B4323">
            <v>0</v>
          </cell>
          <cell r="C4323" t="str">
            <v xml:space="preserve">  MUHMMED NAWAZ PACKING CONTRACTOR MILL#</v>
          </cell>
          <cell r="D4323">
            <v>0</v>
          </cell>
          <cell r="E4323">
            <v>0</v>
          </cell>
          <cell r="F4323">
            <v>0</v>
          </cell>
          <cell r="G4323">
            <v>0</v>
          </cell>
        </row>
        <row r="4324">
          <cell r="A4324" t="str">
            <v>51-01-01-0050</v>
          </cell>
          <cell r="B4324">
            <v>0</v>
          </cell>
          <cell r="C4324" t="str">
            <v xml:space="preserve">  MUHAMMED NAWAZ BAILING PRESS CONTRACTO</v>
          </cell>
          <cell r="D4324">
            <v>0</v>
          </cell>
          <cell r="E4324">
            <v>0</v>
          </cell>
          <cell r="F4324">
            <v>0</v>
          </cell>
          <cell r="G4324">
            <v>0</v>
          </cell>
        </row>
        <row r="4325">
          <cell r="A4325" t="str">
            <v>51-01-01-0051</v>
          </cell>
          <cell r="B4325">
            <v>0</v>
          </cell>
          <cell r="C4325" t="str">
            <v xml:space="preserve">  MUHAMMAD AMIN NOOR MUHAMMAD (PURCHASER</v>
          </cell>
          <cell r="D4325">
            <v>0</v>
          </cell>
          <cell r="E4325">
            <v>0</v>
          </cell>
          <cell r="F4325">
            <v>0</v>
          </cell>
          <cell r="G4325">
            <v>0</v>
          </cell>
        </row>
        <row r="4326">
          <cell r="A4326" t="str">
            <v>51-01-01-0052</v>
          </cell>
          <cell r="B4326">
            <v>0</v>
          </cell>
          <cell r="C4326" t="str">
            <v xml:space="preserve">  BARKAT ALI BAILING PRESS CONTRACTOR M-</v>
          </cell>
          <cell r="D4326">
            <v>25000</v>
          </cell>
          <cell r="E4326">
            <v>0</v>
          </cell>
          <cell r="F4326">
            <v>0</v>
          </cell>
          <cell r="G4326">
            <v>0</v>
          </cell>
        </row>
        <row r="4327">
          <cell r="A4327" t="str">
            <v>51-01-01-0053</v>
          </cell>
          <cell r="B4327">
            <v>0</v>
          </cell>
          <cell r="C4327" t="str">
            <v xml:space="preserve">  MUHAMMED AMIN RANGOONWALA IMPREST.</v>
          </cell>
          <cell r="D4327">
            <v>0</v>
          </cell>
          <cell r="E4327">
            <v>0</v>
          </cell>
          <cell r="F4327">
            <v>0</v>
          </cell>
          <cell r="G4327">
            <v>0</v>
          </cell>
        </row>
        <row r="4328">
          <cell r="A4328" t="str">
            <v>51-01-01-0054</v>
          </cell>
          <cell r="B4328">
            <v>0</v>
          </cell>
          <cell r="C4328" t="str">
            <v xml:space="preserve">  MUHAMMAD ZAHOOR CHARA IMPREST A/C.</v>
          </cell>
          <cell r="D4328">
            <v>124.95</v>
          </cell>
          <cell r="E4328">
            <v>0</v>
          </cell>
          <cell r="F4328">
            <v>0</v>
          </cell>
          <cell r="G4328">
            <v>0</v>
          </cell>
        </row>
        <row r="4329">
          <cell r="A4329" t="str">
            <v>51-01-01-0055</v>
          </cell>
          <cell r="B4329">
            <v>0</v>
          </cell>
          <cell r="C4329" t="str">
            <v xml:space="preserve">  GHULAM MUSTAFA LOADING CONTRACTOR M# 4</v>
          </cell>
          <cell r="D4329">
            <v>0</v>
          </cell>
          <cell r="E4329">
            <v>0</v>
          </cell>
          <cell r="F4329">
            <v>0</v>
          </cell>
          <cell r="G4329">
            <v>0</v>
          </cell>
        </row>
        <row r="4330">
          <cell r="A4330" t="str">
            <v>51-01-01-0056</v>
          </cell>
          <cell r="B4330">
            <v>0</v>
          </cell>
          <cell r="C4330" t="str">
            <v xml:space="preserve">  HAZRAT SAEED DRIVER CAR # D-3795</v>
          </cell>
          <cell r="D4330">
            <v>0</v>
          </cell>
          <cell r="E4330">
            <v>0</v>
          </cell>
          <cell r="F4330">
            <v>0</v>
          </cell>
          <cell r="G4330">
            <v>0</v>
          </cell>
        </row>
        <row r="4331">
          <cell r="A4331" t="str">
            <v>51-01-01-0057</v>
          </cell>
          <cell r="B4331">
            <v>0</v>
          </cell>
          <cell r="C4331" t="str">
            <v xml:space="preserve">  SHAH HUSSAIN</v>
          </cell>
          <cell r="D4331">
            <v>0</v>
          </cell>
          <cell r="E4331">
            <v>0</v>
          </cell>
          <cell r="F4331">
            <v>0</v>
          </cell>
          <cell r="G4331">
            <v>0</v>
          </cell>
        </row>
        <row r="4332">
          <cell r="A4332" t="str">
            <v>51-01-01-0058</v>
          </cell>
          <cell r="B4332">
            <v>0</v>
          </cell>
          <cell r="C4332" t="str">
            <v xml:space="preserve">  HAZRAT HUSSAIN DRIVER</v>
          </cell>
          <cell r="D4332">
            <v>0</v>
          </cell>
          <cell r="E4332">
            <v>0</v>
          </cell>
          <cell r="F4332">
            <v>0</v>
          </cell>
          <cell r="G4332">
            <v>0</v>
          </cell>
        </row>
        <row r="4333">
          <cell r="A4333" t="str">
            <v>51-01-01-0059</v>
          </cell>
          <cell r="B4333">
            <v>0</v>
          </cell>
          <cell r="C4333" t="str">
            <v xml:space="preserve">  GHULAM ABBAS PACKING CONTRACTOR</v>
          </cell>
          <cell r="D4333">
            <v>0</v>
          </cell>
          <cell r="E4333">
            <v>0</v>
          </cell>
          <cell r="F4333">
            <v>0</v>
          </cell>
          <cell r="G4333">
            <v>0</v>
          </cell>
        </row>
        <row r="4334">
          <cell r="A4334" t="str">
            <v>51-01-01-0060</v>
          </cell>
          <cell r="B4334">
            <v>0</v>
          </cell>
          <cell r="C4334" t="str">
            <v xml:space="preserve">  ZAFAR IQBAL GHALIB (CONTRACTOR)</v>
          </cell>
          <cell r="D4334">
            <v>0</v>
          </cell>
          <cell r="E4334">
            <v>0</v>
          </cell>
          <cell r="F4334">
            <v>0</v>
          </cell>
          <cell r="G4334">
            <v>0</v>
          </cell>
        </row>
        <row r="4335">
          <cell r="A4335" t="str">
            <v>51-01-01-0061</v>
          </cell>
          <cell r="B4335">
            <v>0</v>
          </cell>
          <cell r="C4335" t="str">
            <v xml:space="preserve">  BISON MASIH</v>
          </cell>
          <cell r="D4335">
            <v>0</v>
          </cell>
          <cell r="E4335">
            <v>0</v>
          </cell>
          <cell r="F4335">
            <v>0</v>
          </cell>
          <cell r="G4335">
            <v>0</v>
          </cell>
        </row>
        <row r="4336">
          <cell r="A4336" t="str">
            <v>51-01-01-0062</v>
          </cell>
          <cell r="B4336">
            <v>0</v>
          </cell>
          <cell r="C4336" t="str">
            <v xml:space="preserve">  RIAZ MUHAMMAD DRIVER IMPREST A/C 65316</v>
          </cell>
          <cell r="D4336">
            <v>0</v>
          </cell>
          <cell r="E4336">
            <v>0</v>
          </cell>
          <cell r="F4336">
            <v>0</v>
          </cell>
          <cell r="G4336">
            <v>0</v>
          </cell>
        </row>
        <row r="4337">
          <cell r="A4337" t="str">
            <v>51-01-01-0063</v>
          </cell>
          <cell r="B4337">
            <v>0</v>
          </cell>
          <cell r="C4337" t="str">
            <v xml:space="preserve">  GOHAR ALI DRIVER IMPREST A/C.</v>
          </cell>
          <cell r="D4337">
            <v>0</v>
          </cell>
          <cell r="E4337">
            <v>0</v>
          </cell>
          <cell r="F4337">
            <v>0</v>
          </cell>
          <cell r="G4337">
            <v>0</v>
          </cell>
        </row>
        <row r="4338">
          <cell r="A4338" t="str">
            <v>51-01-01-0064</v>
          </cell>
          <cell r="B4338">
            <v>0</v>
          </cell>
          <cell r="C4338" t="str">
            <v xml:space="preserve">  MUHAMMAD MUSHTAQ (IMPREST A/C)</v>
          </cell>
          <cell r="D4338">
            <v>0</v>
          </cell>
          <cell r="E4338">
            <v>0</v>
          </cell>
          <cell r="F4338">
            <v>0</v>
          </cell>
          <cell r="G4338">
            <v>0</v>
          </cell>
        </row>
        <row r="4339">
          <cell r="A4339" t="str">
            <v>51-01-01-0065</v>
          </cell>
          <cell r="B4339">
            <v>0</v>
          </cell>
          <cell r="C4339" t="str">
            <v xml:space="preserve">  MUHAMMAD IQBAL DOUBLING CONTRACTOR</v>
          </cell>
          <cell r="D4339">
            <v>0</v>
          </cell>
          <cell r="E4339">
            <v>0</v>
          </cell>
          <cell r="F4339">
            <v>0</v>
          </cell>
          <cell r="G4339">
            <v>0</v>
          </cell>
        </row>
        <row r="4340">
          <cell r="A4340" t="str">
            <v>51-01-01-0066</v>
          </cell>
          <cell r="B4340">
            <v>0</v>
          </cell>
          <cell r="C4340" t="str">
            <v xml:space="preserve">  ZAMIN KHAN CONTRACTOR</v>
          </cell>
          <cell r="D4340">
            <v>0</v>
          </cell>
          <cell r="E4340">
            <v>0</v>
          </cell>
          <cell r="F4340">
            <v>0</v>
          </cell>
          <cell r="G4340">
            <v>0</v>
          </cell>
        </row>
        <row r="4341">
          <cell r="A4341" t="str">
            <v>51-01-01-0067</v>
          </cell>
          <cell r="B4341">
            <v>0</v>
          </cell>
          <cell r="C4341" t="str">
            <v xml:space="preserve">  MUHAMMAD ARIF BAWANY IMPREST A/C.</v>
          </cell>
          <cell r="D4341">
            <v>0</v>
          </cell>
          <cell r="E4341">
            <v>0</v>
          </cell>
          <cell r="F4341">
            <v>0</v>
          </cell>
          <cell r="G4341">
            <v>0</v>
          </cell>
        </row>
        <row r="4342">
          <cell r="A4342" t="str">
            <v>51-01-01-0068</v>
          </cell>
          <cell r="B4342">
            <v>0</v>
          </cell>
          <cell r="C4342" t="str">
            <v xml:space="preserve">  MUHAMMAD SABRI</v>
          </cell>
          <cell r="D4342">
            <v>0</v>
          </cell>
          <cell r="E4342">
            <v>0</v>
          </cell>
          <cell r="F4342">
            <v>0</v>
          </cell>
          <cell r="G4342">
            <v>0</v>
          </cell>
        </row>
        <row r="4343">
          <cell r="A4343" t="str">
            <v>51-01-01-0069</v>
          </cell>
          <cell r="B4343">
            <v>0</v>
          </cell>
          <cell r="C4343" t="str">
            <v xml:space="preserve">  KAMEL BOOK BINDER</v>
          </cell>
          <cell r="D4343">
            <v>0</v>
          </cell>
          <cell r="E4343">
            <v>0</v>
          </cell>
          <cell r="F4343">
            <v>0</v>
          </cell>
          <cell r="G4343">
            <v>0</v>
          </cell>
        </row>
        <row r="4344">
          <cell r="A4344" t="str">
            <v>51-01-01-0070</v>
          </cell>
          <cell r="B4344">
            <v>0</v>
          </cell>
          <cell r="C4344" t="str">
            <v xml:space="preserve">  MUHAMMAD RIAZ L/UNLOADING CONTRACTOR</v>
          </cell>
          <cell r="D4344">
            <v>0</v>
          </cell>
          <cell r="E4344">
            <v>0</v>
          </cell>
          <cell r="F4344">
            <v>0</v>
          </cell>
          <cell r="G4344">
            <v>0</v>
          </cell>
        </row>
        <row r="4345">
          <cell r="A4345" t="str">
            <v>51-01-01-0071</v>
          </cell>
          <cell r="B4345">
            <v>0</v>
          </cell>
          <cell r="C4345" t="str">
            <v xml:space="preserve">  MUHAMMAD ANWAR (PURCHASER IMPREST A/C)</v>
          </cell>
          <cell r="D4345">
            <v>30184.6</v>
          </cell>
          <cell r="E4345">
            <v>0</v>
          </cell>
          <cell r="F4345">
            <v>0</v>
          </cell>
          <cell r="G4345">
            <v>0</v>
          </cell>
        </row>
        <row r="4346">
          <cell r="A4346" t="str">
            <v>51-01-01-0072</v>
          </cell>
          <cell r="B4346">
            <v>0</v>
          </cell>
          <cell r="C4346" t="str">
            <v xml:space="preserve">  MUHAMMAD ANWAR PACKING</v>
          </cell>
          <cell r="D4346">
            <v>0</v>
          </cell>
          <cell r="E4346">
            <v>0</v>
          </cell>
          <cell r="F4346">
            <v>0</v>
          </cell>
          <cell r="G4346">
            <v>0</v>
          </cell>
        </row>
        <row r="4347">
          <cell r="A4347" t="str">
            <v>51-01-01-0073</v>
          </cell>
          <cell r="B4347">
            <v>0</v>
          </cell>
          <cell r="C4347" t="str">
            <v xml:space="preserve">  ILYAS LAKHANI</v>
          </cell>
          <cell r="D4347">
            <v>0</v>
          </cell>
          <cell r="E4347">
            <v>0</v>
          </cell>
          <cell r="F4347">
            <v>0</v>
          </cell>
          <cell r="G4347">
            <v>0</v>
          </cell>
        </row>
        <row r="4348">
          <cell r="A4348" t="str">
            <v>51-01-01-0074</v>
          </cell>
          <cell r="B4348">
            <v>0</v>
          </cell>
          <cell r="C4348" t="str">
            <v xml:space="preserve">  MUHAMMAD ASLAM BAWANY (PURCHASER)</v>
          </cell>
          <cell r="D4348">
            <v>0</v>
          </cell>
          <cell r="E4348">
            <v>0</v>
          </cell>
          <cell r="F4348">
            <v>0</v>
          </cell>
          <cell r="G4348">
            <v>0</v>
          </cell>
        </row>
        <row r="4349">
          <cell r="A4349" t="str">
            <v>51-01-01-0075</v>
          </cell>
          <cell r="B4349">
            <v>0</v>
          </cell>
          <cell r="C4349" t="str">
            <v xml:space="preserve">  MUHAMMAD ASHRAF LOADING CONTRACTOR M #</v>
          </cell>
          <cell r="D4349">
            <v>0</v>
          </cell>
          <cell r="E4349">
            <v>0</v>
          </cell>
          <cell r="F4349">
            <v>0</v>
          </cell>
          <cell r="G4349">
            <v>0</v>
          </cell>
        </row>
        <row r="4350">
          <cell r="A4350" t="str">
            <v>51-01-01-0076</v>
          </cell>
          <cell r="B4350">
            <v>0</v>
          </cell>
          <cell r="C4350" t="str">
            <v xml:space="preserve">  SIKANDAR KHAN IMPREST A/C</v>
          </cell>
          <cell r="D4350">
            <v>0</v>
          </cell>
          <cell r="E4350">
            <v>0</v>
          </cell>
          <cell r="F4350">
            <v>0</v>
          </cell>
          <cell r="G4350">
            <v>0</v>
          </cell>
        </row>
        <row r="4351">
          <cell r="A4351" t="str">
            <v>51-01-01-0077</v>
          </cell>
          <cell r="B4351">
            <v>0</v>
          </cell>
          <cell r="C4351" t="str">
            <v xml:space="preserve">  ANWAR AHMED PACKING CONTRACTOR M# 6</v>
          </cell>
          <cell r="D4351">
            <v>0</v>
          </cell>
          <cell r="E4351">
            <v>0</v>
          </cell>
          <cell r="F4351">
            <v>0</v>
          </cell>
          <cell r="G4351">
            <v>0</v>
          </cell>
        </row>
        <row r="4352">
          <cell r="A4352" t="str">
            <v>51-01-01-0078</v>
          </cell>
          <cell r="B4352">
            <v>0</v>
          </cell>
          <cell r="C4352" t="str">
            <v xml:space="preserve">  MUHAMMAD RIAZ PACKING CONTRACTOR M # 0</v>
          </cell>
          <cell r="D4352">
            <v>0</v>
          </cell>
          <cell r="E4352">
            <v>0</v>
          </cell>
          <cell r="F4352">
            <v>0</v>
          </cell>
          <cell r="G4352">
            <v>0</v>
          </cell>
        </row>
        <row r="4353">
          <cell r="A4353" t="str">
            <v>51-01-01-0080</v>
          </cell>
          <cell r="B4353">
            <v>0</v>
          </cell>
          <cell r="C4353" t="str">
            <v xml:space="preserve">  MUHAMMAD RIAZ PACKING CONTRACTOR</v>
          </cell>
          <cell r="D4353">
            <v>0</v>
          </cell>
          <cell r="E4353">
            <v>0</v>
          </cell>
          <cell r="F4353">
            <v>0</v>
          </cell>
          <cell r="G4353">
            <v>0</v>
          </cell>
        </row>
        <row r="4354">
          <cell r="A4354" t="str">
            <v>51-01-01-0081</v>
          </cell>
          <cell r="B4354">
            <v>0</v>
          </cell>
          <cell r="C4354" t="str">
            <v xml:space="preserve">  MUHAMMAD ARSHAD BAILING PRESS CONTRACT</v>
          </cell>
          <cell r="D4354">
            <v>0</v>
          </cell>
          <cell r="E4354">
            <v>0</v>
          </cell>
          <cell r="F4354">
            <v>0</v>
          </cell>
          <cell r="G4354">
            <v>0</v>
          </cell>
        </row>
        <row r="4355">
          <cell r="A4355" t="str">
            <v>51-01-01-0082</v>
          </cell>
          <cell r="B4355">
            <v>0</v>
          </cell>
          <cell r="C4355" t="str">
            <v xml:space="preserve">  WARIS KHAN PACKING CONTRACTOR MILL-5</v>
          </cell>
          <cell r="D4355">
            <v>0</v>
          </cell>
          <cell r="E4355">
            <v>0</v>
          </cell>
          <cell r="F4355">
            <v>0</v>
          </cell>
          <cell r="G4355">
            <v>0</v>
          </cell>
        </row>
        <row r="4356">
          <cell r="A4356" t="str">
            <v>51-01-01-0083</v>
          </cell>
          <cell r="B4356">
            <v>0</v>
          </cell>
          <cell r="C4356" t="str">
            <v xml:space="preserve">  ALLAH DITTA PACKING CONTRACTOR MILL #</v>
          </cell>
          <cell r="D4356">
            <v>0</v>
          </cell>
          <cell r="E4356">
            <v>0</v>
          </cell>
          <cell r="F4356">
            <v>0</v>
          </cell>
          <cell r="G4356">
            <v>0</v>
          </cell>
        </row>
        <row r="4357">
          <cell r="A4357" t="str">
            <v>51-01-01-0084</v>
          </cell>
          <cell r="B4357">
            <v>0</v>
          </cell>
          <cell r="C4357" t="str">
            <v xml:space="preserve">  MUHAMMAD NAWAZ LOADING CONTRACTOR M-1</v>
          </cell>
          <cell r="D4357">
            <v>0</v>
          </cell>
          <cell r="E4357">
            <v>0</v>
          </cell>
          <cell r="F4357">
            <v>0</v>
          </cell>
          <cell r="G4357">
            <v>0</v>
          </cell>
        </row>
        <row r="4358">
          <cell r="A4358" t="str">
            <v>51-01-01-0085</v>
          </cell>
          <cell r="B4358">
            <v>0</v>
          </cell>
          <cell r="C4358" t="str">
            <v xml:space="preserve">  MUHAMMAD NAWAZ LOADING CONTRACTOR M-2</v>
          </cell>
          <cell r="D4358">
            <v>0</v>
          </cell>
          <cell r="E4358">
            <v>0</v>
          </cell>
          <cell r="F4358">
            <v>0</v>
          </cell>
          <cell r="G4358">
            <v>0</v>
          </cell>
        </row>
        <row r="4359">
          <cell r="A4359" t="str">
            <v>51-01-01-0086</v>
          </cell>
          <cell r="B4359">
            <v>0</v>
          </cell>
          <cell r="C4359" t="str">
            <v xml:space="preserve">  ALLAH DITTA LOADING CONTRACTOR MILL #</v>
          </cell>
          <cell r="D4359">
            <v>0</v>
          </cell>
          <cell r="E4359">
            <v>0</v>
          </cell>
          <cell r="F4359">
            <v>0</v>
          </cell>
          <cell r="G4359">
            <v>0</v>
          </cell>
        </row>
        <row r="4360">
          <cell r="A4360" t="str">
            <v>51-01-01-0087</v>
          </cell>
          <cell r="B4360">
            <v>0</v>
          </cell>
          <cell r="C4360" t="str">
            <v xml:space="preserve">  GOHAR ALI IMPREST</v>
          </cell>
          <cell r="D4360">
            <v>0</v>
          </cell>
          <cell r="E4360">
            <v>0</v>
          </cell>
          <cell r="F4360">
            <v>0</v>
          </cell>
          <cell r="G4360">
            <v>0</v>
          </cell>
        </row>
        <row r="4361">
          <cell r="A4361" t="str">
            <v>51-01-01-0088</v>
          </cell>
          <cell r="B4361">
            <v>0</v>
          </cell>
          <cell r="C4361" t="str">
            <v xml:space="preserve">  SALAMAT ALI PACKING CONTRACTOR MILL #</v>
          </cell>
          <cell r="D4361">
            <v>25000</v>
          </cell>
          <cell r="E4361">
            <v>0</v>
          </cell>
          <cell r="F4361">
            <v>0</v>
          </cell>
          <cell r="G4361">
            <v>0</v>
          </cell>
        </row>
        <row r="4362">
          <cell r="A4362" t="str">
            <v>51-01-01-0089</v>
          </cell>
          <cell r="B4362">
            <v>0</v>
          </cell>
          <cell r="C4362" t="str">
            <v xml:space="preserve">  TALIB HUSSAIN BAILING PRESS CONTRACTOR</v>
          </cell>
          <cell r="D4362">
            <v>15000</v>
          </cell>
          <cell r="E4362">
            <v>0</v>
          </cell>
          <cell r="F4362">
            <v>0</v>
          </cell>
          <cell r="G4362">
            <v>0</v>
          </cell>
        </row>
        <row r="4363">
          <cell r="A4363" t="str">
            <v>51-01-01-0090</v>
          </cell>
          <cell r="B4363">
            <v>0</v>
          </cell>
          <cell r="C4363" t="str">
            <v xml:space="preserve">  MOHABBAT KHAN  LOADING CONTRACTOR</v>
          </cell>
          <cell r="D4363">
            <v>0</v>
          </cell>
          <cell r="E4363">
            <v>0</v>
          </cell>
          <cell r="F4363">
            <v>0</v>
          </cell>
          <cell r="G4363">
            <v>0</v>
          </cell>
        </row>
        <row r="4364">
          <cell r="A4364" t="str">
            <v>51-01-01-0091</v>
          </cell>
          <cell r="B4364">
            <v>0</v>
          </cell>
          <cell r="C4364" t="str">
            <v xml:space="preserve">  TALIB HUSSAIN PACKING CONTRACTOR</v>
          </cell>
          <cell r="D4364">
            <v>0</v>
          </cell>
          <cell r="E4364">
            <v>0</v>
          </cell>
          <cell r="F4364">
            <v>0</v>
          </cell>
          <cell r="G4364">
            <v>0</v>
          </cell>
        </row>
        <row r="4365">
          <cell r="A4365" t="str">
            <v>51-01-01-0092</v>
          </cell>
          <cell r="B4365">
            <v>0</v>
          </cell>
          <cell r="C4365" t="str">
            <v xml:space="preserve">  GHULAM ABBAS LOADING CONTRACTOR M-7</v>
          </cell>
          <cell r="D4365">
            <v>3000</v>
          </cell>
          <cell r="E4365">
            <v>0</v>
          </cell>
          <cell r="F4365">
            <v>0</v>
          </cell>
          <cell r="G4365">
            <v>0</v>
          </cell>
        </row>
        <row r="4366">
          <cell r="A4366" t="str">
            <v>51-01-01-0093</v>
          </cell>
          <cell r="B4366">
            <v>0</v>
          </cell>
          <cell r="C4366" t="str">
            <v xml:space="preserve">  GHULAM ABBAS LOADING CONTRACTOR M-2</v>
          </cell>
          <cell r="D4366">
            <v>5000</v>
          </cell>
          <cell r="E4366">
            <v>0</v>
          </cell>
          <cell r="F4366">
            <v>0</v>
          </cell>
          <cell r="G4366">
            <v>0</v>
          </cell>
        </row>
        <row r="4367">
          <cell r="A4367" t="str">
            <v>51-01-01-0094</v>
          </cell>
          <cell r="B4367">
            <v>0</v>
          </cell>
          <cell r="C4367" t="str">
            <v xml:space="preserve">  MUHAMMAD SIDIQ LOADING CONT MILL # 3</v>
          </cell>
          <cell r="D4367">
            <v>0</v>
          </cell>
          <cell r="E4367">
            <v>0</v>
          </cell>
          <cell r="F4367">
            <v>0</v>
          </cell>
          <cell r="G4367">
            <v>0</v>
          </cell>
        </row>
        <row r="4368">
          <cell r="A4368" t="str">
            <v>51-01-01-0095</v>
          </cell>
          <cell r="B4368">
            <v>0</v>
          </cell>
          <cell r="C4368" t="str">
            <v xml:space="preserve">  MUHAMMAD YOUSAF LOADING CONTRACTOR</v>
          </cell>
          <cell r="D4368">
            <v>20000</v>
          </cell>
          <cell r="E4368">
            <v>0</v>
          </cell>
          <cell r="F4368">
            <v>0</v>
          </cell>
          <cell r="G4368">
            <v>0</v>
          </cell>
        </row>
        <row r="4369">
          <cell r="A4369" t="str">
            <v>51-01-01-0096</v>
          </cell>
          <cell r="B4369">
            <v>0</v>
          </cell>
          <cell r="C4369" t="str">
            <v xml:space="preserve">  JAN MUHAMMAD MISTRI (LIFTERS)</v>
          </cell>
          <cell r="D4369">
            <v>20000</v>
          </cell>
          <cell r="E4369">
            <v>0</v>
          </cell>
          <cell r="F4369">
            <v>0</v>
          </cell>
          <cell r="G4369">
            <v>0</v>
          </cell>
        </row>
        <row r="4370">
          <cell r="A4370" t="str">
            <v>51-01-01-0097</v>
          </cell>
          <cell r="B4370">
            <v>0</v>
          </cell>
          <cell r="C4370" t="str">
            <v xml:space="preserve">  GHULAM MUHAMMAD LOADING CONTRACTOR M7</v>
          </cell>
          <cell r="D4370">
            <v>0</v>
          </cell>
          <cell r="E4370">
            <v>0</v>
          </cell>
          <cell r="F4370">
            <v>0</v>
          </cell>
          <cell r="G4370">
            <v>0</v>
          </cell>
        </row>
        <row r="4371">
          <cell r="A4371" t="str">
            <v>51-01-01-0098</v>
          </cell>
          <cell r="B4371">
            <v>0</v>
          </cell>
          <cell r="C4371" t="str">
            <v xml:space="preserve">  SHER ZAMIN LOADING CONTRACTOR M # 2</v>
          </cell>
          <cell r="D4371">
            <v>0</v>
          </cell>
          <cell r="E4371">
            <v>0</v>
          </cell>
          <cell r="F4371">
            <v>0</v>
          </cell>
          <cell r="G4371">
            <v>0</v>
          </cell>
        </row>
        <row r="4372">
          <cell r="A4372" t="str">
            <v>51-01-02</v>
          </cell>
          <cell r="B4372">
            <v>0</v>
          </cell>
          <cell r="C4372" t="str">
            <v>***ADVANCE AGAINST EXPENSES (HEAD OFFICE</v>
          </cell>
          <cell r="D4372">
            <v>462303.35</v>
          </cell>
          <cell r="E4372">
            <v>0</v>
          </cell>
          <cell r="F4372">
            <v>462542.8</v>
          </cell>
          <cell r="G4372">
            <v>239.45</v>
          </cell>
        </row>
        <row r="4373">
          <cell r="A4373" t="str">
            <v>51-01-02-0001</v>
          </cell>
          <cell r="B4373">
            <v>239.449951171875</v>
          </cell>
          <cell r="C4373" t="str">
            <v xml:space="preserve">  FAIZ-E-ALAM (COTTON SELECTOR)</v>
          </cell>
          <cell r="D4373">
            <v>15000</v>
          </cell>
          <cell r="E4373">
            <v>0</v>
          </cell>
          <cell r="F4373">
            <v>0</v>
          </cell>
          <cell r="G4373">
            <v>0</v>
          </cell>
        </row>
        <row r="4374">
          <cell r="A4374" t="str">
            <v>51-01-02-0002</v>
          </cell>
          <cell r="B4374">
            <v>0</v>
          </cell>
          <cell r="C4374" t="str">
            <v xml:space="preserve">  MUHAMMAD S/O ISMAIL (COTTON SELECTOR)</v>
          </cell>
          <cell r="D4374">
            <v>0</v>
          </cell>
          <cell r="E4374">
            <v>0</v>
          </cell>
          <cell r="F4374">
            <v>0</v>
          </cell>
          <cell r="G4374">
            <v>0</v>
          </cell>
        </row>
        <row r="4375">
          <cell r="A4375" t="str">
            <v>51-01-02-0003</v>
          </cell>
          <cell r="B4375">
            <v>0</v>
          </cell>
          <cell r="C4375" t="str">
            <v xml:space="preserve">  MUHAMMAD AMIN MAIN NOOR (IMPREST)</v>
          </cell>
          <cell r="D4375">
            <v>0</v>
          </cell>
          <cell r="E4375">
            <v>239.45</v>
          </cell>
          <cell r="F4375">
            <v>0</v>
          </cell>
          <cell r="G4375">
            <v>0</v>
          </cell>
        </row>
        <row r="4376">
          <cell r="A4376" t="str">
            <v>51-01-02-0004</v>
          </cell>
          <cell r="B4376">
            <v>0</v>
          </cell>
          <cell r="C4376" t="str">
            <v xml:space="preserve">  ABDUL GHAFFAR (EXPORT EXPENSES)</v>
          </cell>
          <cell r="D4376">
            <v>50000</v>
          </cell>
          <cell r="E4376">
            <v>0</v>
          </cell>
          <cell r="F4376">
            <v>0</v>
          </cell>
          <cell r="G4376">
            <v>0</v>
          </cell>
        </row>
        <row r="4377">
          <cell r="A4377" t="str">
            <v>51-01-02-0005</v>
          </cell>
          <cell r="B4377">
            <v>0</v>
          </cell>
          <cell r="C4377" t="str">
            <v xml:space="preserve">  PINDI OFFICE IMPREST ACCOUNT.</v>
          </cell>
          <cell r="D4377">
            <v>44715.8</v>
          </cell>
          <cell r="E4377">
            <v>0</v>
          </cell>
          <cell r="F4377">
            <v>0</v>
          </cell>
          <cell r="G4377">
            <v>0</v>
          </cell>
        </row>
        <row r="4378">
          <cell r="A4378" t="str">
            <v>51-01-02-0006</v>
          </cell>
          <cell r="B4378">
            <v>0</v>
          </cell>
          <cell r="C4378" t="str">
            <v xml:space="preserve">  SYED TASNEEM AHMED (IMPORT DEPTT.IMPRS</v>
          </cell>
          <cell r="D4378">
            <v>25000</v>
          </cell>
          <cell r="E4378">
            <v>0</v>
          </cell>
          <cell r="F4378">
            <v>0</v>
          </cell>
          <cell r="G4378">
            <v>0</v>
          </cell>
        </row>
        <row r="4379">
          <cell r="A4379" t="str">
            <v>51-01-02-0007</v>
          </cell>
          <cell r="B4379">
            <v>0</v>
          </cell>
          <cell r="C4379" t="str">
            <v xml:space="preserve">  FAISAL SEHAR INLAND L/C (EXP) IMPREST</v>
          </cell>
          <cell r="D4379">
            <v>0</v>
          </cell>
          <cell r="E4379">
            <v>0</v>
          </cell>
          <cell r="F4379">
            <v>0</v>
          </cell>
          <cell r="G4379">
            <v>0</v>
          </cell>
        </row>
        <row r="4380">
          <cell r="A4380" t="str">
            <v>51-01-02-0008</v>
          </cell>
          <cell r="B4380">
            <v>0</v>
          </cell>
          <cell r="C4380" t="str">
            <v xml:space="preserve">  TAHIR MOOSANI IMPREST A/C</v>
          </cell>
          <cell r="D4380">
            <v>0</v>
          </cell>
          <cell r="E4380">
            <v>0</v>
          </cell>
          <cell r="F4380">
            <v>0</v>
          </cell>
          <cell r="G4380">
            <v>0</v>
          </cell>
        </row>
        <row r="4381">
          <cell r="A4381" t="str">
            <v>51-01-02-0009</v>
          </cell>
          <cell r="B4381">
            <v>0</v>
          </cell>
          <cell r="C4381" t="str">
            <v xml:space="preserve">  SALMAN LAKHANI IMPREST A/C</v>
          </cell>
          <cell r="D4381">
            <v>0</v>
          </cell>
          <cell r="E4381">
            <v>0</v>
          </cell>
          <cell r="F4381">
            <v>0</v>
          </cell>
          <cell r="G4381">
            <v>0</v>
          </cell>
        </row>
        <row r="4382">
          <cell r="A4382" t="str">
            <v>51-01-02-0010</v>
          </cell>
          <cell r="B4382">
            <v>0</v>
          </cell>
          <cell r="C4382" t="str">
            <v xml:space="preserve">  JAVAID UMER ENTERPRISES (DUTIES,&amp; OTHE</v>
          </cell>
          <cell r="D4382">
            <v>327827</v>
          </cell>
          <cell r="E4382">
            <v>0</v>
          </cell>
          <cell r="F4382">
            <v>0</v>
          </cell>
          <cell r="G4382">
            <v>0</v>
          </cell>
        </row>
        <row r="4383">
          <cell r="A4383" t="str">
            <v>51-01-02-0011</v>
          </cell>
          <cell r="B4383">
            <v>0</v>
          </cell>
          <cell r="C4383" t="str">
            <v xml:space="preserve">  G.N.CORPORATION (DUTIES &amp; OTHERS)</v>
          </cell>
          <cell r="D4383">
            <v>0</v>
          </cell>
          <cell r="E4383">
            <v>0</v>
          </cell>
          <cell r="F4383">
            <v>0</v>
          </cell>
          <cell r="G4383">
            <v>0</v>
          </cell>
        </row>
        <row r="4384">
          <cell r="A4384" t="str">
            <v>51-01-02-0012</v>
          </cell>
          <cell r="B4384">
            <v>0</v>
          </cell>
          <cell r="C4384" t="str">
            <v xml:space="preserve">  ZAHID (COTTON SELECTOR)</v>
          </cell>
          <cell r="D4384">
            <v>0</v>
          </cell>
          <cell r="E4384">
            <v>0</v>
          </cell>
          <cell r="F4384">
            <v>0</v>
          </cell>
          <cell r="G4384">
            <v>0</v>
          </cell>
        </row>
        <row r="4385">
          <cell r="A4385" t="str">
            <v>51-02</v>
          </cell>
          <cell r="B4385">
            <v>0</v>
          </cell>
          <cell r="C4385" t="str">
            <v>**ADVANCE INCOME TAX</v>
          </cell>
          <cell r="D4385">
            <v>205867430.56999999</v>
          </cell>
          <cell r="E4385">
            <v>0</v>
          </cell>
          <cell r="F4385">
            <v>205867430.56999999</v>
          </cell>
          <cell r="G4385">
            <v>0</v>
          </cell>
        </row>
        <row r="4386">
          <cell r="A4386" t="str">
            <v>51-02-01</v>
          </cell>
          <cell r="B4386">
            <v>0</v>
          </cell>
          <cell r="C4386" t="str">
            <v>***ASSEMENT YEAR</v>
          </cell>
          <cell r="D4386">
            <v>11966290</v>
          </cell>
          <cell r="E4386">
            <v>0</v>
          </cell>
          <cell r="F4386">
            <v>11966290</v>
          </cell>
          <cell r="G4386">
            <v>0</v>
          </cell>
        </row>
        <row r="4387">
          <cell r="A4387" t="str">
            <v>51-02-01-0001</v>
          </cell>
          <cell r="B4387">
            <v>0</v>
          </cell>
          <cell r="C4387" t="str">
            <v xml:space="preserve">  ADV.I/TAX ASSESSMENT 1991-92</v>
          </cell>
          <cell r="D4387">
            <v>0</v>
          </cell>
          <cell r="E4387">
            <v>0</v>
          </cell>
          <cell r="F4387">
            <v>0</v>
          </cell>
          <cell r="G4387">
            <v>0</v>
          </cell>
        </row>
        <row r="4388">
          <cell r="A4388" t="str">
            <v>51-02-01-0002</v>
          </cell>
          <cell r="B4388">
            <v>0</v>
          </cell>
          <cell r="C4388" t="str">
            <v xml:space="preserve">  ADV.I/TAX ASSESSMENT 1992-93</v>
          </cell>
          <cell r="D4388">
            <v>0</v>
          </cell>
          <cell r="E4388">
            <v>0</v>
          </cell>
          <cell r="F4388">
            <v>0</v>
          </cell>
          <cell r="G4388">
            <v>0</v>
          </cell>
        </row>
        <row r="4389">
          <cell r="A4389" t="str">
            <v>51-02-01-0003</v>
          </cell>
          <cell r="B4389">
            <v>0</v>
          </cell>
          <cell r="C4389" t="str">
            <v xml:space="preserve">  ADV.I/TAX ASSESSMENT 1993-94</v>
          </cell>
          <cell r="D4389">
            <v>0</v>
          </cell>
          <cell r="E4389">
            <v>0</v>
          </cell>
          <cell r="F4389">
            <v>0</v>
          </cell>
          <cell r="G4389">
            <v>0</v>
          </cell>
        </row>
        <row r="4390">
          <cell r="A4390" t="str">
            <v>51-02-01-0004</v>
          </cell>
          <cell r="B4390">
            <v>0</v>
          </cell>
          <cell r="C4390" t="str">
            <v xml:space="preserve">  ADV.I/TAX ASSESSMENT 1994-95</v>
          </cell>
          <cell r="D4390">
            <v>0</v>
          </cell>
          <cell r="E4390">
            <v>0</v>
          </cell>
          <cell r="F4390">
            <v>0</v>
          </cell>
          <cell r="G4390">
            <v>0</v>
          </cell>
        </row>
        <row r="4391">
          <cell r="A4391" t="str">
            <v>51-02-01-0005</v>
          </cell>
          <cell r="B4391">
            <v>0</v>
          </cell>
          <cell r="C4391" t="str">
            <v xml:space="preserve">  ADV.I/TAX ASSESSMENT 1995-96</v>
          </cell>
          <cell r="D4391">
            <v>0</v>
          </cell>
          <cell r="E4391">
            <v>0</v>
          </cell>
          <cell r="F4391">
            <v>0</v>
          </cell>
          <cell r="G4391">
            <v>0</v>
          </cell>
        </row>
        <row r="4392">
          <cell r="A4392" t="str">
            <v>51-02-01-0006</v>
          </cell>
          <cell r="B4392">
            <v>0</v>
          </cell>
          <cell r="C4392" t="str">
            <v xml:space="preserve">  ADV.I/TAX ASSESSSMENT 1996-97</v>
          </cell>
          <cell r="D4392">
            <v>0</v>
          </cell>
          <cell r="E4392">
            <v>0</v>
          </cell>
          <cell r="F4392">
            <v>0</v>
          </cell>
          <cell r="G4392">
            <v>0</v>
          </cell>
        </row>
        <row r="4393">
          <cell r="A4393" t="str">
            <v>51-02-01-0007</v>
          </cell>
          <cell r="B4393">
            <v>0</v>
          </cell>
          <cell r="C4393" t="str">
            <v xml:space="preserve">  ADV. I/TAX ASSESSMENT 1997-98</v>
          </cell>
          <cell r="D4393">
            <v>0</v>
          </cell>
          <cell r="E4393">
            <v>0</v>
          </cell>
          <cell r="F4393">
            <v>0</v>
          </cell>
          <cell r="G4393">
            <v>0</v>
          </cell>
        </row>
        <row r="4394">
          <cell r="A4394" t="str">
            <v>51-02-01-0008</v>
          </cell>
          <cell r="B4394">
            <v>0</v>
          </cell>
          <cell r="C4394" t="str">
            <v xml:space="preserve">  ADV. I/TAX ASSESSMENT 1998-99.</v>
          </cell>
          <cell r="D4394">
            <v>0</v>
          </cell>
          <cell r="E4394">
            <v>0</v>
          </cell>
          <cell r="F4394">
            <v>0</v>
          </cell>
          <cell r="G4394">
            <v>0</v>
          </cell>
        </row>
        <row r="4395">
          <cell r="A4395" t="str">
            <v>51-02-01-0009</v>
          </cell>
          <cell r="B4395">
            <v>0</v>
          </cell>
          <cell r="C4395" t="str">
            <v xml:space="preserve">  ADV.I/TAX ASSESSMENT 1999-2000.</v>
          </cell>
          <cell r="D4395">
            <v>8691715</v>
          </cell>
          <cell r="E4395">
            <v>0</v>
          </cell>
          <cell r="F4395">
            <v>0</v>
          </cell>
          <cell r="G4395">
            <v>0</v>
          </cell>
        </row>
        <row r="4396">
          <cell r="A4396" t="str">
            <v>51-02-01-0010</v>
          </cell>
          <cell r="B4396">
            <v>0</v>
          </cell>
          <cell r="C4396" t="str">
            <v xml:space="preserve">  ADV.I/TAX ASSESSMENT 2000-2001</v>
          </cell>
          <cell r="D4396">
            <v>3274575</v>
          </cell>
          <cell r="E4396">
            <v>0</v>
          </cell>
          <cell r="F4396">
            <v>0</v>
          </cell>
          <cell r="G4396">
            <v>0</v>
          </cell>
        </row>
        <row r="4397">
          <cell r="A4397" t="str">
            <v>51-02-02</v>
          </cell>
          <cell r="B4397">
            <v>0</v>
          </cell>
          <cell r="C4397" t="str">
            <v>***ADV.I/TAX ASSESSMENT 2001-2002.</v>
          </cell>
          <cell r="D4397">
            <v>29563584.75</v>
          </cell>
          <cell r="E4397">
            <v>0</v>
          </cell>
          <cell r="F4397">
            <v>29563584.75</v>
          </cell>
          <cell r="G4397">
            <v>0</v>
          </cell>
        </row>
        <row r="4398">
          <cell r="A4398" t="str">
            <v>51-02-02-0001</v>
          </cell>
          <cell r="B4398">
            <v>0</v>
          </cell>
          <cell r="C4398" t="str">
            <v xml:space="preserve">  ADV I.TAX ON EXPORT 2001-2002</v>
          </cell>
          <cell r="D4398">
            <v>14482355.73</v>
          </cell>
          <cell r="E4398">
            <v>0</v>
          </cell>
          <cell r="F4398">
            <v>0</v>
          </cell>
          <cell r="G4398">
            <v>0</v>
          </cell>
        </row>
        <row r="4399">
          <cell r="A4399" t="str">
            <v>51-02-02-0002</v>
          </cell>
          <cell r="B4399">
            <v>0</v>
          </cell>
          <cell r="C4399" t="str">
            <v xml:space="preserve">  ADV.I.TAX ON UTILITY 2001-2002</v>
          </cell>
          <cell r="D4399">
            <v>53445</v>
          </cell>
          <cell r="E4399">
            <v>0</v>
          </cell>
          <cell r="F4399">
            <v>0</v>
          </cell>
          <cell r="G4399">
            <v>0</v>
          </cell>
        </row>
        <row r="4400">
          <cell r="A4400" t="str">
            <v>51-02-02-0003</v>
          </cell>
          <cell r="B4400">
            <v>0</v>
          </cell>
          <cell r="C4400" t="str">
            <v xml:space="preserve">  ADV.I.TAX ON IMPORT 2001-2002</v>
          </cell>
          <cell r="D4400">
            <v>340348</v>
          </cell>
          <cell r="E4400">
            <v>0</v>
          </cell>
          <cell r="F4400">
            <v>0</v>
          </cell>
          <cell r="G4400">
            <v>0</v>
          </cell>
        </row>
        <row r="4401">
          <cell r="A4401" t="str">
            <v>51-02-02-0004</v>
          </cell>
          <cell r="B4401">
            <v>0</v>
          </cell>
          <cell r="C4401" t="str">
            <v xml:space="preserve">  ADV.I.TAX ON SUPPLIES 2001-2002</v>
          </cell>
          <cell r="D4401">
            <v>932930</v>
          </cell>
          <cell r="E4401">
            <v>0</v>
          </cell>
          <cell r="F4401">
            <v>0</v>
          </cell>
          <cell r="G4401">
            <v>0</v>
          </cell>
        </row>
        <row r="4402">
          <cell r="A4402" t="str">
            <v>51-02-02-0005</v>
          </cell>
          <cell r="B4402">
            <v>0</v>
          </cell>
          <cell r="C4402" t="str">
            <v xml:space="preserve">  ADV I.TAX ON BANK DEPOSIT 2001-2002</v>
          </cell>
          <cell r="D4402">
            <v>8186.02</v>
          </cell>
          <cell r="E4402">
            <v>0</v>
          </cell>
          <cell r="F4402">
            <v>0</v>
          </cell>
          <cell r="G4402">
            <v>0</v>
          </cell>
        </row>
        <row r="4403">
          <cell r="A4403" t="str">
            <v>51-02-02-0006</v>
          </cell>
          <cell r="B4403">
            <v>0</v>
          </cell>
          <cell r="C4403" t="str">
            <v xml:space="preserve">  ADV.I.TAX ON U/S 53,54 66 &amp; FINAL 2001</v>
          </cell>
          <cell r="D4403">
            <v>13733430</v>
          </cell>
          <cell r="E4403">
            <v>0</v>
          </cell>
          <cell r="F4403">
            <v>0</v>
          </cell>
          <cell r="G4403">
            <v>0</v>
          </cell>
        </row>
        <row r="4404">
          <cell r="A4404" t="str">
            <v>51-02-02-0007</v>
          </cell>
          <cell r="B4404">
            <v>0</v>
          </cell>
          <cell r="C4404" t="str">
            <v xml:space="preserve">  ADV.I/TAX ON VEHICLE 2001-2002</v>
          </cell>
          <cell r="D4404">
            <v>12890</v>
          </cell>
          <cell r="E4404">
            <v>0</v>
          </cell>
          <cell r="F4404">
            <v>0</v>
          </cell>
          <cell r="G4404">
            <v>0</v>
          </cell>
        </row>
        <row r="4405">
          <cell r="A4405" t="str">
            <v>51-02-03</v>
          </cell>
          <cell r="B4405">
            <v>0</v>
          </cell>
          <cell r="C4405" t="str">
            <v>***ADV.I/TAX ASSESSMENT 2002-2003</v>
          </cell>
          <cell r="D4405">
            <v>0</v>
          </cell>
          <cell r="E4405">
            <v>0</v>
          </cell>
          <cell r="F4405">
            <v>0</v>
          </cell>
          <cell r="G4405">
            <v>0</v>
          </cell>
        </row>
        <row r="4406">
          <cell r="A4406" t="str">
            <v>51-02-03-0001</v>
          </cell>
          <cell r="B4406">
            <v>0</v>
          </cell>
          <cell r="C4406" t="str">
            <v xml:space="preserve">  ADV.I/TAX ON EXPORT 2002-2003.</v>
          </cell>
          <cell r="D4406">
            <v>0</v>
          </cell>
          <cell r="E4406">
            <v>0</v>
          </cell>
          <cell r="F4406">
            <v>0</v>
          </cell>
          <cell r="G4406">
            <v>0</v>
          </cell>
        </row>
        <row r="4407">
          <cell r="A4407" t="str">
            <v>51-02-03-0002</v>
          </cell>
          <cell r="B4407">
            <v>0</v>
          </cell>
          <cell r="C4407" t="str">
            <v xml:space="preserve">  ADV.I/TAX ON UTILITY 2002-2003</v>
          </cell>
          <cell r="D4407">
            <v>0</v>
          </cell>
          <cell r="E4407">
            <v>0</v>
          </cell>
          <cell r="F4407">
            <v>0</v>
          </cell>
          <cell r="G4407">
            <v>0</v>
          </cell>
        </row>
        <row r="4408">
          <cell r="A4408" t="str">
            <v>51-02-03-0003</v>
          </cell>
          <cell r="B4408">
            <v>0</v>
          </cell>
          <cell r="C4408" t="str">
            <v xml:space="preserve">  ADV.I/TAX ON IMPORT 2002-2003</v>
          </cell>
          <cell r="D4408">
            <v>0</v>
          </cell>
          <cell r="E4408">
            <v>0</v>
          </cell>
          <cell r="F4408">
            <v>0</v>
          </cell>
          <cell r="G4408">
            <v>0</v>
          </cell>
        </row>
        <row r="4409">
          <cell r="A4409" t="str">
            <v>51-02-03-0004</v>
          </cell>
          <cell r="B4409">
            <v>0</v>
          </cell>
          <cell r="C4409" t="str">
            <v xml:space="preserve">  ADV.I/TAX ON SUPPLIES 2002-2003</v>
          </cell>
          <cell r="D4409">
            <v>0</v>
          </cell>
          <cell r="E4409">
            <v>0</v>
          </cell>
          <cell r="F4409">
            <v>0</v>
          </cell>
          <cell r="G4409">
            <v>0</v>
          </cell>
        </row>
        <row r="4410">
          <cell r="A4410" t="str">
            <v>51-02-03-0005</v>
          </cell>
          <cell r="B4410">
            <v>0</v>
          </cell>
          <cell r="C4410" t="str">
            <v xml:space="preserve">  ADV.I/TAX ON BANK DEPOSIT 2002-2003</v>
          </cell>
          <cell r="D4410">
            <v>0</v>
          </cell>
          <cell r="E4410">
            <v>0</v>
          </cell>
          <cell r="F4410">
            <v>0</v>
          </cell>
          <cell r="G4410">
            <v>0</v>
          </cell>
        </row>
        <row r="4411">
          <cell r="A4411" t="str">
            <v>51-02-03-0006</v>
          </cell>
          <cell r="B4411">
            <v>0</v>
          </cell>
          <cell r="C4411" t="str">
            <v xml:space="preserve">  ADV I/TAX U/S 53,54 &amp; 66 02-03</v>
          </cell>
          <cell r="D4411">
            <v>0</v>
          </cell>
          <cell r="E4411">
            <v>0</v>
          </cell>
          <cell r="F4411">
            <v>0</v>
          </cell>
          <cell r="G4411">
            <v>0</v>
          </cell>
        </row>
        <row r="4412">
          <cell r="A4412" t="str">
            <v>51-02-03-0007</v>
          </cell>
          <cell r="B4412">
            <v>0</v>
          </cell>
          <cell r="C4412" t="str">
            <v xml:space="preserve">  ADV I/TAX ON VEHICLE ASSESSMENT 2002-0</v>
          </cell>
          <cell r="D4412">
            <v>0</v>
          </cell>
          <cell r="E4412">
            <v>0</v>
          </cell>
          <cell r="F4412">
            <v>0</v>
          </cell>
          <cell r="G4412">
            <v>0</v>
          </cell>
        </row>
        <row r="4413">
          <cell r="A4413" t="str">
            <v>51-02-04</v>
          </cell>
          <cell r="B4413">
            <v>0</v>
          </cell>
          <cell r="C4413" t="str">
            <v>***ADV.I/TAX ASSESSMENT YEAR 2003-2004.</v>
          </cell>
          <cell r="D4413">
            <v>47557049.329999998</v>
          </cell>
          <cell r="E4413">
            <v>0</v>
          </cell>
          <cell r="F4413">
            <v>47557049.329999998</v>
          </cell>
          <cell r="G4413">
            <v>0</v>
          </cell>
        </row>
        <row r="4414">
          <cell r="A4414" t="str">
            <v>51-02-04-0001</v>
          </cell>
          <cell r="B4414">
            <v>0</v>
          </cell>
          <cell r="C4414" t="str">
            <v xml:space="preserve">  ADV.I/TAX ON EXPORT 2003-2004.</v>
          </cell>
          <cell r="D4414">
            <v>19816266.02</v>
          </cell>
          <cell r="E4414">
            <v>0</v>
          </cell>
          <cell r="F4414">
            <v>0</v>
          </cell>
          <cell r="G4414">
            <v>0</v>
          </cell>
        </row>
        <row r="4415">
          <cell r="A4415" t="str">
            <v>51-02-04-0002</v>
          </cell>
          <cell r="B4415">
            <v>0</v>
          </cell>
          <cell r="C4415" t="str">
            <v xml:space="preserve">  ADV.I/TAX ON UTILITY 2003-2004.</v>
          </cell>
          <cell r="D4415">
            <v>54186</v>
          </cell>
          <cell r="E4415">
            <v>0</v>
          </cell>
          <cell r="F4415">
            <v>0</v>
          </cell>
          <cell r="G4415">
            <v>0</v>
          </cell>
        </row>
        <row r="4416">
          <cell r="A4416" t="str">
            <v>51-02-04-0003</v>
          </cell>
          <cell r="B4416">
            <v>0</v>
          </cell>
          <cell r="C4416" t="str">
            <v xml:space="preserve">  ADV.I/TAX ON IMPORT 2003-2004.</v>
          </cell>
          <cell r="D4416">
            <v>11937397</v>
          </cell>
          <cell r="E4416">
            <v>0</v>
          </cell>
          <cell r="F4416">
            <v>0</v>
          </cell>
          <cell r="G4416">
            <v>0</v>
          </cell>
        </row>
        <row r="4417">
          <cell r="A4417" t="str">
            <v>51-02-04-0004</v>
          </cell>
          <cell r="B4417">
            <v>0</v>
          </cell>
          <cell r="C4417" t="str">
            <v xml:space="preserve">  ADV.I/TAX SUPPLIES 2003-2004.</v>
          </cell>
          <cell r="D4417">
            <v>340404</v>
          </cell>
          <cell r="E4417">
            <v>0</v>
          </cell>
          <cell r="F4417">
            <v>0</v>
          </cell>
          <cell r="G4417">
            <v>0</v>
          </cell>
        </row>
        <row r="4418">
          <cell r="A4418" t="str">
            <v>51-02-04-0005</v>
          </cell>
          <cell r="B4418">
            <v>0</v>
          </cell>
          <cell r="C4418" t="str">
            <v xml:space="preserve">  ADV.I/TAX ON BANK DEPOSIT 2003-2004</v>
          </cell>
          <cell r="D4418">
            <v>379471.31</v>
          </cell>
          <cell r="E4418">
            <v>0</v>
          </cell>
          <cell r="F4418">
            <v>0</v>
          </cell>
          <cell r="G4418">
            <v>0</v>
          </cell>
        </row>
        <row r="4419">
          <cell r="A4419" t="str">
            <v>51-02-04-0006</v>
          </cell>
          <cell r="B4419">
            <v>0</v>
          </cell>
          <cell r="C4419" t="str">
            <v xml:space="preserve">  ADV.I/TAX U/S 53,54 &amp; 66 03-04.</v>
          </cell>
          <cell r="D4419">
            <v>15000000</v>
          </cell>
          <cell r="E4419">
            <v>0</v>
          </cell>
          <cell r="F4419">
            <v>0</v>
          </cell>
          <cell r="G4419">
            <v>0</v>
          </cell>
        </row>
        <row r="4420">
          <cell r="A4420" t="str">
            <v>51-02-04-0007</v>
          </cell>
          <cell r="B4420">
            <v>0</v>
          </cell>
          <cell r="C4420" t="str">
            <v xml:space="preserve">  ADV I/TAX ON VEHICLE ASSESSMENT 2003-0</v>
          </cell>
          <cell r="D4420">
            <v>23340</v>
          </cell>
          <cell r="E4420">
            <v>0</v>
          </cell>
          <cell r="F4420">
            <v>0</v>
          </cell>
          <cell r="G4420">
            <v>0</v>
          </cell>
        </row>
        <row r="4421">
          <cell r="A4421" t="str">
            <v>51-02-04-0008</v>
          </cell>
          <cell r="B4421">
            <v>0</v>
          </cell>
          <cell r="C4421" t="str">
            <v xml:space="preserve">  ADV.I/TAX ON RENT ASS.YEAR 2003-2004.</v>
          </cell>
          <cell r="D4421">
            <v>5985</v>
          </cell>
          <cell r="E4421">
            <v>0</v>
          </cell>
          <cell r="F4421">
            <v>0</v>
          </cell>
          <cell r="G4421">
            <v>0</v>
          </cell>
        </row>
        <row r="4422">
          <cell r="A4422" t="str">
            <v>51-02-05</v>
          </cell>
          <cell r="B4422">
            <v>0</v>
          </cell>
          <cell r="C4422" t="str">
            <v>***ADV.I/TAX ASSESSMENT YEAR 2004-2005</v>
          </cell>
          <cell r="D4422">
            <v>58327648.310000002</v>
          </cell>
          <cell r="E4422">
            <v>0</v>
          </cell>
          <cell r="F4422">
            <v>58327648.310000002</v>
          </cell>
          <cell r="G4422">
            <v>0</v>
          </cell>
        </row>
        <row r="4423">
          <cell r="A4423" t="str">
            <v>51-02-05-0001</v>
          </cell>
          <cell r="B4423">
            <v>0</v>
          </cell>
          <cell r="C4423" t="str">
            <v xml:space="preserve">  ADVANCE INCOME TAX ON EXPORT 2004-2005</v>
          </cell>
          <cell r="D4423">
            <v>21483982</v>
          </cell>
          <cell r="E4423">
            <v>0</v>
          </cell>
          <cell r="F4423">
            <v>0</v>
          </cell>
          <cell r="G4423">
            <v>0</v>
          </cell>
        </row>
        <row r="4424">
          <cell r="A4424" t="str">
            <v>51-02-05-0002</v>
          </cell>
          <cell r="B4424">
            <v>0</v>
          </cell>
          <cell r="C4424" t="str">
            <v xml:space="preserve">  ADVANCE INCOME TAX ON UTILITY 2004-200</v>
          </cell>
          <cell r="D4424">
            <v>84710</v>
          </cell>
          <cell r="E4424">
            <v>0</v>
          </cell>
          <cell r="F4424">
            <v>0</v>
          </cell>
          <cell r="G4424">
            <v>0</v>
          </cell>
        </row>
        <row r="4425">
          <cell r="A4425" t="str">
            <v>51-02-05-0003</v>
          </cell>
          <cell r="B4425">
            <v>0</v>
          </cell>
          <cell r="C4425" t="str">
            <v xml:space="preserve">  ADVANCE INCOME TAX ON IMPORT 2004-2005</v>
          </cell>
          <cell r="D4425">
            <v>737249</v>
          </cell>
          <cell r="E4425">
            <v>0</v>
          </cell>
          <cell r="F4425">
            <v>0</v>
          </cell>
          <cell r="G4425">
            <v>0</v>
          </cell>
        </row>
        <row r="4426">
          <cell r="A4426" t="str">
            <v>51-02-05-0004</v>
          </cell>
          <cell r="B4426">
            <v>0</v>
          </cell>
          <cell r="C4426" t="str">
            <v xml:space="preserve">  ADVANCE INCOME TAX ON SUPPLIES 2004-20</v>
          </cell>
          <cell r="D4426">
            <v>1026493</v>
          </cell>
          <cell r="E4426">
            <v>0</v>
          </cell>
          <cell r="F4426">
            <v>0</v>
          </cell>
          <cell r="G4426">
            <v>0</v>
          </cell>
        </row>
        <row r="4427">
          <cell r="A4427" t="str">
            <v>51-02-05-0005</v>
          </cell>
          <cell r="B4427">
            <v>0</v>
          </cell>
          <cell r="C4427" t="str">
            <v xml:space="preserve">  ADVANCE INCOME TAX ON DEPOSIT 2004-200</v>
          </cell>
          <cell r="D4427">
            <v>1818456.31</v>
          </cell>
          <cell r="E4427">
            <v>0</v>
          </cell>
          <cell r="F4427">
            <v>0</v>
          </cell>
          <cell r="G4427">
            <v>0</v>
          </cell>
        </row>
        <row r="4428">
          <cell r="A4428" t="str">
            <v>51-02-05-0006</v>
          </cell>
          <cell r="B4428">
            <v>0</v>
          </cell>
          <cell r="C4428" t="str">
            <v xml:space="preserve">  ADVANCE INCOME TAX U/SEC 149  YEAR:200</v>
          </cell>
          <cell r="D4428">
            <v>33085142</v>
          </cell>
          <cell r="E4428">
            <v>0</v>
          </cell>
          <cell r="F4428">
            <v>0</v>
          </cell>
          <cell r="G4428">
            <v>0</v>
          </cell>
        </row>
        <row r="4429">
          <cell r="A4429" t="str">
            <v>51-02-05-0007</v>
          </cell>
          <cell r="B4429">
            <v>0</v>
          </cell>
          <cell r="C4429" t="str">
            <v xml:space="preserve">  ADVANCE INCOME TAX VEHICLE YEAR 2004-0</v>
          </cell>
          <cell r="D4429">
            <v>69671</v>
          </cell>
          <cell r="E4429">
            <v>0</v>
          </cell>
          <cell r="F4429">
            <v>0</v>
          </cell>
          <cell r="G4429">
            <v>0</v>
          </cell>
        </row>
        <row r="4430">
          <cell r="A4430" t="str">
            <v>51-02-05-0008</v>
          </cell>
          <cell r="B4430">
            <v>0</v>
          </cell>
          <cell r="C4430" t="str">
            <v xml:space="preserve">  ADVANCE INCOME TAX RENT U/SEC 155</v>
          </cell>
          <cell r="D4430">
            <v>21945</v>
          </cell>
          <cell r="E4430">
            <v>0</v>
          </cell>
          <cell r="F4430">
            <v>0</v>
          </cell>
          <cell r="G4430">
            <v>0</v>
          </cell>
        </row>
        <row r="4431">
          <cell r="A4431" t="str">
            <v>51-02-06</v>
          </cell>
          <cell r="B4431">
            <v>0</v>
          </cell>
          <cell r="C4431" t="str">
            <v>***ADVANCE I/TAX ASSESSMENT YEAR 2005-20</v>
          </cell>
          <cell r="D4431">
            <v>58452858.18</v>
          </cell>
          <cell r="E4431">
            <v>0</v>
          </cell>
          <cell r="F4431">
            <v>58452858.18</v>
          </cell>
          <cell r="G4431">
            <v>0</v>
          </cell>
        </row>
        <row r="4432">
          <cell r="A4432" t="str">
            <v>51-02-06-0001</v>
          </cell>
          <cell r="B4432">
            <v>0</v>
          </cell>
          <cell r="C4432" t="str">
            <v xml:space="preserve">  ADVANCE I/TAX ON EXPORT YEAR 2005-2006</v>
          </cell>
          <cell r="D4432">
            <v>27226412.800000001</v>
          </cell>
          <cell r="E4432">
            <v>0</v>
          </cell>
          <cell r="F4432">
            <v>0</v>
          </cell>
          <cell r="G4432">
            <v>0</v>
          </cell>
        </row>
        <row r="4433">
          <cell r="A4433" t="str">
            <v>51-02-06-0002</v>
          </cell>
          <cell r="B4433">
            <v>0</v>
          </cell>
          <cell r="C4433" t="str">
            <v xml:space="preserve">  ADVANCE I/TAX ON UTILITY  YEAR 2005-20</v>
          </cell>
          <cell r="D4433">
            <v>84900</v>
          </cell>
          <cell r="E4433">
            <v>0</v>
          </cell>
          <cell r="F4433">
            <v>0</v>
          </cell>
          <cell r="G4433">
            <v>0</v>
          </cell>
        </row>
        <row r="4434">
          <cell r="A4434" t="str">
            <v>51-02-06-0003</v>
          </cell>
          <cell r="B4434">
            <v>0</v>
          </cell>
          <cell r="C4434" t="str">
            <v xml:space="preserve">  ADVANCE INCOME TAX ON IMPORT 2005-2006</v>
          </cell>
          <cell r="D4434">
            <v>37992</v>
          </cell>
          <cell r="E4434">
            <v>0</v>
          </cell>
          <cell r="F4434">
            <v>0</v>
          </cell>
          <cell r="G4434">
            <v>0</v>
          </cell>
        </row>
        <row r="4435">
          <cell r="A4435" t="str">
            <v>51-02-06-0004</v>
          </cell>
          <cell r="B4435">
            <v>0</v>
          </cell>
          <cell r="C4435" t="str">
            <v xml:space="preserve">  ADVANCE I/TAX ON SUPPLIES 2005-2006</v>
          </cell>
          <cell r="D4435">
            <v>105000</v>
          </cell>
          <cell r="E4435">
            <v>0</v>
          </cell>
          <cell r="F4435">
            <v>0</v>
          </cell>
          <cell r="G4435">
            <v>0</v>
          </cell>
        </row>
        <row r="4436">
          <cell r="A4436" t="str">
            <v>51-02-06-0005</v>
          </cell>
          <cell r="B4436">
            <v>0</v>
          </cell>
          <cell r="C4436" t="str">
            <v xml:space="preserve">  ADVANCE INCOME TAX ON DEPOSIT 2005-200</v>
          </cell>
          <cell r="D4436">
            <v>227211.38</v>
          </cell>
          <cell r="E4436">
            <v>0</v>
          </cell>
          <cell r="F4436">
            <v>0</v>
          </cell>
          <cell r="G4436">
            <v>0</v>
          </cell>
        </row>
        <row r="4437">
          <cell r="A4437" t="str">
            <v>51-02-06-0006</v>
          </cell>
          <cell r="B4437">
            <v>0</v>
          </cell>
          <cell r="C4437" t="str">
            <v xml:space="preserve">  ADVANCE I/TAX U/S 53-54 2005-2006</v>
          </cell>
          <cell r="D4437">
            <v>15382375</v>
          </cell>
          <cell r="E4437">
            <v>0</v>
          </cell>
          <cell r="F4437">
            <v>0</v>
          </cell>
          <cell r="G4437">
            <v>0</v>
          </cell>
        </row>
        <row r="4438">
          <cell r="A4438" t="str">
            <v>51-02-06-0007</v>
          </cell>
          <cell r="B4438">
            <v>0</v>
          </cell>
          <cell r="C4438" t="str">
            <v xml:space="preserve">  ADVANCE INCOME TAX VEHICLE 2005-2006</v>
          </cell>
          <cell r="D4438">
            <v>46538</v>
          </cell>
          <cell r="E4438">
            <v>0</v>
          </cell>
          <cell r="F4438">
            <v>0</v>
          </cell>
          <cell r="G4438">
            <v>0</v>
          </cell>
        </row>
        <row r="4439">
          <cell r="A4439" t="str">
            <v>51-02-06-0008</v>
          </cell>
          <cell r="B4439">
            <v>0</v>
          </cell>
          <cell r="C4439" t="str">
            <v xml:space="preserve">  ADVANCE INCOME TAX ON RENT 2005-2006</v>
          </cell>
          <cell r="D4439">
            <v>15960</v>
          </cell>
          <cell r="E4439">
            <v>0</v>
          </cell>
          <cell r="F4439">
            <v>0</v>
          </cell>
          <cell r="G4439">
            <v>0</v>
          </cell>
        </row>
        <row r="4440">
          <cell r="A4440" t="str">
            <v>51-02-06-0009</v>
          </cell>
          <cell r="B4440">
            <v>0</v>
          </cell>
          <cell r="C4440" t="str">
            <v xml:space="preserve">  ADVANCE I/TAX ON SPO ASS: YEAR 2005-20</v>
          </cell>
          <cell r="D4440">
            <v>15138781</v>
          </cell>
          <cell r="E4440">
            <v>0</v>
          </cell>
          <cell r="F4440">
            <v>0</v>
          </cell>
          <cell r="G4440">
            <v>0</v>
          </cell>
        </row>
        <row r="4441">
          <cell r="A4441" t="str">
            <v>51-02-06-0010</v>
          </cell>
          <cell r="B4441">
            <v>0</v>
          </cell>
          <cell r="C4441" t="str">
            <v xml:space="preserve">  TAX DEDUCTED ON INVESTMENT 2005-2006</v>
          </cell>
          <cell r="D4441">
            <v>187688</v>
          </cell>
          <cell r="E4441">
            <v>0</v>
          </cell>
          <cell r="F4441">
            <v>0</v>
          </cell>
          <cell r="G4441">
            <v>0</v>
          </cell>
        </row>
        <row r="4442">
          <cell r="A4442" t="str">
            <v>51-02-07</v>
          </cell>
          <cell r="B4442">
            <v>0</v>
          </cell>
          <cell r="C4442" t="str">
            <v>***ADVANCE I/TAX ASSESSMENT YEAR 2006-20</v>
          </cell>
          <cell r="D4442">
            <v>0</v>
          </cell>
          <cell r="E4442">
            <v>0</v>
          </cell>
          <cell r="F4442">
            <v>0</v>
          </cell>
          <cell r="G4442">
            <v>0</v>
          </cell>
        </row>
        <row r="4443">
          <cell r="A4443" t="str">
            <v>51-02-07-0001</v>
          </cell>
          <cell r="B4443">
            <v>0</v>
          </cell>
          <cell r="C4443" t="str">
            <v xml:space="preserve">  ADVANCE I/TAX  ON EXPORT 2006-2007</v>
          </cell>
          <cell r="D4443">
            <v>0</v>
          </cell>
          <cell r="E4443">
            <v>0</v>
          </cell>
          <cell r="F4443">
            <v>0</v>
          </cell>
          <cell r="G4443">
            <v>0</v>
          </cell>
        </row>
        <row r="4444">
          <cell r="A4444" t="str">
            <v>51-03</v>
          </cell>
          <cell r="B4444">
            <v>0</v>
          </cell>
          <cell r="C4444" t="str">
            <v>**SALES TAX</v>
          </cell>
          <cell r="D4444">
            <v>0</v>
          </cell>
          <cell r="E4444">
            <v>646979.03</v>
          </cell>
          <cell r="F4444">
            <v>74134.33</v>
          </cell>
          <cell r="G4444">
            <v>721113.36</v>
          </cell>
        </row>
        <row r="4445">
          <cell r="A4445" t="str">
            <v>51-03-01</v>
          </cell>
          <cell r="B4445">
            <v>721113</v>
          </cell>
          <cell r="C4445" t="str">
            <v>***ADVANCE SALES TAX - INPUT</v>
          </cell>
          <cell r="D4445">
            <v>0</v>
          </cell>
          <cell r="E4445">
            <v>721113.36</v>
          </cell>
          <cell r="F4445">
            <v>0</v>
          </cell>
          <cell r="G4445">
            <v>721113.36</v>
          </cell>
        </row>
        <row r="4446">
          <cell r="A4446" t="str">
            <v>51-03-01-0001</v>
          </cell>
          <cell r="B4446">
            <v>721113</v>
          </cell>
          <cell r="C4446" t="str">
            <v xml:space="preserve">  SALES TAX INPUT RAW MATERIAL &amp; IMPORT</v>
          </cell>
          <cell r="D4446">
            <v>0</v>
          </cell>
          <cell r="E4446">
            <v>0</v>
          </cell>
          <cell r="F4446">
            <v>0</v>
          </cell>
          <cell r="G4446">
            <v>0</v>
          </cell>
        </row>
        <row r="4447">
          <cell r="A4447" t="str">
            <v>51-03-01-0002</v>
          </cell>
          <cell r="B4447">
            <v>0</v>
          </cell>
          <cell r="C4447" t="str">
            <v xml:space="preserve">  SALES TAX INPUT STORE ITEMS</v>
          </cell>
          <cell r="D4447">
            <v>0</v>
          </cell>
          <cell r="E4447">
            <v>719306.36</v>
          </cell>
          <cell r="F4447">
            <v>0</v>
          </cell>
          <cell r="G4447">
            <v>0</v>
          </cell>
        </row>
        <row r="4448">
          <cell r="A4448" t="str">
            <v>51-03-01-0003</v>
          </cell>
          <cell r="B4448">
            <v>0</v>
          </cell>
          <cell r="C4448" t="str">
            <v xml:space="preserve">  SALES TAX INPUT OTHERS</v>
          </cell>
          <cell r="D4448">
            <v>0</v>
          </cell>
          <cell r="E4448">
            <v>1807</v>
          </cell>
          <cell r="F4448">
            <v>0</v>
          </cell>
          <cell r="G4448">
            <v>0</v>
          </cell>
        </row>
        <row r="4449">
          <cell r="A4449" t="str">
            <v>51-03-01-0004</v>
          </cell>
          <cell r="B4449">
            <v>0</v>
          </cell>
          <cell r="C4449" t="str">
            <v xml:space="preserve">  SALES TAX CLAIM U/SEC'66.</v>
          </cell>
          <cell r="D4449">
            <v>0</v>
          </cell>
          <cell r="E4449">
            <v>0</v>
          </cell>
          <cell r="F4449">
            <v>0</v>
          </cell>
          <cell r="G4449">
            <v>0</v>
          </cell>
        </row>
        <row r="4450">
          <cell r="A4450" t="str">
            <v>51-03-02</v>
          </cell>
          <cell r="B4450">
            <v>0</v>
          </cell>
          <cell r="C4450" t="str">
            <v>***SALES TAX OUTPUT</v>
          </cell>
          <cell r="D4450">
            <v>74134.33</v>
          </cell>
          <cell r="E4450">
            <v>0</v>
          </cell>
          <cell r="F4450">
            <v>74134.33</v>
          </cell>
          <cell r="G4450">
            <v>0</v>
          </cell>
        </row>
        <row r="4451">
          <cell r="A4451" t="str">
            <v>51-03-02-0001</v>
          </cell>
          <cell r="B4451">
            <v>0</v>
          </cell>
          <cell r="C4451" t="str">
            <v xml:space="preserve">  ADVANCE SALES TAX - OUTPUT</v>
          </cell>
          <cell r="D4451">
            <v>74134.33</v>
          </cell>
          <cell r="E4451">
            <v>0</v>
          </cell>
          <cell r="F4451">
            <v>0</v>
          </cell>
          <cell r="G4451">
            <v>0</v>
          </cell>
        </row>
        <row r="4452">
          <cell r="A4452" t="str">
            <v>51-03-03</v>
          </cell>
          <cell r="B4452">
            <v>0</v>
          </cell>
          <cell r="C4452" t="str">
            <v>***ADVANCE SALES TAX</v>
          </cell>
          <cell r="D4452">
            <v>0</v>
          </cell>
          <cell r="E4452">
            <v>0</v>
          </cell>
          <cell r="F4452">
            <v>0</v>
          </cell>
          <cell r="G4452">
            <v>0</v>
          </cell>
        </row>
        <row r="4453">
          <cell r="A4453" t="str">
            <v>51-03-03-0001</v>
          </cell>
          <cell r="B4453">
            <v>0</v>
          </cell>
          <cell r="C4453" t="str">
            <v xml:space="preserve">  ADVANCE SALES TAX DEPOSITED</v>
          </cell>
          <cell r="D4453">
            <v>0</v>
          </cell>
          <cell r="E4453">
            <v>0</v>
          </cell>
          <cell r="F4453">
            <v>0</v>
          </cell>
          <cell r="G4453">
            <v>0</v>
          </cell>
        </row>
        <row r="4454">
          <cell r="A4454" t="str">
            <v>51-04</v>
          </cell>
          <cell r="B4454">
            <v>0</v>
          </cell>
          <cell r="C4454" t="str">
            <v>**OTHER DEPOSIT (WITH BANK)</v>
          </cell>
          <cell r="D4454">
            <v>61356.74</v>
          </cell>
          <cell r="E4454">
            <v>0</v>
          </cell>
          <cell r="F4454">
            <v>61356.74</v>
          </cell>
          <cell r="G4454">
            <v>0</v>
          </cell>
        </row>
        <row r="4455">
          <cell r="A4455" t="str">
            <v>51-04-01</v>
          </cell>
          <cell r="B4455">
            <v>0</v>
          </cell>
          <cell r="C4455" t="str">
            <v>***OTHER DEPOSIT H.B.L</v>
          </cell>
          <cell r="D4455">
            <v>0</v>
          </cell>
          <cell r="E4455">
            <v>0</v>
          </cell>
          <cell r="F4455">
            <v>0</v>
          </cell>
          <cell r="G4455">
            <v>0</v>
          </cell>
        </row>
        <row r="4456">
          <cell r="A4456" t="str">
            <v>51-04-01-0001</v>
          </cell>
          <cell r="B4456">
            <v>0</v>
          </cell>
          <cell r="C4456" t="str">
            <v xml:space="preserve">  HBL CANTT RUNNING SNTD A/C (PESHAWAR)</v>
          </cell>
          <cell r="D4456">
            <v>0</v>
          </cell>
          <cell r="E4456">
            <v>0</v>
          </cell>
          <cell r="F4456">
            <v>0</v>
          </cell>
          <cell r="G4456">
            <v>0</v>
          </cell>
        </row>
        <row r="4457">
          <cell r="A4457" t="str">
            <v>51-04-01-0002</v>
          </cell>
          <cell r="B4457">
            <v>0</v>
          </cell>
          <cell r="C4457" t="str">
            <v xml:space="preserve">  L/C MARGIN 30% HBL.</v>
          </cell>
          <cell r="D4457">
            <v>0</v>
          </cell>
          <cell r="E4457">
            <v>0</v>
          </cell>
          <cell r="F4457">
            <v>0</v>
          </cell>
          <cell r="G4457">
            <v>0</v>
          </cell>
        </row>
        <row r="4458">
          <cell r="A4458" t="str">
            <v>51-04-03</v>
          </cell>
          <cell r="B4458">
            <v>0</v>
          </cell>
          <cell r="C4458" t="str">
            <v>***SONERI BANK LIMITED</v>
          </cell>
          <cell r="D4458">
            <v>0</v>
          </cell>
          <cell r="E4458">
            <v>0</v>
          </cell>
          <cell r="F4458">
            <v>0</v>
          </cell>
          <cell r="G4458">
            <v>0</v>
          </cell>
        </row>
        <row r="4459">
          <cell r="A4459" t="str">
            <v>51-04-03-0001</v>
          </cell>
          <cell r="B4459">
            <v>0</v>
          </cell>
          <cell r="C4459" t="str">
            <v xml:space="preserve">  SBL CANTT RUNNING SNTD A/C # 412-06 PS</v>
          </cell>
          <cell r="D4459">
            <v>0</v>
          </cell>
          <cell r="E4459">
            <v>0</v>
          </cell>
          <cell r="F4459">
            <v>0</v>
          </cell>
          <cell r="G4459">
            <v>0</v>
          </cell>
        </row>
        <row r="4460">
          <cell r="A4460" t="str">
            <v>51-04-03-0002</v>
          </cell>
          <cell r="B4460">
            <v>0</v>
          </cell>
          <cell r="C4460" t="str">
            <v xml:space="preserve">  L/C MARGIN AT 30% SBL.</v>
          </cell>
          <cell r="D4460">
            <v>0</v>
          </cell>
          <cell r="E4460">
            <v>0</v>
          </cell>
          <cell r="F4460">
            <v>0</v>
          </cell>
          <cell r="G4460">
            <v>0</v>
          </cell>
        </row>
        <row r="4461">
          <cell r="A4461" t="str">
            <v>51-04-04</v>
          </cell>
          <cell r="B4461">
            <v>0</v>
          </cell>
          <cell r="C4461" t="str">
            <v>***ABN AMRO</v>
          </cell>
          <cell r="D4461">
            <v>0</v>
          </cell>
          <cell r="E4461">
            <v>0</v>
          </cell>
          <cell r="F4461">
            <v>0</v>
          </cell>
          <cell r="G4461">
            <v>0</v>
          </cell>
        </row>
        <row r="4462">
          <cell r="A4462" t="str">
            <v>51-04-04-0001</v>
          </cell>
          <cell r="B4462">
            <v>0</v>
          </cell>
          <cell r="C4462" t="str">
            <v xml:space="preserve">  FIXED DEPOSIT ABN AMRO</v>
          </cell>
          <cell r="D4462">
            <v>0</v>
          </cell>
          <cell r="E4462">
            <v>0</v>
          </cell>
          <cell r="F4462">
            <v>0</v>
          </cell>
          <cell r="G4462">
            <v>0</v>
          </cell>
        </row>
        <row r="4463">
          <cell r="A4463" t="str">
            <v>51-04-04-0002</v>
          </cell>
          <cell r="B4463">
            <v>0</v>
          </cell>
          <cell r="C4463" t="str">
            <v xml:space="preserve">  L/C MARGIN ABN AMRO</v>
          </cell>
          <cell r="D4463">
            <v>0</v>
          </cell>
          <cell r="E4463">
            <v>0</v>
          </cell>
          <cell r="F4463">
            <v>0</v>
          </cell>
          <cell r="G4463">
            <v>0</v>
          </cell>
        </row>
        <row r="4464">
          <cell r="A4464" t="str">
            <v>51-04-05</v>
          </cell>
          <cell r="B4464">
            <v>0</v>
          </cell>
          <cell r="C4464" t="str">
            <v>***METROPOLITAN BANK</v>
          </cell>
          <cell r="D4464">
            <v>39003.19</v>
          </cell>
          <cell r="E4464">
            <v>0</v>
          </cell>
          <cell r="F4464">
            <v>39003.19</v>
          </cell>
          <cell r="G4464">
            <v>0</v>
          </cell>
        </row>
        <row r="4465">
          <cell r="A4465" t="str">
            <v>51-04-05-0001</v>
          </cell>
          <cell r="B4465">
            <v>0</v>
          </cell>
          <cell r="C4465" t="str">
            <v xml:space="preserve">  L/C MARGIN AT 30% METROPLITIAN.</v>
          </cell>
          <cell r="D4465">
            <v>0</v>
          </cell>
          <cell r="E4465">
            <v>0</v>
          </cell>
          <cell r="F4465">
            <v>0</v>
          </cell>
          <cell r="G4465">
            <v>0</v>
          </cell>
        </row>
        <row r="4466">
          <cell r="A4466" t="str">
            <v>51-04-05-0002</v>
          </cell>
          <cell r="B4466">
            <v>0</v>
          </cell>
          <cell r="C4466" t="str">
            <v xml:space="preserve">  FIXED DEPOSIT RECEIPT METROPOLITAN KHI</v>
          </cell>
          <cell r="D4466">
            <v>39003.19</v>
          </cell>
          <cell r="E4466">
            <v>0</v>
          </cell>
          <cell r="F4466">
            <v>0</v>
          </cell>
          <cell r="G4466">
            <v>0</v>
          </cell>
        </row>
        <row r="4467">
          <cell r="A4467" t="str">
            <v>51-04-06</v>
          </cell>
          <cell r="B4467">
            <v>0</v>
          </cell>
          <cell r="C4467" t="str">
            <v>***FIXED DEPOSIT AT HABIB BANK A G ZURIC</v>
          </cell>
          <cell r="D4467">
            <v>0</v>
          </cell>
          <cell r="E4467">
            <v>0</v>
          </cell>
          <cell r="F4467">
            <v>0</v>
          </cell>
          <cell r="G4467">
            <v>0</v>
          </cell>
        </row>
        <row r="4468">
          <cell r="A4468" t="str">
            <v>51-04-06-0001</v>
          </cell>
          <cell r="B4468">
            <v>0</v>
          </cell>
          <cell r="C4468" t="str">
            <v xml:space="preserve">  FIXED DEPOSIT RECEIPTS HB AG ZURICH</v>
          </cell>
          <cell r="D4468">
            <v>0</v>
          </cell>
          <cell r="E4468">
            <v>0</v>
          </cell>
          <cell r="F4468">
            <v>0</v>
          </cell>
          <cell r="G4468">
            <v>0</v>
          </cell>
        </row>
        <row r="4469">
          <cell r="A4469" t="str">
            <v>51-04-07</v>
          </cell>
          <cell r="B4469">
            <v>0</v>
          </cell>
          <cell r="C4469" t="str">
            <v>***OTHER DEPOSIT (UNITED BANK LIMITED)</v>
          </cell>
          <cell r="D4469">
            <v>0</v>
          </cell>
          <cell r="E4469">
            <v>0</v>
          </cell>
          <cell r="F4469">
            <v>0</v>
          </cell>
          <cell r="G4469">
            <v>0</v>
          </cell>
        </row>
        <row r="4470">
          <cell r="A4470" t="str">
            <v>51-04-07-0002</v>
          </cell>
          <cell r="B4470">
            <v>0</v>
          </cell>
          <cell r="C4470" t="str">
            <v xml:space="preserve">  L/C MARGIN UNITED BANK LIMITED</v>
          </cell>
          <cell r="D4470">
            <v>0</v>
          </cell>
          <cell r="E4470">
            <v>0</v>
          </cell>
          <cell r="F4470">
            <v>0</v>
          </cell>
          <cell r="G4470">
            <v>0</v>
          </cell>
        </row>
        <row r="4471">
          <cell r="A4471" t="str">
            <v>51-04-12</v>
          </cell>
          <cell r="B4471">
            <v>0</v>
          </cell>
          <cell r="C4471" t="str">
            <v>***FIXED DEPOSIT AT BANK AL-HABIB</v>
          </cell>
          <cell r="D4471">
            <v>22353.55</v>
          </cell>
          <cell r="E4471">
            <v>0</v>
          </cell>
          <cell r="F4471">
            <v>22353.55</v>
          </cell>
          <cell r="G4471">
            <v>0</v>
          </cell>
        </row>
        <row r="4472">
          <cell r="A4472" t="str">
            <v>51-04-12-0001</v>
          </cell>
          <cell r="B4472">
            <v>0</v>
          </cell>
          <cell r="C4472" t="str">
            <v xml:space="preserve">  FIXED DEPOSIT RECEIPT BANK AL-HABIB</v>
          </cell>
          <cell r="D4472">
            <v>22353.55</v>
          </cell>
          <cell r="E4472">
            <v>0</v>
          </cell>
          <cell r="F4472">
            <v>0</v>
          </cell>
          <cell r="G4472">
            <v>0</v>
          </cell>
        </row>
        <row r="4473">
          <cell r="A4473" t="str">
            <v>51-04-12-0002</v>
          </cell>
          <cell r="B4473">
            <v>0</v>
          </cell>
          <cell r="C4473" t="str">
            <v xml:space="preserve">  L/C MARGIN BANK AL-HABIB</v>
          </cell>
          <cell r="D4473">
            <v>0</v>
          </cell>
          <cell r="E4473">
            <v>0</v>
          </cell>
          <cell r="F4473">
            <v>0</v>
          </cell>
          <cell r="G4473">
            <v>0</v>
          </cell>
        </row>
        <row r="4474">
          <cell r="A4474" t="str">
            <v>51-05</v>
          </cell>
          <cell r="B4474">
            <v>0</v>
          </cell>
          <cell r="C4474" t="str">
            <v>**OTHER DEPOSIT (WITH LEASING)</v>
          </cell>
          <cell r="D4474">
            <v>0</v>
          </cell>
          <cell r="E4474">
            <v>0</v>
          </cell>
          <cell r="F4474">
            <v>0</v>
          </cell>
          <cell r="G4474">
            <v>0</v>
          </cell>
        </row>
        <row r="4475">
          <cell r="A4475" t="str">
            <v>51-05-01</v>
          </cell>
          <cell r="B4475">
            <v>0</v>
          </cell>
          <cell r="C4475" t="str">
            <v>***OTHER DEPOSIT N.D.L.C</v>
          </cell>
          <cell r="D4475">
            <v>0</v>
          </cell>
          <cell r="E4475">
            <v>0</v>
          </cell>
          <cell r="F4475">
            <v>0</v>
          </cell>
          <cell r="G4475">
            <v>0</v>
          </cell>
        </row>
        <row r="4476">
          <cell r="A4476" t="str">
            <v>51-05-01-0001</v>
          </cell>
          <cell r="B4476">
            <v>0</v>
          </cell>
          <cell r="C4476" t="str">
            <v xml:space="preserve">  OTHER DEPOSIT N.D.L.C</v>
          </cell>
          <cell r="D4476">
            <v>0</v>
          </cell>
          <cell r="E4476">
            <v>0</v>
          </cell>
          <cell r="F4476">
            <v>0</v>
          </cell>
          <cell r="G4476">
            <v>0</v>
          </cell>
        </row>
        <row r="4477">
          <cell r="A4477" t="str">
            <v>51-07</v>
          </cell>
          <cell r="B4477">
            <v>0</v>
          </cell>
          <cell r="C4477" t="str">
            <v>**IMPORT DEPOSIT</v>
          </cell>
          <cell r="D4477">
            <v>985000</v>
          </cell>
          <cell r="E4477">
            <v>0</v>
          </cell>
          <cell r="F4477">
            <v>985000</v>
          </cell>
          <cell r="G4477">
            <v>0</v>
          </cell>
        </row>
        <row r="4478">
          <cell r="A4478" t="str">
            <v>51-07-01</v>
          </cell>
          <cell r="B4478">
            <v>0</v>
          </cell>
          <cell r="C4478" t="str">
            <v>***IMPORT DEPOSIT (WITH CLEARING AGENT)</v>
          </cell>
          <cell r="D4478">
            <v>985000</v>
          </cell>
          <cell r="E4478">
            <v>0</v>
          </cell>
          <cell r="F4478">
            <v>985000</v>
          </cell>
          <cell r="G4478">
            <v>0</v>
          </cell>
        </row>
        <row r="4479">
          <cell r="A4479" t="str">
            <v>51-07-01-0001</v>
          </cell>
          <cell r="B4479">
            <v>0</v>
          </cell>
          <cell r="C4479" t="str">
            <v xml:space="preserve">  T.P DEPOSIT (IMPORT)</v>
          </cell>
          <cell r="D4479">
            <v>0</v>
          </cell>
          <cell r="E4479">
            <v>0</v>
          </cell>
          <cell r="F4479">
            <v>0</v>
          </cell>
          <cell r="G4479">
            <v>0</v>
          </cell>
        </row>
        <row r="4480">
          <cell r="A4480" t="str">
            <v>51-07-01-0002</v>
          </cell>
          <cell r="B4480">
            <v>0</v>
          </cell>
          <cell r="C4480" t="str">
            <v xml:space="preserve">  CONTAINER SECURITY DEPOSIT (JAWAID UME</v>
          </cell>
          <cell r="D4480">
            <v>185000</v>
          </cell>
          <cell r="E4480">
            <v>0</v>
          </cell>
          <cell r="F4480">
            <v>0</v>
          </cell>
          <cell r="G4480">
            <v>0</v>
          </cell>
        </row>
        <row r="4481">
          <cell r="A4481" t="str">
            <v>51-07-01-0003</v>
          </cell>
          <cell r="B4481">
            <v>0</v>
          </cell>
          <cell r="C4481" t="str">
            <v xml:space="preserve">  CONTAINER SECURITY DEPOSIT- MARINE SER</v>
          </cell>
          <cell r="D4481">
            <v>0</v>
          </cell>
          <cell r="E4481">
            <v>0</v>
          </cell>
          <cell r="F4481">
            <v>0</v>
          </cell>
          <cell r="G4481">
            <v>0</v>
          </cell>
        </row>
        <row r="4482">
          <cell r="A4482" t="str">
            <v>51-07-01-0004</v>
          </cell>
          <cell r="B4482">
            <v>0</v>
          </cell>
          <cell r="C4482" t="str">
            <v xml:space="preserve">  CONTAINER SECURITY DEPOSIT G.N.CORP.</v>
          </cell>
          <cell r="D4482">
            <v>800000</v>
          </cell>
          <cell r="E4482">
            <v>0</v>
          </cell>
          <cell r="F4482">
            <v>0</v>
          </cell>
          <cell r="G4482">
            <v>0</v>
          </cell>
        </row>
        <row r="4483">
          <cell r="A4483" t="str">
            <v>51-08</v>
          </cell>
          <cell r="B4483">
            <v>0</v>
          </cell>
          <cell r="C4483" t="str">
            <v>**PREPAYMENT</v>
          </cell>
          <cell r="D4483">
            <v>1725088</v>
          </cell>
          <cell r="E4483">
            <v>0</v>
          </cell>
          <cell r="F4483">
            <v>1725088</v>
          </cell>
          <cell r="G4483">
            <v>0</v>
          </cell>
        </row>
        <row r="4484">
          <cell r="A4484" t="str">
            <v>51-08-01</v>
          </cell>
          <cell r="B4484">
            <v>0</v>
          </cell>
          <cell r="C4484" t="str">
            <v>***PREPAYMENT  ( ADMIN. )</v>
          </cell>
          <cell r="D4484">
            <v>1059645</v>
          </cell>
          <cell r="E4484">
            <v>0</v>
          </cell>
          <cell r="F4484">
            <v>1059645</v>
          </cell>
          <cell r="G4484">
            <v>0</v>
          </cell>
        </row>
        <row r="4485">
          <cell r="A4485" t="str">
            <v>51-08-01-0001</v>
          </cell>
          <cell r="B4485">
            <v>0</v>
          </cell>
          <cell r="C4485" t="str">
            <v xml:space="preserve">  NATIONAL DEVELOPMENT LEASING CORPORATI</v>
          </cell>
          <cell r="D4485">
            <v>0</v>
          </cell>
          <cell r="E4485">
            <v>0</v>
          </cell>
          <cell r="F4485">
            <v>0</v>
          </cell>
          <cell r="G4485">
            <v>0</v>
          </cell>
        </row>
        <row r="4486">
          <cell r="A4486" t="str">
            <v>51-08-01-0002</v>
          </cell>
          <cell r="B4486">
            <v>0</v>
          </cell>
          <cell r="C4486" t="str">
            <v xml:space="preserve">  PREPAID EXPENSES APTMA</v>
          </cell>
          <cell r="D4486">
            <v>477687</v>
          </cell>
          <cell r="E4486">
            <v>0</v>
          </cell>
          <cell r="F4486">
            <v>0</v>
          </cell>
          <cell r="G4486">
            <v>0</v>
          </cell>
        </row>
        <row r="4487">
          <cell r="A4487" t="str">
            <v>51-08-01-0003</v>
          </cell>
          <cell r="B4487">
            <v>0</v>
          </cell>
          <cell r="C4487" t="str">
            <v xml:space="preserve">  PREPAID EXPENSES-OTHERS</v>
          </cell>
          <cell r="D4487">
            <v>191040</v>
          </cell>
          <cell r="E4487">
            <v>0</v>
          </cell>
          <cell r="F4487">
            <v>0</v>
          </cell>
          <cell r="G4487">
            <v>0</v>
          </cell>
        </row>
        <row r="4488">
          <cell r="A4488" t="str">
            <v>51-08-01-0004</v>
          </cell>
          <cell r="B4488">
            <v>0</v>
          </cell>
          <cell r="C4488" t="str">
            <v xml:space="preserve">  PREPAID INSURANCE (ADMIN)</v>
          </cell>
          <cell r="D4488">
            <v>107418</v>
          </cell>
          <cell r="E4488">
            <v>0</v>
          </cell>
          <cell r="F4488">
            <v>0</v>
          </cell>
          <cell r="G4488">
            <v>0</v>
          </cell>
        </row>
        <row r="4489">
          <cell r="A4489" t="str">
            <v>51-08-01-0005</v>
          </cell>
          <cell r="B4489">
            <v>0</v>
          </cell>
          <cell r="C4489" t="str">
            <v xml:space="preserve">  PREPAID OFFICE/HOUSE RENT</v>
          </cell>
          <cell r="D4489">
            <v>283500</v>
          </cell>
          <cell r="E4489">
            <v>0</v>
          </cell>
          <cell r="F4489">
            <v>0</v>
          </cell>
          <cell r="G4489">
            <v>0</v>
          </cell>
        </row>
        <row r="4490">
          <cell r="A4490" t="str">
            <v>51-08-02</v>
          </cell>
          <cell r="B4490">
            <v>0</v>
          </cell>
          <cell r="C4490" t="str">
            <v>***PREPAYMENT  ( MFG. )</v>
          </cell>
          <cell r="D4490">
            <v>665443</v>
          </cell>
          <cell r="E4490">
            <v>0</v>
          </cell>
          <cell r="F4490">
            <v>665443</v>
          </cell>
          <cell r="G4490">
            <v>0</v>
          </cell>
        </row>
        <row r="4491">
          <cell r="A4491" t="str">
            <v>51-08-02-0001</v>
          </cell>
          <cell r="B4491">
            <v>0</v>
          </cell>
          <cell r="C4491" t="str">
            <v xml:space="preserve">  PREPAID EXCISE DUTY PAID</v>
          </cell>
          <cell r="D4491">
            <v>0</v>
          </cell>
          <cell r="E4491">
            <v>0</v>
          </cell>
          <cell r="F4491">
            <v>0</v>
          </cell>
          <cell r="G4491">
            <v>0</v>
          </cell>
        </row>
        <row r="4492">
          <cell r="A4492" t="str">
            <v>51-08-02-0002</v>
          </cell>
          <cell r="B4492">
            <v>0</v>
          </cell>
          <cell r="C4492" t="str">
            <v xml:space="preserve">  PREPAID INSURANCE (MANUFACTURING)</v>
          </cell>
          <cell r="D4492">
            <v>665443</v>
          </cell>
          <cell r="E4492">
            <v>0</v>
          </cell>
          <cell r="F4492">
            <v>0</v>
          </cell>
          <cell r="G4492">
            <v>0</v>
          </cell>
        </row>
        <row r="4493">
          <cell r="A4493" t="str">
            <v>51-09</v>
          </cell>
          <cell r="B4493">
            <v>0</v>
          </cell>
          <cell r="C4493" t="str">
            <v>**DEPOSIT WITH OTHER PARTIES</v>
          </cell>
          <cell r="D4493">
            <v>0</v>
          </cell>
          <cell r="E4493">
            <v>0</v>
          </cell>
          <cell r="F4493">
            <v>0</v>
          </cell>
          <cell r="G4493">
            <v>0</v>
          </cell>
        </row>
        <row r="4494">
          <cell r="A4494" t="str">
            <v>51-09-01</v>
          </cell>
          <cell r="B4494">
            <v>0</v>
          </cell>
          <cell r="C4494" t="str">
            <v>***DEPOSIT WITH STORE PARTIES</v>
          </cell>
          <cell r="D4494">
            <v>0</v>
          </cell>
          <cell r="E4494">
            <v>0</v>
          </cell>
          <cell r="F4494">
            <v>0</v>
          </cell>
          <cell r="G4494">
            <v>0</v>
          </cell>
        </row>
        <row r="4495">
          <cell r="A4495" t="str">
            <v>51-09-01-0001</v>
          </cell>
          <cell r="B4495">
            <v>0</v>
          </cell>
          <cell r="C4495" t="str">
            <v xml:space="preserve">  IMAM BUKHSH GAS COMPANY</v>
          </cell>
          <cell r="D4495">
            <v>0</v>
          </cell>
          <cell r="E4495">
            <v>0</v>
          </cell>
          <cell r="F4495">
            <v>0</v>
          </cell>
          <cell r="G4495">
            <v>0</v>
          </cell>
        </row>
        <row r="4496">
          <cell r="A4496" t="str">
            <v>51-09-02</v>
          </cell>
          <cell r="B4496">
            <v>0</v>
          </cell>
          <cell r="C4496" t="str">
            <v>***SECURITY DEPOSIT</v>
          </cell>
          <cell r="D4496">
            <v>0</v>
          </cell>
          <cell r="E4496">
            <v>0</v>
          </cell>
          <cell r="F4496">
            <v>0</v>
          </cell>
          <cell r="G4496">
            <v>0</v>
          </cell>
        </row>
        <row r="4497">
          <cell r="A4497" t="str">
            <v>51-09-02-0001</v>
          </cell>
          <cell r="B4497">
            <v>0</v>
          </cell>
          <cell r="C4497" t="str">
            <v xml:space="preserve">  SECURITY DEPOSIT EEC QUOTA-A.P.T.M.A</v>
          </cell>
          <cell r="D4497">
            <v>0</v>
          </cell>
          <cell r="E4497">
            <v>0</v>
          </cell>
          <cell r="F4497">
            <v>0</v>
          </cell>
          <cell r="G4497">
            <v>0</v>
          </cell>
        </row>
        <row r="4498">
          <cell r="A4498" t="str">
            <v>51-09-02-0002</v>
          </cell>
          <cell r="B4498">
            <v>0</v>
          </cell>
          <cell r="C4498" t="str">
            <v xml:space="preserve">  SECURITY DEPOSITS EQ QUOTA CAT-01-EBP</v>
          </cell>
          <cell r="D4498">
            <v>0</v>
          </cell>
          <cell r="E4498">
            <v>0</v>
          </cell>
          <cell r="F4498">
            <v>0</v>
          </cell>
          <cell r="G4498">
            <v>0</v>
          </cell>
        </row>
        <row r="4499">
          <cell r="A4499" t="str">
            <v>52</v>
          </cell>
          <cell r="B4499">
            <v>0</v>
          </cell>
          <cell r="C4499" t="str">
            <v>*INVENTORY OF STORES &amp; SPARES</v>
          </cell>
          <cell r="D4499">
            <v>85137456.349999994</v>
          </cell>
          <cell r="E4499">
            <v>0</v>
          </cell>
          <cell r="F4499">
            <v>85137456.349999994</v>
          </cell>
          <cell r="G4499">
            <v>0</v>
          </cell>
        </row>
        <row r="4500">
          <cell r="A4500" t="str">
            <v>52-01</v>
          </cell>
          <cell r="B4500">
            <v>0</v>
          </cell>
          <cell r="C4500" t="str">
            <v>**MACHINERY SPARE ASSESORIES STORE</v>
          </cell>
          <cell r="D4500">
            <v>61684531.460000001</v>
          </cell>
          <cell r="E4500">
            <v>0</v>
          </cell>
          <cell r="F4500">
            <v>61684531.460000001</v>
          </cell>
          <cell r="G4500">
            <v>0</v>
          </cell>
        </row>
        <row r="4501">
          <cell r="A4501" t="str">
            <v>52-01-01</v>
          </cell>
          <cell r="B4501">
            <v>0</v>
          </cell>
          <cell r="C4501" t="str">
            <v>***MACHINERY SPARE ASSESORIES STORE</v>
          </cell>
          <cell r="D4501">
            <v>61684531.460000001</v>
          </cell>
          <cell r="E4501">
            <v>0</v>
          </cell>
          <cell r="F4501">
            <v>61684531.460000001</v>
          </cell>
          <cell r="G4501">
            <v>0</v>
          </cell>
        </row>
        <row r="4502">
          <cell r="A4502" t="str">
            <v>52-01-01-0001</v>
          </cell>
          <cell r="B4502">
            <v>0</v>
          </cell>
          <cell r="C4502" t="str">
            <v xml:space="preserve">  MACHINERY SPARE ASSESORIES STORE</v>
          </cell>
          <cell r="D4502">
            <v>61684531.460000001</v>
          </cell>
          <cell r="E4502">
            <v>0</v>
          </cell>
          <cell r="F4502">
            <v>0</v>
          </cell>
          <cell r="G4502">
            <v>0</v>
          </cell>
        </row>
        <row r="4503">
          <cell r="A4503" t="str">
            <v>52-02</v>
          </cell>
          <cell r="B4503">
            <v>0</v>
          </cell>
          <cell r="C4503" t="str">
            <v>**PACKING MATERIAL STORE</v>
          </cell>
          <cell r="D4503">
            <v>4838271.0599999996</v>
          </cell>
          <cell r="E4503">
            <v>0</v>
          </cell>
          <cell r="F4503">
            <v>4838271.0599999996</v>
          </cell>
          <cell r="G4503">
            <v>0</v>
          </cell>
        </row>
        <row r="4504">
          <cell r="A4504" t="str">
            <v>52-02-01</v>
          </cell>
          <cell r="B4504">
            <v>0</v>
          </cell>
          <cell r="C4504" t="str">
            <v>***PACKING MATERIAL STORE</v>
          </cell>
          <cell r="D4504">
            <v>4838271.0599999996</v>
          </cell>
          <cell r="E4504">
            <v>0</v>
          </cell>
          <cell r="F4504">
            <v>4838271.0599999996</v>
          </cell>
          <cell r="G4504">
            <v>0</v>
          </cell>
        </row>
        <row r="4505">
          <cell r="A4505" t="str">
            <v>52-02-01-0001</v>
          </cell>
          <cell r="B4505">
            <v>0</v>
          </cell>
          <cell r="C4505" t="str">
            <v xml:space="preserve">  PACKING MATERIAL STORE</v>
          </cell>
          <cell r="D4505">
            <v>4838271.0599999996</v>
          </cell>
          <cell r="E4505">
            <v>0</v>
          </cell>
          <cell r="F4505">
            <v>0</v>
          </cell>
          <cell r="G4505">
            <v>0</v>
          </cell>
        </row>
        <row r="4506">
          <cell r="A4506" t="str">
            <v>52-03</v>
          </cell>
          <cell r="B4506">
            <v>0</v>
          </cell>
          <cell r="C4506" t="str">
            <v>**OIL &amp; LUBRICANTS STORE</v>
          </cell>
          <cell r="D4506">
            <v>1361084.03</v>
          </cell>
          <cell r="E4506">
            <v>0</v>
          </cell>
          <cell r="F4506">
            <v>1361084.03</v>
          </cell>
          <cell r="G4506">
            <v>0</v>
          </cell>
        </row>
        <row r="4507">
          <cell r="A4507" t="str">
            <v>52-03-01</v>
          </cell>
          <cell r="B4507">
            <v>0</v>
          </cell>
          <cell r="C4507" t="str">
            <v>***OIL &amp; LUBRICANTS STORE</v>
          </cell>
          <cell r="D4507">
            <v>1361084.03</v>
          </cell>
          <cell r="E4507">
            <v>0</v>
          </cell>
          <cell r="F4507">
            <v>1361084.03</v>
          </cell>
          <cell r="G4507">
            <v>0</v>
          </cell>
        </row>
        <row r="4508">
          <cell r="A4508" t="str">
            <v>52-03-01-0001</v>
          </cell>
          <cell r="B4508">
            <v>0</v>
          </cell>
          <cell r="C4508" t="str">
            <v xml:space="preserve">  OIL &amp; LUBRICANTS STORE</v>
          </cell>
          <cell r="D4508">
            <v>1361084.03</v>
          </cell>
          <cell r="E4508">
            <v>0</v>
          </cell>
          <cell r="F4508">
            <v>0</v>
          </cell>
          <cell r="G4508">
            <v>0</v>
          </cell>
        </row>
        <row r="4509">
          <cell r="A4509" t="str">
            <v>52-04</v>
          </cell>
          <cell r="B4509">
            <v>0</v>
          </cell>
          <cell r="C4509" t="str">
            <v>**ELECTRIC STORE</v>
          </cell>
          <cell r="D4509">
            <v>10654132.76</v>
          </cell>
          <cell r="E4509">
            <v>0</v>
          </cell>
          <cell r="F4509">
            <v>10654132.76</v>
          </cell>
          <cell r="G4509">
            <v>0</v>
          </cell>
        </row>
        <row r="4510">
          <cell r="A4510" t="str">
            <v>52-04-01</v>
          </cell>
          <cell r="B4510">
            <v>0</v>
          </cell>
          <cell r="C4510" t="str">
            <v>***ELECTRIC STORE</v>
          </cell>
          <cell r="D4510">
            <v>10654132.76</v>
          </cell>
          <cell r="E4510">
            <v>0</v>
          </cell>
          <cell r="F4510">
            <v>10654132.76</v>
          </cell>
          <cell r="G4510">
            <v>0</v>
          </cell>
        </row>
        <row r="4511">
          <cell r="A4511" t="str">
            <v>52-04-01-0001</v>
          </cell>
          <cell r="B4511">
            <v>0</v>
          </cell>
          <cell r="C4511" t="str">
            <v xml:space="preserve">  ELECTRIC STORE</v>
          </cell>
          <cell r="D4511">
            <v>10654132.76</v>
          </cell>
          <cell r="E4511">
            <v>0</v>
          </cell>
          <cell r="F4511">
            <v>0</v>
          </cell>
          <cell r="G4511">
            <v>0</v>
          </cell>
        </row>
        <row r="4512">
          <cell r="A4512" t="str">
            <v>52-05</v>
          </cell>
          <cell r="B4512">
            <v>0</v>
          </cell>
          <cell r="C4512" t="str">
            <v>**GENERAL STORE</v>
          </cell>
          <cell r="D4512">
            <v>3256894.27</v>
          </cell>
          <cell r="E4512">
            <v>0</v>
          </cell>
          <cell r="F4512">
            <v>3256894.27</v>
          </cell>
          <cell r="G4512">
            <v>0</v>
          </cell>
        </row>
        <row r="4513">
          <cell r="A4513" t="str">
            <v>52-05-01</v>
          </cell>
          <cell r="B4513">
            <v>0</v>
          </cell>
          <cell r="C4513" t="str">
            <v>***GENERAL STORE</v>
          </cell>
          <cell r="D4513">
            <v>3256894.27</v>
          </cell>
          <cell r="E4513">
            <v>0</v>
          </cell>
          <cell r="F4513">
            <v>3256894.27</v>
          </cell>
          <cell r="G4513">
            <v>0</v>
          </cell>
        </row>
        <row r="4514">
          <cell r="A4514" t="str">
            <v>52-05-01-0001</v>
          </cell>
          <cell r="B4514">
            <v>0</v>
          </cell>
          <cell r="C4514" t="str">
            <v xml:space="preserve">  GENERAL STORE</v>
          </cell>
          <cell r="D4514">
            <v>3256894.27</v>
          </cell>
          <cell r="E4514">
            <v>0</v>
          </cell>
          <cell r="F4514">
            <v>0</v>
          </cell>
          <cell r="G4514">
            <v>0</v>
          </cell>
        </row>
        <row r="4515">
          <cell r="A4515" t="str">
            <v>52-06</v>
          </cell>
          <cell r="B4515">
            <v>0</v>
          </cell>
          <cell r="C4515" t="str">
            <v>**DYES &amp; CHEMICALS STORE</v>
          </cell>
          <cell r="D4515">
            <v>56416.61</v>
          </cell>
          <cell r="E4515">
            <v>0</v>
          </cell>
          <cell r="F4515">
            <v>56416.61</v>
          </cell>
          <cell r="G4515">
            <v>0</v>
          </cell>
        </row>
        <row r="4516">
          <cell r="A4516" t="str">
            <v>52-06-01</v>
          </cell>
          <cell r="B4516">
            <v>0</v>
          </cell>
          <cell r="C4516" t="str">
            <v>***DYES &amp; CHEMICALS STORE</v>
          </cell>
          <cell r="D4516">
            <v>56416.61</v>
          </cell>
          <cell r="E4516">
            <v>0</v>
          </cell>
          <cell r="F4516">
            <v>56416.61</v>
          </cell>
          <cell r="G4516">
            <v>0</v>
          </cell>
        </row>
        <row r="4517">
          <cell r="A4517" t="str">
            <v>52-06-01-0001</v>
          </cell>
          <cell r="B4517">
            <v>0</v>
          </cell>
          <cell r="C4517" t="str">
            <v xml:space="preserve">  DYES &amp; CHEMICALS STORE</v>
          </cell>
          <cell r="D4517">
            <v>56416.61</v>
          </cell>
          <cell r="E4517">
            <v>0</v>
          </cell>
          <cell r="F4517">
            <v>0</v>
          </cell>
          <cell r="G4517">
            <v>0</v>
          </cell>
        </row>
        <row r="4518">
          <cell r="A4518" t="str">
            <v>52-07</v>
          </cell>
          <cell r="B4518">
            <v>0</v>
          </cell>
          <cell r="C4518" t="str">
            <v>**FURNITURE &amp; FIXTURE STORE</v>
          </cell>
          <cell r="D4518">
            <v>98565.11</v>
          </cell>
          <cell r="E4518">
            <v>0</v>
          </cell>
          <cell r="F4518">
            <v>98565.11</v>
          </cell>
          <cell r="G4518">
            <v>0</v>
          </cell>
        </row>
        <row r="4519">
          <cell r="A4519" t="str">
            <v>52-07-01</v>
          </cell>
          <cell r="B4519">
            <v>0</v>
          </cell>
          <cell r="C4519" t="str">
            <v>***FURNITURE &amp; FIXTURE STORE</v>
          </cell>
          <cell r="D4519">
            <v>98565.11</v>
          </cell>
          <cell r="E4519">
            <v>0</v>
          </cell>
          <cell r="F4519">
            <v>98565.11</v>
          </cell>
          <cell r="G4519">
            <v>0</v>
          </cell>
        </row>
        <row r="4520">
          <cell r="A4520" t="str">
            <v>52-07-01-0001</v>
          </cell>
          <cell r="B4520">
            <v>0</v>
          </cell>
          <cell r="C4520" t="str">
            <v xml:space="preserve">  FURNITURE &amp; FIXTURE STORE</v>
          </cell>
          <cell r="D4520">
            <v>98565.11</v>
          </cell>
          <cell r="E4520">
            <v>0</v>
          </cell>
          <cell r="F4520">
            <v>0</v>
          </cell>
          <cell r="G4520">
            <v>0</v>
          </cell>
        </row>
        <row r="4521">
          <cell r="A4521" t="str">
            <v>52-08</v>
          </cell>
          <cell r="B4521">
            <v>0</v>
          </cell>
          <cell r="C4521" t="str">
            <v>**LOOSE TOOLS STORE</v>
          </cell>
          <cell r="D4521">
            <v>365108.44</v>
          </cell>
          <cell r="E4521">
            <v>0</v>
          </cell>
          <cell r="F4521">
            <v>365108.44</v>
          </cell>
          <cell r="G4521">
            <v>0</v>
          </cell>
        </row>
        <row r="4522">
          <cell r="A4522" t="str">
            <v>52-08-01</v>
          </cell>
          <cell r="B4522">
            <v>0</v>
          </cell>
          <cell r="C4522" t="str">
            <v>***LOOSE TOOLS STORE</v>
          </cell>
          <cell r="D4522">
            <v>365108.44</v>
          </cell>
          <cell r="E4522">
            <v>0</v>
          </cell>
          <cell r="F4522">
            <v>365108.44</v>
          </cell>
          <cell r="G4522">
            <v>0</v>
          </cell>
        </row>
        <row r="4523">
          <cell r="A4523" t="str">
            <v>52-08-01-0001</v>
          </cell>
          <cell r="B4523">
            <v>0</v>
          </cell>
          <cell r="C4523" t="str">
            <v xml:space="preserve">  LOOSE TOOLS STORE</v>
          </cell>
          <cell r="D4523">
            <v>365108.44</v>
          </cell>
          <cell r="E4523">
            <v>0</v>
          </cell>
          <cell r="F4523">
            <v>0</v>
          </cell>
          <cell r="G4523">
            <v>0</v>
          </cell>
        </row>
        <row r="4524">
          <cell r="A4524" t="str">
            <v>52-09</v>
          </cell>
          <cell r="B4524">
            <v>0</v>
          </cell>
          <cell r="C4524" t="str">
            <v>**CONSTRUCTION MATERIAL STORE</v>
          </cell>
          <cell r="D4524">
            <v>936099.35</v>
          </cell>
          <cell r="E4524">
            <v>0</v>
          </cell>
          <cell r="F4524">
            <v>936099.35</v>
          </cell>
          <cell r="G4524">
            <v>0</v>
          </cell>
        </row>
        <row r="4525">
          <cell r="A4525" t="str">
            <v>52-09-01</v>
          </cell>
          <cell r="B4525">
            <v>0</v>
          </cell>
          <cell r="C4525" t="str">
            <v>***CONSTRUCTION MATERIAL STORE</v>
          </cell>
          <cell r="D4525">
            <v>936099.35</v>
          </cell>
          <cell r="E4525">
            <v>0</v>
          </cell>
          <cell r="F4525">
            <v>936099.35</v>
          </cell>
          <cell r="G4525">
            <v>0</v>
          </cell>
        </row>
        <row r="4526">
          <cell r="A4526" t="str">
            <v>52-09-01-0001</v>
          </cell>
          <cell r="B4526">
            <v>0</v>
          </cell>
          <cell r="C4526" t="str">
            <v xml:space="preserve">  CONSTRUCTION MATERIAL STORE</v>
          </cell>
          <cell r="D4526">
            <v>936099.35</v>
          </cell>
          <cell r="E4526">
            <v>0</v>
          </cell>
          <cell r="F4526">
            <v>0</v>
          </cell>
          <cell r="G4526">
            <v>0</v>
          </cell>
        </row>
        <row r="4527">
          <cell r="A4527" t="str">
            <v>52-10</v>
          </cell>
          <cell r="B4527">
            <v>0</v>
          </cell>
          <cell r="C4527" t="str">
            <v>**PRINTING &amp; STATIONARY STORE</v>
          </cell>
          <cell r="D4527">
            <v>366014.26</v>
          </cell>
          <cell r="E4527">
            <v>0</v>
          </cell>
          <cell r="F4527">
            <v>366014.26</v>
          </cell>
          <cell r="G4527">
            <v>0</v>
          </cell>
        </row>
        <row r="4528">
          <cell r="A4528" t="str">
            <v>52-10-01</v>
          </cell>
          <cell r="B4528">
            <v>0</v>
          </cell>
          <cell r="C4528" t="str">
            <v>***PRINTING &amp; STATIONARY STORE</v>
          </cell>
          <cell r="D4528">
            <v>366014.26</v>
          </cell>
          <cell r="E4528">
            <v>0</v>
          </cell>
          <cell r="F4528">
            <v>366014.26</v>
          </cell>
          <cell r="G4528">
            <v>0</v>
          </cell>
        </row>
        <row r="4529">
          <cell r="A4529" t="str">
            <v>52-10-01-0001</v>
          </cell>
          <cell r="B4529">
            <v>0</v>
          </cell>
          <cell r="C4529" t="str">
            <v xml:space="preserve">  PRINTING &amp; STATIONARY STORE</v>
          </cell>
          <cell r="D4529">
            <v>366014.26</v>
          </cell>
          <cell r="E4529">
            <v>0</v>
          </cell>
          <cell r="F4529">
            <v>0</v>
          </cell>
          <cell r="G4529">
            <v>0</v>
          </cell>
        </row>
        <row r="4530">
          <cell r="A4530" t="str">
            <v>52-11</v>
          </cell>
          <cell r="B4530">
            <v>0</v>
          </cell>
          <cell r="C4530" t="str">
            <v>**REPAIR &amp; MAINT.PLANT &amp; MACHINERY STORE</v>
          </cell>
          <cell r="D4530">
            <v>543307.42000000004</v>
          </cell>
          <cell r="E4530">
            <v>0</v>
          </cell>
          <cell r="F4530">
            <v>543307.42000000004</v>
          </cell>
          <cell r="G4530">
            <v>0</v>
          </cell>
        </row>
        <row r="4531">
          <cell r="A4531" t="str">
            <v>52-11-01</v>
          </cell>
          <cell r="B4531">
            <v>0</v>
          </cell>
          <cell r="C4531" t="str">
            <v>***REPAIR &amp; MAINT.PLANT &amp; MACHINERY STOR</v>
          </cell>
          <cell r="D4531">
            <v>543307.42000000004</v>
          </cell>
          <cell r="E4531">
            <v>0</v>
          </cell>
          <cell r="F4531">
            <v>543307.42000000004</v>
          </cell>
          <cell r="G4531">
            <v>0</v>
          </cell>
        </row>
        <row r="4532">
          <cell r="A4532" t="str">
            <v>52-11-01-0001</v>
          </cell>
          <cell r="B4532">
            <v>0</v>
          </cell>
          <cell r="C4532" t="str">
            <v xml:space="preserve">  REPAIR &amp; MAINT. PLANT &amp; MACHINERY STOR</v>
          </cell>
          <cell r="D4532">
            <v>543307.42000000004</v>
          </cell>
          <cell r="E4532">
            <v>0</v>
          </cell>
          <cell r="F4532">
            <v>0</v>
          </cell>
          <cell r="G4532">
            <v>0</v>
          </cell>
        </row>
        <row r="4533">
          <cell r="A4533" t="str">
            <v>52-51</v>
          </cell>
          <cell r="B4533">
            <v>0</v>
          </cell>
          <cell r="C4533" t="str">
            <v>**POWER PLANT</v>
          </cell>
          <cell r="D4533">
            <v>545577.05000000005</v>
          </cell>
          <cell r="E4533">
            <v>0</v>
          </cell>
          <cell r="F4533">
            <v>545577.05000000005</v>
          </cell>
          <cell r="G4533">
            <v>0</v>
          </cell>
        </row>
        <row r="4534">
          <cell r="A4534" t="str">
            <v>52-51-01</v>
          </cell>
          <cell r="B4534">
            <v>0</v>
          </cell>
          <cell r="C4534" t="str">
            <v>***POWER PLANT</v>
          </cell>
          <cell r="D4534">
            <v>545577.05000000005</v>
          </cell>
          <cell r="E4534">
            <v>0</v>
          </cell>
          <cell r="F4534">
            <v>545577.05000000005</v>
          </cell>
          <cell r="G4534">
            <v>0</v>
          </cell>
        </row>
        <row r="4535">
          <cell r="A4535" t="str">
            <v>52-51-01-0001</v>
          </cell>
          <cell r="B4535">
            <v>0</v>
          </cell>
          <cell r="C4535" t="str">
            <v xml:space="preserve">  POWER PLANT</v>
          </cell>
          <cell r="D4535">
            <v>545577.05000000005</v>
          </cell>
          <cell r="E4535">
            <v>0</v>
          </cell>
          <cell r="F4535">
            <v>0</v>
          </cell>
          <cell r="G4535">
            <v>0</v>
          </cell>
        </row>
        <row r="4536">
          <cell r="A4536" t="str">
            <v>52-52</v>
          </cell>
          <cell r="B4536">
            <v>0</v>
          </cell>
          <cell r="C4536" t="str">
            <v>**POWER PLANT SPARES WARTSILA NSD</v>
          </cell>
          <cell r="D4536">
            <v>342638.29</v>
          </cell>
          <cell r="E4536">
            <v>0</v>
          </cell>
          <cell r="F4536">
            <v>342638.29</v>
          </cell>
          <cell r="G4536">
            <v>0</v>
          </cell>
        </row>
        <row r="4537">
          <cell r="A4537" t="str">
            <v>52-52-01</v>
          </cell>
          <cell r="B4537">
            <v>0</v>
          </cell>
          <cell r="C4537" t="str">
            <v>***POWER PLANT SPARES WARTSILA NSD</v>
          </cell>
          <cell r="D4537">
            <v>342638.29</v>
          </cell>
          <cell r="E4537">
            <v>0</v>
          </cell>
          <cell r="F4537">
            <v>342638.29</v>
          </cell>
          <cell r="G4537">
            <v>0</v>
          </cell>
        </row>
        <row r="4538">
          <cell r="A4538" t="str">
            <v>52-52-01-0001</v>
          </cell>
          <cell r="B4538">
            <v>0</v>
          </cell>
          <cell r="C4538" t="str">
            <v xml:space="preserve">  POWER PLANT SPARES WARTSILA NSD</v>
          </cell>
          <cell r="D4538">
            <v>342638.29</v>
          </cell>
          <cell r="E4538">
            <v>0</v>
          </cell>
          <cell r="F4538">
            <v>0</v>
          </cell>
          <cell r="G4538">
            <v>0</v>
          </cell>
        </row>
        <row r="4539">
          <cell r="A4539" t="str">
            <v>52-53</v>
          </cell>
          <cell r="B4539">
            <v>0</v>
          </cell>
          <cell r="C4539" t="str">
            <v>**INVENTORY OF STORES &amp; SPARES BMW</v>
          </cell>
          <cell r="D4539">
            <v>88816.24</v>
          </cell>
          <cell r="E4539">
            <v>0</v>
          </cell>
          <cell r="F4539">
            <v>88816.24</v>
          </cell>
          <cell r="G4539">
            <v>0</v>
          </cell>
        </row>
        <row r="4540">
          <cell r="A4540" t="str">
            <v>52-53-01</v>
          </cell>
          <cell r="B4540">
            <v>0</v>
          </cell>
          <cell r="C4540" t="str">
            <v>***INVENTORY OF STORES &amp; SPARES BWM</v>
          </cell>
          <cell r="D4540">
            <v>88816.24</v>
          </cell>
          <cell r="E4540">
            <v>0</v>
          </cell>
          <cell r="F4540">
            <v>88816.24</v>
          </cell>
          <cell r="G4540">
            <v>0</v>
          </cell>
        </row>
        <row r="4541">
          <cell r="A4541" t="str">
            <v>52-53-01-0001</v>
          </cell>
          <cell r="B4541">
            <v>0</v>
          </cell>
          <cell r="C4541" t="str">
            <v xml:space="preserve">  INVENTORY OF STORES &amp; SPARES BWM</v>
          </cell>
          <cell r="D4541">
            <v>88816.24</v>
          </cell>
          <cell r="E4541">
            <v>0</v>
          </cell>
          <cell r="F4541">
            <v>0</v>
          </cell>
          <cell r="G4541">
            <v>0</v>
          </cell>
        </row>
        <row r="4542">
          <cell r="A4542" t="str">
            <v>53</v>
          </cell>
          <cell r="B4542">
            <v>0</v>
          </cell>
          <cell r="C4542" t="str">
            <v>*STOCK IN TRADE</v>
          </cell>
          <cell r="D4542">
            <v>898233144.03999996</v>
          </cell>
          <cell r="E4542">
            <v>0</v>
          </cell>
          <cell r="F4542">
            <v>898233144.03999996</v>
          </cell>
          <cell r="G4542">
            <v>0</v>
          </cell>
        </row>
        <row r="4543">
          <cell r="A4543" t="str">
            <v>53-01</v>
          </cell>
          <cell r="B4543">
            <v>0</v>
          </cell>
          <cell r="C4543" t="str">
            <v>**CLOSING STOCK OF RAW MATERIALS</v>
          </cell>
          <cell r="D4543">
            <v>755168589</v>
          </cell>
          <cell r="E4543">
            <v>0</v>
          </cell>
          <cell r="F4543">
            <v>755168589</v>
          </cell>
          <cell r="G4543">
            <v>0</v>
          </cell>
        </row>
        <row r="4544">
          <cell r="A4544" t="str">
            <v>53-01-01</v>
          </cell>
          <cell r="B4544">
            <v>0</v>
          </cell>
          <cell r="C4544" t="str">
            <v>***CLOSING STOCK OF RAW MATERIALS</v>
          </cell>
          <cell r="D4544">
            <v>755168589</v>
          </cell>
          <cell r="E4544">
            <v>0</v>
          </cell>
          <cell r="F4544">
            <v>755168589</v>
          </cell>
          <cell r="G4544">
            <v>0</v>
          </cell>
        </row>
        <row r="4545">
          <cell r="A4545" t="str">
            <v>53-01-01-0001</v>
          </cell>
          <cell r="B4545">
            <v>0</v>
          </cell>
          <cell r="C4545" t="str">
            <v xml:space="preserve">  CLOSING STOCK OF RAW MATERIALS</v>
          </cell>
          <cell r="D4545">
            <v>680150669</v>
          </cell>
          <cell r="E4545">
            <v>0</v>
          </cell>
          <cell r="F4545">
            <v>0</v>
          </cell>
          <cell r="G4545">
            <v>0</v>
          </cell>
        </row>
        <row r="4546">
          <cell r="A4546" t="str">
            <v>53-01-01-0002</v>
          </cell>
          <cell r="B4546">
            <v>0</v>
          </cell>
          <cell r="C4546" t="str">
            <v xml:space="preserve">  CLOSING STOCK OF RAW MATERIAL IN TRANS</v>
          </cell>
          <cell r="D4546">
            <v>75017920</v>
          </cell>
          <cell r="E4546">
            <v>0</v>
          </cell>
          <cell r="F4546">
            <v>0</v>
          </cell>
          <cell r="G4546">
            <v>0</v>
          </cell>
        </row>
        <row r="4547">
          <cell r="A4547" t="str">
            <v>53-01-02</v>
          </cell>
          <cell r="B4547">
            <v>0</v>
          </cell>
          <cell r="C4547" t="str">
            <v>***RAW MATERIAL IN TRANSIT</v>
          </cell>
          <cell r="D4547">
            <v>0</v>
          </cell>
          <cell r="E4547">
            <v>0</v>
          </cell>
          <cell r="F4547">
            <v>0</v>
          </cell>
          <cell r="G4547">
            <v>0</v>
          </cell>
        </row>
        <row r="4548">
          <cell r="A4548" t="str">
            <v>53-01-02-0001</v>
          </cell>
          <cell r="B4548">
            <v>0</v>
          </cell>
          <cell r="C4548" t="str">
            <v xml:space="preserve">  RAW COTTON IN TRANSIT</v>
          </cell>
          <cell r="D4548">
            <v>0</v>
          </cell>
          <cell r="E4548">
            <v>0</v>
          </cell>
          <cell r="F4548">
            <v>0</v>
          </cell>
          <cell r="G4548">
            <v>0</v>
          </cell>
        </row>
        <row r="4549">
          <cell r="A4549" t="str">
            <v>53-01-02-0002</v>
          </cell>
          <cell r="B4549">
            <v>0</v>
          </cell>
          <cell r="C4549" t="str">
            <v xml:space="preserve">  RAW MATERIAL IN TRANSIT (A.S.F)</v>
          </cell>
          <cell r="D4549">
            <v>0</v>
          </cell>
          <cell r="E4549">
            <v>0</v>
          </cell>
          <cell r="F4549">
            <v>0</v>
          </cell>
          <cell r="G4549">
            <v>0</v>
          </cell>
        </row>
        <row r="4550">
          <cell r="A4550" t="str">
            <v>53-01-02-0003</v>
          </cell>
          <cell r="B4550">
            <v>0</v>
          </cell>
          <cell r="C4550" t="str">
            <v xml:space="preserve">  RAW MATERIL IN TRANSIT (P.S.F)</v>
          </cell>
          <cell r="D4550">
            <v>0</v>
          </cell>
          <cell r="E4550">
            <v>0</v>
          </cell>
          <cell r="F4550">
            <v>0</v>
          </cell>
          <cell r="G4550">
            <v>0</v>
          </cell>
        </row>
        <row r="4551">
          <cell r="A4551" t="str">
            <v>53-01-02-0004</v>
          </cell>
          <cell r="B4551">
            <v>0</v>
          </cell>
          <cell r="C4551" t="str">
            <v xml:space="preserve">  RAW MATERIAL IN TRANSIT (FILAMENT YARN</v>
          </cell>
          <cell r="D4551">
            <v>0</v>
          </cell>
          <cell r="E4551">
            <v>0</v>
          </cell>
          <cell r="F4551">
            <v>0</v>
          </cell>
          <cell r="G4551">
            <v>0</v>
          </cell>
        </row>
        <row r="4552">
          <cell r="A4552" t="str">
            <v>53-01-02-0005</v>
          </cell>
          <cell r="B4552">
            <v>0</v>
          </cell>
          <cell r="C4552" t="str">
            <v xml:space="preserve">  RAW MATERIAL IN TRANSIT (V.S.F)</v>
          </cell>
          <cell r="D4552">
            <v>0</v>
          </cell>
          <cell r="E4552">
            <v>0</v>
          </cell>
          <cell r="F4552">
            <v>0</v>
          </cell>
          <cell r="G4552">
            <v>0</v>
          </cell>
        </row>
        <row r="4553">
          <cell r="A4553" t="str">
            <v>53-02</v>
          </cell>
          <cell r="B4553">
            <v>0</v>
          </cell>
          <cell r="C4553" t="str">
            <v>**CLOSING STOCK OF WORK IN PROCESS</v>
          </cell>
          <cell r="D4553">
            <v>38603927</v>
          </cell>
          <cell r="E4553">
            <v>0</v>
          </cell>
          <cell r="F4553">
            <v>38603927</v>
          </cell>
          <cell r="G4553">
            <v>0</v>
          </cell>
        </row>
        <row r="4554">
          <cell r="A4554" t="str">
            <v>53-02-01</v>
          </cell>
          <cell r="B4554">
            <v>0</v>
          </cell>
          <cell r="C4554" t="str">
            <v>***CLOSING STOCK OF WORK IN PROCESS</v>
          </cell>
          <cell r="D4554">
            <v>38603927</v>
          </cell>
          <cell r="E4554">
            <v>0</v>
          </cell>
          <cell r="F4554">
            <v>38603927</v>
          </cell>
          <cell r="G4554">
            <v>0</v>
          </cell>
        </row>
        <row r="4555">
          <cell r="A4555" t="str">
            <v>53-02-01-0001</v>
          </cell>
          <cell r="B4555">
            <v>0</v>
          </cell>
          <cell r="C4555" t="str">
            <v xml:space="preserve">  CLOSING STOCK OF WORK IN PROCESS</v>
          </cell>
          <cell r="D4555">
            <v>38603927</v>
          </cell>
          <cell r="E4555">
            <v>0</v>
          </cell>
          <cell r="F4555">
            <v>0</v>
          </cell>
          <cell r="G4555">
            <v>0</v>
          </cell>
        </row>
        <row r="4556">
          <cell r="A4556" t="str">
            <v>53-03</v>
          </cell>
          <cell r="B4556">
            <v>0</v>
          </cell>
          <cell r="C4556" t="str">
            <v>**CLOSING STOCK OF FINISHED GOODS</v>
          </cell>
          <cell r="D4556">
            <v>90338481</v>
          </cell>
          <cell r="E4556">
            <v>0</v>
          </cell>
          <cell r="F4556">
            <v>90338481</v>
          </cell>
          <cell r="G4556">
            <v>0</v>
          </cell>
        </row>
        <row r="4557">
          <cell r="A4557" t="str">
            <v>53-03-01</v>
          </cell>
          <cell r="B4557">
            <v>0</v>
          </cell>
          <cell r="C4557" t="str">
            <v>***CLOSING STOCK OF FINISHED GOODS</v>
          </cell>
          <cell r="D4557">
            <v>90338481</v>
          </cell>
          <cell r="E4557">
            <v>0</v>
          </cell>
          <cell r="F4557">
            <v>90338481</v>
          </cell>
          <cell r="G4557">
            <v>0</v>
          </cell>
        </row>
        <row r="4558">
          <cell r="A4558" t="str">
            <v>53-03-01-0001</v>
          </cell>
          <cell r="B4558">
            <v>0</v>
          </cell>
          <cell r="C4558" t="str">
            <v xml:space="preserve">  CLOSING STOCK OF FINISHED GOODS</v>
          </cell>
          <cell r="D4558">
            <v>90338481</v>
          </cell>
          <cell r="E4558">
            <v>0</v>
          </cell>
          <cell r="F4558">
            <v>0</v>
          </cell>
          <cell r="G4558">
            <v>0</v>
          </cell>
        </row>
        <row r="4559">
          <cell r="A4559" t="str">
            <v>53-04</v>
          </cell>
          <cell r="B4559">
            <v>0</v>
          </cell>
          <cell r="C4559" t="str">
            <v>**CLOSING STOCK OF WASTE MATERIALS</v>
          </cell>
          <cell r="D4559">
            <v>4956353</v>
          </cell>
          <cell r="E4559">
            <v>0</v>
          </cell>
          <cell r="F4559">
            <v>4956353</v>
          </cell>
          <cell r="G4559">
            <v>0</v>
          </cell>
        </row>
        <row r="4560">
          <cell r="A4560" t="str">
            <v>53-04-01</v>
          </cell>
          <cell r="B4560">
            <v>0</v>
          </cell>
          <cell r="C4560" t="str">
            <v>***CLOSING STOCK OF WASTE MATERIALS</v>
          </cell>
          <cell r="D4560">
            <v>4956353</v>
          </cell>
          <cell r="E4560">
            <v>0</v>
          </cell>
          <cell r="F4560">
            <v>4956353</v>
          </cell>
          <cell r="G4560">
            <v>0</v>
          </cell>
        </row>
        <row r="4561">
          <cell r="A4561" t="str">
            <v>53-04-01-0001</v>
          </cell>
          <cell r="B4561">
            <v>0</v>
          </cell>
          <cell r="C4561" t="str">
            <v xml:space="preserve">  CLOSING STOCK OF WASTE MATERIALS</v>
          </cell>
          <cell r="D4561">
            <v>4956353</v>
          </cell>
          <cell r="E4561">
            <v>0</v>
          </cell>
          <cell r="F4561">
            <v>0</v>
          </cell>
          <cell r="G4561">
            <v>0</v>
          </cell>
        </row>
        <row r="4562">
          <cell r="A4562" t="str">
            <v>53-05</v>
          </cell>
          <cell r="B4562">
            <v>0</v>
          </cell>
          <cell r="C4562" t="str">
            <v>**CLOSING STOCK OF CLOTH</v>
          </cell>
          <cell r="D4562">
            <v>9165794.0399999991</v>
          </cell>
          <cell r="E4562">
            <v>0</v>
          </cell>
          <cell r="F4562">
            <v>9165794.0399999991</v>
          </cell>
          <cell r="G4562">
            <v>0</v>
          </cell>
        </row>
        <row r="4563">
          <cell r="A4563" t="str">
            <v>53-05-01</v>
          </cell>
          <cell r="B4563">
            <v>0</v>
          </cell>
          <cell r="C4563" t="str">
            <v>***CLOSING STOCK OF CLOTH</v>
          </cell>
          <cell r="D4563">
            <v>9165794.0399999991</v>
          </cell>
          <cell r="E4563">
            <v>0</v>
          </cell>
          <cell r="F4563">
            <v>9165794.0399999991</v>
          </cell>
          <cell r="G4563">
            <v>0</v>
          </cell>
        </row>
        <row r="4564">
          <cell r="A4564" t="str">
            <v>53-05-01-0001</v>
          </cell>
          <cell r="B4564">
            <v>0</v>
          </cell>
          <cell r="C4564" t="str">
            <v xml:space="preserve">  CLOSING STOCK OF CLOTH</v>
          </cell>
          <cell r="D4564">
            <v>9165794.0399999991</v>
          </cell>
          <cell r="E4564">
            <v>0</v>
          </cell>
          <cell r="F4564">
            <v>0</v>
          </cell>
          <cell r="G4564">
            <v>0</v>
          </cell>
        </row>
        <row r="4565">
          <cell r="A4565" t="str">
            <v>54</v>
          </cell>
          <cell r="B4565">
            <v>0</v>
          </cell>
          <cell r="C4565" t="str">
            <v>*ADV. AGAINST SUPPLY OF RAW MATERIAL</v>
          </cell>
          <cell r="D4565">
            <v>37080</v>
          </cell>
          <cell r="E4565">
            <v>0</v>
          </cell>
          <cell r="F4565">
            <v>37080</v>
          </cell>
          <cell r="G4565">
            <v>0</v>
          </cell>
        </row>
        <row r="4566">
          <cell r="A4566" t="str">
            <v>54-01</v>
          </cell>
          <cell r="B4566">
            <v>0</v>
          </cell>
          <cell r="C4566" t="str">
            <v>**L/Cs ESTABLISHED FROM HBL</v>
          </cell>
          <cell r="D4566">
            <v>0</v>
          </cell>
          <cell r="E4566">
            <v>0</v>
          </cell>
          <cell r="F4566">
            <v>0</v>
          </cell>
          <cell r="G4566">
            <v>0</v>
          </cell>
        </row>
        <row r="4567">
          <cell r="A4567" t="str">
            <v>54-01-02</v>
          </cell>
          <cell r="B4567">
            <v>0</v>
          </cell>
          <cell r="C4567" t="str">
            <v>***L/Cs ESTABLISHED FROM HBL  (P.S.F)</v>
          </cell>
          <cell r="D4567">
            <v>0</v>
          </cell>
          <cell r="E4567">
            <v>0</v>
          </cell>
          <cell r="F4567">
            <v>0</v>
          </cell>
          <cell r="G4567">
            <v>0</v>
          </cell>
        </row>
        <row r="4568">
          <cell r="A4568" t="str">
            <v>54-01-02-0001</v>
          </cell>
          <cell r="B4568">
            <v>0</v>
          </cell>
          <cell r="C4568" t="str">
            <v xml:space="preserve">  L.C # 937305 PSF 96 MT OPTCAL BRI @.87</v>
          </cell>
          <cell r="D4568">
            <v>0</v>
          </cell>
          <cell r="E4568">
            <v>0</v>
          </cell>
          <cell r="F4568">
            <v>0</v>
          </cell>
          <cell r="G4568">
            <v>0</v>
          </cell>
        </row>
        <row r="4569">
          <cell r="A4569" t="str">
            <v>54-01-02-0002</v>
          </cell>
          <cell r="B4569">
            <v>0</v>
          </cell>
          <cell r="C4569" t="str">
            <v xml:space="preserve">  L/C # 2004/465 200,000 KG'S P.S.F 'TAI</v>
          </cell>
          <cell r="D4569">
            <v>0</v>
          </cell>
          <cell r="E4569">
            <v>0</v>
          </cell>
          <cell r="F4569">
            <v>0</v>
          </cell>
          <cell r="G4569">
            <v>0</v>
          </cell>
        </row>
        <row r="4570">
          <cell r="A4570" t="str">
            <v>54-01-06</v>
          </cell>
          <cell r="B4570">
            <v>0</v>
          </cell>
          <cell r="C4570" t="str">
            <v>***ACELAN SPANDEX YARN</v>
          </cell>
          <cell r="D4570">
            <v>0</v>
          </cell>
          <cell r="E4570">
            <v>0</v>
          </cell>
          <cell r="F4570">
            <v>0</v>
          </cell>
          <cell r="G4570">
            <v>0</v>
          </cell>
        </row>
        <row r="4571">
          <cell r="A4571" t="str">
            <v>54-01-06-0001</v>
          </cell>
          <cell r="B4571">
            <v>0</v>
          </cell>
          <cell r="C4571" t="str">
            <v xml:space="preserve">  L/C # 2004/466 5400 KG'S SPANDEX YARN</v>
          </cell>
          <cell r="D4571">
            <v>0</v>
          </cell>
          <cell r="E4571">
            <v>0</v>
          </cell>
          <cell r="F4571">
            <v>0</v>
          </cell>
          <cell r="G4571">
            <v>0</v>
          </cell>
        </row>
        <row r="4572">
          <cell r="A4572" t="str">
            <v>54-15</v>
          </cell>
          <cell r="B4572">
            <v>0</v>
          </cell>
          <cell r="C4572" t="str">
            <v>**L/C'S FOR RAW MATERIAL.</v>
          </cell>
          <cell r="D4572">
            <v>37080</v>
          </cell>
          <cell r="E4572">
            <v>0</v>
          </cell>
          <cell r="F4572">
            <v>37080</v>
          </cell>
          <cell r="G4572">
            <v>0</v>
          </cell>
        </row>
        <row r="4573">
          <cell r="A4573" t="str">
            <v>54-15-01</v>
          </cell>
          <cell r="B4573">
            <v>0</v>
          </cell>
          <cell r="C4573" t="str">
            <v>***PREVIOUS CLOSED L.CS</v>
          </cell>
          <cell r="D4573">
            <v>0</v>
          </cell>
          <cell r="E4573">
            <v>0</v>
          </cell>
          <cell r="F4573">
            <v>0</v>
          </cell>
          <cell r="G4573">
            <v>0</v>
          </cell>
        </row>
        <row r="4574">
          <cell r="A4574" t="str">
            <v>54-15-01-0001</v>
          </cell>
          <cell r="B4574">
            <v>0</v>
          </cell>
          <cell r="C4574" t="str">
            <v xml:space="preserve">  L.C. 126292 ASF ROMANIA 200 MT</v>
          </cell>
          <cell r="D4574">
            <v>0</v>
          </cell>
          <cell r="E4574">
            <v>0</v>
          </cell>
          <cell r="F4574">
            <v>0</v>
          </cell>
          <cell r="G4574">
            <v>0</v>
          </cell>
        </row>
        <row r="4575">
          <cell r="A4575" t="str">
            <v>54-15-01-0002</v>
          </cell>
          <cell r="B4575">
            <v>0</v>
          </cell>
          <cell r="C4575" t="str">
            <v xml:space="preserve">  L.C. 126659 113.75 MT ASF US$ 278687</v>
          </cell>
          <cell r="D4575">
            <v>0</v>
          </cell>
          <cell r="E4575">
            <v>0</v>
          </cell>
          <cell r="F4575">
            <v>0</v>
          </cell>
          <cell r="G4575">
            <v>0</v>
          </cell>
        </row>
        <row r="4576">
          <cell r="A4576" t="str">
            <v>54-15-01-0003</v>
          </cell>
          <cell r="B4576">
            <v>0</v>
          </cell>
          <cell r="C4576" t="str">
            <v xml:space="preserve">  L.C. 126063 PSF (T) 2D</v>
          </cell>
          <cell r="D4576">
            <v>0</v>
          </cell>
          <cell r="E4576">
            <v>0</v>
          </cell>
          <cell r="F4576">
            <v>0</v>
          </cell>
          <cell r="G4576">
            <v>0</v>
          </cell>
        </row>
        <row r="4577">
          <cell r="A4577" t="str">
            <v>54-15-01-0004</v>
          </cell>
          <cell r="B4577">
            <v>0</v>
          </cell>
          <cell r="C4577" t="str">
            <v xml:space="preserve">  L.C. 126681 10MT ASF TURKEY $28000</v>
          </cell>
          <cell r="D4577">
            <v>0</v>
          </cell>
          <cell r="E4577">
            <v>0</v>
          </cell>
          <cell r="F4577">
            <v>0</v>
          </cell>
          <cell r="G4577">
            <v>0</v>
          </cell>
        </row>
        <row r="4578">
          <cell r="A4578" t="str">
            <v>54-15-01-0005</v>
          </cell>
          <cell r="B4578">
            <v>0</v>
          </cell>
          <cell r="C4578" t="str">
            <v xml:space="preserve">  L.C. 126796 216 MT VSF JAPAN</v>
          </cell>
          <cell r="D4578">
            <v>0</v>
          </cell>
          <cell r="E4578">
            <v>0</v>
          </cell>
          <cell r="F4578">
            <v>0</v>
          </cell>
          <cell r="G4578">
            <v>0</v>
          </cell>
        </row>
        <row r="4579">
          <cell r="A4579" t="str">
            <v>54-15-01-0006</v>
          </cell>
          <cell r="B4579">
            <v>0</v>
          </cell>
          <cell r="C4579" t="str">
            <v xml:space="preserve">  L.C. 126805 400 MT VSF INDONESIA</v>
          </cell>
          <cell r="D4579">
            <v>0</v>
          </cell>
          <cell r="E4579">
            <v>0</v>
          </cell>
          <cell r="F4579">
            <v>0</v>
          </cell>
          <cell r="G4579">
            <v>0</v>
          </cell>
        </row>
        <row r="4580">
          <cell r="A4580" t="str">
            <v>54-15-01-0007</v>
          </cell>
          <cell r="B4580">
            <v>0</v>
          </cell>
          <cell r="C4580" t="str">
            <v xml:space="preserve">  L.C. 126821 ASF ROMANIA 672.72 MT $ 1.</v>
          </cell>
          <cell r="D4580">
            <v>0</v>
          </cell>
          <cell r="E4580">
            <v>0</v>
          </cell>
          <cell r="F4580">
            <v>0</v>
          </cell>
          <cell r="G4580">
            <v>0</v>
          </cell>
        </row>
        <row r="4581">
          <cell r="A4581" t="str">
            <v>54-15-01-0008</v>
          </cell>
          <cell r="B4581">
            <v>0</v>
          </cell>
          <cell r="C4581" t="str">
            <v xml:space="preserve">  L.C. 126827 PSF KOREA 506 MT @ 1.65 $</v>
          </cell>
          <cell r="D4581">
            <v>0</v>
          </cell>
          <cell r="E4581">
            <v>0</v>
          </cell>
          <cell r="F4581">
            <v>0</v>
          </cell>
          <cell r="G4581">
            <v>0</v>
          </cell>
        </row>
        <row r="4582">
          <cell r="A4582" t="str">
            <v>54-15-01-0009</v>
          </cell>
          <cell r="B4582">
            <v>0</v>
          </cell>
          <cell r="C4582" t="str">
            <v xml:space="preserve">  L.C. 126871 PSF KOREA 660 MT $1.65 P.K</v>
          </cell>
          <cell r="D4582">
            <v>0</v>
          </cell>
          <cell r="E4582">
            <v>0</v>
          </cell>
          <cell r="F4582">
            <v>0</v>
          </cell>
          <cell r="G4582">
            <v>0</v>
          </cell>
        </row>
        <row r="4583">
          <cell r="A4583" t="str">
            <v>54-15-01-0010</v>
          </cell>
          <cell r="B4583">
            <v>0</v>
          </cell>
          <cell r="C4583" t="str">
            <v xml:space="preserve">  L.C. 126872 PSF KOREA 242 MT $ 1.65 P.</v>
          </cell>
          <cell r="D4583">
            <v>0</v>
          </cell>
          <cell r="E4583">
            <v>0</v>
          </cell>
          <cell r="F4583">
            <v>0</v>
          </cell>
          <cell r="G4583">
            <v>0</v>
          </cell>
        </row>
        <row r="4584">
          <cell r="A4584" t="str">
            <v>54-15-01-0011</v>
          </cell>
          <cell r="B4584">
            <v>0</v>
          </cell>
          <cell r="C4584" t="str">
            <v xml:space="preserve">  L.C. 126905 PSF ITALY 1000 MT @ $ 1.60</v>
          </cell>
          <cell r="D4584">
            <v>0</v>
          </cell>
          <cell r="E4584">
            <v>0</v>
          </cell>
          <cell r="F4584">
            <v>0</v>
          </cell>
          <cell r="G4584">
            <v>0</v>
          </cell>
        </row>
        <row r="4585">
          <cell r="A4585" t="str">
            <v>54-15-01-0012</v>
          </cell>
          <cell r="B4585">
            <v>0</v>
          </cell>
          <cell r="C4585" t="str">
            <v xml:space="preserve">  L.C. 126916 ASF ITALY 1000 MT @ $ 1.65</v>
          </cell>
          <cell r="D4585">
            <v>0</v>
          </cell>
          <cell r="E4585">
            <v>0</v>
          </cell>
          <cell r="F4585">
            <v>0</v>
          </cell>
          <cell r="G4585">
            <v>0</v>
          </cell>
        </row>
        <row r="4586">
          <cell r="A4586" t="str">
            <v>54-15-01-0013</v>
          </cell>
          <cell r="B4586">
            <v>0</v>
          </cell>
          <cell r="C4586" t="str">
            <v xml:space="preserve">  L.C. 126964 180 MT VSF HOPE JAPAN</v>
          </cell>
          <cell r="D4586">
            <v>0</v>
          </cell>
          <cell r="E4586">
            <v>0</v>
          </cell>
          <cell r="F4586">
            <v>0</v>
          </cell>
          <cell r="G4586">
            <v>0</v>
          </cell>
        </row>
        <row r="4587">
          <cell r="A4587" t="str">
            <v>54-15-01-0014</v>
          </cell>
          <cell r="B4587">
            <v>0</v>
          </cell>
          <cell r="C4587" t="str">
            <v xml:space="preserve">  L.C. 127014 VSF JAPAN 180 MT $ 1.63 P.</v>
          </cell>
          <cell r="D4587">
            <v>0</v>
          </cell>
          <cell r="E4587">
            <v>0</v>
          </cell>
          <cell r="F4587">
            <v>0</v>
          </cell>
          <cell r="G4587">
            <v>0</v>
          </cell>
        </row>
        <row r="4588">
          <cell r="A4588" t="str">
            <v>54-15-01-0015</v>
          </cell>
          <cell r="B4588">
            <v>0</v>
          </cell>
          <cell r="C4588" t="str">
            <v xml:space="preserve">  L.C. 127024 ASF ITALY 400 MT $ 1.40 P.</v>
          </cell>
          <cell r="D4588">
            <v>0</v>
          </cell>
          <cell r="E4588">
            <v>0</v>
          </cell>
          <cell r="F4588">
            <v>0</v>
          </cell>
          <cell r="G4588">
            <v>0</v>
          </cell>
        </row>
        <row r="4589">
          <cell r="A4589" t="str">
            <v>54-15-01-0016</v>
          </cell>
          <cell r="B4589">
            <v>0</v>
          </cell>
          <cell r="C4589" t="str">
            <v xml:space="preserve">  L.C. 127048 VSF JAPAN 312 MT @ 1.52 P.</v>
          </cell>
          <cell r="D4589">
            <v>0</v>
          </cell>
          <cell r="E4589">
            <v>0</v>
          </cell>
          <cell r="F4589">
            <v>0</v>
          </cell>
          <cell r="G4589">
            <v>0</v>
          </cell>
        </row>
        <row r="4590">
          <cell r="A4590" t="str">
            <v>54-15-01-0017</v>
          </cell>
          <cell r="B4590">
            <v>0</v>
          </cell>
          <cell r="C4590" t="str">
            <v xml:space="preserve">  L.C. 127070 ASF ITALY 1000 MT @ 1.45 P</v>
          </cell>
          <cell r="D4590">
            <v>0</v>
          </cell>
          <cell r="E4590">
            <v>0</v>
          </cell>
          <cell r="F4590">
            <v>0</v>
          </cell>
          <cell r="G4590">
            <v>0</v>
          </cell>
        </row>
        <row r="4591">
          <cell r="A4591" t="str">
            <v>54-15-01-0018</v>
          </cell>
          <cell r="B4591">
            <v>0</v>
          </cell>
          <cell r="C4591" t="str">
            <v xml:space="preserve">  L.C. 127131 RAW COTTON TZANIA @ 0.77 L</v>
          </cell>
          <cell r="D4591">
            <v>0</v>
          </cell>
          <cell r="E4591">
            <v>0</v>
          </cell>
          <cell r="F4591">
            <v>0</v>
          </cell>
          <cell r="G4591">
            <v>0</v>
          </cell>
        </row>
        <row r="4592">
          <cell r="A4592" t="str">
            <v>54-15-01-0019</v>
          </cell>
          <cell r="B4592">
            <v>0</v>
          </cell>
          <cell r="C4592" t="str">
            <v xml:space="preserve">  L.C. 127164 ASF ITALAY 200 MT @ 1.52 P</v>
          </cell>
          <cell r="D4592">
            <v>0</v>
          </cell>
          <cell r="E4592">
            <v>0</v>
          </cell>
          <cell r="F4592">
            <v>0</v>
          </cell>
          <cell r="G4592">
            <v>0</v>
          </cell>
        </row>
        <row r="4593">
          <cell r="A4593" t="str">
            <v>54-15-01-0020</v>
          </cell>
          <cell r="B4593">
            <v>0</v>
          </cell>
          <cell r="C4593" t="str">
            <v xml:space="preserve">  L.C. 127193 ASF S.KOREA 200 MT @ 1.75</v>
          </cell>
          <cell r="D4593">
            <v>0</v>
          </cell>
          <cell r="E4593">
            <v>0</v>
          </cell>
          <cell r="F4593">
            <v>0</v>
          </cell>
          <cell r="G4593">
            <v>0</v>
          </cell>
        </row>
        <row r="4594">
          <cell r="A4594" t="str">
            <v>54-15-01-0021</v>
          </cell>
          <cell r="B4594">
            <v>0</v>
          </cell>
          <cell r="C4594" t="str">
            <v xml:space="preserve">  L.C. 127197 PSF S.KOR 440 MT @ 1.055 P</v>
          </cell>
          <cell r="D4594">
            <v>0</v>
          </cell>
          <cell r="E4594">
            <v>0</v>
          </cell>
          <cell r="F4594">
            <v>0</v>
          </cell>
          <cell r="G4594">
            <v>0</v>
          </cell>
        </row>
        <row r="4595">
          <cell r="A4595" t="str">
            <v>54-15-01-0022</v>
          </cell>
          <cell r="B4595">
            <v>0</v>
          </cell>
          <cell r="C4595" t="str">
            <v xml:space="preserve">  L.C. 127224 ASF ITALY 1500 MT @ 1.65 P</v>
          </cell>
          <cell r="D4595">
            <v>0</v>
          </cell>
          <cell r="E4595">
            <v>0</v>
          </cell>
          <cell r="F4595">
            <v>0</v>
          </cell>
          <cell r="G4595">
            <v>0</v>
          </cell>
        </row>
        <row r="4596">
          <cell r="A4596" t="str">
            <v>54-15-01-0023</v>
          </cell>
          <cell r="B4596">
            <v>0</v>
          </cell>
          <cell r="C4596" t="str">
            <v xml:space="preserve">  L.C. 127262 PSF 192 MT S.KOREA @0.865</v>
          </cell>
          <cell r="D4596">
            <v>0</v>
          </cell>
          <cell r="E4596">
            <v>0</v>
          </cell>
          <cell r="F4596">
            <v>0</v>
          </cell>
          <cell r="G4596">
            <v>0</v>
          </cell>
        </row>
        <row r="4597">
          <cell r="A4597" t="str">
            <v>54-15-01-0024</v>
          </cell>
          <cell r="B4597">
            <v>0</v>
          </cell>
          <cell r="C4597" t="str">
            <v xml:space="preserve">  L.C. 127275 VSF 500 MT INDO. @ 1.25 P.</v>
          </cell>
          <cell r="D4597">
            <v>0</v>
          </cell>
          <cell r="E4597">
            <v>0</v>
          </cell>
          <cell r="F4597">
            <v>0</v>
          </cell>
          <cell r="G4597">
            <v>0</v>
          </cell>
        </row>
        <row r="4598">
          <cell r="A4598" t="str">
            <v>54-15-01-0025</v>
          </cell>
          <cell r="B4598">
            <v>0</v>
          </cell>
          <cell r="C4598" t="str">
            <v xml:space="preserve">  L.C. 127282 P.S.F 288 MT. KOREA @ 0.75</v>
          </cell>
          <cell r="D4598">
            <v>0</v>
          </cell>
          <cell r="E4598">
            <v>0</v>
          </cell>
          <cell r="F4598">
            <v>0</v>
          </cell>
          <cell r="G4598">
            <v>0</v>
          </cell>
        </row>
        <row r="4599">
          <cell r="A4599" t="str">
            <v>54-15-01-0026</v>
          </cell>
          <cell r="B4599">
            <v>0</v>
          </cell>
          <cell r="C4599" t="str">
            <v xml:space="preserve">  L.C. 127321 V.S.F. 155 MT @1.18 INDONS</v>
          </cell>
          <cell r="D4599">
            <v>0</v>
          </cell>
          <cell r="E4599">
            <v>0</v>
          </cell>
          <cell r="F4599">
            <v>0</v>
          </cell>
          <cell r="G4599">
            <v>0</v>
          </cell>
        </row>
        <row r="4600">
          <cell r="A4600" t="str">
            <v>54-15-01-0027</v>
          </cell>
          <cell r="B4600">
            <v>0</v>
          </cell>
          <cell r="C4600" t="str">
            <v xml:space="preserve">  L.C. 127322 RAW COTTON 500 MT IRAN @1.</v>
          </cell>
          <cell r="D4600">
            <v>0</v>
          </cell>
          <cell r="E4600">
            <v>0</v>
          </cell>
          <cell r="F4600">
            <v>0</v>
          </cell>
          <cell r="G4600">
            <v>0</v>
          </cell>
        </row>
        <row r="4601">
          <cell r="A4601" t="str">
            <v>54-15-01-0028</v>
          </cell>
          <cell r="B4601">
            <v>0</v>
          </cell>
          <cell r="C4601" t="str">
            <v xml:space="preserve">  L.C. 127328 VSF 120 MT INDONESIA @ 1.1</v>
          </cell>
          <cell r="D4601">
            <v>0</v>
          </cell>
          <cell r="E4601">
            <v>0</v>
          </cell>
          <cell r="F4601">
            <v>0</v>
          </cell>
          <cell r="G4601">
            <v>0</v>
          </cell>
        </row>
        <row r="4602">
          <cell r="A4602" t="str">
            <v>54-15-01-0029</v>
          </cell>
          <cell r="B4602">
            <v>0</v>
          </cell>
          <cell r="C4602" t="str">
            <v xml:space="preserve">  L.C 127347 RAW COTTON 400 MT UZBEKISTA</v>
          </cell>
          <cell r="D4602">
            <v>0</v>
          </cell>
          <cell r="E4602">
            <v>0</v>
          </cell>
          <cell r="F4602">
            <v>0</v>
          </cell>
          <cell r="G4602">
            <v>0</v>
          </cell>
        </row>
        <row r="4603">
          <cell r="A4603" t="str">
            <v>54-15-01-0030</v>
          </cell>
          <cell r="B4603">
            <v>0</v>
          </cell>
          <cell r="C4603" t="str">
            <v xml:space="preserve">  L.C. 127348 RAW COTTON 700 MT UZBEKIST</v>
          </cell>
          <cell r="D4603">
            <v>0</v>
          </cell>
          <cell r="E4603">
            <v>0</v>
          </cell>
          <cell r="F4603">
            <v>0</v>
          </cell>
          <cell r="G4603">
            <v>0</v>
          </cell>
        </row>
        <row r="4604">
          <cell r="A4604" t="str">
            <v>54-15-01-0031</v>
          </cell>
          <cell r="B4604">
            <v>0</v>
          </cell>
          <cell r="C4604" t="str">
            <v xml:space="preserve">  L.C.127373 RAW COTTON 150 MT SYRIAN.</v>
          </cell>
          <cell r="D4604">
            <v>0</v>
          </cell>
          <cell r="E4604">
            <v>0</v>
          </cell>
          <cell r="F4604">
            <v>0</v>
          </cell>
          <cell r="G4604">
            <v>0</v>
          </cell>
        </row>
        <row r="4605">
          <cell r="A4605" t="str">
            <v>54-15-01-0032</v>
          </cell>
          <cell r="B4605">
            <v>0</v>
          </cell>
          <cell r="C4605" t="str">
            <v xml:space="preserve">  L.C 127397 TENDAHO COTTON 1600 MT ETHP</v>
          </cell>
          <cell r="D4605">
            <v>0</v>
          </cell>
          <cell r="E4605">
            <v>0</v>
          </cell>
          <cell r="F4605">
            <v>0</v>
          </cell>
          <cell r="G4605">
            <v>0</v>
          </cell>
        </row>
        <row r="4606">
          <cell r="A4606" t="str">
            <v>54-15-01-0033</v>
          </cell>
          <cell r="B4606">
            <v>0</v>
          </cell>
          <cell r="C4606" t="str">
            <v xml:space="preserve">  L.C.127417 ASF ITALY 1012 MT @ 1.05 P.</v>
          </cell>
          <cell r="D4606">
            <v>0</v>
          </cell>
          <cell r="E4606">
            <v>0</v>
          </cell>
          <cell r="F4606">
            <v>0</v>
          </cell>
          <cell r="G4606">
            <v>0</v>
          </cell>
        </row>
        <row r="4607">
          <cell r="A4607" t="str">
            <v>54-15-01-0034</v>
          </cell>
          <cell r="B4607">
            <v>0</v>
          </cell>
          <cell r="C4607" t="str">
            <v xml:space="preserve">  L/C 127454 IRANIAN RAW COTTON 35 MT @1</v>
          </cell>
          <cell r="D4607">
            <v>0</v>
          </cell>
          <cell r="E4607">
            <v>0</v>
          </cell>
          <cell r="F4607">
            <v>0</v>
          </cell>
          <cell r="G4607">
            <v>0</v>
          </cell>
        </row>
        <row r="4608">
          <cell r="A4608" t="str">
            <v>54-15-01-0035</v>
          </cell>
          <cell r="B4608">
            <v>0</v>
          </cell>
          <cell r="C4608" t="str">
            <v xml:space="preserve">  L.C NO: 127480 ASF SPAIN 506 MT</v>
          </cell>
          <cell r="D4608">
            <v>0</v>
          </cell>
          <cell r="E4608">
            <v>0</v>
          </cell>
          <cell r="F4608">
            <v>0</v>
          </cell>
          <cell r="G4608">
            <v>0</v>
          </cell>
        </row>
        <row r="4609">
          <cell r="A4609" t="str">
            <v>54-15-01-0036</v>
          </cell>
          <cell r="B4609">
            <v>0</v>
          </cell>
          <cell r="C4609" t="str">
            <v xml:space="preserve">  L.C NO: 127507 ASF 2000 MT ITALAY @ 0.</v>
          </cell>
          <cell r="D4609">
            <v>0</v>
          </cell>
          <cell r="E4609">
            <v>0</v>
          </cell>
          <cell r="F4609">
            <v>0</v>
          </cell>
          <cell r="G4609">
            <v>0</v>
          </cell>
        </row>
        <row r="4610">
          <cell r="A4610" t="str">
            <v>54-15-01-0037</v>
          </cell>
          <cell r="B4610">
            <v>0</v>
          </cell>
          <cell r="C4610" t="str">
            <v xml:space="preserve">  L.C NO:127503 IRANIAN COTTON 200MT @1.</v>
          </cell>
          <cell r="D4610">
            <v>0</v>
          </cell>
          <cell r="E4610">
            <v>0</v>
          </cell>
          <cell r="F4610">
            <v>0</v>
          </cell>
          <cell r="G4610">
            <v>0</v>
          </cell>
        </row>
        <row r="4611">
          <cell r="A4611" t="str">
            <v>54-15-01-0038</v>
          </cell>
          <cell r="B4611">
            <v>0</v>
          </cell>
          <cell r="C4611" t="str">
            <v xml:space="preserve">  L.C # 127642 PSF 1.25 X44MM SD KORE @0</v>
          </cell>
          <cell r="D4611">
            <v>0</v>
          </cell>
          <cell r="E4611">
            <v>0</v>
          </cell>
          <cell r="F4611">
            <v>0</v>
          </cell>
          <cell r="G4611">
            <v>0</v>
          </cell>
        </row>
        <row r="4612">
          <cell r="A4612" t="str">
            <v>54-15-01-0039</v>
          </cell>
          <cell r="B4612">
            <v>0</v>
          </cell>
          <cell r="C4612" t="str">
            <v xml:space="preserve">  L.C # 127659 COTTON ETHOPIA 2500MT @1.</v>
          </cell>
          <cell r="D4612">
            <v>0</v>
          </cell>
          <cell r="E4612">
            <v>0</v>
          </cell>
          <cell r="F4612">
            <v>0</v>
          </cell>
          <cell r="G4612">
            <v>0</v>
          </cell>
        </row>
        <row r="4613">
          <cell r="A4613" t="str">
            <v>54-15-01-0040</v>
          </cell>
          <cell r="B4613">
            <v>0</v>
          </cell>
          <cell r="C4613" t="str">
            <v xml:space="preserve">  L.C #127683 PSF 1.25X44MM192 KORA @$0.</v>
          </cell>
          <cell r="D4613">
            <v>0</v>
          </cell>
          <cell r="E4613">
            <v>0</v>
          </cell>
          <cell r="F4613">
            <v>0</v>
          </cell>
          <cell r="G4613">
            <v>0</v>
          </cell>
        </row>
        <row r="4614">
          <cell r="A4614" t="str">
            <v>54-15-01-0041</v>
          </cell>
          <cell r="B4614">
            <v>0</v>
          </cell>
          <cell r="C4614" t="str">
            <v xml:space="preserve">  L.C # 127675 IRAN COTTON 300MT @$1.22</v>
          </cell>
          <cell r="D4614">
            <v>0</v>
          </cell>
          <cell r="E4614">
            <v>0</v>
          </cell>
          <cell r="F4614">
            <v>0</v>
          </cell>
          <cell r="G4614">
            <v>0</v>
          </cell>
        </row>
        <row r="4615">
          <cell r="A4615" t="str">
            <v>54-15-01-0042</v>
          </cell>
          <cell r="B4615">
            <v>0</v>
          </cell>
          <cell r="C4615" t="str">
            <v xml:space="preserve">  L.C # 127695 VSF THAI 150 MT @ $ 1.12P</v>
          </cell>
          <cell r="D4615">
            <v>0</v>
          </cell>
          <cell r="E4615">
            <v>0</v>
          </cell>
          <cell r="F4615">
            <v>0</v>
          </cell>
          <cell r="G4615">
            <v>0</v>
          </cell>
        </row>
        <row r="4616">
          <cell r="A4616" t="str">
            <v>54-15-01-0043</v>
          </cell>
          <cell r="B4616">
            <v>0</v>
          </cell>
          <cell r="C4616" t="str">
            <v xml:space="preserve">  L.C # 127694 VSF THAI 150 MT @ $ 1.12P</v>
          </cell>
          <cell r="D4616">
            <v>0</v>
          </cell>
          <cell r="E4616">
            <v>0</v>
          </cell>
          <cell r="F4616">
            <v>0</v>
          </cell>
          <cell r="G4616">
            <v>0</v>
          </cell>
        </row>
        <row r="4617">
          <cell r="A4617" t="str">
            <v>54-15-01-0044</v>
          </cell>
          <cell r="B4617">
            <v>0</v>
          </cell>
          <cell r="C4617" t="str">
            <v xml:space="preserve">  L.C # 127703 ASF TEXLAN  250MT @$0.82</v>
          </cell>
          <cell r="D4617">
            <v>0</v>
          </cell>
          <cell r="E4617">
            <v>0</v>
          </cell>
          <cell r="F4617">
            <v>0</v>
          </cell>
          <cell r="G4617">
            <v>0</v>
          </cell>
        </row>
        <row r="4618">
          <cell r="A4618" t="str">
            <v>54-15-01-0045</v>
          </cell>
          <cell r="B4618">
            <v>0</v>
          </cell>
          <cell r="C4618" t="str">
            <v xml:space="preserve">  L.C # 127704 ASF TEXLAN 250 MT @ $0.82</v>
          </cell>
          <cell r="D4618">
            <v>0</v>
          </cell>
          <cell r="E4618">
            <v>0</v>
          </cell>
          <cell r="F4618">
            <v>0</v>
          </cell>
          <cell r="G4618">
            <v>0</v>
          </cell>
        </row>
        <row r="4619">
          <cell r="A4619" t="str">
            <v>54-15-01-0046</v>
          </cell>
          <cell r="B4619">
            <v>0</v>
          </cell>
          <cell r="C4619" t="str">
            <v xml:space="preserve">  L.C. 127722 CIS COTTON UZBIK 1500MT @5</v>
          </cell>
          <cell r="D4619">
            <v>0</v>
          </cell>
          <cell r="E4619">
            <v>0</v>
          </cell>
          <cell r="F4619">
            <v>0</v>
          </cell>
          <cell r="G4619">
            <v>0</v>
          </cell>
        </row>
        <row r="4620">
          <cell r="A4620" t="str">
            <v>54-15-01-0047</v>
          </cell>
          <cell r="B4620">
            <v>0</v>
          </cell>
          <cell r="C4620" t="str">
            <v xml:space="preserve">  L.C 127748 ETHPA COTTON 200MT @ 1.01 F</v>
          </cell>
          <cell r="D4620">
            <v>0</v>
          </cell>
          <cell r="E4620">
            <v>0</v>
          </cell>
          <cell r="F4620">
            <v>0</v>
          </cell>
          <cell r="G4620">
            <v>0</v>
          </cell>
        </row>
        <row r="4621">
          <cell r="A4621" t="str">
            <v>54-15-01-0048</v>
          </cell>
          <cell r="B4621">
            <v>0</v>
          </cell>
          <cell r="C4621" t="str">
            <v xml:space="preserve">  L.C# 937167 ETHOPIA COTTON 4000MT @1.0</v>
          </cell>
          <cell r="D4621">
            <v>0</v>
          </cell>
          <cell r="E4621">
            <v>0</v>
          </cell>
          <cell r="F4621">
            <v>0</v>
          </cell>
          <cell r="G4621">
            <v>0</v>
          </cell>
        </row>
        <row r="4622">
          <cell r="A4622" t="str">
            <v>54-15-01-0049</v>
          </cell>
          <cell r="B4622">
            <v>0</v>
          </cell>
          <cell r="C4622" t="str">
            <v xml:space="preserve">  L.C. MARGIN A/C HBL</v>
          </cell>
          <cell r="D4622">
            <v>0</v>
          </cell>
          <cell r="E4622">
            <v>0</v>
          </cell>
          <cell r="F4622">
            <v>0</v>
          </cell>
          <cell r="G4622">
            <v>0</v>
          </cell>
        </row>
        <row r="4623">
          <cell r="A4623" t="str">
            <v>54-15-01-0050</v>
          </cell>
          <cell r="B4623">
            <v>0</v>
          </cell>
          <cell r="C4623" t="str">
            <v xml:space="preserve">  L.C. PC.0277/01/47/19 144 MT VSF JAPAN</v>
          </cell>
          <cell r="D4623">
            <v>0</v>
          </cell>
          <cell r="E4623">
            <v>0</v>
          </cell>
          <cell r="F4623">
            <v>0</v>
          </cell>
          <cell r="G4623">
            <v>0</v>
          </cell>
        </row>
        <row r="4624">
          <cell r="A4624" t="str">
            <v>54-15-01-0051</v>
          </cell>
          <cell r="B4624">
            <v>0</v>
          </cell>
          <cell r="C4624" t="str">
            <v xml:space="preserve">  L.C. PC.0277/01/47/29 600MT ASF ROMANI</v>
          </cell>
          <cell r="D4624">
            <v>0</v>
          </cell>
          <cell r="E4624">
            <v>0</v>
          </cell>
          <cell r="F4624">
            <v>0</v>
          </cell>
          <cell r="G4624">
            <v>0</v>
          </cell>
        </row>
        <row r="4625">
          <cell r="A4625" t="str">
            <v>54-15-01-0052</v>
          </cell>
          <cell r="B4625">
            <v>0</v>
          </cell>
          <cell r="C4625" t="str">
            <v xml:space="preserve">  L.C. PC.0277/01/47/68/102 506 MT PSF S</v>
          </cell>
          <cell r="D4625">
            <v>0</v>
          </cell>
          <cell r="E4625">
            <v>0</v>
          </cell>
          <cell r="F4625">
            <v>0</v>
          </cell>
          <cell r="G4625">
            <v>0</v>
          </cell>
        </row>
        <row r="4626">
          <cell r="A4626" t="str">
            <v>54-15-01-0053</v>
          </cell>
          <cell r="B4626">
            <v>0</v>
          </cell>
          <cell r="C4626" t="str">
            <v xml:space="preserve">  L.C. PC.0277/01/47/79 300 MT ASF ITALY</v>
          </cell>
          <cell r="D4626">
            <v>0</v>
          </cell>
          <cell r="E4626">
            <v>0</v>
          </cell>
          <cell r="F4626">
            <v>0</v>
          </cell>
          <cell r="G4626">
            <v>0</v>
          </cell>
        </row>
        <row r="4627">
          <cell r="A4627" t="str">
            <v>54-15-01-0054</v>
          </cell>
          <cell r="B4627">
            <v>0</v>
          </cell>
          <cell r="C4627" t="str">
            <v xml:space="preserve">  L.C. PC.0277/01/47/85 614.250MT ASF JP</v>
          </cell>
          <cell r="D4627">
            <v>0</v>
          </cell>
          <cell r="E4627">
            <v>0</v>
          </cell>
          <cell r="F4627">
            <v>0</v>
          </cell>
          <cell r="G4627">
            <v>0</v>
          </cell>
        </row>
        <row r="4628">
          <cell r="A4628" t="str">
            <v>54-15-01-0055</v>
          </cell>
          <cell r="B4628">
            <v>0</v>
          </cell>
          <cell r="C4628" t="str">
            <v xml:space="preserve">  L.C. PC.0277/01/47/88 1200MT ASF ITALY</v>
          </cell>
          <cell r="D4628">
            <v>0</v>
          </cell>
          <cell r="E4628">
            <v>0</v>
          </cell>
          <cell r="F4628">
            <v>0</v>
          </cell>
          <cell r="G4628">
            <v>0</v>
          </cell>
        </row>
        <row r="4629">
          <cell r="A4629" t="str">
            <v>54-15-01-0056</v>
          </cell>
          <cell r="B4629">
            <v>0</v>
          </cell>
          <cell r="C4629" t="str">
            <v xml:space="preserve">  L.C. PC. 0277/01/47/94 PSF KOREA 198 M</v>
          </cell>
          <cell r="D4629">
            <v>0</v>
          </cell>
          <cell r="E4629">
            <v>0</v>
          </cell>
          <cell r="F4629">
            <v>0</v>
          </cell>
          <cell r="G4629">
            <v>0</v>
          </cell>
        </row>
        <row r="4630">
          <cell r="A4630" t="str">
            <v>54-15-01-0057</v>
          </cell>
          <cell r="B4630">
            <v>0</v>
          </cell>
          <cell r="C4630" t="str">
            <v xml:space="preserve">  L.C. PC.0277/01/47/101 ASF JAPAN 318.5</v>
          </cell>
          <cell r="D4630">
            <v>0</v>
          </cell>
          <cell r="E4630">
            <v>0</v>
          </cell>
          <cell r="F4630">
            <v>0</v>
          </cell>
          <cell r="G4630">
            <v>0</v>
          </cell>
        </row>
        <row r="4631">
          <cell r="A4631" t="str">
            <v>54-15-01-0058</v>
          </cell>
          <cell r="B4631">
            <v>0</v>
          </cell>
          <cell r="C4631" t="str">
            <v xml:space="preserve">  L.C. PC.0277/01/47/102 PSF JAPAN 200 M</v>
          </cell>
          <cell r="D4631">
            <v>0</v>
          </cell>
          <cell r="E4631">
            <v>0</v>
          </cell>
          <cell r="F4631">
            <v>0</v>
          </cell>
          <cell r="G4631">
            <v>0</v>
          </cell>
        </row>
        <row r="4632">
          <cell r="A4632" t="str">
            <v>54-15-01-0059</v>
          </cell>
          <cell r="B4632">
            <v>0</v>
          </cell>
          <cell r="C4632" t="str">
            <v xml:space="preserve">  L.C. PC.0277/01/47/106 VSF HOPE 120 MT</v>
          </cell>
          <cell r="D4632">
            <v>0</v>
          </cell>
          <cell r="E4632">
            <v>0</v>
          </cell>
          <cell r="F4632">
            <v>0</v>
          </cell>
          <cell r="G4632">
            <v>0</v>
          </cell>
        </row>
        <row r="4633">
          <cell r="A4633" t="str">
            <v>54-15-01-0060</v>
          </cell>
          <cell r="B4633">
            <v>0</v>
          </cell>
          <cell r="C4633" t="str">
            <v xml:space="preserve">  L.C. PC.0277/01/47/107 ASF KOR 400 MT.</v>
          </cell>
          <cell r="D4633">
            <v>0</v>
          </cell>
          <cell r="E4633">
            <v>0</v>
          </cell>
          <cell r="F4633">
            <v>0</v>
          </cell>
          <cell r="G4633">
            <v>0</v>
          </cell>
        </row>
        <row r="4634">
          <cell r="A4634" t="str">
            <v>54-15-01-0061</v>
          </cell>
          <cell r="B4634">
            <v>0</v>
          </cell>
          <cell r="C4634" t="str">
            <v xml:space="preserve">  L.C. PC.0277/01/48/03 ASF JAPAN 318.5</v>
          </cell>
          <cell r="D4634">
            <v>0</v>
          </cell>
          <cell r="E4634">
            <v>0</v>
          </cell>
          <cell r="F4634">
            <v>0</v>
          </cell>
          <cell r="G4634">
            <v>0</v>
          </cell>
        </row>
        <row r="4635">
          <cell r="A4635" t="str">
            <v>54-15-01-0062</v>
          </cell>
          <cell r="B4635">
            <v>0</v>
          </cell>
          <cell r="C4635" t="str">
            <v xml:space="preserve">  L.C. PC.0277/01/48/10 ASF JAPAN 318.5</v>
          </cell>
          <cell r="D4635">
            <v>0</v>
          </cell>
          <cell r="E4635">
            <v>0</v>
          </cell>
          <cell r="F4635">
            <v>0</v>
          </cell>
          <cell r="G4635">
            <v>0</v>
          </cell>
        </row>
        <row r="4636">
          <cell r="A4636" t="str">
            <v>54-15-01-0063</v>
          </cell>
          <cell r="B4636">
            <v>0</v>
          </cell>
          <cell r="C4636" t="str">
            <v xml:space="preserve">  L.C. PC.0277/01/48/14 ASF ITALY 2200 M</v>
          </cell>
          <cell r="D4636">
            <v>0</v>
          </cell>
          <cell r="E4636">
            <v>0</v>
          </cell>
          <cell r="F4636">
            <v>0</v>
          </cell>
          <cell r="G4636">
            <v>0</v>
          </cell>
        </row>
        <row r="4637">
          <cell r="A4637" t="str">
            <v>54-15-01-0064</v>
          </cell>
          <cell r="B4637">
            <v>0</v>
          </cell>
          <cell r="C4637" t="str">
            <v xml:space="preserve">  L.C. PC.0277/01/48/20 318.50 M.T ASF J</v>
          </cell>
          <cell r="D4637">
            <v>0</v>
          </cell>
          <cell r="E4637">
            <v>0</v>
          </cell>
          <cell r="F4637">
            <v>0</v>
          </cell>
          <cell r="G4637">
            <v>0</v>
          </cell>
        </row>
        <row r="4638">
          <cell r="A4638" t="str">
            <v>54-15-01-0065</v>
          </cell>
          <cell r="B4638">
            <v>0</v>
          </cell>
          <cell r="C4638" t="str">
            <v xml:space="preserve">  L.C. 48/22 VSF JAPAN 300 MT $ 1.54 P.K</v>
          </cell>
          <cell r="D4638">
            <v>0</v>
          </cell>
          <cell r="E4638">
            <v>0</v>
          </cell>
          <cell r="F4638">
            <v>0</v>
          </cell>
          <cell r="G4638">
            <v>0</v>
          </cell>
        </row>
        <row r="4639">
          <cell r="A4639" t="str">
            <v>54-15-01-0066</v>
          </cell>
          <cell r="B4639">
            <v>0</v>
          </cell>
          <cell r="C4639" t="str">
            <v xml:space="preserve">  L.C. PC.0277/01/48/26 VSF JAPAN 300 MT</v>
          </cell>
          <cell r="D4639">
            <v>0</v>
          </cell>
          <cell r="E4639">
            <v>0</v>
          </cell>
          <cell r="F4639">
            <v>0</v>
          </cell>
          <cell r="G4639">
            <v>0</v>
          </cell>
        </row>
        <row r="4640">
          <cell r="A4640" t="str">
            <v>54-15-01-0067</v>
          </cell>
          <cell r="B4640">
            <v>0</v>
          </cell>
          <cell r="C4640" t="str">
            <v xml:space="preserve">  L.C. PC.0277/01/48/37 ASF ITALY  450 M</v>
          </cell>
          <cell r="D4640">
            <v>0</v>
          </cell>
          <cell r="E4640">
            <v>0</v>
          </cell>
          <cell r="F4640">
            <v>0</v>
          </cell>
          <cell r="G4640">
            <v>0</v>
          </cell>
        </row>
        <row r="4641">
          <cell r="A4641" t="str">
            <v>54-15-01-0068</v>
          </cell>
          <cell r="B4641">
            <v>0</v>
          </cell>
          <cell r="C4641" t="str">
            <v xml:space="preserve">  L.C. PC.0277/01/48/39 ASF ROMANIA 150</v>
          </cell>
          <cell r="D4641">
            <v>0</v>
          </cell>
          <cell r="E4641">
            <v>0</v>
          </cell>
          <cell r="F4641">
            <v>0</v>
          </cell>
          <cell r="G4641">
            <v>0</v>
          </cell>
        </row>
        <row r="4642">
          <cell r="A4642" t="str">
            <v>54-15-01-0069</v>
          </cell>
          <cell r="B4642">
            <v>0</v>
          </cell>
          <cell r="C4642" t="str">
            <v xml:space="preserve">  L.C. 49/05 ASF ITALY 1400 MT $ 1.52 P.</v>
          </cell>
          <cell r="D4642">
            <v>0</v>
          </cell>
          <cell r="E4642">
            <v>0</v>
          </cell>
          <cell r="F4642">
            <v>0</v>
          </cell>
          <cell r="G4642">
            <v>0</v>
          </cell>
        </row>
        <row r="4643">
          <cell r="A4643" t="str">
            <v>54-15-01-0070</v>
          </cell>
          <cell r="B4643">
            <v>0</v>
          </cell>
          <cell r="C4643" t="str">
            <v xml:space="preserve">  L.C. 49/14 30 MT VSF INDIA @ ACUD 2.2</v>
          </cell>
          <cell r="D4643">
            <v>0</v>
          </cell>
          <cell r="E4643">
            <v>0</v>
          </cell>
          <cell r="F4643">
            <v>0</v>
          </cell>
          <cell r="G4643">
            <v>0</v>
          </cell>
        </row>
        <row r="4644">
          <cell r="A4644" t="str">
            <v>54-15-01-0071</v>
          </cell>
          <cell r="B4644">
            <v>0</v>
          </cell>
          <cell r="C4644" t="str">
            <v xml:space="preserve">  L.C. MARGIN A/C MCB</v>
          </cell>
          <cell r="D4644">
            <v>0</v>
          </cell>
          <cell r="E4644">
            <v>0</v>
          </cell>
          <cell r="F4644">
            <v>0</v>
          </cell>
          <cell r="G4644">
            <v>0</v>
          </cell>
        </row>
        <row r="4645">
          <cell r="A4645" t="str">
            <v>54-15-01-0072</v>
          </cell>
          <cell r="B4645">
            <v>0</v>
          </cell>
          <cell r="C4645" t="str">
            <v xml:space="preserve">  L.C. 20024/95 75 MT PSF JAPAN US$146,2</v>
          </cell>
          <cell r="D4645">
            <v>0</v>
          </cell>
          <cell r="E4645">
            <v>0</v>
          </cell>
          <cell r="F4645">
            <v>0</v>
          </cell>
          <cell r="G4645">
            <v>0</v>
          </cell>
        </row>
        <row r="4646">
          <cell r="A4646" t="str">
            <v>54-15-01-0073</v>
          </cell>
          <cell r="B4646">
            <v>0</v>
          </cell>
          <cell r="C4646" t="str">
            <v xml:space="preserve">  L.C. 20104/95 100 MT ASF S.KOREA</v>
          </cell>
          <cell r="D4646">
            <v>0</v>
          </cell>
          <cell r="E4646">
            <v>0</v>
          </cell>
          <cell r="F4646">
            <v>0</v>
          </cell>
          <cell r="G4646">
            <v>0</v>
          </cell>
        </row>
        <row r="4647">
          <cell r="A4647" t="str">
            <v>54-15-01-0074</v>
          </cell>
          <cell r="B4647">
            <v>0</v>
          </cell>
          <cell r="C4647" t="str">
            <v xml:space="preserve">  L.C. 20135/95 198 MT PSF S.KOREA</v>
          </cell>
          <cell r="D4647">
            <v>0</v>
          </cell>
          <cell r="E4647">
            <v>0</v>
          </cell>
          <cell r="F4647">
            <v>0</v>
          </cell>
          <cell r="G4647">
            <v>0</v>
          </cell>
        </row>
        <row r="4648">
          <cell r="A4648" t="str">
            <v>54-15-01-0075</v>
          </cell>
          <cell r="B4648">
            <v>0</v>
          </cell>
          <cell r="C4648" t="str">
            <v xml:space="preserve">  L.C. 20136/95 110 MT PSF S.KOREA</v>
          </cell>
          <cell r="D4648">
            <v>0</v>
          </cell>
          <cell r="E4648">
            <v>0</v>
          </cell>
          <cell r="F4648">
            <v>0</v>
          </cell>
          <cell r="G4648">
            <v>0</v>
          </cell>
        </row>
        <row r="4649">
          <cell r="A4649" t="str">
            <v>54-15-01-0076</v>
          </cell>
          <cell r="B4649">
            <v>0</v>
          </cell>
          <cell r="C4649" t="str">
            <v xml:space="preserve">  L.C. 20154/95 506 MT PSF KOREA</v>
          </cell>
          <cell r="D4649">
            <v>0</v>
          </cell>
          <cell r="E4649">
            <v>0</v>
          </cell>
          <cell r="F4649">
            <v>0</v>
          </cell>
          <cell r="G4649">
            <v>0</v>
          </cell>
        </row>
        <row r="4650">
          <cell r="A4650" t="str">
            <v>54-15-01-0077</v>
          </cell>
          <cell r="B4650">
            <v>0</v>
          </cell>
          <cell r="C4650" t="str">
            <v xml:space="preserve">  L.C. 20161/95 VSF JAPAN 336 MT $0.95/L</v>
          </cell>
          <cell r="D4650">
            <v>0</v>
          </cell>
          <cell r="E4650">
            <v>0</v>
          </cell>
          <cell r="F4650">
            <v>0</v>
          </cell>
          <cell r="G4650">
            <v>0</v>
          </cell>
        </row>
        <row r="4651">
          <cell r="A4651" t="str">
            <v>54-15-01-0078</v>
          </cell>
          <cell r="B4651">
            <v>0</v>
          </cell>
          <cell r="C4651" t="str">
            <v xml:space="preserve">  L.C. 20176/95 ASF KOREA 200 MT @ $ 1.9</v>
          </cell>
          <cell r="D4651">
            <v>0</v>
          </cell>
          <cell r="E4651">
            <v>0</v>
          </cell>
          <cell r="F4651">
            <v>0</v>
          </cell>
          <cell r="G4651">
            <v>0</v>
          </cell>
        </row>
        <row r="4652">
          <cell r="A4652" t="str">
            <v>54-15-01-0079</v>
          </cell>
          <cell r="B4652">
            <v>0</v>
          </cell>
          <cell r="C4652" t="str">
            <v xml:space="preserve">  L.C. 20187/95 500 MT PSF USA $1.50 P.K</v>
          </cell>
          <cell r="D4652">
            <v>0</v>
          </cell>
          <cell r="E4652">
            <v>0</v>
          </cell>
          <cell r="F4652">
            <v>0</v>
          </cell>
          <cell r="G4652">
            <v>0</v>
          </cell>
        </row>
        <row r="4653">
          <cell r="A4653" t="str">
            <v>54-15-01-0080</v>
          </cell>
          <cell r="B4653">
            <v>0</v>
          </cell>
          <cell r="C4653" t="str">
            <v xml:space="preserve">  L.C. 20226/95 PSF INDONESI 400 MT $ 1.</v>
          </cell>
          <cell r="D4653">
            <v>0</v>
          </cell>
          <cell r="E4653">
            <v>0</v>
          </cell>
          <cell r="F4653">
            <v>0</v>
          </cell>
          <cell r="G4653">
            <v>0</v>
          </cell>
        </row>
        <row r="4654">
          <cell r="A4654" t="str">
            <v>54-15-01-0081</v>
          </cell>
          <cell r="B4654">
            <v>0</v>
          </cell>
          <cell r="C4654" t="str">
            <v xml:space="preserve">  L.C. 20236/95 VSF IND. 100MT $0.85/LB.</v>
          </cell>
          <cell r="D4654">
            <v>0</v>
          </cell>
          <cell r="E4654">
            <v>0</v>
          </cell>
          <cell r="F4654">
            <v>0</v>
          </cell>
          <cell r="G4654">
            <v>0</v>
          </cell>
        </row>
        <row r="4655">
          <cell r="A4655" t="str">
            <v>54-15-01-0082</v>
          </cell>
          <cell r="B4655">
            <v>0</v>
          </cell>
          <cell r="C4655" t="str">
            <v xml:space="preserve">  L.C. 20246/95 ASF THILAND $ 1.60 P.KGS</v>
          </cell>
          <cell r="D4655">
            <v>0</v>
          </cell>
          <cell r="E4655">
            <v>0</v>
          </cell>
          <cell r="F4655">
            <v>0</v>
          </cell>
          <cell r="G4655">
            <v>0</v>
          </cell>
        </row>
        <row r="4656">
          <cell r="A4656" t="str">
            <v>54-15-01-0083</v>
          </cell>
          <cell r="B4656">
            <v>0</v>
          </cell>
          <cell r="C4656" t="str">
            <v xml:space="preserve">  L.C. 20253/95 ASF JAPAN 182 MT @ $ 1.9</v>
          </cell>
          <cell r="D4656">
            <v>0</v>
          </cell>
          <cell r="E4656">
            <v>0</v>
          </cell>
          <cell r="F4656">
            <v>0</v>
          </cell>
          <cell r="G4656">
            <v>0</v>
          </cell>
        </row>
        <row r="4657">
          <cell r="A4657" t="str">
            <v>54-15-01-0084</v>
          </cell>
          <cell r="B4657">
            <v>0</v>
          </cell>
          <cell r="C4657" t="str">
            <v xml:space="preserve">  L.C. 20331/96  50 MT PSF KANEBO JAPAN</v>
          </cell>
          <cell r="D4657">
            <v>0</v>
          </cell>
          <cell r="E4657">
            <v>0</v>
          </cell>
          <cell r="F4657">
            <v>0</v>
          </cell>
          <cell r="G4657">
            <v>0</v>
          </cell>
        </row>
        <row r="4658">
          <cell r="A4658" t="str">
            <v>54-15-01-0085</v>
          </cell>
          <cell r="B4658">
            <v>0</v>
          </cell>
          <cell r="C4658" t="str">
            <v xml:space="preserve">  L.C. 20338/96 VSF 180 M.T. JAPAN $ 0.7</v>
          </cell>
          <cell r="D4658">
            <v>0</v>
          </cell>
          <cell r="E4658">
            <v>0</v>
          </cell>
          <cell r="F4658">
            <v>0</v>
          </cell>
          <cell r="G4658">
            <v>0</v>
          </cell>
        </row>
        <row r="4659">
          <cell r="A4659" t="str">
            <v>54-15-01-0086</v>
          </cell>
          <cell r="B4659">
            <v>0</v>
          </cell>
          <cell r="C4659" t="str">
            <v xml:space="preserve">  L.C. PC.20349/96 400 MT VSF THAI $ 1.5</v>
          </cell>
          <cell r="D4659">
            <v>0</v>
          </cell>
          <cell r="E4659">
            <v>0</v>
          </cell>
          <cell r="F4659">
            <v>0</v>
          </cell>
          <cell r="G4659">
            <v>0</v>
          </cell>
        </row>
        <row r="4660">
          <cell r="A4660" t="str">
            <v>54-15-01-0087</v>
          </cell>
          <cell r="B4660">
            <v>0</v>
          </cell>
          <cell r="C4660" t="str">
            <v xml:space="preserve">  L.C. PC/20348/96 264 MT VSF JAPAN $ 1.</v>
          </cell>
          <cell r="D4660">
            <v>0</v>
          </cell>
          <cell r="E4660">
            <v>0</v>
          </cell>
          <cell r="F4660">
            <v>0</v>
          </cell>
          <cell r="G4660">
            <v>0</v>
          </cell>
        </row>
        <row r="4661">
          <cell r="A4661" t="str">
            <v>54-15-01-0088</v>
          </cell>
          <cell r="B4661">
            <v>0</v>
          </cell>
          <cell r="C4661" t="str">
            <v xml:space="preserve">  L.C. 20379/96 ASF ITALY 700 MT @ 1.52</v>
          </cell>
          <cell r="D4661">
            <v>0</v>
          </cell>
          <cell r="E4661">
            <v>0</v>
          </cell>
          <cell r="F4661">
            <v>0</v>
          </cell>
          <cell r="G4661">
            <v>0</v>
          </cell>
        </row>
        <row r="4662">
          <cell r="A4662" t="str">
            <v>54-15-01-0089</v>
          </cell>
          <cell r="B4662">
            <v>0</v>
          </cell>
          <cell r="C4662" t="str">
            <v xml:space="preserve">  L.C. 20412/96 168 M.T VSF JAPAN @ $ 0.</v>
          </cell>
          <cell r="D4662">
            <v>0</v>
          </cell>
          <cell r="E4662">
            <v>0</v>
          </cell>
          <cell r="F4662">
            <v>0</v>
          </cell>
          <cell r="G4662">
            <v>0</v>
          </cell>
        </row>
        <row r="4663">
          <cell r="A4663" t="str">
            <v>54-15-01-0090</v>
          </cell>
          <cell r="B4663">
            <v>0</v>
          </cell>
          <cell r="C4663" t="str">
            <v xml:space="preserve">  L.C. 20413/96 396 MT PSF S.KOREA @ 1.1</v>
          </cell>
          <cell r="D4663">
            <v>0</v>
          </cell>
          <cell r="E4663">
            <v>0</v>
          </cell>
          <cell r="F4663">
            <v>0</v>
          </cell>
          <cell r="G4663">
            <v>0</v>
          </cell>
        </row>
        <row r="4664">
          <cell r="A4664" t="str">
            <v>54-15-01-0091</v>
          </cell>
          <cell r="B4664">
            <v>0</v>
          </cell>
          <cell r="C4664" t="str">
            <v xml:space="preserve">  L.C. 20428/96 1000 MT RAW COTTON-IRANI</v>
          </cell>
          <cell r="D4664">
            <v>0</v>
          </cell>
          <cell r="E4664">
            <v>0</v>
          </cell>
          <cell r="F4664">
            <v>0</v>
          </cell>
          <cell r="G4664">
            <v>0</v>
          </cell>
        </row>
        <row r="4665">
          <cell r="A4665" t="str">
            <v>54-15-01-0092</v>
          </cell>
          <cell r="B4665">
            <v>0</v>
          </cell>
          <cell r="C4665" t="str">
            <v xml:space="preserve">  L.C. 20418/96 ASF BRIGHT ITALY 50 MT.</v>
          </cell>
          <cell r="D4665">
            <v>0</v>
          </cell>
          <cell r="E4665">
            <v>0</v>
          </cell>
          <cell r="F4665">
            <v>0</v>
          </cell>
          <cell r="G4665">
            <v>0</v>
          </cell>
        </row>
        <row r="4666">
          <cell r="A4666" t="str">
            <v>54-15-01-0093</v>
          </cell>
          <cell r="B4666">
            <v>0</v>
          </cell>
          <cell r="C4666" t="str">
            <v xml:space="preserve">  L.C. 20551/97/03 P.S.F 96 M.T S.KOREA.</v>
          </cell>
          <cell r="D4666">
            <v>0</v>
          </cell>
          <cell r="E4666">
            <v>0</v>
          </cell>
          <cell r="F4666">
            <v>0</v>
          </cell>
          <cell r="G4666">
            <v>0</v>
          </cell>
        </row>
        <row r="4667">
          <cell r="A4667" t="str">
            <v>54-15-01-0094</v>
          </cell>
          <cell r="B4667">
            <v>0</v>
          </cell>
          <cell r="C4667" t="str">
            <v xml:space="preserve">  L.C. 20561/97 1400 MT ASF ITALY @ 1.48</v>
          </cell>
          <cell r="D4667">
            <v>0</v>
          </cell>
          <cell r="E4667">
            <v>0</v>
          </cell>
          <cell r="F4667">
            <v>0</v>
          </cell>
          <cell r="G4667">
            <v>0</v>
          </cell>
        </row>
        <row r="4668">
          <cell r="A4668" t="str">
            <v>54-15-01-0095</v>
          </cell>
          <cell r="B4668">
            <v>0</v>
          </cell>
          <cell r="C4668" t="str">
            <v xml:space="preserve">  L.C. 20567/97 320 MT P.S.F. KOREA @ 0.</v>
          </cell>
          <cell r="D4668">
            <v>0</v>
          </cell>
          <cell r="E4668">
            <v>0</v>
          </cell>
          <cell r="F4668">
            <v>0</v>
          </cell>
          <cell r="G4668">
            <v>0</v>
          </cell>
        </row>
        <row r="4669">
          <cell r="A4669" t="str">
            <v>54-15-01-0096</v>
          </cell>
          <cell r="B4669">
            <v>0</v>
          </cell>
          <cell r="C4669" t="str">
            <v xml:space="preserve">  L.C. 20569/97 P.S.F. 312 MT KOREA @ 0.</v>
          </cell>
          <cell r="D4669">
            <v>0</v>
          </cell>
          <cell r="E4669">
            <v>0</v>
          </cell>
          <cell r="F4669">
            <v>0</v>
          </cell>
          <cell r="G4669">
            <v>0</v>
          </cell>
        </row>
        <row r="4670">
          <cell r="A4670" t="str">
            <v>54-15-01-0097</v>
          </cell>
          <cell r="B4670">
            <v>0</v>
          </cell>
          <cell r="C4670" t="str">
            <v xml:space="preserve">  L.C. 20572/98 ASF ITALY 500 MT @ 1.38</v>
          </cell>
          <cell r="D4670">
            <v>0</v>
          </cell>
          <cell r="E4670">
            <v>0</v>
          </cell>
          <cell r="F4670">
            <v>0</v>
          </cell>
          <cell r="G4670">
            <v>0</v>
          </cell>
        </row>
        <row r="4671">
          <cell r="A4671" t="str">
            <v>54-15-01-0098</v>
          </cell>
          <cell r="B4671">
            <v>0</v>
          </cell>
          <cell r="C4671" t="str">
            <v xml:space="preserve">  L.C. 20593/98 116 MT VSF INDONESIA</v>
          </cell>
          <cell r="D4671">
            <v>0</v>
          </cell>
          <cell r="E4671">
            <v>0</v>
          </cell>
          <cell r="F4671">
            <v>0</v>
          </cell>
          <cell r="G4671">
            <v>0</v>
          </cell>
        </row>
        <row r="4672">
          <cell r="A4672" t="str">
            <v>54-15-01-0099</v>
          </cell>
          <cell r="B4672">
            <v>0</v>
          </cell>
          <cell r="C4672" t="str">
            <v xml:space="preserve">  L.C. 20600/98 ASF 500 MT ITALY @ 1.225</v>
          </cell>
          <cell r="D4672">
            <v>0</v>
          </cell>
          <cell r="E4672">
            <v>0</v>
          </cell>
          <cell r="F4672">
            <v>0</v>
          </cell>
          <cell r="G4672">
            <v>0</v>
          </cell>
        </row>
        <row r="4673">
          <cell r="A4673" t="str">
            <v>54-15-01-0100</v>
          </cell>
          <cell r="B4673">
            <v>0</v>
          </cell>
          <cell r="C4673" t="str">
            <v xml:space="preserve">  L.C 20634/98 VSF 216 M.T IND @ 1.22 P.</v>
          </cell>
          <cell r="D4673">
            <v>0</v>
          </cell>
          <cell r="E4673">
            <v>0</v>
          </cell>
          <cell r="F4673">
            <v>0</v>
          </cell>
          <cell r="G4673">
            <v>0</v>
          </cell>
        </row>
        <row r="4674">
          <cell r="A4674" t="str">
            <v>54-15-01-0101</v>
          </cell>
          <cell r="B4674">
            <v>0</v>
          </cell>
          <cell r="C4674" t="str">
            <v xml:space="preserve">  L.C. 20644/98 500 MT ASF ITALY $ 1.11</v>
          </cell>
          <cell r="D4674">
            <v>0</v>
          </cell>
          <cell r="E4674">
            <v>0</v>
          </cell>
          <cell r="F4674">
            <v>0</v>
          </cell>
          <cell r="G4674">
            <v>0</v>
          </cell>
        </row>
        <row r="4675">
          <cell r="A4675" t="str">
            <v>54-15-01-0102</v>
          </cell>
          <cell r="B4675">
            <v>0</v>
          </cell>
          <cell r="C4675" t="str">
            <v xml:space="preserve">  L.C. 20648/98 ASF ITALY 500 MT @ 1.11</v>
          </cell>
          <cell r="D4675">
            <v>0</v>
          </cell>
          <cell r="E4675">
            <v>0</v>
          </cell>
          <cell r="F4675">
            <v>0</v>
          </cell>
          <cell r="G4675">
            <v>0</v>
          </cell>
        </row>
        <row r="4676">
          <cell r="A4676" t="str">
            <v>54-15-01-0103</v>
          </cell>
          <cell r="B4676">
            <v>0</v>
          </cell>
          <cell r="C4676" t="str">
            <v xml:space="preserve">  L.C. 20662/98 220 MT VSF INDO.@ 1.18 P</v>
          </cell>
          <cell r="D4676">
            <v>0</v>
          </cell>
          <cell r="E4676">
            <v>0</v>
          </cell>
          <cell r="F4676">
            <v>0</v>
          </cell>
          <cell r="G4676">
            <v>0</v>
          </cell>
        </row>
        <row r="4677">
          <cell r="A4677" t="str">
            <v>54-15-01-0104</v>
          </cell>
          <cell r="B4677">
            <v>0</v>
          </cell>
          <cell r="C4677" t="str">
            <v xml:space="preserve">  L/C NO: 20700/98 ASF 506 MT-SPANISH @$</v>
          </cell>
          <cell r="D4677">
            <v>0</v>
          </cell>
          <cell r="E4677">
            <v>0</v>
          </cell>
          <cell r="F4677">
            <v>0</v>
          </cell>
          <cell r="G4677">
            <v>0</v>
          </cell>
        </row>
        <row r="4678">
          <cell r="A4678" t="str">
            <v>54-15-01-0105</v>
          </cell>
          <cell r="B4678">
            <v>0</v>
          </cell>
          <cell r="C4678" t="str">
            <v xml:space="preserve">  L/C # 20805 ASF THAI 500 MT @ $0.75P.K</v>
          </cell>
          <cell r="D4678">
            <v>0</v>
          </cell>
          <cell r="E4678">
            <v>0</v>
          </cell>
          <cell r="F4678">
            <v>0</v>
          </cell>
          <cell r="G4678">
            <v>0</v>
          </cell>
        </row>
        <row r="4679">
          <cell r="A4679" t="str">
            <v>54-15-01-0106</v>
          </cell>
          <cell r="B4679">
            <v>0</v>
          </cell>
          <cell r="C4679" t="str">
            <v xml:space="preserve">  L/C # 20806 CIS COTTON UZBEK 300MT 1.2</v>
          </cell>
          <cell r="D4679">
            <v>0</v>
          </cell>
          <cell r="E4679">
            <v>0</v>
          </cell>
          <cell r="F4679">
            <v>0</v>
          </cell>
          <cell r="G4679">
            <v>0</v>
          </cell>
        </row>
        <row r="4680">
          <cell r="A4680" t="str">
            <v>54-15-01-0107</v>
          </cell>
          <cell r="B4680">
            <v>0</v>
          </cell>
          <cell r="C4680" t="str">
            <v xml:space="preserve">  L.C.20819/99 240 MT PSF KOREA @ $0.60</v>
          </cell>
          <cell r="D4680">
            <v>0</v>
          </cell>
          <cell r="E4680">
            <v>0</v>
          </cell>
          <cell r="F4680">
            <v>0</v>
          </cell>
          <cell r="G4680">
            <v>0</v>
          </cell>
        </row>
        <row r="4681">
          <cell r="A4681" t="str">
            <v>54-15-01-0108</v>
          </cell>
          <cell r="B4681">
            <v>0</v>
          </cell>
          <cell r="C4681" t="str">
            <v xml:space="preserve">  L.C.20822/99 144MT PSF KOREA @ 0.60 P.</v>
          </cell>
          <cell r="D4681">
            <v>0</v>
          </cell>
          <cell r="E4681">
            <v>0</v>
          </cell>
          <cell r="F4681">
            <v>0</v>
          </cell>
          <cell r="G4681">
            <v>0</v>
          </cell>
        </row>
        <row r="4682">
          <cell r="A4682" t="str">
            <v>54-15-01-0109</v>
          </cell>
          <cell r="B4682">
            <v>0</v>
          </cell>
          <cell r="C4682" t="str">
            <v xml:space="preserve">  L.C # 20841 ASF SPANISH 2000 MT @ 0.8</v>
          </cell>
          <cell r="D4682">
            <v>0</v>
          </cell>
          <cell r="E4682">
            <v>0</v>
          </cell>
          <cell r="F4682">
            <v>0</v>
          </cell>
          <cell r="G4682">
            <v>0</v>
          </cell>
        </row>
        <row r="4683">
          <cell r="A4683" t="str">
            <v>54-15-01-0110</v>
          </cell>
          <cell r="B4683">
            <v>0</v>
          </cell>
          <cell r="C4683" t="str">
            <v xml:space="preserve">  L.C # 20852 SYRIAN COTTON 300 MT @ 1.2</v>
          </cell>
          <cell r="D4683">
            <v>0</v>
          </cell>
          <cell r="E4683">
            <v>0</v>
          </cell>
          <cell r="F4683">
            <v>0</v>
          </cell>
          <cell r="G4683">
            <v>0</v>
          </cell>
        </row>
        <row r="4684">
          <cell r="A4684" t="str">
            <v>54-15-01-0111</v>
          </cell>
          <cell r="B4684">
            <v>0</v>
          </cell>
          <cell r="C4684" t="str">
            <v xml:space="preserve">  L.C # 20860 1000 MT SYR COTTON @ $1.25</v>
          </cell>
          <cell r="D4684">
            <v>0</v>
          </cell>
          <cell r="E4684">
            <v>0</v>
          </cell>
          <cell r="F4684">
            <v>0</v>
          </cell>
          <cell r="G4684">
            <v>0</v>
          </cell>
        </row>
        <row r="4685">
          <cell r="A4685" t="str">
            <v>54-15-01-0112</v>
          </cell>
          <cell r="B4685">
            <v>0</v>
          </cell>
          <cell r="C4685" t="str">
            <v xml:space="preserve">  L.C # 20862 SYR COTTON 1500 MT @ $1.22</v>
          </cell>
          <cell r="D4685">
            <v>0</v>
          </cell>
          <cell r="E4685">
            <v>0</v>
          </cell>
          <cell r="F4685">
            <v>0</v>
          </cell>
          <cell r="G4685">
            <v>0</v>
          </cell>
        </row>
        <row r="4686">
          <cell r="A4686" t="str">
            <v>54-15-01-0113</v>
          </cell>
          <cell r="B4686">
            <v>0</v>
          </cell>
          <cell r="C4686" t="str">
            <v xml:space="preserve">  L.C # 20879/99 ASF ITALY 1500MT @0.87P</v>
          </cell>
          <cell r="D4686">
            <v>0</v>
          </cell>
          <cell r="E4686">
            <v>0</v>
          </cell>
          <cell r="F4686">
            <v>0</v>
          </cell>
          <cell r="G4686">
            <v>0</v>
          </cell>
        </row>
        <row r="4687">
          <cell r="A4687" t="str">
            <v>54-15-01-0114</v>
          </cell>
          <cell r="B4687">
            <v>0</v>
          </cell>
          <cell r="C4687" t="str">
            <v xml:space="preserve">  L.C # 20896/99 COTTON IRAN 230 MT @1.2</v>
          </cell>
          <cell r="D4687">
            <v>0</v>
          </cell>
          <cell r="E4687">
            <v>0</v>
          </cell>
          <cell r="F4687">
            <v>0</v>
          </cell>
          <cell r="G4687">
            <v>0</v>
          </cell>
        </row>
        <row r="4688">
          <cell r="A4688" t="str">
            <v>54-15-01-0115</v>
          </cell>
          <cell r="B4688">
            <v>0</v>
          </cell>
          <cell r="C4688" t="str">
            <v xml:space="preserve">  L.C 20944 ELASTAN FILAMENT 6500 KG GER</v>
          </cell>
          <cell r="D4688">
            <v>0</v>
          </cell>
          <cell r="E4688">
            <v>0</v>
          </cell>
          <cell r="F4688">
            <v>0</v>
          </cell>
          <cell r="G4688">
            <v>0</v>
          </cell>
        </row>
        <row r="4689">
          <cell r="A4689" t="str">
            <v>54-15-01-0116</v>
          </cell>
          <cell r="B4689">
            <v>0</v>
          </cell>
          <cell r="C4689" t="str">
            <v xml:space="preserve">  L.C # 20964 VSF 200MT TAI CHANA @ $1.1</v>
          </cell>
          <cell r="D4689">
            <v>0</v>
          </cell>
          <cell r="E4689">
            <v>0</v>
          </cell>
          <cell r="F4689">
            <v>0</v>
          </cell>
          <cell r="G4689">
            <v>0</v>
          </cell>
        </row>
        <row r="4690">
          <cell r="A4690" t="str">
            <v>54-15-01-0117</v>
          </cell>
          <cell r="B4690">
            <v>0</v>
          </cell>
          <cell r="C4690" t="str">
            <v xml:space="preserve">  L.C21008 PSF ACELAN 1.25DX38 552MT $0.</v>
          </cell>
          <cell r="D4690">
            <v>0</v>
          </cell>
          <cell r="E4690">
            <v>0</v>
          </cell>
          <cell r="F4690">
            <v>0</v>
          </cell>
          <cell r="G4690">
            <v>0</v>
          </cell>
        </row>
        <row r="4691">
          <cell r="A4691" t="str">
            <v>54-15-01-0118</v>
          </cell>
          <cell r="B4691">
            <v>0</v>
          </cell>
          <cell r="C4691" t="str">
            <v xml:space="preserve">  L.C # 21017 FILAMENT 9500 KG @ $17 USA</v>
          </cell>
          <cell r="D4691">
            <v>0</v>
          </cell>
          <cell r="E4691">
            <v>0</v>
          </cell>
          <cell r="F4691">
            <v>0</v>
          </cell>
          <cell r="G4691">
            <v>0</v>
          </cell>
        </row>
        <row r="4692">
          <cell r="A4692" t="str">
            <v>54-15-01-0119</v>
          </cell>
          <cell r="B4692">
            <v>0</v>
          </cell>
          <cell r="C4692" t="str">
            <v xml:space="preserve">  L.C #21166/00 96000 KG POLYSTER FIBER.</v>
          </cell>
          <cell r="D4692">
            <v>0</v>
          </cell>
          <cell r="E4692">
            <v>0</v>
          </cell>
          <cell r="F4692">
            <v>0</v>
          </cell>
          <cell r="G4692">
            <v>0</v>
          </cell>
        </row>
        <row r="4693">
          <cell r="A4693" t="str">
            <v>54-15-01-0120</v>
          </cell>
          <cell r="B4693">
            <v>0</v>
          </cell>
          <cell r="C4693" t="str">
            <v xml:space="preserve">  L.C. MARGIN A/C SBL</v>
          </cell>
          <cell r="D4693">
            <v>0</v>
          </cell>
          <cell r="E4693">
            <v>0</v>
          </cell>
          <cell r="F4693">
            <v>0</v>
          </cell>
          <cell r="G4693">
            <v>0</v>
          </cell>
        </row>
        <row r="4694">
          <cell r="A4694" t="str">
            <v>54-15-01-0121</v>
          </cell>
          <cell r="B4694">
            <v>0</v>
          </cell>
          <cell r="C4694" t="str">
            <v xml:space="preserve">  L.C. TSU-970070 COTTON B/ROOM INST.GRM</v>
          </cell>
          <cell r="D4694">
            <v>0</v>
          </cell>
          <cell r="E4694">
            <v>0</v>
          </cell>
          <cell r="F4694">
            <v>0</v>
          </cell>
          <cell r="G4694">
            <v>0</v>
          </cell>
        </row>
        <row r="4695">
          <cell r="A4695" t="str">
            <v>54-15-01-0122</v>
          </cell>
          <cell r="B4695">
            <v>0</v>
          </cell>
          <cell r="C4695" t="str">
            <v xml:space="preserve">  L.C. 97/032 VSF INDO 213 MT @ 1.34 P.K</v>
          </cell>
          <cell r="D4695">
            <v>0</v>
          </cell>
          <cell r="E4695">
            <v>0</v>
          </cell>
          <cell r="F4695">
            <v>0</v>
          </cell>
          <cell r="G4695">
            <v>0</v>
          </cell>
        </row>
        <row r="4696">
          <cell r="A4696" t="str">
            <v>54-15-01-0123</v>
          </cell>
          <cell r="B4696">
            <v>0</v>
          </cell>
          <cell r="C4696" t="str">
            <v xml:space="preserve">  L.C. 97/033  P.S.F 1008 MT @ 0.87 PER</v>
          </cell>
          <cell r="D4696">
            <v>0</v>
          </cell>
          <cell r="E4696">
            <v>0</v>
          </cell>
          <cell r="F4696">
            <v>0</v>
          </cell>
          <cell r="G4696">
            <v>0</v>
          </cell>
        </row>
        <row r="4697">
          <cell r="A4697" t="str">
            <v>54-15-01-0124</v>
          </cell>
          <cell r="B4697">
            <v>0</v>
          </cell>
          <cell r="C4697" t="str">
            <v xml:space="preserve">  L.C. 98/034 RAW COTTON 2000 MT YMN @1.</v>
          </cell>
          <cell r="D4697">
            <v>0</v>
          </cell>
          <cell r="E4697">
            <v>0</v>
          </cell>
          <cell r="F4697">
            <v>0</v>
          </cell>
          <cell r="G4697">
            <v>0</v>
          </cell>
        </row>
        <row r="4698">
          <cell r="A4698" t="str">
            <v>54-15-01-0125</v>
          </cell>
          <cell r="B4698">
            <v>0</v>
          </cell>
          <cell r="C4698" t="str">
            <v xml:space="preserve">  L/C 98/039 ASF 250 MT THAILAND @ 1.03</v>
          </cell>
          <cell r="D4698">
            <v>0</v>
          </cell>
          <cell r="E4698">
            <v>0</v>
          </cell>
          <cell r="F4698">
            <v>0</v>
          </cell>
          <cell r="G4698">
            <v>0</v>
          </cell>
        </row>
        <row r="4699">
          <cell r="A4699" t="str">
            <v>54-15-01-0126</v>
          </cell>
          <cell r="B4699">
            <v>0</v>
          </cell>
          <cell r="C4699" t="str">
            <v xml:space="preserve">  L.C. 98/042 RAW COTTON TNZNIA 587.500</v>
          </cell>
          <cell r="D4699">
            <v>0</v>
          </cell>
          <cell r="E4699">
            <v>0</v>
          </cell>
          <cell r="F4699">
            <v>0</v>
          </cell>
          <cell r="G4699">
            <v>0</v>
          </cell>
        </row>
        <row r="4700">
          <cell r="A4700" t="str">
            <v>54-15-01-0127</v>
          </cell>
          <cell r="B4700">
            <v>0</v>
          </cell>
          <cell r="C4700" t="str">
            <v xml:space="preserve">  L.C NO: 98/046 VSF 300 MT THAILAND @1.</v>
          </cell>
          <cell r="D4700">
            <v>0</v>
          </cell>
          <cell r="E4700">
            <v>0</v>
          </cell>
          <cell r="F4700">
            <v>0</v>
          </cell>
          <cell r="G4700">
            <v>0</v>
          </cell>
        </row>
        <row r="4701">
          <cell r="A4701" t="str">
            <v>54-15-01-0128</v>
          </cell>
          <cell r="B4701">
            <v>0</v>
          </cell>
          <cell r="C4701" t="str">
            <v xml:space="preserve">  L.C NO: 98/047 ASF 103.2 MT JAPAN @ 0.</v>
          </cell>
          <cell r="D4701">
            <v>0</v>
          </cell>
          <cell r="E4701">
            <v>0</v>
          </cell>
          <cell r="F4701">
            <v>0</v>
          </cell>
          <cell r="G4701">
            <v>0</v>
          </cell>
        </row>
        <row r="4702">
          <cell r="A4702" t="str">
            <v>54-15-01-0129</v>
          </cell>
          <cell r="B4702">
            <v>0</v>
          </cell>
          <cell r="C4702" t="str">
            <v xml:space="preserve">  L.C.98/049 VSF 300 MT THAILAND @1.12 P</v>
          </cell>
          <cell r="D4702">
            <v>0</v>
          </cell>
          <cell r="E4702">
            <v>0</v>
          </cell>
          <cell r="F4702">
            <v>0</v>
          </cell>
          <cell r="G4702">
            <v>0</v>
          </cell>
        </row>
        <row r="4703">
          <cell r="A4703" t="str">
            <v>54-15-01-0130</v>
          </cell>
          <cell r="B4703">
            <v>0</v>
          </cell>
          <cell r="C4703" t="str">
            <v xml:space="preserve">  L.C.98/051 CIS COTTON(UZBEK)1700 MT.</v>
          </cell>
          <cell r="D4703">
            <v>0</v>
          </cell>
          <cell r="E4703">
            <v>0</v>
          </cell>
          <cell r="F4703">
            <v>0</v>
          </cell>
          <cell r="G4703">
            <v>0</v>
          </cell>
        </row>
        <row r="4704">
          <cell r="A4704" t="str">
            <v>54-15-01-0131</v>
          </cell>
          <cell r="B4704">
            <v>0</v>
          </cell>
          <cell r="C4704" t="str">
            <v xml:space="preserve">  L/C # 99/054 312 MT PSF KOREA $ 0.60 P</v>
          </cell>
          <cell r="D4704">
            <v>0</v>
          </cell>
          <cell r="E4704">
            <v>0</v>
          </cell>
          <cell r="F4704">
            <v>0</v>
          </cell>
          <cell r="G4704">
            <v>0</v>
          </cell>
        </row>
        <row r="4705">
          <cell r="A4705" t="str">
            <v>54-15-01-0132</v>
          </cell>
          <cell r="B4705">
            <v>0</v>
          </cell>
          <cell r="C4705" t="str">
            <v xml:space="preserve">  L/C # 99/055 COTTON IRN MOQ 500MT @ 1.</v>
          </cell>
          <cell r="D4705">
            <v>0</v>
          </cell>
          <cell r="E4705">
            <v>0</v>
          </cell>
          <cell r="F4705">
            <v>0</v>
          </cell>
          <cell r="G4705">
            <v>0</v>
          </cell>
        </row>
        <row r="4706">
          <cell r="A4706" t="str">
            <v>54-15-01-0133</v>
          </cell>
          <cell r="B4706">
            <v>0</v>
          </cell>
          <cell r="C4706" t="str">
            <v xml:space="preserve">  L.C 99/058 COTTON SYRIA 1000MT @ $1.24</v>
          </cell>
          <cell r="D4706">
            <v>0</v>
          </cell>
          <cell r="E4706">
            <v>0</v>
          </cell>
          <cell r="F4706">
            <v>0</v>
          </cell>
          <cell r="G4706">
            <v>0</v>
          </cell>
        </row>
        <row r="4707">
          <cell r="A4707" t="str">
            <v>54-15-01-0134</v>
          </cell>
          <cell r="B4707">
            <v>0</v>
          </cell>
          <cell r="C4707" t="str">
            <v xml:space="preserve">  L.C 99/057 COTTON SYRIA 750MT @ $1.25P</v>
          </cell>
          <cell r="D4707">
            <v>0</v>
          </cell>
          <cell r="E4707">
            <v>0</v>
          </cell>
          <cell r="F4707">
            <v>0</v>
          </cell>
          <cell r="G4707">
            <v>0</v>
          </cell>
        </row>
        <row r="4708">
          <cell r="A4708" t="str">
            <v>54-15-01-0135</v>
          </cell>
          <cell r="B4708">
            <v>0</v>
          </cell>
          <cell r="C4708" t="str">
            <v xml:space="preserve">  L.C # 99/060 COTTON SYRIA 1000MT @ 1.1</v>
          </cell>
          <cell r="D4708">
            <v>0</v>
          </cell>
          <cell r="E4708">
            <v>0</v>
          </cell>
          <cell r="F4708">
            <v>0</v>
          </cell>
          <cell r="G4708">
            <v>0</v>
          </cell>
        </row>
        <row r="4709">
          <cell r="A4709" t="str">
            <v>54-15-01-0136</v>
          </cell>
          <cell r="B4709">
            <v>0</v>
          </cell>
          <cell r="C4709" t="str">
            <v xml:space="preserve">  L.C # 99/061 COTTON SYRIA 1450 MT @ 1.</v>
          </cell>
          <cell r="D4709">
            <v>0</v>
          </cell>
          <cell r="E4709">
            <v>0</v>
          </cell>
          <cell r="F4709">
            <v>0</v>
          </cell>
          <cell r="G4709">
            <v>0</v>
          </cell>
        </row>
        <row r="4710">
          <cell r="A4710" t="str">
            <v>54-15-01-0137</v>
          </cell>
          <cell r="B4710">
            <v>0</v>
          </cell>
          <cell r="C4710" t="str">
            <v xml:space="preserve">  L.C # 99/063 COTTON TOGO 1000 MT @$1.2</v>
          </cell>
          <cell r="D4710">
            <v>0</v>
          </cell>
          <cell r="E4710">
            <v>0</v>
          </cell>
          <cell r="F4710">
            <v>0</v>
          </cell>
          <cell r="G4710">
            <v>0</v>
          </cell>
        </row>
        <row r="4711">
          <cell r="A4711" t="str">
            <v>54-15-01-0138</v>
          </cell>
          <cell r="B4711">
            <v>0</v>
          </cell>
          <cell r="C4711" t="str">
            <v xml:space="preserve">  L.C # 99/064 COTTON SYR 1000 MT @ $1.2</v>
          </cell>
          <cell r="D4711">
            <v>0</v>
          </cell>
          <cell r="E4711">
            <v>0</v>
          </cell>
          <cell r="F4711">
            <v>0</v>
          </cell>
          <cell r="G4711">
            <v>0</v>
          </cell>
        </row>
        <row r="4712">
          <cell r="A4712" t="str">
            <v>54-15-01-0139</v>
          </cell>
          <cell r="B4712">
            <v>0</v>
          </cell>
          <cell r="C4712" t="str">
            <v xml:space="preserve">  L.C. 99/066 PSF KOREA 192 MT @ 0.65 P.</v>
          </cell>
          <cell r="D4712">
            <v>0</v>
          </cell>
          <cell r="E4712">
            <v>0</v>
          </cell>
          <cell r="F4712">
            <v>0</v>
          </cell>
          <cell r="G4712">
            <v>0</v>
          </cell>
        </row>
        <row r="4713">
          <cell r="A4713" t="str">
            <v>54-15-01-0140</v>
          </cell>
          <cell r="B4713">
            <v>0</v>
          </cell>
          <cell r="C4713" t="str">
            <v xml:space="preserve">  L.C99/071 PSF 1.2DX38MM KORE 120MT $0.</v>
          </cell>
          <cell r="D4713">
            <v>0</v>
          </cell>
          <cell r="E4713">
            <v>0</v>
          </cell>
          <cell r="F4713">
            <v>0</v>
          </cell>
          <cell r="G4713">
            <v>0</v>
          </cell>
        </row>
        <row r="4714">
          <cell r="A4714" t="str">
            <v>54-15-01-0141</v>
          </cell>
          <cell r="B4714">
            <v>0</v>
          </cell>
          <cell r="C4714" t="str">
            <v xml:space="preserve">  L.C.99/077 ELASTAN FILAMENT 10775 KG G</v>
          </cell>
          <cell r="D4714">
            <v>0</v>
          </cell>
          <cell r="E4714">
            <v>0</v>
          </cell>
          <cell r="F4714">
            <v>0</v>
          </cell>
          <cell r="G4714">
            <v>0</v>
          </cell>
        </row>
        <row r="4715">
          <cell r="A4715" t="str">
            <v>54-15-01-0142</v>
          </cell>
          <cell r="B4715">
            <v>0</v>
          </cell>
          <cell r="C4715" t="str">
            <v xml:space="preserve">  LC 99/080 PSF ACLN 1.25DX38MM 312MT$0.</v>
          </cell>
          <cell r="D4715">
            <v>0</v>
          </cell>
          <cell r="E4715">
            <v>0</v>
          </cell>
          <cell r="F4715">
            <v>0</v>
          </cell>
          <cell r="G4715">
            <v>0</v>
          </cell>
        </row>
        <row r="4716">
          <cell r="A4716" t="str">
            <v>54-15-01-0143</v>
          </cell>
          <cell r="B4716">
            <v>0</v>
          </cell>
          <cell r="C4716" t="str">
            <v xml:space="preserve">  L.C.2000/86 ELASTAN FILAMENT 5100 KG U</v>
          </cell>
          <cell r="D4716">
            <v>0</v>
          </cell>
          <cell r="E4716">
            <v>0</v>
          </cell>
          <cell r="F4716">
            <v>0</v>
          </cell>
          <cell r="G4716">
            <v>0</v>
          </cell>
        </row>
        <row r="4717">
          <cell r="A4717" t="str">
            <v>54-15-01-0144</v>
          </cell>
          <cell r="B4717">
            <v>0</v>
          </cell>
          <cell r="C4717" t="str">
            <v xml:space="preserve">  L.C 99/0727 ASF 500MT ITALY @ $0.92 P.</v>
          </cell>
          <cell r="D4717">
            <v>0</v>
          </cell>
          <cell r="E4717">
            <v>0</v>
          </cell>
          <cell r="F4717">
            <v>0</v>
          </cell>
          <cell r="G4717">
            <v>0</v>
          </cell>
        </row>
        <row r="4718">
          <cell r="A4718" t="str">
            <v>54-15-01-0145</v>
          </cell>
          <cell r="B4718">
            <v>0</v>
          </cell>
          <cell r="C4718" t="str">
            <v xml:space="preserve">  L.C # 109 ACRYLIC STAPLE FIBRE 500 M/T</v>
          </cell>
          <cell r="D4718">
            <v>0</v>
          </cell>
          <cell r="E4718">
            <v>0</v>
          </cell>
          <cell r="F4718">
            <v>0</v>
          </cell>
          <cell r="G4718">
            <v>0</v>
          </cell>
        </row>
        <row r="4719">
          <cell r="A4719" t="str">
            <v>54-15-02</v>
          </cell>
          <cell r="B4719">
            <v>0</v>
          </cell>
          <cell r="C4719" t="str">
            <v>***L/C'S FOR RAW COTTON</v>
          </cell>
          <cell r="D4719">
            <v>6630</v>
          </cell>
          <cell r="E4719">
            <v>0</v>
          </cell>
          <cell r="F4719">
            <v>6630</v>
          </cell>
          <cell r="G4719">
            <v>0</v>
          </cell>
        </row>
        <row r="4720">
          <cell r="A4720" t="str">
            <v>54-15-02-0001</v>
          </cell>
          <cell r="B4720">
            <v>0</v>
          </cell>
          <cell r="C4720" t="str">
            <v xml:space="preserve">  L.C #MPB/LC/PSH/2001/137 AMERICAN COTT</v>
          </cell>
          <cell r="D4720">
            <v>0</v>
          </cell>
          <cell r="E4720">
            <v>0</v>
          </cell>
          <cell r="F4720">
            <v>0</v>
          </cell>
          <cell r="G4720">
            <v>0</v>
          </cell>
        </row>
        <row r="4721">
          <cell r="A4721" t="str">
            <v>54-15-02-0002</v>
          </cell>
          <cell r="B4721">
            <v>0</v>
          </cell>
          <cell r="C4721" t="str">
            <v xml:space="preserve">  L.C #MPB/LC/PSH/200/138 AUSTRIALIAN CO</v>
          </cell>
          <cell r="D4721">
            <v>0</v>
          </cell>
          <cell r="E4721">
            <v>0</v>
          </cell>
          <cell r="F4721">
            <v>0</v>
          </cell>
          <cell r="G4721">
            <v>0</v>
          </cell>
        </row>
        <row r="4722">
          <cell r="A4722" t="str">
            <v>54-15-02-0003</v>
          </cell>
          <cell r="B4722">
            <v>0</v>
          </cell>
          <cell r="C4722" t="str">
            <v xml:space="preserve">  L.C # 937452 SYRIAN COTTON 1500 MT @0.</v>
          </cell>
          <cell r="D4722">
            <v>0</v>
          </cell>
          <cell r="E4722">
            <v>0</v>
          </cell>
          <cell r="F4722">
            <v>0</v>
          </cell>
          <cell r="G4722">
            <v>0</v>
          </cell>
        </row>
        <row r="4723">
          <cell r="A4723" t="str">
            <v>54-15-02-0004</v>
          </cell>
          <cell r="B4723">
            <v>0</v>
          </cell>
          <cell r="C4723" t="str">
            <v xml:space="preserve">  L.C MPB/PSH/149 SYRIAN RAW COTTON 500</v>
          </cell>
          <cell r="D4723">
            <v>0</v>
          </cell>
          <cell r="E4723">
            <v>0</v>
          </cell>
          <cell r="F4723">
            <v>0</v>
          </cell>
          <cell r="G4723">
            <v>0</v>
          </cell>
        </row>
        <row r="4724">
          <cell r="A4724" t="str">
            <v>54-15-02-0005</v>
          </cell>
          <cell r="B4724">
            <v>0</v>
          </cell>
          <cell r="C4724" t="str">
            <v xml:space="preserve">  L.C # 937407 ETHOPIAN 2200 M/T COTTON</v>
          </cell>
          <cell r="D4724">
            <v>0</v>
          </cell>
          <cell r="E4724">
            <v>0</v>
          </cell>
          <cell r="F4724">
            <v>0</v>
          </cell>
          <cell r="G4724">
            <v>0</v>
          </cell>
        </row>
        <row r="4725">
          <cell r="A4725" t="str">
            <v>54-15-02-0006</v>
          </cell>
          <cell r="B4725">
            <v>0</v>
          </cell>
          <cell r="C4725" t="str">
            <v xml:space="preserve">  LC MPB/PSH/173 SYRIAN RAW COTTON 3000</v>
          </cell>
          <cell r="D4725">
            <v>0</v>
          </cell>
          <cell r="E4725">
            <v>0</v>
          </cell>
          <cell r="F4725">
            <v>0</v>
          </cell>
          <cell r="G4725">
            <v>0</v>
          </cell>
        </row>
        <row r="4726">
          <cell r="A4726" t="str">
            <v>54-15-02-0007</v>
          </cell>
          <cell r="B4726">
            <v>0</v>
          </cell>
          <cell r="C4726" t="str">
            <v xml:space="preserve">  MPB/LC/PSH/2001/180 SYRIAN RAW COT 150</v>
          </cell>
          <cell r="D4726">
            <v>0</v>
          </cell>
          <cell r="E4726">
            <v>0</v>
          </cell>
          <cell r="F4726">
            <v>0</v>
          </cell>
          <cell r="G4726">
            <v>0</v>
          </cell>
        </row>
        <row r="4727">
          <cell r="A4727" t="str">
            <v>54-15-02-0008</v>
          </cell>
          <cell r="B4727">
            <v>0</v>
          </cell>
          <cell r="C4727" t="str">
            <v xml:space="preserve">  MPB/LC/PSH/2001/179 SYRIAN RAW COT 300</v>
          </cell>
          <cell r="D4727">
            <v>0</v>
          </cell>
          <cell r="E4727">
            <v>0</v>
          </cell>
          <cell r="F4727">
            <v>0</v>
          </cell>
          <cell r="G4727">
            <v>0</v>
          </cell>
        </row>
        <row r="4728">
          <cell r="A4728" t="str">
            <v>54-15-02-0009</v>
          </cell>
          <cell r="B4728">
            <v>0</v>
          </cell>
          <cell r="C4728" t="str">
            <v xml:space="preserve">  L.C #330/01/1999 IVORY COST MANBO COTO</v>
          </cell>
          <cell r="D4728">
            <v>0</v>
          </cell>
          <cell r="E4728">
            <v>0</v>
          </cell>
          <cell r="F4728">
            <v>0</v>
          </cell>
          <cell r="G4728">
            <v>0</v>
          </cell>
        </row>
        <row r="4729">
          <cell r="A4729" t="str">
            <v>54-15-02-0010</v>
          </cell>
          <cell r="B4729">
            <v>0</v>
          </cell>
          <cell r="C4729" t="str">
            <v xml:space="preserve">  L/C# 330/02/0103 CHINES RAW COTTON @0.</v>
          </cell>
          <cell r="D4729">
            <v>0</v>
          </cell>
          <cell r="E4729">
            <v>0</v>
          </cell>
          <cell r="F4729">
            <v>0</v>
          </cell>
          <cell r="G4729">
            <v>0</v>
          </cell>
        </row>
        <row r="4730">
          <cell r="A4730" t="str">
            <v>54-15-02-0011</v>
          </cell>
          <cell r="B4730">
            <v>0</v>
          </cell>
          <cell r="C4730" t="str">
            <v xml:space="preserve">  L.C # 2002/200 130 M.T TRUKMN.RAW COTT</v>
          </cell>
          <cell r="D4730">
            <v>0</v>
          </cell>
          <cell r="E4730">
            <v>0</v>
          </cell>
          <cell r="F4730">
            <v>0</v>
          </cell>
          <cell r="G4730">
            <v>0</v>
          </cell>
        </row>
        <row r="4731">
          <cell r="A4731" t="str">
            <v>54-15-02-0012</v>
          </cell>
          <cell r="B4731">
            <v>0</v>
          </cell>
          <cell r="C4731" t="str">
            <v xml:space="preserve">  L.C #330/02/0163 138,891 LBS CHINSE CO</v>
          </cell>
          <cell r="D4731">
            <v>0</v>
          </cell>
          <cell r="E4731">
            <v>0</v>
          </cell>
          <cell r="F4731">
            <v>0</v>
          </cell>
          <cell r="G4731">
            <v>0</v>
          </cell>
        </row>
        <row r="4732">
          <cell r="A4732" t="str">
            <v>54-15-02-0013</v>
          </cell>
          <cell r="B4732">
            <v>0</v>
          </cell>
          <cell r="C4732" t="str">
            <v xml:space="preserve">  L/C # MPB/LC/PSH/2002/226 CHINES RAW C</v>
          </cell>
          <cell r="D4732">
            <v>0</v>
          </cell>
          <cell r="E4732">
            <v>0</v>
          </cell>
          <cell r="F4732">
            <v>0</v>
          </cell>
          <cell r="G4732">
            <v>0</v>
          </cell>
        </row>
        <row r="4733">
          <cell r="A4733" t="str">
            <v>54-15-02-0014</v>
          </cell>
          <cell r="B4733">
            <v>0</v>
          </cell>
          <cell r="C4733" t="str">
            <v xml:space="preserve">  L.C # PSH/2002/228 CHINES XINJIANG COT</v>
          </cell>
          <cell r="D4733">
            <v>0</v>
          </cell>
          <cell r="E4733">
            <v>0</v>
          </cell>
          <cell r="F4733">
            <v>0</v>
          </cell>
          <cell r="G4733">
            <v>0</v>
          </cell>
        </row>
        <row r="4734">
          <cell r="A4734" t="str">
            <v>54-15-02-0015</v>
          </cell>
          <cell r="B4734">
            <v>0</v>
          </cell>
          <cell r="C4734" t="str">
            <v xml:space="preserve">  L.C 798/2002 AMERICAN RAW COTTON</v>
          </cell>
          <cell r="D4734">
            <v>0</v>
          </cell>
          <cell r="E4734">
            <v>0</v>
          </cell>
          <cell r="F4734">
            <v>0</v>
          </cell>
          <cell r="G4734">
            <v>0</v>
          </cell>
        </row>
        <row r="4735">
          <cell r="A4735" t="str">
            <v>54-15-02-0016</v>
          </cell>
          <cell r="B4735">
            <v>0</v>
          </cell>
          <cell r="C4735" t="str">
            <v xml:space="preserve">  L.C # 1013/2002 IVORY COAST COTTN 2001</v>
          </cell>
          <cell r="D4735">
            <v>0</v>
          </cell>
          <cell r="E4735">
            <v>0</v>
          </cell>
          <cell r="F4735">
            <v>0</v>
          </cell>
          <cell r="G4735">
            <v>0</v>
          </cell>
        </row>
        <row r="4736">
          <cell r="A4736" t="str">
            <v>54-15-02-0017</v>
          </cell>
          <cell r="B4736">
            <v>0</v>
          </cell>
          <cell r="C4736" t="str">
            <v xml:space="preserve">  L.C # 1001/1162/2002 SYRIAN COTTON 120</v>
          </cell>
          <cell r="D4736">
            <v>0</v>
          </cell>
          <cell r="E4736">
            <v>0</v>
          </cell>
          <cell r="F4736">
            <v>0</v>
          </cell>
          <cell r="G4736">
            <v>0</v>
          </cell>
        </row>
        <row r="4737">
          <cell r="A4737" t="str">
            <v>54-15-02-0018</v>
          </cell>
          <cell r="B4737">
            <v>0</v>
          </cell>
          <cell r="C4737" t="str">
            <v xml:space="preserve">  L.C # 2002/253 SENGAL RAW COTTON 1950</v>
          </cell>
          <cell r="D4737">
            <v>0</v>
          </cell>
          <cell r="E4737">
            <v>0</v>
          </cell>
          <cell r="F4737">
            <v>0</v>
          </cell>
          <cell r="G4737">
            <v>0</v>
          </cell>
        </row>
        <row r="4738">
          <cell r="A4738" t="str">
            <v>54-15-02-0019</v>
          </cell>
          <cell r="B4738">
            <v>0</v>
          </cell>
          <cell r="C4738" t="str">
            <v xml:space="preserve">  L.C # 1223/2002 ETHOPIAN RAW COTTON</v>
          </cell>
          <cell r="D4738">
            <v>0</v>
          </cell>
          <cell r="E4738">
            <v>0</v>
          </cell>
          <cell r="F4738">
            <v>0</v>
          </cell>
          <cell r="G4738">
            <v>0</v>
          </cell>
        </row>
        <row r="4739">
          <cell r="A4739" t="str">
            <v>54-15-02-0020</v>
          </cell>
          <cell r="B4739">
            <v>0</v>
          </cell>
          <cell r="C4739" t="str">
            <v xml:space="preserve">  L.C # MPB 2002/255  450 M.TON CONAKRY</v>
          </cell>
          <cell r="D4739">
            <v>0</v>
          </cell>
          <cell r="E4739">
            <v>0</v>
          </cell>
          <cell r="F4739">
            <v>0</v>
          </cell>
          <cell r="G4739">
            <v>0</v>
          </cell>
        </row>
        <row r="4740">
          <cell r="A4740" t="str">
            <v>54-15-02-0021</v>
          </cell>
          <cell r="B4740">
            <v>0</v>
          </cell>
          <cell r="C4740" t="str">
            <v xml:space="preserve">  L.C # 2002/270 CHINESE XINJIANG COTTON</v>
          </cell>
          <cell r="D4740">
            <v>0</v>
          </cell>
          <cell r="E4740">
            <v>0</v>
          </cell>
          <cell r="F4740">
            <v>0</v>
          </cell>
          <cell r="G4740">
            <v>0</v>
          </cell>
        </row>
        <row r="4741">
          <cell r="A4741" t="str">
            <v>54-15-02-0022</v>
          </cell>
          <cell r="B4741">
            <v>0</v>
          </cell>
          <cell r="C4741" t="str">
            <v xml:space="preserve">  L.C # 2002/277 EGYPTIAN COTTON 2001-20</v>
          </cell>
          <cell r="D4741">
            <v>0</v>
          </cell>
          <cell r="E4741">
            <v>0</v>
          </cell>
          <cell r="F4741">
            <v>0</v>
          </cell>
          <cell r="G4741">
            <v>0</v>
          </cell>
        </row>
        <row r="4742">
          <cell r="A4742" t="str">
            <v>54-15-02-0023</v>
          </cell>
          <cell r="B4742">
            <v>0</v>
          </cell>
          <cell r="C4742" t="str">
            <v xml:space="preserve">  L.C # PSH/2002/290 SYRIAN RAW COTTON</v>
          </cell>
          <cell r="D4742">
            <v>0</v>
          </cell>
          <cell r="E4742">
            <v>0</v>
          </cell>
          <cell r="F4742">
            <v>0</v>
          </cell>
          <cell r="G4742">
            <v>0</v>
          </cell>
        </row>
        <row r="4743">
          <cell r="A4743" t="str">
            <v>54-15-02-0024</v>
          </cell>
          <cell r="B4743">
            <v>0</v>
          </cell>
          <cell r="C4743" t="str">
            <v xml:space="preserve">  L.C # 2002/291 CHINESE RAW COTTON 01-0</v>
          </cell>
          <cell r="D4743">
            <v>0</v>
          </cell>
          <cell r="E4743">
            <v>0</v>
          </cell>
          <cell r="F4743">
            <v>0</v>
          </cell>
          <cell r="G4743">
            <v>0</v>
          </cell>
        </row>
        <row r="4744">
          <cell r="A4744" t="str">
            <v>54-15-02-0025</v>
          </cell>
          <cell r="B4744">
            <v>0</v>
          </cell>
          <cell r="C4744" t="str">
            <v xml:space="preserve">  L.C # 2002/295 USA PIMA COTTON GRADE 2</v>
          </cell>
          <cell r="D4744">
            <v>0</v>
          </cell>
          <cell r="E4744">
            <v>0</v>
          </cell>
          <cell r="F4744">
            <v>0</v>
          </cell>
          <cell r="G4744">
            <v>0</v>
          </cell>
        </row>
        <row r="4745">
          <cell r="A4745" t="str">
            <v>54-15-02-0026</v>
          </cell>
          <cell r="B4745">
            <v>0</v>
          </cell>
          <cell r="C4745" t="str">
            <v xml:space="preserve">  L.C # 2002/296 AMERICAN COTTON U.S PIM</v>
          </cell>
          <cell r="D4745">
            <v>0</v>
          </cell>
          <cell r="E4745">
            <v>0</v>
          </cell>
          <cell r="F4745">
            <v>0</v>
          </cell>
          <cell r="G4745">
            <v>0</v>
          </cell>
        </row>
        <row r="4746">
          <cell r="A4746" t="str">
            <v>54-15-02-0027</v>
          </cell>
          <cell r="B4746">
            <v>0</v>
          </cell>
          <cell r="C4746" t="str">
            <v xml:space="preserve">  L.C # PSH/2002/301 US SJV PIMA COTTON</v>
          </cell>
          <cell r="D4746">
            <v>0</v>
          </cell>
          <cell r="E4746">
            <v>0</v>
          </cell>
          <cell r="F4746">
            <v>0</v>
          </cell>
          <cell r="G4746">
            <v>0</v>
          </cell>
        </row>
        <row r="4747">
          <cell r="A4747" t="str">
            <v>54-15-02-0028</v>
          </cell>
          <cell r="B4747">
            <v>0</v>
          </cell>
          <cell r="C4747" t="str">
            <v xml:space="preserve">  L.C # 1001/LC/2158/2002 AMERICAN RAW C</v>
          </cell>
          <cell r="D4747">
            <v>0</v>
          </cell>
          <cell r="E4747">
            <v>0</v>
          </cell>
          <cell r="F4747">
            <v>0</v>
          </cell>
          <cell r="G4747">
            <v>0</v>
          </cell>
        </row>
        <row r="4748">
          <cell r="A4748" t="str">
            <v>54-15-02-0029</v>
          </cell>
          <cell r="B4748">
            <v>0</v>
          </cell>
          <cell r="C4748" t="str">
            <v xml:space="preserve">  L.C # 041/2003 TOGO RAW COTTON 650 M.T</v>
          </cell>
          <cell r="D4748">
            <v>0</v>
          </cell>
          <cell r="E4748">
            <v>0</v>
          </cell>
          <cell r="F4748">
            <v>0</v>
          </cell>
          <cell r="G4748">
            <v>0</v>
          </cell>
        </row>
        <row r="4749">
          <cell r="A4749" t="str">
            <v>54-15-02-0030</v>
          </cell>
          <cell r="B4749">
            <v>0</v>
          </cell>
          <cell r="C4749" t="str">
            <v xml:space="preserve">  L.C # 10912/0786 EGYPTIAN RAW COTTON</v>
          </cell>
          <cell r="D4749">
            <v>0</v>
          </cell>
          <cell r="E4749">
            <v>0</v>
          </cell>
          <cell r="F4749">
            <v>0</v>
          </cell>
          <cell r="G4749">
            <v>0</v>
          </cell>
        </row>
        <row r="4750">
          <cell r="A4750" t="str">
            <v>54-15-02-0031</v>
          </cell>
          <cell r="B4750">
            <v>0</v>
          </cell>
          <cell r="C4750" t="str">
            <v xml:space="preserve">  L.C #1001/320/2003 250 M.TON EGYPT.COT</v>
          </cell>
          <cell r="D4750">
            <v>0</v>
          </cell>
          <cell r="E4750">
            <v>0</v>
          </cell>
          <cell r="F4750">
            <v>0</v>
          </cell>
          <cell r="G4750">
            <v>0</v>
          </cell>
        </row>
        <row r="4751">
          <cell r="A4751" t="str">
            <v>54-15-02-0032</v>
          </cell>
          <cell r="B4751">
            <v>0</v>
          </cell>
          <cell r="C4751" t="str">
            <v xml:space="preserve">  L.C # 1001/391/2003 TOGO/IVORY COTTON</v>
          </cell>
          <cell r="D4751">
            <v>0</v>
          </cell>
          <cell r="E4751">
            <v>0</v>
          </cell>
          <cell r="F4751">
            <v>0</v>
          </cell>
          <cell r="G4751">
            <v>0</v>
          </cell>
        </row>
        <row r="4752">
          <cell r="A4752" t="str">
            <v>54-15-02-0033</v>
          </cell>
          <cell r="B4752">
            <v>0</v>
          </cell>
          <cell r="C4752" t="str">
            <v xml:space="preserve">  L.C # 330/03/0328 TOGO/IVORY 2000 M.TO</v>
          </cell>
          <cell r="D4752">
            <v>0</v>
          </cell>
          <cell r="E4752">
            <v>0</v>
          </cell>
          <cell r="F4752">
            <v>0</v>
          </cell>
          <cell r="G4752">
            <v>0</v>
          </cell>
        </row>
        <row r="4753">
          <cell r="A4753" t="str">
            <v>54-15-02-0034</v>
          </cell>
          <cell r="B4753">
            <v>0</v>
          </cell>
          <cell r="C4753" t="str">
            <v xml:space="preserve">  L.C # 1001/433/2003 AMERICAN 120 M.TON</v>
          </cell>
          <cell r="D4753">
            <v>0</v>
          </cell>
          <cell r="E4753">
            <v>0</v>
          </cell>
          <cell r="F4753">
            <v>0</v>
          </cell>
          <cell r="G4753">
            <v>0</v>
          </cell>
        </row>
        <row r="4754">
          <cell r="A4754" t="str">
            <v>54-15-02-0035</v>
          </cell>
          <cell r="B4754">
            <v>0</v>
          </cell>
          <cell r="C4754" t="str">
            <v xml:space="preserve">  L.C # 1001/503/2003 EGYPTIAN COTTN 02-</v>
          </cell>
          <cell r="D4754">
            <v>0</v>
          </cell>
          <cell r="E4754">
            <v>0</v>
          </cell>
          <cell r="F4754">
            <v>0</v>
          </cell>
          <cell r="G4754">
            <v>0</v>
          </cell>
        </row>
        <row r="4755">
          <cell r="A4755" t="str">
            <v>54-15-02-0036</v>
          </cell>
          <cell r="B4755">
            <v>0</v>
          </cell>
          <cell r="C4755" t="str">
            <v xml:space="preserve">  L.C # 5343081003 TOGO/IVORY  RAW COTTO</v>
          </cell>
          <cell r="D4755">
            <v>0</v>
          </cell>
          <cell r="E4755">
            <v>0</v>
          </cell>
          <cell r="F4755">
            <v>0</v>
          </cell>
          <cell r="G4755">
            <v>0</v>
          </cell>
        </row>
        <row r="4756">
          <cell r="A4756" t="str">
            <v>54-15-02-0037</v>
          </cell>
          <cell r="B4756">
            <v>0</v>
          </cell>
          <cell r="C4756" t="str">
            <v xml:space="preserve">  L.C # 1/0525 28131-03 EGYPTIAN COTTON</v>
          </cell>
          <cell r="D4756">
            <v>0</v>
          </cell>
          <cell r="E4756">
            <v>0</v>
          </cell>
          <cell r="F4756">
            <v>0</v>
          </cell>
          <cell r="G4756">
            <v>0</v>
          </cell>
        </row>
        <row r="4757">
          <cell r="A4757" t="str">
            <v>54-15-02-0038</v>
          </cell>
          <cell r="B4757">
            <v>0</v>
          </cell>
          <cell r="C4757" t="str">
            <v xml:space="preserve">  L.C # 330/03/0676 AMERICAN COTTON 100</v>
          </cell>
          <cell r="D4757">
            <v>0</v>
          </cell>
          <cell r="E4757">
            <v>0</v>
          </cell>
          <cell r="F4757">
            <v>0</v>
          </cell>
          <cell r="G4757">
            <v>0</v>
          </cell>
        </row>
        <row r="4758">
          <cell r="A4758" t="str">
            <v>54-15-02-0039</v>
          </cell>
          <cell r="B4758">
            <v>0</v>
          </cell>
          <cell r="C4758" t="str">
            <v xml:space="preserve">  L.C # 1001/LC/930/2003 TURKMENISTAN CO</v>
          </cell>
          <cell r="D4758">
            <v>0</v>
          </cell>
          <cell r="E4758">
            <v>0</v>
          </cell>
          <cell r="F4758">
            <v>0</v>
          </cell>
          <cell r="G4758">
            <v>0</v>
          </cell>
        </row>
        <row r="4759">
          <cell r="A4759" t="str">
            <v>54-15-02-0040</v>
          </cell>
          <cell r="B4759">
            <v>0</v>
          </cell>
          <cell r="C4759" t="str">
            <v xml:space="preserve">  L/C # 2002/369 AMERICAN COTTON 89,250L</v>
          </cell>
          <cell r="D4759">
            <v>6630</v>
          </cell>
          <cell r="E4759">
            <v>0</v>
          </cell>
          <cell r="F4759">
            <v>0</v>
          </cell>
          <cell r="G4759">
            <v>0</v>
          </cell>
        </row>
        <row r="4760">
          <cell r="A4760" t="str">
            <v>54-15-02-0041</v>
          </cell>
          <cell r="B4760">
            <v>0</v>
          </cell>
          <cell r="C4760" t="str">
            <v xml:space="preserve">  L.C # 377/03 AUSTRALIAN RAW COTTON</v>
          </cell>
          <cell r="D4760">
            <v>0</v>
          </cell>
          <cell r="E4760">
            <v>0</v>
          </cell>
          <cell r="F4760">
            <v>0</v>
          </cell>
          <cell r="G4760">
            <v>0</v>
          </cell>
        </row>
        <row r="4761">
          <cell r="A4761" t="str">
            <v>54-15-02-0042</v>
          </cell>
          <cell r="B4761">
            <v>0</v>
          </cell>
          <cell r="C4761" t="str">
            <v xml:space="preserve">  L.C # 378/03 RAW COTTON</v>
          </cell>
          <cell r="D4761">
            <v>0</v>
          </cell>
          <cell r="E4761">
            <v>0</v>
          </cell>
          <cell r="F4761">
            <v>0</v>
          </cell>
          <cell r="G4761">
            <v>0</v>
          </cell>
        </row>
        <row r="4762">
          <cell r="A4762" t="str">
            <v>54-15-02-0043</v>
          </cell>
          <cell r="B4762">
            <v>0</v>
          </cell>
          <cell r="C4762" t="str">
            <v xml:space="preserve">  L.C # 376/03 RAW COTTON AUSTRALIAN COT</v>
          </cell>
          <cell r="D4762">
            <v>0</v>
          </cell>
          <cell r="E4762">
            <v>0</v>
          </cell>
          <cell r="F4762">
            <v>0</v>
          </cell>
          <cell r="G4762">
            <v>0</v>
          </cell>
        </row>
        <row r="4763">
          <cell r="A4763" t="str">
            <v>54-15-02-0044</v>
          </cell>
          <cell r="B4763">
            <v>0</v>
          </cell>
          <cell r="C4763" t="str">
            <v xml:space="preserve">  L.C # 379/03 LINT COTTON</v>
          </cell>
          <cell r="D4763">
            <v>0</v>
          </cell>
          <cell r="E4763">
            <v>0</v>
          </cell>
          <cell r="F4763">
            <v>0</v>
          </cell>
          <cell r="G4763">
            <v>0</v>
          </cell>
        </row>
        <row r="4764">
          <cell r="A4764" t="str">
            <v>54-15-02-0045</v>
          </cell>
          <cell r="B4764">
            <v>0</v>
          </cell>
          <cell r="C4764" t="str">
            <v xml:space="preserve">  L.C # 383/03 RAW COTTON SUDANI</v>
          </cell>
          <cell r="D4764">
            <v>0</v>
          </cell>
          <cell r="E4764">
            <v>0</v>
          </cell>
          <cell r="F4764">
            <v>0</v>
          </cell>
          <cell r="G4764">
            <v>0</v>
          </cell>
        </row>
        <row r="4765">
          <cell r="A4765" t="str">
            <v>54-15-02-0046</v>
          </cell>
          <cell r="B4765">
            <v>0</v>
          </cell>
          <cell r="C4765" t="str">
            <v xml:space="preserve">  L.C # 384/03 EGYPTIAN RAW COTTON</v>
          </cell>
          <cell r="D4765">
            <v>0</v>
          </cell>
          <cell r="E4765">
            <v>0</v>
          </cell>
          <cell r="F4765">
            <v>0</v>
          </cell>
          <cell r="G4765">
            <v>0</v>
          </cell>
        </row>
        <row r="4766">
          <cell r="A4766" t="str">
            <v>54-15-02-0047</v>
          </cell>
          <cell r="B4766">
            <v>0</v>
          </cell>
          <cell r="C4766" t="str">
            <v xml:space="preserve">  L.C # 390/03 EGYPTIAN RAW COTTON</v>
          </cell>
          <cell r="D4766">
            <v>0</v>
          </cell>
          <cell r="E4766">
            <v>0</v>
          </cell>
          <cell r="F4766">
            <v>0</v>
          </cell>
          <cell r="G4766">
            <v>0</v>
          </cell>
        </row>
        <row r="4767">
          <cell r="A4767" t="str">
            <v>54-15-02-0048</v>
          </cell>
          <cell r="B4767">
            <v>0</v>
          </cell>
          <cell r="C4767" t="str">
            <v xml:space="preserve">  L.C # 1001/1511/2003 IVORY COAST 3000</v>
          </cell>
          <cell r="D4767">
            <v>0</v>
          </cell>
          <cell r="E4767">
            <v>0</v>
          </cell>
          <cell r="F4767">
            <v>0</v>
          </cell>
          <cell r="G4767">
            <v>0</v>
          </cell>
        </row>
        <row r="4768">
          <cell r="A4768" t="str">
            <v>54-15-02-0049</v>
          </cell>
          <cell r="B4768">
            <v>0</v>
          </cell>
          <cell r="C4768" t="str">
            <v xml:space="preserve">  L.C # 1001/1512 IVORY COAST 1000 M.TON</v>
          </cell>
          <cell r="D4768">
            <v>0</v>
          </cell>
          <cell r="E4768">
            <v>0</v>
          </cell>
          <cell r="F4768">
            <v>0</v>
          </cell>
          <cell r="G4768">
            <v>0</v>
          </cell>
        </row>
        <row r="4769">
          <cell r="A4769" t="str">
            <v>54-15-02-0050</v>
          </cell>
          <cell r="B4769">
            <v>0</v>
          </cell>
          <cell r="C4769" t="str">
            <v xml:space="preserve">  L.C # 1001/1679/2003 TURKMENISTAN COTT</v>
          </cell>
          <cell r="D4769">
            <v>0</v>
          </cell>
          <cell r="E4769">
            <v>0</v>
          </cell>
          <cell r="F4769">
            <v>0</v>
          </cell>
          <cell r="G4769">
            <v>0</v>
          </cell>
        </row>
        <row r="4770">
          <cell r="A4770" t="str">
            <v>54-15-02-0051</v>
          </cell>
          <cell r="B4770">
            <v>0</v>
          </cell>
          <cell r="C4770" t="str">
            <v xml:space="preserve">  L.C # 1001/1680/2003 SUDANI COTTON 40</v>
          </cell>
          <cell r="D4770">
            <v>0</v>
          </cell>
          <cell r="E4770">
            <v>0</v>
          </cell>
          <cell r="F4770">
            <v>0</v>
          </cell>
          <cell r="G4770">
            <v>0</v>
          </cell>
        </row>
        <row r="4771">
          <cell r="A4771" t="str">
            <v>54-15-02-0052</v>
          </cell>
          <cell r="B4771">
            <v>0</v>
          </cell>
          <cell r="C4771" t="str">
            <v xml:space="preserve">  L.C # 1001.1646/2003 TURKMENISTAN COTT</v>
          </cell>
          <cell r="D4771">
            <v>0</v>
          </cell>
          <cell r="E4771">
            <v>0</v>
          </cell>
          <cell r="F4771">
            <v>0</v>
          </cell>
          <cell r="G4771">
            <v>0</v>
          </cell>
        </row>
        <row r="4772">
          <cell r="A4772" t="str">
            <v>54-15-02-0053</v>
          </cell>
          <cell r="B4772">
            <v>0</v>
          </cell>
          <cell r="C4772" t="str">
            <v xml:space="preserve">  L.C # 1001/1777/2003 EGYPTIAN COTTON</v>
          </cell>
          <cell r="D4772">
            <v>0</v>
          </cell>
          <cell r="E4772">
            <v>0</v>
          </cell>
          <cell r="F4772">
            <v>0</v>
          </cell>
          <cell r="G4772">
            <v>0</v>
          </cell>
        </row>
        <row r="4773">
          <cell r="A4773" t="str">
            <v>54-15-02-0054</v>
          </cell>
          <cell r="B4773">
            <v>0</v>
          </cell>
          <cell r="C4773" t="str">
            <v xml:space="preserve">  L.C # 1001/1778/2003 TURKMENISTAN</v>
          </cell>
          <cell r="D4773">
            <v>0</v>
          </cell>
          <cell r="E4773">
            <v>0</v>
          </cell>
          <cell r="F4773">
            <v>0</v>
          </cell>
          <cell r="G4773">
            <v>0</v>
          </cell>
        </row>
        <row r="4774">
          <cell r="A4774" t="str">
            <v>54-15-02-0055</v>
          </cell>
          <cell r="B4774">
            <v>0</v>
          </cell>
          <cell r="C4774" t="str">
            <v xml:space="preserve">  L.C # 1762/2003 120,000 LBS SUDAN COTT</v>
          </cell>
          <cell r="D4774">
            <v>0</v>
          </cell>
          <cell r="E4774">
            <v>0</v>
          </cell>
          <cell r="F4774">
            <v>0</v>
          </cell>
          <cell r="G4774">
            <v>0</v>
          </cell>
        </row>
        <row r="4775">
          <cell r="A4775" t="str">
            <v>54-15-02-0056</v>
          </cell>
          <cell r="B4775">
            <v>0</v>
          </cell>
          <cell r="C4775" t="str">
            <v xml:space="preserve">  L/C # 2003/414 AMERICAN COTTON 127500</v>
          </cell>
          <cell r="D4775">
            <v>0</v>
          </cell>
          <cell r="E4775">
            <v>0</v>
          </cell>
          <cell r="F4775">
            <v>0</v>
          </cell>
          <cell r="G4775">
            <v>0</v>
          </cell>
        </row>
        <row r="4776">
          <cell r="A4776" t="str">
            <v>54-15-02-0057</v>
          </cell>
          <cell r="B4776">
            <v>0</v>
          </cell>
          <cell r="C4776" t="str">
            <v xml:space="preserve">  L/C # 1001/1840/2003 IVORY COST 1000 M</v>
          </cell>
          <cell r="D4776">
            <v>0</v>
          </cell>
          <cell r="E4776">
            <v>0</v>
          </cell>
          <cell r="F4776">
            <v>0</v>
          </cell>
          <cell r="G4776">
            <v>0</v>
          </cell>
        </row>
        <row r="4777">
          <cell r="A4777" t="str">
            <v>54-15-02-0058</v>
          </cell>
          <cell r="B4777">
            <v>0</v>
          </cell>
          <cell r="C4777" t="str">
            <v xml:space="preserve">  L/C # 330/03/1405 1700 M.TONS FSCO COT</v>
          </cell>
          <cell r="D4777">
            <v>0</v>
          </cell>
          <cell r="E4777">
            <v>0</v>
          </cell>
          <cell r="F4777">
            <v>0</v>
          </cell>
          <cell r="G4777">
            <v>0</v>
          </cell>
        </row>
        <row r="4778">
          <cell r="A4778" t="str">
            <v>54-15-02-0059</v>
          </cell>
          <cell r="B4778">
            <v>0</v>
          </cell>
          <cell r="C4778" t="str">
            <v xml:space="preserve">  L/C # 1001/1861 125 M.TON U.S PIMA 02-</v>
          </cell>
          <cell r="D4778">
            <v>0</v>
          </cell>
          <cell r="E4778">
            <v>0</v>
          </cell>
          <cell r="F4778">
            <v>0</v>
          </cell>
          <cell r="G4778">
            <v>0</v>
          </cell>
        </row>
        <row r="4779">
          <cell r="A4779" t="str">
            <v>54-15-02-0060</v>
          </cell>
          <cell r="B4779">
            <v>0</v>
          </cell>
          <cell r="C4779" t="str">
            <v xml:space="preserve">  L.C # 2003/419 AMERICAN COTTON 382500</v>
          </cell>
          <cell r="D4779">
            <v>0</v>
          </cell>
          <cell r="E4779">
            <v>0</v>
          </cell>
          <cell r="F4779">
            <v>0</v>
          </cell>
          <cell r="G4779">
            <v>0</v>
          </cell>
        </row>
        <row r="4780">
          <cell r="A4780" t="str">
            <v>54-15-02-0061</v>
          </cell>
          <cell r="B4780">
            <v>0</v>
          </cell>
          <cell r="C4780" t="str">
            <v xml:space="preserve">  L.C # 1/0525 29893-03 BURKINA FASO COT</v>
          </cell>
          <cell r="D4780">
            <v>0</v>
          </cell>
          <cell r="E4780">
            <v>0</v>
          </cell>
          <cell r="F4780">
            <v>0</v>
          </cell>
          <cell r="G4780">
            <v>0</v>
          </cell>
        </row>
        <row r="4781">
          <cell r="A4781" t="str">
            <v>54-15-02-0062</v>
          </cell>
          <cell r="B4781">
            <v>0</v>
          </cell>
          <cell r="C4781" t="str">
            <v xml:space="preserve">  L.C # 1001/1941/2003 TURKMENISTAN COTT</v>
          </cell>
          <cell r="D4781">
            <v>0</v>
          </cell>
          <cell r="E4781">
            <v>0</v>
          </cell>
          <cell r="F4781">
            <v>0</v>
          </cell>
          <cell r="G4781">
            <v>0</v>
          </cell>
        </row>
        <row r="4782">
          <cell r="A4782" t="str">
            <v>54-15-02-0063</v>
          </cell>
          <cell r="B4782">
            <v>0</v>
          </cell>
          <cell r="C4782" t="str">
            <v xml:space="preserve">  L.C # 1/0525 LC30014-03 BURKINA COTTON</v>
          </cell>
          <cell r="D4782">
            <v>0</v>
          </cell>
          <cell r="E4782">
            <v>0</v>
          </cell>
          <cell r="F4782">
            <v>0</v>
          </cell>
          <cell r="G4782">
            <v>0</v>
          </cell>
        </row>
        <row r="4783">
          <cell r="A4783" t="str">
            <v>54-15-02-0064</v>
          </cell>
          <cell r="B4783">
            <v>0</v>
          </cell>
          <cell r="C4783" t="str">
            <v xml:space="preserve">  L.C # 2003/421 SUDANI RAW COTTON GIB</v>
          </cell>
          <cell r="D4783">
            <v>0</v>
          </cell>
          <cell r="E4783">
            <v>0</v>
          </cell>
          <cell r="F4783">
            <v>0</v>
          </cell>
          <cell r="G4783">
            <v>0</v>
          </cell>
        </row>
        <row r="4784">
          <cell r="A4784" t="str">
            <v>54-15-02-0065</v>
          </cell>
          <cell r="B4784">
            <v>0</v>
          </cell>
          <cell r="C4784" t="str">
            <v xml:space="preserve">  L.C # 1001/1898/2003 TURKMENISTAN 100</v>
          </cell>
          <cell r="D4784">
            <v>0</v>
          </cell>
          <cell r="E4784">
            <v>0</v>
          </cell>
          <cell r="F4784">
            <v>0</v>
          </cell>
          <cell r="G4784">
            <v>0</v>
          </cell>
        </row>
        <row r="4785">
          <cell r="A4785" t="str">
            <v>54-15-02-0066</v>
          </cell>
          <cell r="B4785">
            <v>0</v>
          </cell>
          <cell r="C4785" t="str">
            <v xml:space="preserve">  L.C # 1001/1899/2003 EGYPTIAN COTTON</v>
          </cell>
          <cell r="D4785">
            <v>0</v>
          </cell>
          <cell r="E4785">
            <v>0</v>
          </cell>
          <cell r="F4785">
            <v>0</v>
          </cell>
          <cell r="G4785">
            <v>0</v>
          </cell>
        </row>
        <row r="4786">
          <cell r="A4786" t="str">
            <v>54-15-02-0067</v>
          </cell>
          <cell r="B4786">
            <v>0</v>
          </cell>
          <cell r="C4786" t="str">
            <v xml:space="preserve">  L.C # 1001/2008/2003 TURKMENISTAN ELS</v>
          </cell>
          <cell r="D4786">
            <v>0</v>
          </cell>
          <cell r="E4786">
            <v>0</v>
          </cell>
          <cell r="F4786">
            <v>0</v>
          </cell>
          <cell r="G4786">
            <v>0</v>
          </cell>
        </row>
        <row r="4787">
          <cell r="A4787" t="str">
            <v>54-15-02-0068</v>
          </cell>
          <cell r="B4787">
            <v>0</v>
          </cell>
          <cell r="C4787" t="str">
            <v xml:space="preserve">  L.C # 2003/425 520 M.TON AMERICAN COTT</v>
          </cell>
          <cell r="D4787">
            <v>0</v>
          </cell>
          <cell r="E4787">
            <v>0</v>
          </cell>
          <cell r="F4787">
            <v>0</v>
          </cell>
          <cell r="G4787">
            <v>0</v>
          </cell>
        </row>
        <row r="4788">
          <cell r="A4788" t="str">
            <v>54-15-02-0069</v>
          </cell>
          <cell r="B4788">
            <v>0</v>
          </cell>
          <cell r="C4788" t="str">
            <v xml:space="preserve">  L./C # 2094/2003 TURKMENISTAN COTTON</v>
          </cell>
          <cell r="D4788">
            <v>0</v>
          </cell>
          <cell r="E4788">
            <v>0</v>
          </cell>
          <cell r="F4788">
            <v>0</v>
          </cell>
          <cell r="G4788">
            <v>0</v>
          </cell>
        </row>
        <row r="4789">
          <cell r="A4789" t="str">
            <v>54-15-02-0070</v>
          </cell>
          <cell r="B4789">
            <v>0</v>
          </cell>
          <cell r="C4789" t="str">
            <v xml:space="preserve">  L/C # 2124/2003 AMERICAN RAW COTTON</v>
          </cell>
          <cell r="D4789">
            <v>0</v>
          </cell>
          <cell r="E4789">
            <v>0</v>
          </cell>
          <cell r="F4789">
            <v>0</v>
          </cell>
          <cell r="G4789">
            <v>0</v>
          </cell>
        </row>
        <row r="4790">
          <cell r="A4790" t="str">
            <v>54-15-02-0071</v>
          </cell>
          <cell r="B4790">
            <v>0</v>
          </cell>
          <cell r="C4790" t="str">
            <v xml:space="preserve">  L/C # 2125/2003 EGYPTION RAW COTTON</v>
          </cell>
          <cell r="D4790">
            <v>0</v>
          </cell>
          <cell r="E4790">
            <v>0</v>
          </cell>
          <cell r="F4790">
            <v>0</v>
          </cell>
          <cell r="G4790">
            <v>0</v>
          </cell>
        </row>
        <row r="4791">
          <cell r="A4791" t="str">
            <v>54-15-02-0072</v>
          </cell>
          <cell r="B4791">
            <v>0</v>
          </cell>
          <cell r="C4791" t="str">
            <v xml:space="preserve">  L/C # 2126/2003 TURKMENISTAN RAW COTTO</v>
          </cell>
          <cell r="D4791">
            <v>0</v>
          </cell>
          <cell r="E4791">
            <v>0</v>
          </cell>
          <cell r="F4791">
            <v>0</v>
          </cell>
          <cell r="G4791">
            <v>0</v>
          </cell>
        </row>
        <row r="4792">
          <cell r="A4792" t="str">
            <v>54-15-02-0073</v>
          </cell>
          <cell r="B4792">
            <v>0</v>
          </cell>
          <cell r="C4792" t="str">
            <v xml:space="preserve">  L/C # 2003/426 EGYPTIAN COTTON</v>
          </cell>
          <cell r="D4792">
            <v>0</v>
          </cell>
          <cell r="E4792">
            <v>0</v>
          </cell>
          <cell r="F4792">
            <v>0</v>
          </cell>
          <cell r="G4792">
            <v>0</v>
          </cell>
        </row>
        <row r="4793">
          <cell r="A4793" t="str">
            <v>54-15-02-0074</v>
          </cell>
          <cell r="B4793">
            <v>0</v>
          </cell>
          <cell r="C4793" t="str">
            <v xml:space="preserve">  L/C # 2127/2003 TURKMENISTAN COTTON</v>
          </cell>
          <cell r="D4793">
            <v>0</v>
          </cell>
          <cell r="E4793">
            <v>0</v>
          </cell>
          <cell r="F4793">
            <v>0</v>
          </cell>
          <cell r="G4793">
            <v>0</v>
          </cell>
        </row>
        <row r="4794">
          <cell r="A4794" t="str">
            <v>54-15-02-0075</v>
          </cell>
          <cell r="B4794">
            <v>0</v>
          </cell>
          <cell r="C4794" t="str">
            <v xml:space="preserve">  L/C # 330/03/1602 RAW COTTON VARIETY 5</v>
          </cell>
          <cell r="D4794">
            <v>0</v>
          </cell>
          <cell r="E4794">
            <v>0</v>
          </cell>
          <cell r="F4794">
            <v>0</v>
          </cell>
          <cell r="G4794">
            <v>0</v>
          </cell>
        </row>
        <row r="4795">
          <cell r="A4795" t="str">
            <v>54-15-02-0076</v>
          </cell>
          <cell r="B4795">
            <v>0</v>
          </cell>
          <cell r="C4795" t="str">
            <v xml:space="preserve">  L/C # 30297-03 COTTON VARIETY BANI STP</v>
          </cell>
          <cell r="D4795">
            <v>0</v>
          </cell>
          <cell r="E4795">
            <v>0</v>
          </cell>
          <cell r="F4795">
            <v>0</v>
          </cell>
          <cell r="G4795">
            <v>0</v>
          </cell>
        </row>
        <row r="4796">
          <cell r="A4796" t="str">
            <v>54-15-02-0077</v>
          </cell>
          <cell r="B4796">
            <v>0</v>
          </cell>
          <cell r="C4796" t="str">
            <v xml:space="preserve">  L/C # 30298-03 SJV PIMA COTTON 198.50</v>
          </cell>
          <cell r="D4796">
            <v>0</v>
          </cell>
          <cell r="E4796">
            <v>0</v>
          </cell>
          <cell r="F4796">
            <v>0</v>
          </cell>
          <cell r="G4796">
            <v>0</v>
          </cell>
        </row>
        <row r="4797">
          <cell r="A4797" t="str">
            <v>54-15-02-0078</v>
          </cell>
          <cell r="B4797">
            <v>0</v>
          </cell>
          <cell r="C4797" t="str">
            <v xml:space="preserve">  L/C # 30385-03 COTTON APP VARIETY 625</v>
          </cell>
          <cell r="D4797">
            <v>0</v>
          </cell>
          <cell r="E4797">
            <v>0</v>
          </cell>
          <cell r="F4797">
            <v>0</v>
          </cell>
          <cell r="G4797">
            <v>0</v>
          </cell>
        </row>
        <row r="4798">
          <cell r="A4798" t="str">
            <v>54-15-02-0079</v>
          </cell>
          <cell r="B4798">
            <v>0</v>
          </cell>
          <cell r="C4798" t="str">
            <v xml:space="preserve">  L/C # 30386-03 COTTON APPP VARIETY.</v>
          </cell>
          <cell r="D4798">
            <v>0</v>
          </cell>
          <cell r="E4798">
            <v>0</v>
          </cell>
          <cell r="F4798">
            <v>0</v>
          </cell>
          <cell r="G4798">
            <v>0</v>
          </cell>
        </row>
        <row r="4799">
          <cell r="A4799" t="str">
            <v>54-15-02-0080</v>
          </cell>
          <cell r="B4799">
            <v>0</v>
          </cell>
          <cell r="C4799" t="str">
            <v xml:space="preserve">  L/C # 2200/2003 TURKMENISTAN COTTON</v>
          </cell>
          <cell r="D4799">
            <v>0</v>
          </cell>
          <cell r="E4799">
            <v>0</v>
          </cell>
          <cell r="F4799">
            <v>0</v>
          </cell>
          <cell r="G4799">
            <v>0</v>
          </cell>
        </row>
        <row r="4800">
          <cell r="A4800" t="str">
            <v>54-15-02-0081</v>
          </cell>
          <cell r="B4800">
            <v>0</v>
          </cell>
          <cell r="C4800" t="str">
            <v xml:space="preserve">  L/C # 30545-04 BURKINA FASO RAW COTTON</v>
          </cell>
          <cell r="D4800">
            <v>0</v>
          </cell>
          <cell r="E4800">
            <v>0</v>
          </cell>
          <cell r="F4800">
            <v>0</v>
          </cell>
          <cell r="G4800">
            <v>0</v>
          </cell>
        </row>
        <row r="4801">
          <cell r="A4801" t="str">
            <v>54-15-02-0082</v>
          </cell>
          <cell r="B4801">
            <v>0</v>
          </cell>
          <cell r="C4801" t="str">
            <v xml:space="preserve">  L/C # 010/2004 TURKMENISTAN COTTON 200</v>
          </cell>
          <cell r="D4801">
            <v>0</v>
          </cell>
          <cell r="E4801">
            <v>0</v>
          </cell>
          <cell r="F4801">
            <v>0</v>
          </cell>
          <cell r="G4801">
            <v>0</v>
          </cell>
        </row>
        <row r="4802">
          <cell r="A4802" t="str">
            <v>54-15-02-0083</v>
          </cell>
          <cell r="B4802">
            <v>0</v>
          </cell>
          <cell r="C4802" t="str">
            <v xml:space="preserve">  L/C # 2003/416 ELPASO PIMA GRADE 200 M</v>
          </cell>
          <cell r="D4802">
            <v>0</v>
          </cell>
          <cell r="E4802">
            <v>0</v>
          </cell>
          <cell r="F4802">
            <v>0</v>
          </cell>
          <cell r="G4802">
            <v>0</v>
          </cell>
        </row>
        <row r="4803">
          <cell r="A4803" t="str">
            <v>54-15-02-0084</v>
          </cell>
          <cell r="B4803">
            <v>0</v>
          </cell>
          <cell r="C4803" t="str">
            <v xml:space="preserve">  L/C # 1001/1852/2003 SJV PIMA 100 M.TO</v>
          </cell>
          <cell r="D4803">
            <v>0</v>
          </cell>
          <cell r="E4803">
            <v>0</v>
          </cell>
          <cell r="F4803">
            <v>0</v>
          </cell>
          <cell r="G4803">
            <v>0</v>
          </cell>
        </row>
        <row r="4804">
          <cell r="A4804" t="str">
            <v>54-15-02-0085</v>
          </cell>
          <cell r="B4804">
            <v>0</v>
          </cell>
          <cell r="C4804" t="str">
            <v xml:space="preserve">  L/C # 330/03/1415 SJV PIMA STAPLE 400</v>
          </cell>
          <cell r="D4804">
            <v>0</v>
          </cell>
          <cell r="E4804">
            <v>0</v>
          </cell>
          <cell r="F4804">
            <v>0</v>
          </cell>
          <cell r="G4804">
            <v>0</v>
          </cell>
        </row>
        <row r="4805">
          <cell r="A4805" t="str">
            <v>54-15-02-0086</v>
          </cell>
          <cell r="B4805">
            <v>0</v>
          </cell>
          <cell r="C4805" t="str">
            <v xml:space="preserve">  L/C # 04/5367 EGYPTIAN RAW COTTON GIZA</v>
          </cell>
          <cell r="D4805">
            <v>0</v>
          </cell>
          <cell r="E4805">
            <v>0</v>
          </cell>
          <cell r="F4805">
            <v>0</v>
          </cell>
          <cell r="G4805">
            <v>0</v>
          </cell>
        </row>
        <row r="4806">
          <cell r="A4806" t="str">
            <v>54-15-02-0087</v>
          </cell>
          <cell r="B4806">
            <v>0</v>
          </cell>
          <cell r="C4806" t="str">
            <v xml:space="preserve">  C.A.D 786/04/1115 COTTON 94,670 LBS</v>
          </cell>
          <cell r="D4806">
            <v>0</v>
          </cell>
          <cell r="E4806">
            <v>0</v>
          </cell>
          <cell r="F4806">
            <v>0</v>
          </cell>
          <cell r="G4806">
            <v>0</v>
          </cell>
        </row>
        <row r="4807">
          <cell r="A4807" t="str">
            <v>54-15-02-0088</v>
          </cell>
          <cell r="B4807">
            <v>0</v>
          </cell>
          <cell r="C4807" t="str">
            <v xml:space="preserve">  CAD INV # 2003/0107-01/00289 EGYPT COT</v>
          </cell>
          <cell r="D4807">
            <v>0</v>
          </cell>
          <cell r="E4807">
            <v>0</v>
          </cell>
          <cell r="F4807">
            <v>0</v>
          </cell>
          <cell r="G4807">
            <v>0</v>
          </cell>
        </row>
        <row r="4808">
          <cell r="A4808" t="str">
            <v>54-15-02-0089</v>
          </cell>
          <cell r="B4808">
            <v>0</v>
          </cell>
          <cell r="C4808" t="str">
            <v xml:space="preserve">  L/C # 273/2004 INDIAN RAW COTTON 300 M</v>
          </cell>
          <cell r="D4808">
            <v>0</v>
          </cell>
          <cell r="E4808">
            <v>0</v>
          </cell>
          <cell r="F4808">
            <v>0</v>
          </cell>
          <cell r="G4808">
            <v>0</v>
          </cell>
        </row>
        <row r="4809">
          <cell r="A4809" t="str">
            <v>54-15-02-0090</v>
          </cell>
          <cell r="B4809">
            <v>0</v>
          </cell>
          <cell r="C4809" t="str">
            <v xml:space="preserve">  L/C # 275/2004 BURKINA COTTON 1000 M.T</v>
          </cell>
          <cell r="D4809">
            <v>0</v>
          </cell>
          <cell r="E4809">
            <v>0</v>
          </cell>
          <cell r="F4809">
            <v>0</v>
          </cell>
          <cell r="G4809">
            <v>0</v>
          </cell>
        </row>
        <row r="4810">
          <cell r="A4810" t="str">
            <v>54-15-02-0091</v>
          </cell>
          <cell r="B4810">
            <v>0</v>
          </cell>
          <cell r="C4810" t="str">
            <v xml:space="preserve">  L/C # 04/5477 BURKINA RAW COTTON 500 M</v>
          </cell>
          <cell r="D4810">
            <v>0</v>
          </cell>
          <cell r="E4810">
            <v>0</v>
          </cell>
          <cell r="F4810">
            <v>0</v>
          </cell>
          <cell r="G4810">
            <v>0</v>
          </cell>
        </row>
        <row r="4811">
          <cell r="A4811" t="str">
            <v>54-15-02-0092</v>
          </cell>
          <cell r="B4811">
            <v>0</v>
          </cell>
          <cell r="C4811" t="str">
            <v xml:space="preserve">  L.C # 1001/302/2004 EGYPTIAN COTTON 10</v>
          </cell>
          <cell r="D4811">
            <v>0</v>
          </cell>
          <cell r="E4811">
            <v>0</v>
          </cell>
          <cell r="F4811">
            <v>0</v>
          </cell>
          <cell r="G4811">
            <v>0</v>
          </cell>
        </row>
        <row r="4812">
          <cell r="A4812" t="str">
            <v>54-15-02-0093</v>
          </cell>
          <cell r="B4812">
            <v>0</v>
          </cell>
          <cell r="C4812" t="str">
            <v xml:space="preserve">  L/C # MWT/04/5431 BANI COTTON 180 M.TO</v>
          </cell>
          <cell r="D4812">
            <v>0</v>
          </cell>
          <cell r="E4812">
            <v>0</v>
          </cell>
          <cell r="F4812">
            <v>0</v>
          </cell>
          <cell r="G4812">
            <v>0</v>
          </cell>
        </row>
        <row r="4813">
          <cell r="A4813" t="str">
            <v>54-15-02-0094</v>
          </cell>
          <cell r="B4813">
            <v>0</v>
          </cell>
          <cell r="C4813" t="str">
            <v xml:space="preserve">  L/C # 786 S2444004 BURKINO COTTON 700</v>
          </cell>
          <cell r="D4813">
            <v>0</v>
          </cell>
          <cell r="E4813">
            <v>0</v>
          </cell>
          <cell r="F4813">
            <v>0</v>
          </cell>
          <cell r="G4813">
            <v>0</v>
          </cell>
        </row>
        <row r="4814">
          <cell r="A4814" t="str">
            <v>54-15-02-0095</v>
          </cell>
          <cell r="B4814">
            <v>0</v>
          </cell>
          <cell r="C4814" t="str">
            <v xml:space="preserve">  L/C # 30965-04 BURKING FASO COTTON 650</v>
          </cell>
          <cell r="D4814">
            <v>0</v>
          </cell>
          <cell r="E4814">
            <v>0</v>
          </cell>
          <cell r="F4814">
            <v>0</v>
          </cell>
          <cell r="G4814">
            <v>0</v>
          </cell>
        </row>
        <row r="4815">
          <cell r="A4815" t="str">
            <v>54-15-02-0096</v>
          </cell>
          <cell r="B4815">
            <v>0</v>
          </cell>
          <cell r="C4815" t="str">
            <v xml:space="preserve">  C.A.D 786/03/1117 IRANI COTTON- 47 BUN</v>
          </cell>
          <cell r="D4815">
            <v>0</v>
          </cell>
          <cell r="E4815">
            <v>0</v>
          </cell>
          <cell r="F4815">
            <v>0</v>
          </cell>
          <cell r="G4815">
            <v>0</v>
          </cell>
        </row>
        <row r="4816">
          <cell r="A4816" t="str">
            <v>54-15-02-0097</v>
          </cell>
          <cell r="B4816">
            <v>0</v>
          </cell>
          <cell r="C4816" t="str">
            <v xml:space="preserve">  CAD INV # 2003/0109-01-381 219400 EGYP</v>
          </cell>
          <cell r="D4816">
            <v>0</v>
          </cell>
          <cell r="E4816">
            <v>0</v>
          </cell>
          <cell r="F4816">
            <v>0</v>
          </cell>
          <cell r="G4816">
            <v>0</v>
          </cell>
        </row>
        <row r="4817">
          <cell r="A4817" t="str">
            <v>54-15-02-0098</v>
          </cell>
          <cell r="B4817">
            <v>0</v>
          </cell>
          <cell r="C4817" t="str">
            <v xml:space="preserve">  CAD INV # 2003/110-01-0384 218219 EGYP</v>
          </cell>
          <cell r="D4817">
            <v>0</v>
          </cell>
          <cell r="E4817">
            <v>0</v>
          </cell>
          <cell r="F4817">
            <v>0</v>
          </cell>
          <cell r="G4817">
            <v>0</v>
          </cell>
        </row>
        <row r="4818">
          <cell r="A4818" t="str">
            <v>54-15-02-0099</v>
          </cell>
          <cell r="B4818">
            <v>0</v>
          </cell>
          <cell r="C4818" t="str">
            <v xml:space="preserve">  CAD INV # 2003/111-01/385 216182 EGYPY</v>
          </cell>
          <cell r="D4818">
            <v>0</v>
          </cell>
          <cell r="E4818">
            <v>0</v>
          </cell>
          <cell r="F4818">
            <v>0</v>
          </cell>
          <cell r="G4818">
            <v>0</v>
          </cell>
        </row>
        <row r="4819">
          <cell r="A4819" t="str">
            <v>54-15-02-0100</v>
          </cell>
          <cell r="B4819">
            <v>0</v>
          </cell>
          <cell r="C4819" t="str">
            <v xml:space="preserve">  CAD INV # 2003/0111-02-0386 214834 EGY</v>
          </cell>
          <cell r="D4819">
            <v>0</v>
          </cell>
          <cell r="E4819">
            <v>0</v>
          </cell>
          <cell r="F4819">
            <v>0</v>
          </cell>
          <cell r="G4819">
            <v>0</v>
          </cell>
        </row>
        <row r="4820">
          <cell r="A4820" t="str">
            <v>54-15-02-0101</v>
          </cell>
          <cell r="B4820">
            <v>0</v>
          </cell>
          <cell r="C4820" t="str">
            <v xml:space="preserve">  L/C # 2004/451 495000 KG STAPLE FIBRE.</v>
          </cell>
          <cell r="D4820">
            <v>0</v>
          </cell>
          <cell r="E4820">
            <v>0</v>
          </cell>
          <cell r="F4820">
            <v>0</v>
          </cell>
          <cell r="G4820">
            <v>0</v>
          </cell>
        </row>
        <row r="4821">
          <cell r="A4821" t="str">
            <v>54-15-02-0102</v>
          </cell>
          <cell r="B4821">
            <v>0</v>
          </cell>
          <cell r="C4821" t="str">
            <v xml:space="preserve">  L/C # 2004/468 AMERICAN COTTON 522194</v>
          </cell>
          <cell r="D4821">
            <v>0</v>
          </cell>
          <cell r="E4821">
            <v>0</v>
          </cell>
          <cell r="F4821">
            <v>0</v>
          </cell>
          <cell r="G4821">
            <v>0</v>
          </cell>
        </row>
        <row r="4822">
          <cell r="A4822" t="str">
            <v>54-15-02-0103</v>
          </cell>
          <cell r="B4822">
            <v>0</v>
          </cell>
          <cell r="C4822" t="str">
            <v xml:space="preserve">  L/C # 2004/472 2425060 LBS ZIMBAWE COT</v>
          </cell>
          <cell r="D4822">
            <v>0</v>
          </cell>
          <cell r="E4822">
            <v>0</v>
          </cell>
          <cell r="F4822">
            <v>0</v>
          </cell>
          <cell r="G4822">
            <v>0</v>
          </cell>
        </row>
        <row r="4823">
          <cell r="A4823" t="str">
            <v>54-15-02-0104</v>
          </cell>
          <cell r="B4823">
            <v>0</v>
          </cell>
          <cell r="C4823" t="str">
            <v xml:space="preserve">  L/C # 2004/485 SUPIMA COTTON 1306 BALE</v>
          </cell>
          <cell r="D4823">
            <v>0</v>
          </cell>
          <cell r="E4823">
            <v>0</v>
          </cell>
          <cell r="F4823">
            <v>0</v>
          </cell>
          <cell r="G4823">
            <v>0</v>
          </cell>
        </row>
        <row r="4824">
          <cell r="A4824" t="str">
            <v>54-15-02-0105</v>
          </cell>
          <cell r="B4824">
            <v>0</v>
          </cell>
          <cell r="C4824" t="str">
            <v xml:space="preserve">  L/C # 2004/489 PIMA COTTON 400 M.TON</v>
          </cell>
          <cell r="D4824">
            <v>0</v>
          </cell>
          <cell r="E4824">
            <v>0</v>
          </cell>
          <cell r="F4824">
            <v>0</v>
          </cell>
          <cell r="G4824">
            <v>0</v>
          </cell>
        </row>
        <row r="4825">
          <cell r="A4825" t="str">
            <v>54-15-02-0106</v>
          </cell>
          <cell r="B4825">
            <v>0</v>
          </cell>
          <cell r="C4825" t="str">
            <v xml:space="preserve">  L/C # 2004/511 RAW COTTON GREEK COTTON</v>
          </cell>
          <cell r="D4825">
            <v>0</v>
          </cell>
          <cell r="E4825">
            <v>0</v>
          </cell>
          <cell r="F4825">
            <v>0</v>
          </cell>
          <cell r="G4825">
            <v>0</v>
          </cell>
        </row>
        <row r="4826">
          <cell r="A4826" t="str">
            <v>54-15-02-0107</v>
          </cell>
          <cell r="B4826">
            <v>0</v>
          </cell>
          <cell r="C4826" t="str">
            <v xml:space="preserve">  L/C # 1992/2004 50,000 KG'S EGYPTIAN C</v>
          </cell>
          <cell r="D4826">
            <v>0</v>
          </cell>
          <cell r="E4826">
            <v>0</v>
          </cell>
          <cell r="F4826">
            <v>0</v>
          </cell>
          <cell r="G4826">
            <v>0</v>
          </cell>
        </row>
        <row r="4827">
          <cell r="A4827" t="str">
            <v>54-15-02-0108</v>
          </cell>
          <cell r="B4827">
            <v>0</v>
          </cell>
          <cell r="C4827" t="str">
            <v xml:space="preserve">  L/C # 2004/512 50,000 KG CREEK COTTON</v>
          </cell>
          <cell r="D4827">
            <v>0</v>
          </cell>
          <cell r="E4827">
            <v>0</v>
          </cell>
          <cell r="F4827">
            <v>0</v>
          </cell>
          <cell r="G4827">
            <v>0</v>
          </cell>
        </row>
        <row r="4828">
          <cell r="A4828" t="str">
            <v>54-15-02-0109</v>
          </cell>
          <cell r="B4828">
            <v>0</v>
          </cell>
          <cell r="C4828" t="str">
            <v xml:space="preserve">  L/C # 2025/2004 850 BALES SJV PIMA COT</v>
          </cell>
          <cell r="D4828">
            <v>0</v>
          </cell>
          <cell r="E4828">
            <v>0</v>
          </cell>
          <cell r="F4828">
            <v>0</v>
          </cell>
          <cell r="G4828">
            <v>0</v>
          </cell>
        </row>
        <row r="4829">
          <cell r="A4829" t="str">
            <v>54-15-02-0110</v>
          </cell>
          <cell r="B4829">
            <v>0</v>
          </cell>
          <cell r="C4829" t="str">
            <v xml:space="preserve">  L/C # 1/0525LC3223004 270,900 LBS GINN</v>
          </cell>
          <cell r="D4829">
            <v>0</v>
          </cell>
          <cell r="E4829">
            <v>0</v>
          </cell>
          <cell r="F4829">
            <v>0</v>
          </cell>
          <cell r="G4829">
            <v>0</v>
          </cell>
        </row>
        <row r="4830">
          <cell r="A4830" t="str">
            <v>54-15-02-0111</v>
          </cell>
          <cell r="B4830">
            <v>0</v>
          </cell>
          <cell r="C4830" t="str">
            <v xml:space="preserve">  L/C # 1001/LC2081/2004 69 M.TON CIS TU</v>
          </cell>
          <cell r="D4830">
            <v>0</v>
          </cell>
          <cell r="E4830">
            <v>0</v>
          </cell>
          <cell r="F4830">
            <v>0</v>
          </cell>
          <cell r="G4830">
            <v>0</v>
          </cell>
        </row>
        <row r="4831">
          <cell r="A4831" t="str">
            <v>54-15-02-0112</v>
          </cell>
          <cell r="B4831">
            <v>0</v>
          </cell>
          <cell r="C4831" t="str">
            <v xml:space="preserve">  L/C # 1/0525LC32257-04 347,225 LBS GIN</v>
          </cell>
          <cell r="D4831">
            <v>0</v>
          </cell>
          <cell r="E4831">
            <v>0</v>
          </cell>
          <cell r="F4831">
            <v>0</v>
          </cell>
          <cell r="G4831">
            <v>0</v>
          </cell>
        </row>
        <row r="4832">
          <cell r="A4832" t="str">
            <v>54-15-02-0113</v>
          </cell>
          <cell r="B4832">
            <v>0</v>
          </cell>
          <cell r="C4832" t="str">
            <v xml:space="preserve">  L/C # 1/0525LC32250-04 EGYPTIOAN RAW C</v>
          </cell>
          <cell r="D4832">
            <v>0</v>
          </cell>
          <cell r="E4832">
            <v>0</v>
          </cell>
          <cell r="F4832">
            <v>0</v>
          </cell>
          <cell r="G4832">
            <v>0</v>
          </cell>
        </row>
        <row r="4833">
          <cell r="A4833" t="str">
            <v>54-15-02-0114</v>
          </cell>
          <cell r="B4833">
            <v>0</v>
          </cell>
          <cell r="C4833" t="str">
            <v xml:space="preserve">  L/C # 1/0525LC 32272-04 U.S SJV PIMA C</v>
          </cell>
          <cell r="D4833">
            <v>0</v>
          </cell>
          <cell r="E4833">
            <v>0</v>
          </cell>
          <cell r="F4833">
            <v>0</v>
          </cell>
          <cell r="G4833">
            <v>0</v>
          </cell>
        </row>
        <row r="4834">
          <cell r="A4834" t="str">
            <v>54-15-03</v>
          </cell>
          <cell r="B4834">
            <v>0</v>
          </cell>
          <cell r="C4834" t="str">
            <v>***L/C'S FOR ACRYLIC STAPLE FIBRE</v>
          </cell>
          <cell r="D4834">
            <v>18453</v>
          </cell>
          <cell r="E4834">
            <v>0</v>
          </cell>
          <cell r="F4834">
            <v>18453</v>
          </cell>
          <cell r="G4834">
            <v>0</v>
          </cell>
        </row>
        <row r="4835">
          <cell r="A4835" t="str">
            <v>54-15-03-0001</v>
          </cell>
          <cell r="B4835">
            <v>0</v>
          </cell>
          <cell r="C4835" t="str">
            <v xml:space="preserve">  L.C # 937431 500 MT ACRYLIC FIBR @ $1.</v>
          </cell>
          <cell r="D4835">
            <v>0</v>
          </cell>
          <cell r="E4835">
            <v>0</v>
          </cell>
          <cell r="F4835">
            <v>0</v>
          </cell>
          <cell r="G4835">
            <v>0</v>
          </cell>
        </row>
        <row r="4836">
          <cell r="A4836" t="str">
            <v>54-15-03-0002</v>
          </cell>
          <cell r="B4836">
            <v>0</v>
          </cell>
          <cell r="C4836" t="str">
            <v xml:space="preserve">  L.C # 937456 ASF 500 M.T @ US $ 1.12 K</v>
          </cell>
          <cell r="D4836">
            <v>0</v>
          </cell>
          <cell r="E4836">
            <v>0</v>
          </cell>
          <cell r="F4836">
            <v>0</v>
          </cell>
          <cell r="G4836">
            <v>0</v>
          </cell>
        </row>
        <row r="4837">
          <cell r="A4837" t="str">
            <v>54-15-03-0003</v>
          </cell>
          <cell r="B4837">
            <v>0</v>
          </cell>
          <cell r="C4837" t="str">
            <v xml:space="preserve">  L.C # PSH/2001/167 A.S.F 500 M.T @ $1.</v>
          </cell>
          <cell r="D4837">
            <v>0</v>
          </cell>
          <cell r="E4837">
            <v>0</v>
          </cell>
          <cell r="F4837">
            <v>0</v>
          </cell>
          <cell r="G4837">
            <v>0</v>
          </cell>
        </row>
        <row r="4838">
          <cell r="A4838" t="str">
            <v>54-15-03-0004</v>
          </cell>
          <cell r="B4838">
            <v>0</v>
          </cell>
          <cell r="C4838" t="str">
            <v xml:space="preserve">  L.C #2001/194 ASF 1.3 DTX 51 MM 500 MT</v>
          </cell>
          <cell r="D4838">
            <v>0</v>
          </cell>
          <cell r="E4838">
            <v>0</v>
          </cell>
          <cell r="F4838">
            <v>0</v>
          </cell>
          <cell r="G4838">
            <v>0</v>
          </cell>
        </row>
        <row r="4839">
          <cell r="A4839" t="str">
            <v>54-15-03-0005</v>
          </cell>
          <cell r="B4839">
            <v>0</v>
          </cell>
          <cell r="C4839" t="str">
            <v xml:space="preserve">  L.C # MPB/LC/PSH/2002/214 100 M.T@ $ 1</v>
          </cell>
          <cell r="D4839">
            <v>0</v>
          </cell>
          <cell r="E4839">
            <v>0</v>
          </cell>
          <cell r="F4839">
            <v>0</v>
          </cell>
          <cell r="G4839">
            <v>0</v>
          </cell>
        </row>
        <row r="4840">
          <cell r="A4840" t="str">
            <v>54-15-03-0006</v>
          </cell>
          <cell r="B4840">
            <v>0</v>
          </cell>
          <cell r="C4840" t="str">
            <v xml:space="preserve">  L/C # MPB/LC/PSH/2002/225 A.S.F 500 TO</v>
          </cell>
          <cell r="D4840">
            <v>0</v>
          </cell>
          <cell r="E4840">
            <v>0</v>
          </cell>
          <cell r="F4840">
            <v>0</v>
          </cell>
          <cell r="G4840">
            <v>0</v>
          </cell>
        </row>
        <row r="4841">
          <cell r="A4841" t="str">
            <v>54-15-03-0007</v>
          </cell>
          <cell r="B4841">
            <v>0</v>
          </cell>
          <cell r="C4841" t="str">
            <v xml:space="preserve">  L.C # 2002/252 ACRYLIC FIBRE 300,000 K</v>
          </cell>
          <cell r="D4841">
            <v>0</v>
          </cell>
          <cell r="E4841">
            <v>0</v>
          </cell>
          <cell r="F4841">
            <v>0</v>
          </cell>
          <cell r="G4841">
            <v>0</v>
          </cell>
        </row>
        <row r="4842">
          <cell r="A4842" t="str">
            <v>54-15-03-0008</v>
          </cell>
          <cell r="B4842">
            <v>0</v>
          </cell>
          <cell r="C4842" t="str">
            <v xml:space="preserve">  L.C # 385/03 A.S.F.</v>
          </cell>
          <cell r="D4842">
            <v>0</v>
          </cell>
          <cell r="E4842">
            <v>0</v>
          </cell>
          <cell r="F4842">
            <v>0</v>
          </cell>
          <cell r="G4842">
            <v>0</v>
          </cell>
        </row>
        <row r="4843">
          <cell r="A4843" t="str">
            <v>54-15-03-0009</v>
          </cell>
          <cell r="B4843">
            <v>0</v>
          </cell>
          <cell r="C4843" t="str">
            <v xml:space="preserve">  L.C # 1/0525 LC 28922-03 250 M.T A.S.F</v>
          </cell>
          <cell r="D4843">
            <v>0</v>
          </cell>
          <cell r="E4843">
            <v>0</v>
          </cell>
          <cell r="F4843">
            <v>0</v>
          </cell>
          <cell r="G4843">
            <v>0</v>
          </cell>
        </row>
        <row r="4844">
          <cell r="A4844" t="str">
            <v>54-15-03-0010</v>
          </cell>
          <cell r="B4844">
            <v>0</v>
          </cell>
          <cell r="C4844" t="str">
            <v xml:space="preserve">  L.C # 1001/1315/2003 400 MT ACRYLIC FI</v>
          </cell>
          <cell r="D4844">
            <v>0</v>
          </cell>
          <cell r="E4844">
            <v>0</v>
          </cell>
          <cell r="F4844">
            <v>0</v>
          </cell>
          <cell r="G4844">
            <v>0</v>
          </cell>
        </row>
        <row r="4845">
          <cell r="A4845" t="str">
            <v>54-15-03-0011</v>
          </cell>
          <cell r="B4845">
            <v>0</v>
          </cell>
          <cell r="C4845" t="str">
            <v xml:space="preserve">  L/C # 2004/451 495000 KG'S A.S.F.</v>
          </cell>
          <cell r="D4845">
            <v>0</v>
          </cell>
          <cell r="E4845">
            <v>0</v>
          </cell>
          <cell r="F4845">
            <v>0</v>
          </cell>
          <cell r="G4845">
            <v>0</v>
          </cell>
        </row>
        <row r="4846">
          <cell r="A4846" t="str">
            <v>54-15-03-0014</v>
          </cell>
          <cell r="B4846">
            <v>0</v>
          </cell>
          <cell r="C4846" t="str">
            <v xml:space="preserve">  L.C # 2003/422 ACRLYIC FIBRE</v>
          </cell>
          <cell r="D4846">
            <v>0</v>
          </cell>
          <cell r="E4846">
            <v>0</v>
          </cell>
          <cell r="F4846">
            <v>0</v>
          </cell>
          <cell r="G4846">
            <v>0</v>
          </cell>
        </row>
        <row r="4847">
          <cell r="A4847" t="str">
            <v>54-15-03-0015</v>
          </cell>
          <cell r="B4847">
            <v>0</v>
          </cell>
          <cell r="C4847" t="str">
            <v xml:space="preserve">  L/C # 2004/446 ACRYLIC STAPLE 200 M.TO</v>
          </cell>
          <cell r="D4847">
            <v>0</v>
          </cell>
          <cell r="E4847">
            <v>0</v>
          </cell>
          <cell r="F4847">
            <v>0</v>
          </cell>
          <cell r="G4847">
            <v>0</v>
          </cell>
        </row>
        <row r="4848">
          <cell r="A4848" t="str">
            <v>54-15-03-0016</v>
          </cell>
          <cell r="B4848">
            <v>0</v>
          </cell>
          <cell r="C4848" t="str">
            <v xml:space="preserve">  L/C # 2004/480 ACRYLIC STAPPLE FIBRE 3</v>
          </cell>
          <cell r="D4848">
            <v>0</v>
          </cell>
          <cell r="E4848">
            <v>0</v>
          </cell>
          <cell r="F4848">
            <v>0</v>
          </cell>
          <cell r="G4848">
            <v>0</v>
          </cell>
        </row>
        <row r="4849">
          <cell r="A4849" t="str">
            <v>54-15-03-0017</v>
          </cell>
          <cell r="B4849">
            <v>0</v>
          </cell>
          <cell r="C4849" t="str">
            <v xml:space="preserve">  L/C # 2004/498 340.000 KG'S ACRYLIC FI</v>
          </cell>
          <cell r="D4849">
            <v>18453</v>
          </cell>
          <cell r="E4849">
            <v>0</v>
          </cell>
          <cell r="F4849">
            <v>0</v>
          </cell>
          <cell r="G4849">
            <v>0</v>
          </cell>
        </row>
        <row r="4850">
          <cell r="A4850" t="str">
            <v>54-15-04</v>
          </cell>
          <cell r="B4850">
            <v>0</v>
          </cell>
          <cell r="C4850" t="str">
            <v>***L/C'S FOR VISCOSE STAPLE FIBRE</v>
          </cell>
          <cell r="D4850">
            <v>11997</v>
          </cell>
          <cell r="E4850">
            <v>0</v>
          </cell>
          <cell r="F4850">
            <v>11997</v>
          </cell>
          <cell r="G4850">
            <v>0</v>
          </cell>
        </row>
        <row r="4851">
          <cell r="A4851" t="str">
            <v>54-15-04-0001</v>
          </cell>
          <cell r="B4851">
            <v>0</v>
          </cell>
          <cell r="C4851" t="str">
            <v xml:space="preserve">  L.C #937479 VISCOSE 1.25D*44 MM 210,00</v>
          </cell>
          <cell r="D4851">
            <v>0</v>
          </cell>
          <cell r="E4851">
            <v>0</v>
          </cell>
          <cell r="F4851">
            <v>0</v>
          </cell>
          <cell r="G4851">
            <v>0</v>
          </cell>
        </row>
        <row r="4852">
          <cell r="A4852" t="str">
            <v>54-15-04-0002</v>
          </cell>
          <cell r="B4852">
            <v>0</v>
          </cell>
          <cell r="C4852" t="str">
            <v xml:space="preserve">  L.C #MPB/PSH/2001/158 VSF TAIRIYON 210</v>
          </cell>
          <cell r="D4852">
            <v>0</v>
          </cell>
          <cell r="E4852">
            <v>0</v>
          </cell>
          <cell r="F4852">
            <v>0</v>
          </cell>
          <cell r="G4852">
            <v>0</v>
          </cell>
        </row>
        <row r="4853">
          <cell r="A4853" t="str">
            <v>54-15-04-0003</v>
          </cell>
          <cell r="B4853">
            <v>0</v>
          </cell>
          <cell r="C4853" t="str">
            <v xml:space="preserve">  L.C # 21294 VSF TAIRIYON 105MT @$1.38P</v>
          </cell>
          <cell r="D4853">
            <v>0</v>
          </cell>
          <cell r="E4853">
            <v>0</v>
          </cell>
          <cell r="F4853">
            <v>0</v>
          </cell>
          <cell r="G4853">
            <v>0</v>
          </cell>
        </row>
        <row r="4854">
          <cell r="A4854" t="str">
            <v>54-15-04-0004</v>
          </cell>
          <cell r="B4854">
            <v>0</v>
          </cell>
          <cell r="C4854" t="str">
            <v xml:space="preserve">  L.C # 1/0525 LC 21881-01 200 M.T.VISCO</v>
          </cell>
          <cell r="D4854">
            <v>0</v>
          </cell>
          <cell r="E4854">
            <v>0</v>
          </cell>
          <cell r="F4854">
            <v>0</v>
          </cell>
          <cell r="G4854">
            <v>0</v>
          </cell>
        </row>
        <row r="4855">
          <cell r="A4855" t="str">
            <v>54-15-04-0005</v>
          </cell>
          <cell r="B4855">
            <v>0</v>
          </cell>
          <cell r="C4855" t="str">
            <v xml:space="preserve">  L.C # 2002/198 VISCOSE'TAIRIYON" 210 M</v>
          </cell>
          <cell r="D4855">
            <v>0</v>
          </cell>
          <cell r="E4855">
            <v>0</v>
          </cell>
          <cell r="F4855">
            <v>0</v>
          </cell>
          <cell r="G4855">
            <v>0</v>
          </cell>
        </row>
        <row r="4856">
          <cell r="A4856" t="str">
            <v>54-15-04-0006</v>
          </cell>
          <cell r="B4856">
            <v>0</v>
          </cell>
          <cell r="C4856" t="str">
            <v xml:space="preserve">  L.C # 023510-02  315 M.T VISCOSE 'A'GR</v>
          </cell>
          <cell r="D4856">
            <v>0</v>
          </cell>
          <cell r="E4856">
            <v>0</v>
          </cell>
          <cell r="F4856">
            <v>0</v>
          </cell>
          <cell r="G4856">
            <v>0</v>
          </cell>
        </row>
        <row r="4857">
          <cell r="A4857" t="str">
            <v>54-15-04-0007</v>
          </cell>
          <cell r="B4857">
            <v>0</v>
          </cell>
          <cell r="C4857" t="str">
            <v xml:space="preserve">  L.C # 2002/207 V.S.F TAIRIYON A GRADE</v>
          </cell>
          <cell r="D4857">
            <v>0</v>
          </cell>
          <cell r="E4857">
            <v>0</v>
          </cell>
          <cell r="F4857">
            <v>0</v>
          </cell>
          <cell r="G4857">
            <v>0</v>
          </cell>
        </row>
        <row r="4858">
          <cell r="A4858" t="str">
            <v>54-15-04-0008</v>
          </cell>
          <cell r="B4858">
            <v>0</v>
          </cell>
          <cell r="C4858" t="str">
            <v xml:space="preserve">  L.C # 2002/213 20,000 KG VISCOSE @1.17</v>
          </cell>
          <cell r="D4858">
            <v>0</v>
          </cell>
          <cell r="E4858">
            <v>0</v>
          </cell>
          <cell r="F4858">
            <v>0</v>
          </cell>
          <cell r="G4858">
            <v>0</v>
          </cell>
        </row>
        <row r="4859">
          <cell r="A4859" t="str">
            <v>54-15-04-0009</v>
          </cell>
          <cell r="B4859">
            <v>0</v>
          </cell>
          <cell r="C4859" t="str">
            <v xml:space="preserve">  L.C # 1001/LC/550/2002 315 M.T VISCOSE</v>
          </cell>
          <cell r="D4859">
            <v>0</v>
          </cell>
          <cell r="E4859">
            <v>0</v>
          </cell>
          <cell r="F4859">
            <v>0</v>
          </cell>
          <cell r="G4859">
            <v>0</v>
          </cell>
        </row>
        <row r="4860">
          <cell r="A4860" t="str">
            <v>54-15-04-0010</v>
          </cell>
          <cell r="B4860">
            <v>0</v>
          </cell>
          <cell r="C4860" t="str">
            <v xml:space="preserve">  L.C # 1001/824/2002 VISCOSE STAPLE FIB</v>
          </cell>
          <cell r="D4860">
            <v>0</v>
          </cell>
          <cell r="E4860">
            <v>0</v>
          </cell>
          <cell r="F4860">
            <v>0</v>
          </cell>
          <cell r="G4860">
            <v>0</v>
          </cell>
        </row>
        <row r="4861">
          <cell r="A4861" t="str">
            <v>54-15-04-0011</v>
          </cell>
          <cell r="B4861">
            <v>0</v>
          </cell>
          <cell r="C4861" t="str">
            <v xml:space="preserve">  L.C # 1001/1192/2002 VISCOSE 'TAIRIYON</v>
          </cell>
          <cell r="D4861">
            <v>0</v>
          </cell>
          <cell r="E4861">
            <v>0</v>
          </cell>
          <cell r="F4861">
            <v>0</v>
          </cell>
          <cell r="G4861">
            <v>0</v>
          </cell>
        </row>
        <row r="4862">
          <cell r="A4862" t="str">
            <v>54-15-04-0012</v>
          </cell>
          <cell r="B4862">
            <v>0</v>
          </cell>
          <cell r="C4862" t="str">
            <v xml:space="preserve">  L.C # 2002/280 VISCOS BRIGHT RAW WHITE</v>
          </cell>
          <cell r="D4862">
            <v>0</v>
          </cell>
          <cell r="E4862">
            <v>0</v>
          </cell>
          <cell r="F4862">
            <v>0</v>
          </cell>
          <cell r="G4862">
            <v>0</v>
          </cell>
        </row>
        <row r="4863">
          <cell r="A4863" t="str">
            <v>54-15-04-0013</v>
          </cell>
          <cell r="B4863">
            <v>0</v>
          </cell>
          <cell r="C4863" t="str">
            <v xml:space="preserve">  L.C # 2002/293 VISCOSE STAPLE'TAIRIYON</v>
          </cell>
          <cell r="D4863">
            <v>0</v>
          </cell>
          <cell r="E4863">
            <v>0</v>
          </cell>
          <cell r="F4863">
            <v>0</v>
          </cell>
          <cell r="G4863">
            <v>0</v>
          </cell>
        </row>
        <row r="4864">
          <cell r="A4864" t="str">
            <v>54-15-04-0014</v>
          </cell>
          <cell r="B4864">
            <v>0</v>
          </cell>
          <cell r="C4864" t="str">
            <v xml:space="preserve">  L.C # 2002/294 THAI VISCOSE RAYON FIBR</v>
          </cell>
          <cell r="D4864">
            <v>0</v>
          </cell>
          <cell r="E4864">
            <v>0</v>
          </cell>
          <cell r="F4864">
            <v>0</v>
          </cell>
          <cell r="G4864">
            <v>0</v>
          </cell>
        </row>
        <row r="4865">
          <cell r="A4865" t="str">
            <v>54-15-04-0015</v>
          </cell>
          <cell r="B4865">
            <v>0</v>
          </cell>
          <cell r="C4865" t="str">
            <v xml:space="preserve">  L.C # PSH/2002/305 VISCOSE "TAIRIYON"</v>
          </cell>
          <cell r="D4865">
            <v>0</v>
          </cell>
          <cell r="E4865">
            <v>0</v>
          </cell>
          <cell r="F4865">
            <v>0</v>
          </cell>
          <cell r="G4865">
            <v>0</v>
          </cell>
        </row>
        <row r="4866">
          <cell r="A4866" t="str">
            <v>54-15-04-0016</v>
          </cell>
          <cell r="B4866">
            <v>0</v>
          </cell>
          <cell r="C4866" t="str">
            <v xml:space="preserve">  L.C # 2002/306 THAIS VISCOSE RAYON</v>
          </cell>
          <cell r="D4866">
            <v>0</v>
          </cell>
          <cell r="E4866">
            <v>0</v>
          </cell>
          <cell r="F4866">
            <v>0</v>
          </cell>
          <cell r="G4866">
            <v>0</v>
          </cell>
        </row>
        <row r="4867">
          <cell r="A4867" t="str">
            <v>54-15-04-0017</v>
          </cell>
          <cell r="B4867">
            <v>0</v>
          </cell>
          <cell r="C4867" t="str">
            <v xml:space="preserve">  L.C # 2002/328 VISCOSE 'TAIRIYON" BRAN</v>
          </cell>
          <cell r="D4867">
            <v>0</v>
          </cell>
          <cell r="E4867">
            <v>0</v>
          </cell>
          <cell r="F4867">
            <v>0</v>
          </cell>
          <cell r="G4867">
            <v>0</v>
          </cell>
        </row>
        <row r="4868">
          <cell r="A4868" t="str">
            <v>54-15-04-0018</v>
          </cell>
          <cell r="B4868">
            <v>0</v>
          </cell>
          <cell r="C4868" t="str">
            <v xml:space="preserve">  L.C # MPB/PSH/2003/335 52500 KG VISCOS</v>
          </cell>
          <cell r="D4868">
            <v>0</v>
          </cell>
          <cell r="E4868">
            <v>0</v>
          </cell>
          <cell r="F4868">
            <v>0</v>
          </cell>
          <cell r="G4868">
            <v>0</v>
          </cell>
        </row>
        <row r="4869">
          <cell r="A4869" t="str">
            <v>54-15-04-0019</v>
          </cell>
          <cell r="B4869">
            <v>0</v>
          </cell>
          <cell r="C4869" t="str">
            <v xml:space="preserve">  L.C # MPB/2003/343 VSF TAIRIYON 157 M.</v>
          </cell>
          <cell r="D4869">
            <v>0</v>
          </cell>
          <cell r="E4869">
            <v>0</v>
          </cell>
          <cell r="F4869">
            <v>0</v>
          </cell>
          <cell r="G4869">
            <v>0</v>
          </cell>
        </row>
        <row r="4870">
          <cell r="A4870" t="str">
            <v>54-15-04-0020</v>
          </cell>
          <cell r="B4870">
            <v>0</v>
          </cell>
          <cell r="C4870" t="str">
            <v xml:space="preserve">  L.C # 387/03 V.S.F.</v>
          </cell>
          <cell r="D4870">
            <v>0</v>
          </cell>
          <cell r="E4870">
            <v>0</v>
          </cell>
          <cell r="F4870">
            <v>0</v>
          </cell>
          <cell r="G4870">
            <v>0</v>
          </cell>
        </row>
        <row r="4871">
          <cell r="A4871" t="str">
            <v>54-15-04-0021</v>
          </cell>
          <cell r="B4871">
            <v>0</v>
          </cell>
          <cell r="C4871" t="str">
            <v xml:space="preserve">  L.C # 403/2003 V.S.F</v>
          </cell>
          <cell r="D4871">
            <v>0</v>
          </cell>
          <cell r="E4871">
            <v>0</v>
          </cell>
          <cell r="F4871">
            <v>0</v>
          </cell>
          <cell r="G4871">
            <v>0</v>
          </cell>
        </row>
        <row r="4872">
          <cell r="A4872" t="str">
            <v>54-15-04-0022</v>
          </cell>
          <cell r="B4872">
            <v>0</v>
          </cell>
          <cell r="C4872" t="str">
            <v xml:space="preserve">  L/C # 1001/1780/2003 321000 K.G V.S.F</v>
          </cell>
          <cell r="D4872">
            <v>0</v>
          </cell>
          <cell r="E4872">
            <v>0</v>
          </cell>
          <cell r="F4872">
            <v>0</v>
          </cell>
          <cell r="G4872">
            <v>0</v>
          </cell>
        </row>
        <row r="4873">
          <cell r="A4873" t="str">
            <v>54-15-04-0023</v>
          </cell>
          <cell r="B4873">
            <v>0</v>
          </cell>
          <cell r="C4873" t="str">
            <v xml:space="preserve">  L/C # 276/2004 102,000 KG VISCOSE FIBR</v>
          </cell>
          <cell r="D4873">
            <v>0</v>
          </cell>
          <cell r="E4873">
            <v>0</v>
          </cell>
          <cell r="F4873">
            <v>0</v>
          </cell>
          <cell r="G4873">
            <v>0</v>
          </cell>
        </row>
        <row r="4874">
          <cell r="A4874" t="str">
            <v>54-15-04-0024</v>
          </cell>
          <cell r="B4874">
            <v>0</v>
          </cell>
          <cell r="C4874" t="str">
            <v xml:space="preserve">  L/C # 688/2004 183,600 KG VISCOSE FIBR</v>
          </cell>
          <cell r="D4874">
            <v>0</v>
          </cell>
          <cell r="E4874">
            <v>0</v>
          </cell>
          <cell r="F4874">
            <v>0</v>
          </cell>
          <cell r="G4874">
            <v>0</v>
          </cell>
        </row>
        <row r="4875">
          <cell r="A4875" t="str">
            <v>54-15-04-0025</v>
          </cell>
          <cell r="B4875">
            <v>0</v>
          </cell>
          <cell r="C4875" t="str">
            <v xml:space="preserve">  L/C # 2004/470 VISCOSE FIBRE 214,000 K</v>
          </cell>
          <cell r="D4875">
            <v>0</v>
          </cell>
          <cell r="E4875">
            <v>0</v>
          </cell>
          <cell r="F4875">
            <v>0</v>
          </cell>
          <cell r="G4875">
            <v>0</v>
          </cell>
        </row>
        <row r="4876">
          <cell r="A4876" t="str">
            <v>54-15-04-0026</v>
          </cell>
          <cell r="B4876">
            <v>0</v>
          </cell>
          <cell r="C4876" t="str">
            <v xml:space="preserve">  L/C # 2004/493 215,000 KG'S VISCOSE FI</v>
          </cell>
          <cell r="D4876">
            <v>11997</v>
          </cell>
          <cell r="E4876">
            <v>0</v>
          </cell>
          <cell r="F4876">
            <v>0</v>
          </cell>
          <cell r="G4876">
            <v>0</v>
          </cell>
        </row>
        <row r="4877">
          <cell r="A4877" t="str">
            <v>54-15-05</v>
          </cell>
          <cell r="B4877">
            <v>0</v>
          </cell>
          <cell r="C4877" t="str">
            <v>***L/C'S FOR POLYESTER STAPLE FIBRE.</v>
          </cell>
          <cell r="D4877">
            <v>0</v>
          </cell>
          <cell r="E4877">
            <v>0</v>
          </cell>
          <cell r="F4877">
            <v>0</v>
          </cell>
          <cell r="G4877">
            <v>0</v>
          </cell>
        </row>
        <row r="4878">
          <cell r="A4878" t="str">
            <v>54-15-05-0001</v>
          </cell>
          <cell r="B4878">
            <v>0</v>
          </cell>
          <cell r="C4878" t="str">
            <v xml:space="preserve">  L.C#2000/115 PSF OPTICAL 96MT @ 0.90MT</v>
          </cell>
          <cell r="D4878">
            <v>0</v>
          </cell>
          <cell r="E4878">
            <v>0</v>
          </cell>
          <cell r="F4878">
            <v>0</v>
          </cell>
          <cell r="G4878">
            <v>0</v>
          </cell>
        </row>
        <row r="4879">
          <cell r="A4879" t="str">
            <v>54-15-05-0002</v>
          </cell>
          <cell r="B4879">
            <v>0</v>
          </cell>
          <cell r="C4879" t="str">
            <v xml:space="preserve">  L.C # 937305 PSF 96 MT OPTCAL BRI @.87</v>
          </cell>
          <cell r="D4879">
            <v>0</v>
          </cell>
          <cell r="E4879">
            <v>0</v>
          </cell>
          <cell r="F4879">
            <v>0</v>
          </cell>
          <cell r="G4879">
            <v>0</v>
          </cell>
        </row>
        <row r="4880">
          <cell r="A4880" t="str">
            <v>54-15-05-0003</v>
          </cell>
          <cell r="B4880">
            <v>0</v>
          </cell>
          <cell r="C4880" t="str">
            <v xml:space="preserve">  L.C # 1001/LC/1814/2002 POLYESTER 24 M</v>
          </cell>
          <cell r="D4880">
            <v>0</v>
          </cell>
          <cell r="E4880">
            <v>0</v>
          </cell>
          <cell r="F4880">
            <v>0</v>
          </cell>
          <cell r="G4880">
            <v>0</v>
          </cell>
        </row>
        <row r="4881">
          <cell r="A4881" t="str">
            <v>54-15-05-0004</v>
          </cell>
          <cell r="B4881">
            <v>0</v>
          </cell>
          <cell r="C4881" t="str">
            <v xml:space="preserve">  L.C # 1001/LC/325/2003 300 M.T KG POLY</v>
          </cell>
          <cell r="D4881">
            <v>0</v>
          </cell>
          <cell r="E4881">
            <v>0</v>
          </cell>
          <cell r="F4881">
            <v>0</v>
          </cell>
          <cell r="G4881">
            <v>0</v>
          </cell>
        </row>
        <row r="4882">
          <cell r="A4882" t="str">
            <v>54-15-05-0005</v>
          </cell>
          <cell r="B4882">
            <v>0</v>
          </cell>
          <cell r="C4882" t="str">
            <v xml:space="preserve">  L.C # 1001/1905/2003 POLYSTER FIBRE</v>
          </cell>
          <cell r="D4882">
            <v>0</v>
          </cell>
          <cell r="E4882">
            <v>0</v>
          </cell>
          <cell r="F4882">
            <v>0</v>
          </cell>
          <cell r="G4882">
            <v>0</v>
          </cell>
        </row>
        <row r="4883">
          <cell r="A4883" t="str">
            <v>54-15-05-0006</v>
          </cell>
          <cell r="B4883">
            <v>0</v>
          </cell>
          <cell r="C4883" t="str">
            <v xml:space="preserve">  L/C # 2004/429 400,000 KG POLYESTER FI</v>
          </cell>
          <cell r="D4883">
            <v>0</v>
          </cell>
          <cell r="E4883">
            <v>0</v>
          </cell>
          <cell r="F4883">
            <v>0</v>
          </cell>
          <cell r="G4883">
            <v>0</v>
          </cell>
        </row>
        <row r="4884">
          <cell r="A4884" t="str">
            <v>54-15-05-0007</v>
          </cell>
          <cell r="B4884">
            <v>0</v>
          </cell>
          <cell r="C4884" t="str">
            <v xml:space="preserve">  L/C # 2004/465 200,000 KG'S P.S.F.TAIR</v>
          </cell>
          <cell r="D4884">
            <v>0</v>
          </cell>
          <cell r="E4884">
            <v>0</v>
          </cell>
          <cell r="F4884">
            <v>0</v>
          </cell>
          <cell r="G4884">
            <v>0</v>
          </cell>
        </row>
        <row r="4885">
          <cell r="A4885" t="str">
            <v>54-15-06</v>
          </cell>
          <cell r="B4885">
            <v>0</v>
          </cell>
          <cell r="C4885" t="str">
            <v>***L/C'S FOR FILAMENT YARN (LYCRA)</v>
          </cell>
          <cell r="D4885">
            <v>0</v>
          </cell>
          <cell r="E4885">
            <v>0</v>
          </cell>
          <cell r="F4885">
            <v>0</v>
          </cell>
          <cell r="G4885">
            <v>0</v>
          </cell>
        </row>
        <row r="4886">
          <cell r="A4886" t="str">
            <v>54-15-06-0001</v>
          </cell>
          <cell r="B4886">
            <v>0</v>
          </cell>
          <cell r="C4886" t="str">
            <v xml:space="preserve">  L.C # 937319 LYCRA ELASTANE 70-D 12096</v>
          </cell>
          <cell r="D4886">
            <v>0</v>
          </cell>
          <cell r="E4886">
            <v>0</v>
          </cell>
          <cell r="F4886">
            <v>0</v>
          </cell>
          <cell r="G4886">
            <v>0</v>
          </cell>
        </row>
        <row r="4887">
          <cell r="A4887" t="str">
            <v>54-15-06-0002</v>
          </cell>
          <cell r="B4887">
            <v>0</v>
          </cell>
          <cell r="C4887" t="str">
            <v xml:space="preserve">  L.C# 937392 LYCRA ELASTANE 30240KG 14.</v>
          </cell>
          <cell r="D4887">
            <v>0</v>
          </cell>
          <cell r="E4887">
            <v>0</v>
          </cell>
          <cell r="F4887">
            <v>0</v>
          </cell>
          <cell r="G4887">
            <v>0</v>
          </cell>
        </row>
        <row r="4888">
          <cell r="A4888" t="str">
            <v>54-15-06-0003</v>
          </cell>
          <cell r="B4888">
            <v>0</v>
          </cell>
          <cell r="C4888" t="str">
            <v xml:space="preserve">  L.C #/171 12000 KG 70 DE SPENDEX @ $ 1</v>
          </cell>
          <cell r="D4888">
            <v>0</v>
          </cell>
          <cell r="E4888">
            <v>0</v>
          </cell>
          <cell r="F4888">
            <v>0</v>
          </cell>
          <cell r="G4888">
            <v>0</v>
          </cell>
        </row>
        <row r="4889">
          <cell r="A4889" t="str">
            <v>54-15-06-0004</v>
          </cell>
          <cell r="B4889">
            <v>0</v>
          </cell>
          <cell r="C4889" t="str">
            <v xml:space="preserve">  L.C 2001/188 COMFORTREL WEAVING</v>
          </cell>
          <cell r="D4889">
            <v>0</v>
          </cell>
          <cell r="E4889">
            <v>0</v>
          </cell>
          <cell r="F4889">
            <v>0</v>
          </cell>
          <cell r="G4889">
            <v>0</v>
          </cell>
        </row>
        <row r="4890">
          <cell r="A4890" t="str">
            <v>54-15-06-0005</v>
          </cell>
          <cell r="B4890">
            <v>0</v>
          </cell>
          <cell r="C4890" t="str">
            <v xml:space="preserve">  L/C #  2004/466 5400 KG'S SPANDEX YARN</v>
          </cell>
          <cell r="D4890">
            <v>0</v>
          </cell>
          <cell r="E4890">
            <v>0</v>
          </cell>
          <cell r="F4890">
            <v>0</v>
          </cell>
          <cell r="G4890">
            <v>0</v>
          </cell>
        </row>
        <row r="4891">
          <cell r="A4891" t="str">
            <v>55</v>
          </cell>
          <cell r="B4891">
            <v>0</v>
          </cell>
          <cell r="C4891" t="str">
            <v>*TRADE DEBTOR</v>
          </cell>
          <cell r="D4891">
            <v>312847369.10000002</v>
          </cell>
          <cell r="E4891">
            <v>0</v>
          </cell>
          <cell r="F4891">
            <v>314129605.77999997</v>
          </cell>
          <cell r="G4891">
            <v>1282236.68</v>
          </cell>
        </row>
        <row r="4892">
          <cell r="A4892" t="str">
            <v>55-01</v>
          </cell>
          <cell r="B4892">
            <v>1282236</v>
          </cell>
          <cell r="C4892" t="str">
            <v>**TRADE DEBTOR-YARN (KARACHI PARTY).</v>
          </cell>
          <cell r="D4892">
            <v>16179716</v>
          </cell>
          <cell r="E4892">
            <v>0</v>
          </cell>
          <cell r="F4892">
            <v>16320566</v>
          </cell>
          <cell r="G4892">
            <v>140850</v>
          </cell>
        </row>
        <row r="4893">
          <cell r="A4893" t="str">
            <v>55-01-01</v>
          </cell>
          <cell r="B4893">
            <v>140850</v>
          </cell>
          <cell r="C4893" t="str">
            <v>***ASLAM MOTIWALA</v>
          </cell>
          <cell r="D4893">
            <v>4441750</v>
          </cell>
          <cell r="E4893">
            <v>0</v>
          </cell>
          <cell r="F4893">
            <v>4441750</v>
          </cell>
          <cell r="G4893">
            <v>0</v>
          </cell>
        </row>
        <row r="4894">
          <cell r="A4894" t="str">
            <v>55-01-01-0001</v>
          </cell>
          <cell r="B4894">
            <v>0</v>
          </cell>
          <cell r="C4894" t="str">
            <v xml:space="preserve">  ASLAM MOTIWALA</v>
          </cell>
          <cell r="D4894">
            <v>0</v>
          </cell>
          <cell r="E4894">
            <v>0</v>
          </cell>
          <cell r="F4894">
            <v>0</v>
          </cell>
          <cell r="G4894">
            <v>0</v>
          </cell>
        </row>
        <row r="4895">
          <cell r="A4895" t="str">
            <v>55-01-01-0002</v>
          </cell>
          <cell r="B4895">
            <v>0</v>
          </cell>
          <cell r="C4895" t="str">
            <v xml:space="preserve">  BASHIR AHMED</v>
          </cell>
          <cell r="D4895">
            <v>0</v>
          </cell>
          <cell r="E4895">
            <v>0</v>
          </cell>
          <cell r="F4895">
            <v>0</v>
          </cell>
          <cell r="G4895">
            <v>0</v>
          </cell>
        </row>
        <row r="4896">
          <cell r="A4896" t="str">
            <v>55-01-01-0003</v>
          </cell>
          <cell r="B4896">
            <v>0</v>
          </cell>
          <cell r="C4896" t="str">
            <v xml:space="preserve">  HAJI GHANI</v>
          </cell>
          <cell r="D4896">
            <v>0</v>
          </cell>
          <cell r="E4896">
            <v>0</v>
          </cell>
          <cell r="F4896">
            <v>0</v>
          </cell>
          <cell r="G4896">
            <v>0</v>
          </cell>
        </row>
        <row r="4897">
          <cell r="A4897" t="str">
            <v>55-01-01-0004</v>
          </cell>
          <cell r="B4897">
            <v>0</v>
          </cell>
          <cell r="C4897" t="str">
            <v xml:space="preserve">  HAJI FAROOQ</v>
          </cell>
          <cell r="D4897">
            <v>0</v>
          </cell>
          <cell r="E4897">
            <v>0</v>
          </cell>
          <cell r="F4897">
            <v>0</v>
          </cell>
          <cell r="G4897">
            <v>0</v>
          </cell>
        </row>
        <row r="4898">
          <cell r="A4898" t="str">
            <v>55-01-01-0005</v>
          </cell>
          <cell r="B4898">
            <v>0</v>
          </cell>
          <cell r="C4898" t="str">
            <v xml:space="preserve">  NOMAN AMIN</v>
          </cell>
          <cell r="D4898">
            <v>0</v>
          </cell>
          <cell r="E4898">
            <v>0</v>
          </cell>
          <cell r="F4898">
            <v>0</v>
          </cell>
          <cell r="G4898">
            <v>0</v>
          </cell>
        </row>
        <row r="4899">
          <cell r="A4899" t="str">
            <v>55-01-01-0006</v>
          </cell>
          <cell r="B4899">
            <v>0</v>
          </cell>
          <cell r="C4899" t="str">
            <v xml:space="preserve">  ASHFAQ INDUSTRIES</v>
          </cell>
          <cell r="D4899">
            <v>0</v>
          </cell>
          <cell r="E4899">
            <v>0</v>
          </cell>
          <cell r="F4899">
            <v>0</v>
          </cell>
          <cell r="G4899">
            <v>0</v>
          </cell>
        </row>
        <row r="4900">
          <cell r="A4900" t="str">
            <v>55-01-01-0007</v>
          </cell>
          <cell r="B4900">
            <v>0</v>
          </cell>
          <cell r="C4900" t="str">
            <v xml:space="preserve">  A.G.SILK MIILS LTD.</v>
          </cell>
          <cell r="D4900">
            <v>0</v>
          </cell>
          <cell r="E4900">
            <v>0</v>
          </cell>
          <cell r="F4900">
            <v>0</v>
          </cell>
          <cell r="G4900">
            <v>0</v>
          </cell>
        </row>
        <row r="4901">
          <cell r="A4901" t="str">
            <v>55-01-01-0008</v>
          </cell>
          <cell r="B4901">
            <v>0</v>
          </cell>
          <cell r="C4901" t="str">
            <v xml:space="preserve">  LIAQAT ALI</v>
          </cell>
          <cell r="D4901">
            <v>0</v>
          </cell>
          <cell r="E4901">
            <v>0</v>
          </cell>
          <cell r="F4901">
            <v>0</v>
          </cell>
          <cell r="G4901">
            <v>0</v>
          </cell>
        </row>
        <row r="4902">
          <cell r="A4902" t="str">
            <v>55-01-01-0009</v>
          </cell>
          <cell r="B4902">
            <v>0</v>
          </cell>
          <cell r="C4902" t="str">
            <v xml:space="preserve">  MAZHAR ALI</v>
          </cell>
          <cell r="D4902">
            <v>0</v>
          </cell>
          <cell r="E4902">
            <v>0</v>
          </cell>
          <cell r="F4902">
            <v>0</v>
          </cell>
          <cell r="G4902">
            <v>0</v>
          </cell>
        </row>
        <row r="4903">
          <cell r="A4903" t="str">
            <v>55-01-01-0010</v>
          </cell>
          <cell r="B4903">
            <v>0</v>
          </cell>
          <cell r="C4903" t="str">
            <v xml:space="preserve">  ABBAS ALI</v>
          </cell>
          <cell r="D4903">
            <v>0</v>
          </cell>
          <cell r="E4903">
            <v>0</v>
          </cell>
          <cell r="F4903">
            <v>0</v>
          </cell>
          <cell r="G4903">
            <v>0</v>
          </cell>
        </row>
        <row r="4904">
          <cell r="A4904" t="str">
            <v>55-01-01-0011</v>
          </cell>
          <cell r="B4904">
            <v>0</v>
          </cell>
          <cell r="C4904" t="str">
            <v xml:space="preserve">  MUHAMMAD ZAFAR</v>
          </cell>
          <cell r="D4904">
            <v>0</v>
          </cell>
          <cell r="E4904">
            <v>0</v>
          </cell>
          <cell r="F4904">
            <v>0</v>
          </cell>
          <cell r="G4904">
            <v>0</v>
          </cell>
        </row>
        <row r="4905">
          <cell r="A4905" t="str">
            <v>55-01-01-0012</v>
          </cell>
          <cell r="B4905">
            <v>0</v>
          </cell>
          <cell r="C4905" t="str">
            <v xml:space="preserve">  MUHAMMAD SALEEM</v>
          </cell>
          <cell r="D4905">
            <v>0</v>
          </cell>
          <cell r="E4905">
            <v>0</v>
          </cell>
          <cell r="F4905">
            <v>0</v>
          </cell>
          <cell r="G4905">
            <v>0</v>
          </cell>
        </row>
        <row r="4906">
          <cell r="A4906" t="str">
            <v>55-01-01-0013</v>
          </cell>
          <cell r="B4906">
            <v>0</v>
          </cell>
          <cell r="C4906" t="str">
            <v xml:space="preserve">  MUHAMMAD ALI</v>
          </cell>
          <cell r="D4906">
            <v>0</v>
          </cell>
          <cell r="E4906">
            <v>0</v>
          </cell>
          <cell r="F4906">
            <v>0</v>
          </cell>
          <cell r="G4906">
            <v>0</v>
          </cell>
        </row>
        <row r="4907">
          <cell r="A4907" t="str">
            <v>55-01-01-0014</v>
          </cell>
          <cell r="B4907">
            <v>0</v>
          </cell>
          <cell r="C4907" t="str">
            <v xml:space="preserve">  ZAFAR HUSSAIN</v>
          </cell>
          <cell r="D4907">
            <v>0</v>
          </cell>
          <cell r="E4907">
            <v>0</v>
          </cell>
          <cell r="F4907">
            <v>0</v>
          </cell>
          <cell r="G4907">
            <v>0</v>
          </cell>
        </row>
        <row r="4908">
          <cell r="A4908" t="str">
            <v>55-01-01-0015</v>
          </cell>
          <cell r="B4908">
            <v>0</v>
          </cell>
          <cell r="C4908" t="str">
            <v xml:space="preserve">  ABDUL LATIF</v>
          </cell>
          <cell r="D4908">
            <v>0</v>
          </cell>
          <cell r="E4908">
            <v>0</v>
          </cell>
          <cell r="F4908">
            <v>0</v>
          </cell>
          <cell r="G4908">
            <v>0</v>
          </cell>
        </row>
        <row r="4909">
          <cell r="A4909" t="str">
            <v>55-01-01-0016</v>
          </cell>
          <cell r="B4909">
            <v>0</v>
          </cell>
          <cell r="C4909" t="str">
            <v xml:space="preserve">  MUHAMMAD JAMIL</v>
          </cell>
          <cell r="D4909">
            <v>0</v>
          </cell>
          <cell r="E4909">
            <v>0</v>
          </cell>
          <cell r="F4909">
            <v>0</v>
          </cell>
          <cell r="G4909">
            <v>0</v>
          </cell>
        </row>
        <row r="4910">
          <cell r="A4910" t="str">
            <v>55-01-01-0017</v>
          </cell>
          <cell r="B4910">
            <v>0</v>
          </cell>
          <cell r="C4910" t="str">
            <v xml:space="preserve">  NAVEED AHMED</v>
          </cell>
          <cell r="D4910">
            <v>0</v>
          </cell>
          <cell r="E4910">
            <v>0</v>
          </cell>
          <cell r="F4910">
            <v>0</v>
          </cell>
          <cell r="G4910">
            <v>0</v>
          </cell>
        </row>
        <row r="4911">
          <cell r="A4911" t="str">
            <v>55-01-01-0018</v>
          </cell>
          <cell r="B4911">
            <v>0</v>
          </cell>
          <cell r="C4911" t="str">
            <v xml:space="preserve">  YOUSUF KHAN</v>
          </cell>
          <cell r="D4911">
            <v>0</v>
          </cell>
          <cell r="E4911">
            <v>0</v>
          </cell>
          <cell r="F4911">
            <v>0</v>
          </cell>
          <cell r="G4911">
            <v>0</v>
          </cell>
        </row>
        <row r="4912">
          <cell r="A4912" t="str">
            <v>55-01-01-0019</v>
          </cell>
          <cell r="B4912">
            <v>0</v>
          </cell>
          <cell r="C4912" t="str">
            <v xml:space="preserve">  SHAKIL AHMED</v>
          </cell>
          <cell r="D4912">
            <v>0</v>
          </cell>
          <cell r="E4912">
            <v>0</v>
          </cell>
          <cell r="F4912">
            <v>0</v>
          </cell>
          <cell r="G4912">
            <v>0</v>
          </cell>
        </row>
        <row r="4913">
          <cell r="A4913" t="str">
            <v>55-01-01-0020</v>
          </cell>
          <cell r="B4913">
            <v>0</v>
          </cell>
          <cell r="C4913" t="str">
            <v xml:space="preserve">  ABDUL GHAFOOR</v>
          </cell>
          <cell r="D4913">
            <v>0</v>
          </cell>
          <cell r="E4913">
            <v>0</v>
          </cell>
          <cell r="F4913">
            <v>0</v>
          </cell>
          <cell r="G4913">
            <v>0</v>
          </cell>
        </row>
        <row r="4914">
          <cell r="A4914" t="str">
            <v>55-01-01-0021</v>
          </cell>
          <cell r="B4914">
            <v>0</v>
          </cell>
          <cell r="C4914" t="str">
            <v xml:space="preserve">  MUHAMMAD JAMAL</v>
          </cell>
          <cell r="D4914">
            <v>0</v>
          </cell>
          <cell r="E4914">
            <v>0</v>
          </cell>
          <cell r="F4914">
            <v>0</v>
          </cell>
          <cell r="G4914">
            <v>0</v>
          </cell>
        </row>
        <row r="4915">
          <cell r="A4915" t="str">
            <v>55-01-01-0022</v>
          </cell>
          <cell r="B4915">
            <v>0</v>
          </cell>
          <cell r="C4915" t="str">
            <v xml:space="preserve">  FAISAL MOTI</v>
          </cell>
          <cell r="D4915">
            <v>0</v>
          </cell>
          <cell r="E4915">
            <v>0</v>
          </cell>
          <cell r="F4915">
            <v>0</v>
          </cell>
          <cell r="G4915">
            <v>0</v>
          </cell>
        </row>
        <row r="4916">
          <cell r="A4916" t="str">
            <v>55-01-01-0023</v>
          </cell>
          <cell r="B4916">
            <v>0</v>
          </cell>
          <cell r="C4916" t="str">
            <v xml:space="preserve">  ABDUL QADIR.</v>
          </cell>
          <cell r="D4916">
            <v>0</v>
          </cell>
          <cell r="E4916">
            <v>0</v>
          </cell>
          <cell r="F4916">
            <v>0</v>
          </cell>
          <cell r="G4916">
            <v>0</v>
          </cell>
        </row>
        <row r="4917">
          <cell r="A4917" t="str">
            <v>55-01-01-0024</v>
          </cell>
          <cell r="B4917">
            <v>0</v>
          </cell>
          <cell r="C4917" t="str">
            <v xml:space="preserve">  ABDUL RASHEED</v>
          </cell>
          <cell r="D4917">
            <v>0</v>
          </cell>
          <cell r="E4917">
            <v>0</v>
          </cell>
          <cell r="F4917">
            <v>0</v>
          </cell>
          <cell r="G4917">
            <v>0</v>
          </cell>
        </row>
        <row r="4918">
          <cell r="A4918" t="str">
            <v>55-01-01-0025</v>
          </cell>
          <cell r="B4918">
            <v>0</v>
          </cell>
          <cell r="C4918" t="str">
            <v xml:space="preserve">  NAEEM GUL</v>
          </cell>
          <cell r="D4918">
            <v>0</v>
          </cell>
          <cell r="E4918">
            <v>0</v>
          </cell>
          <cell r="F4918">
            <v>0</v>
          </cell>
          <cell r="G4918">
            <v>0</v>
          </cell>
        </row>
        <row r="4919">
          <cell r="A4919" t="str">
            <v>55-01-01-0026</v>
          </cell>
          <cell r="B4919">
            <v>0</v>
          </cell>
          <cell r="C4919" t="str">
            <v xml:space="preserve">  DILDAR HUSSAIN</v>
          </cell>
          <cell r="D4919">
            <v>0</v>
          </cell>
          <cell r="E4919">
            <v>0</v>
          </cell>
          <cell r="F4919">
            <v>0</v>
          </cell>
          <cell r="G4919">
            <v>0</v>
          </cell>
        </row>
        <row r="4920">
          <cell r="A4920" t="str">
            <v>55-01-01-0027</v>
          </cell>
          <cell r="B4920">
            <v>0</v>
          </cell>
          <cell r="C4920" t="str">
            <v xml:space="preserve">  AHMED NOOR</v>
          </cell>
          <cell r="D4920">
            <v>0</v>
          </cell>
          <cell r="E4920">
            <v>0</v>
          </cell>
          <cell r="F4920">
            <v>0</v>
          </cell>
          <cell r="G4920">
            <v>0</v>
          </cell>
        </row>
        <row r="4921">
          <cell r="A4921" t="str">
            <v>55-01-01-0028</v>
          </cell>
          <cell r="B4921">
            <v>0</v>
          </cell>
          <cell r="C4921" t="str">
            <v xml:space="preserve">  FAZAL DIN.</v>
          </cell>
          <cell r="D4921">
            <v>0</v>
          </cell>
          <cell r="E4921">
            <v>0</v>
          </cell>
          <cell r="F4921">
            <v>0</v>
          </cell>
          <cell r="G4921">
            <v>0</v>
          </cell>
        </row>
        <row r="4922">
          <cell r="A4922" t="str">
            <v>55-01-01-0029</v>
          </cell>
          <cell r="B4922">
            <v>0</v>
          </cell>
          <cell r="C4922" t="str">
            <v xml:space="preserve">  SHAHZAD GUL.</v>
          </cell>
          <cell r="D4922">
            <v>0</v>
          </cell>
          <cell r="E4922">
            <v>0</v>
          </cell>
          <cell r="F4922">
            <v>0</v>
          </cell>
          <cell r="G4922">
            <v>0</v>
          </cell>
        </row>
        <row r="4923">
          <cell r="A4923" t="str">
            <v>55-01-01-0030</v>
          </cell>
          <cell r="B4923">
            <v>0</v>
          </cell>
          <cell r="C4923" t="str">
            <v xml:space="preserve">  ABDUL MAJEED.</v>
          </cell>
          <cell r="D4923">
            <v>0</v>
          </cell>
          <cell r="E4923">
            <v>0</v>
          </cell>
          <cell r="F4923">
            <v>0</v>
          </cell>
          <cell r="G4923">
            <v>0</v>
          </cell>
        </row>
        <row r="4924">
          <cell r="A4924" t="str">
            <v>55-01-01-0031</v>
          </cell>
          <cell r="B4924">
            <v>0</v>
          </cell>
          <cell r="C4924" t="str">
            <v xml:space="preserve">  MUHAMMAD IQBAL</v>
          </cell>
          <cell r="D4924">
            <v>0</v>
          </cell>
          <cell r="E4924">
            <v>0</v>
          </cell>
          <cell r="F4924">
            <v>0</v>
          </cell>
          <cell r="G4924">
            <v>0</v>
          </cell>
        </row>
        <row r="4925">
          <cell r="A4925" t="str">
            <v>55-01-01-0032</v>
          </cell>
          <cell r="B4925">
            <v>0</v>
          </cell>
          <cell r="C4925" t="str">
            <v xml:space="preserve">  SAQIB MEER</v>
          </cell>
          <cell r="D4925">
            <v>0</v>
          </cell>
          <cell r="E4925">
            <v>0</v>
          </cell>
          <cell r="F4925">
            <v>0</v>
          </cell>
          <cell r="G4925">
            <v>0</v>
          </cell>
        </row>
        <row r="4926">
          <cell r="A4926" t="str">
            <v>55-01-01-0033</v>
          </cell>
          <cell r="B4926">
            <v>0</v>
          </cell>
          <cell r="C4926" t="str">
            <v xml:space="preserve">  NASIR MEHMOOD</v>
          </cell>
          <cell r="D4926">
            <v>0</v>
          </cell>
          <cell r="E4926">
            <v>0</v>
          </cell>
          <cell r="F4926">
            <v>0</v>
          </cell>
          <cell r="G4926">
            <v>0</v>
          </cell>
        </row>
        <row r="4927">
          <cell r="A4927" t="str">
            <v>55-01-01-0034</v>
          </cell>
          <cell r="B4927">
            <v>0</v>
          </cell>
          <cell r="C4927" t="str">
            <v xml:space="preserve">  SHAH WALI</v>
          </cell>
          <cell r="D4927">
            <v>0</v>
          </cell>
          <cell r="E4927">
            <v>0</v>
          </cell>
          <cell r="F4927">
            <v>0</v>
          </cell>
          <cell r="G4927">
            <v>0</v>
          </cell>
        </row>
        <row r="4928">
          <cell r="A4928" t="str">
            <v>55-01-01-0035</v>
          </cell>
          <cell r="B4928">
            <v>0</v>
          </cell>
          <cell r="C4928" t="str">
            <v xml:space="preserve">  FAZAL DAD</v>
          </cell>
          <cell r="D4928">
            <v>0</v>
          </cell>
          <cell r="E4928">
            <v>0</v>
          </cell>
          <cell r="F4928">
            <v>0</v>
          </cell>
          <cell r="G4928">
            <v>0</v>
          </cell>
        </row>
        <row r="4929">
          <cell r="A4929" t="str">
            <v>55-01-01-0036</v>
          </cell>
          <cell r="B4929">
            <v>0</v>
          </cell>
          <cell r="C4929" t="str">
            <v xml:space="preserve">  KAMAL AHMED</v>
          </cell>
          <cell r="D4929">
            <v>0</v>
          </cell>
          <cell r="E4929">
            <v>0</v>
          </cell>
          <cell r="F4929">
            <v>0</v>
          </cell>
          <cell r="G4929">
            <v>0</v>
          </cell>
        </row>
        <row r="4930">
          <cell r="A4930" t="str">
            <v>55-01-01-0037</v>
          </cell>
          <cell r="B4930">
            <v>0</v>
          </cell>
          <cell r="C4930" t="str">
            <v xml:space="preserve">  SALEEM GUL</v>
          </cell>
          <cell r="D4930">
            <v>0</v>
          </cell>
          <cell r="E4930">
            <v>0</v>
          </cell>
          <cell r="F4930">
            <v>0</v>
          </cell>
          <cell r="G4930">
            <v>0</v>
          </cell>
        </row>
        <row r="4931">
          <cell r="A4931" t="str">
            <v>55-01-01-0038</v>
          </cell>
          <cell r="B4931">
            <v>0</v>
          </cell>
          <cell r="C4931" t="str">
            <v xml:space="preserve">  JAMIL AHMED</v>
          </cell>
          <cell r="D4931">
            <v>0</v>
          </cell>
          <cell r="E4931">
            <v>0</v>
          </cell>
          <cell r="F4931">
            <v>0</v>
          </cell>
          <cell r="G4931">
            <v>0</v>
          </cell>
        </row>
        <row r="4932">
          <cell r="A4932" t="str">
            <v>55-01-01-0039</v>
          </cell>
          <cell r="B4932">
            <v>0</v>
          </cell>
          <cell r="C4932" t="str">
            <v xml:space="preserve">  ANWAR PALAYDAR</v>
          </cell>
          <cell r="D4932">
            <v>0</v>
          </cell>
          <cell r="E4932">
            <v>0</v>
          </cell>
          <cell r="F4932">
            <v>0</v>
          </cell>
          <cell r="G4932">
            <v>0</v>
          </cell>
        </row>
        <row r="4933">
          <cell r="A4933" t="str">
            <v>55-01-01-0040</v>
          </cell>
          <cell r="B4933">
            <v>0</v>
          </cell>
          <cell r="C4933" t="str">
            <v xml:space="preserve">  UMER FAROOQ</v>
          </cell>
          <cell r="D4933">
            <v>0</v>
          </cell>
          <cell r="E4933">
            <v>0</v>
          </cell>
          <cell r="F4933">
            <v>0</v>
          </cell>
          <cell r="G4933">
            <v>0</v>
          </cell>
        </row>
        <row r="4934">
          <cell r="A4934" t="str">
            <v>55-01-01-0041</v>
          </cell>
          <cell r="B4934">
            <v>0</v>
          </cell>
          <cell r="C4934" t="str">
            <v xml:space="preserve">  MUHAMMAD SARWAR</v>
          </cell>
          <cell r="D4934">
            <v>0</v>
          </cell>
          <cell r="E4934">
            <v>0</v>
          </cell>
          <cell r="F4934">
            <v>0</v>
          </cell>
          <cell r="G4934">
            <v>0</v>
          </cell>
        </row>
        <row r="4935">
          <cell r="A4935" t="str">
            <v>55-01-01-0042</v>
          </cell>
          <cell r="B4935">
            <v>0</v>
          </cell>
          <cell r="C4935" t="str">
            <v xml:space="preserve">  MUHAMMED USMAN.</v>
          </cell>
          <cell r="D4935">
            <v>0</v>
          </cell>
          <cell r="E4935">
            <v>0</v>
          </cell>
          <cell r="F4935">
            <v>0</v>
          </cell>
          <cell r="G4935">
            <v>0</v>
          </cell>
        </row>
        <row r="4936">
          <cell r="A4936" t="str">
            <v>55-01-01-0043</v>
          </cell>
          <cell r="B4936">
            <v>0</v>
          </cell>
          <cell r="C4936" t="str">
            <v xml:space="preserve">  TOWELLERS LIMITED.</v>
          </cell>
          <cell r="D4936">
            <v>0</v>
          </cell>
          <cell r="E4936">
            <v>0</v>
          </cell>
          <cell r="F4936">
            <v>0</v>
          </cell>
          <cell r="G4936">
            <v>0</v>
          </cell>
        </row>
        <row r="4937">
          <cell r="A4937" t="str">
            <v>55-01-01-0044</v>
          </cell>
          <cell r="B4937">
            <v>0</v>
          </cell>
          <cell r="C4937" t="str">
            <v xml:space="preserve">  TEXTILE INTERNATIONAL</v>
          </cell>
          <cell r="D4937">
            <v>0</v>
          </cell>
          <cell r="E4937">
            <v>0</v>
          </cell>
          <cell r="F4937">
            <v>0</v>
          </cell>
          <cell r="G4937">
            <v>0</v>
          </cell>
        </row>
        <row r="4938">
          <cell r="A4938" t="str">
            <v>55-01-01-0045</v>
          </cell>
          <cell r="B4938">
            <v>0</v>
          </cell>
          <cell r="C4938" t="str">
            <v xml:space="preserve">  CENTEX INDUSTRIES</v>
          </cell>
          <cell r="D4938">
            <v>0</v>
          </cell>
          <cell r="E4938">
            <v>0</v>
          </cell>
          <cell r="F4938">
            <v>0</v>
          </cell>
          <cell r="G4938">
            <v>0</v>
          </cell>
        </row>
        <row r="4939">
          <cell r="A4939" t="str">
            <v>55-01-01-0046</v>
          </cell>
          <cell r="B4939">
            <v>0</v>
          </cell>
          <cell r="C4939" t="str">
            <v xml:space="preserve">  ZAHID AND COMPANY.</v>
          </cell>
          <cell r="D4939">
            <v>0</v>
          </cell>
          <cell r="E4939">
            <v>0</v>
          </cell>
          <cell r="F4939">
            <v>0</v>
          </cell>
          <cell r="G4939">
            <v>0</v>
          </cell>
        </row>
        <row r="4940">
          <cell r="A4940" t="str">
            <v>55-01-01-0047</v>
          </cell>
          <cell r="B4940">
            <v>0</v>
          </cell>
          <cell r="C4940" t="str">
            <v xml:space="preserve">  AL-HARAM ENTERPRISES</v>
          </cell>
          <cell r="D4940">
            <v>0</v>
          </cell>
          <cell r="E4940">
            <v>0</v>
          </cell>
          <cell r="F4940">
            <v>0</v>
          </cell>
          <cell r="G4940">
            <v>0</v>
          </cell>
        </row>
        <row r="4941">
          <cell r="A4941" t="str">
            <v>55-01-01-0048</v>
          </cell>
          <cell r="B4941">
            <v>0</v>
          </cell>
          <cell r="C4941" t="str">
            <v xml:space="preserve">  MEHRAN EXPORT CORPORATION.</v>
          </cell>
          <cell r="D4941">
            <v>0</v>
          </cell>
          <cell r="E4941">
            <v>0</v>
          </cell>
          <cell r="F4941">
            <v>0</v>
          </cell>
          <cell r="G4941">
            <v>0</v>
          </cell>
        </row>
        <row r="4942">
          <cell r="A4942" t="str">
            <v>55-01-01-0049</v>
          </cell>
          <cell r="B4942">
            <v>0</v>
          </cell>
          <cell r="C4942" t="str">
            <v xml:space="preserve">  ANWAR KHAN</v>
          </cell>
          <cell r="D4942">
            <v>0</v>
          </cell>
          <cell r="E4942">
            <v>0</v>
          </cell>
          <cell r="F4942">
            <v>0</v>
          </cell>
          <cell r="G4942">
            <v>0</v>
          </cell>
        </row>
        <row r="4943">
          <cell r="A4943" t="str">
            <v>55-01-01-0050</v>
          </cell>
          <cell r="B4943">
            <v>0</v>
          </cell>
          <cell r="C4943" t="str">
            <v xml:space="preserve">  ABDUL WAKIL</v>
          </cell>
          <cell r="D4943">
            <v>0</v>
          </cell>
          <cell r="E4943">
            <v>0</v>
          </cell>
          <cell r="F4943">
            <v>0</v>
          </cell>
          <cell r="G4943">
            <v>0</v>
          </cell>
        </row>
        <row r="4944">
          <cell r="A4944" t="str">
            <v>55-01-01-0051</v>
          </cell>
          <cell r="B4944">
            <v>0</v>
          </cell>
          <cell r="C4944" t="str">
            <v xml:space="preserve">  SALIM JAVED</v>
          </cell>
          <cell r="D4944">
            <v>0</v>
          </cell>
          <cell r="E4944">
            <v>0</v>
          </cell>
          <cell r="F4944">
            <v>0</v>
          </cell>
          <cell r="G4944">
            <v>0</v>
          </cell>
        </row>
        <row r="4945">
          <cell r="A4945" t="str">
            <v>55-01-01-0052</v>
          </cell>
          <cell r="B4945">
            <v>0</v>
          </cell>
          <cell r="C4945" t="str">
            <v xml:space="preserve">  SHABIR AHMED</v>
          </cell>
          <cell r="D4945">
            <v>0</v>
          </cell>
          <cell r="E4945">
            <v>0</v>
          </cell>
          <cell r="F4945">
            <v>0</v>
          </cell>
          <cell r="G4945">
            <v>0</v>
          </cell>
        </row>
        <row r="4946">
          <cell r="A4946" t="str">
            <v>55-01-01-0053</v>
          </cell>
          <cell r="B4946">
            <v>0</v>
          </cell>
          <cell r="C4946" t="str">
            <v xml:space="preserve">  SHER ALAM</v>
          </cell>
          <cell r="D4946">
            <v>0</v>
          </cell>
          <cell r="E4946">
            <v>0</v>
          </cell>
          <cell r="F4946">
            <v>0</v>
          </cell>
          <cell r="G4946">
            <v>0</v>
          </cell>
        </row>
        <row r="4947">
          <cell r="A4947" t="str">
            <v>55-01-01-0054</v>
          </cell>
          <cell r="B4947">
            <v>0</v>
          </cell>
          <cell r="C4947" t="str">
            <v xml:space="preserve">  NADEEM AKBAR</v>
          </cell>
          <cell r="D4947">
            <v>0</v>
          </cell>
          <cell r="E4947">
            <v>0</v>
          </cell>
          <cell r="F4947">
            <v>0</v>
          </cell>
          <cell r="G4947">
            <v>0</v>
          </cell>
        </row>
        <row r="4948">
          <cell r="A4948" t="str">
            <v>55-01-01-0055</v>
          </cell>
          <cell r="B4948">
            <v>0</v>
          </cell>
          <cell r="C4948" t="str">
            <v xml:space="preserve">  GUL HAMEED</v>
          </cell>
          <cell r="D4948">
            <v>0</v>
          </cell>
          <cell r="E4948">
            <v>0</v>
          </cell>
          <cell r="F4948">
            <v>0</v>
          </cell>
          <cell r="G4948">
            <v>0</v>
          </cell>
        </row>
        <row r="4949">
          <cell r="A4949" t="str">
            <v>55-01-01-0056</v>
          </cell>
          <cell r="B4949">
            <v>0</v>
          </cell>
          <cell r="C4949" t="str">
            <v xml:space="preserve">  QASIM PALAYDAR</v>
          </cell>
          <cell r="D4949">
            <v>0</v>
          </cell>
          <cell r="E4949">
            <v>0</v>
          </cell>
          <cell r="F4949">
            <v>0</v>
          </cell>
          <cell r="G4949">
            <v>0</v>
          </cell>
        </row>
        <row r="4950">
          <cell r="A4950" t="str">
            <v>55-01-01-0057</v>
          </cell>
          <cell r="B4950">
            <v>0</v>
          </cell>
          <cell r="C4950" t="str">
            <v xml:space="preserve">  AYUB KHAWAR</v>
          </cell>
          <cell r="D4950">
            <v>0</v>
          </cell>
          <cell r="E4950">
            <v>0</v>
          </cell>
          <cell r="F4950">
            <v>0</v>
          </cell>
          <cell r="G4950">
            <v>0</v>
          </cell>
        </row>
        <row r="4951">
          <cell r="A4951" t="str">
            <v>55-01-01-0058</v>
          </cell>
          <cell r="B4951">
            <v>0</v>
          </cell>
          <cell r="C4951" t="str">
            <v xml:space="preserve">  WASEEM GUL</v>
          </cell>
          <cell r="D4951">
            <v>0</v>
          </cell>
          <cell r="E4951">
            <v>0</v>
          </cell>
          <cell r="F4951">
            <v>0</v>
          </cell>
          <cell r="G4951">
            <v>0</v>
          </cell>
        </row>
        <row r="4952">
          <cell r="A4952" t="str">
            <v>55-01-01-0059</v>
          </cell>
          <cell r="B4952">
            <v>0</v>
          </cell>
          <cell r="C4952" t="str">
            <v xml:space="preserve">  GUL SHER</v>
          </cell>
          <cell r="D4952">
            <v>0</v>
          </cell>
          <cell r="E4952">
            <v>0</v>
          </cell>
          <cell r="F4952">
            <v>0</v>
          </cell>
          <cell r="G4952">
            <v>0</v>
          </cell>
        </row>
        <row r="4953">
          <cell r="A4953" t="str">
            <v>55-01-01-0060</v>
          </cell>
          <cell r="B4953">
            <v>0</v>
          </cell>
          <cell r="C4953" t="str">
            <v xml:space="preserve">  MUHAMMAD RAFIQ</v>
          </cell>
          <cell r="D4953">
            <v>0</v>
          </cell>
          <cell r="E4953">
            <v>0</v>
          </cell>
          <cell r="F4953">
            <v>0</v>
          </cell>
          <cell r="G4953">
            <v>0</v>
          </cell>
        </row>
        <row r="4954">
          <cell r="A4954" t="str">
            <v>55-01-01-0061</v>
          </cell>
          <cell r="B4954">
            <v>0</v>
          </cell>
          <cell r="C4954" t="str">
            <v xml:space="preserve">  AMJAD SHAH</v>
          </cell>
          <cell r="D4954">
            <v>0</v>
          </cell>
          <cell r="E4954">
            <v>0</v>
          </cell>
          <cell r="F4954">
            <v>0</v>
          </cell>
          <cell r="G4954">
            <v>0</v>
          </cell>
        </row>
        <row r="4955">
          <cell r="A4955" t="str">
            <v>55-01-01-0062</v>
          </cell>
          <cell r="B4955">
            <v>0</v>
          </cell>
          <cell r="C4955" t="str">
            <v xml:space="preserve">  ABDUL HAMEED</v>
          </cell>
          <cell r="D4955">
            <v>0</v>
          </cell>
          <cell r="E4955">
            <v>0</v>
          </cell>
          <cell r="F4955">
            <v>0</v>
          </cell>
          <cell r="G4955">
            <v>0</v>
          </cell>
        </row>
        <row r="4956">
          <cell r="A4956" t="str">
            <v>55-01-01-0063</v>
          </cell>
          <cell r="B4956">
            <v>0</v>
          </cell>
          <cell r="C4956" t="str">
            <v xml:space="preserve">  MR.NADEEM</v>
          </cell>
          <cell r="D4956">
            <v>0</v>
          </cell>
          <cell r="E4956">
            <v>0</v>
          </cell>
          <cell r="F4956">
            <v>0</v>
          </cell>
          <cell r="G4956">
            <v>0</v>
          </cell>
        </row>
        <row r="4957">
          <cell r="A4957" t="str">
            <v>55-01-01-0064</v>
          </cell>
          <cell r="B4957">
            <v>0</v>
          </cell>
          <cell r="C4957" t="str">
            <v xml:space="preserve">  MUHAMMED AMJAD</v>
          </cell>
          <cell r="D4957">
            <v>0</v>
          </cell>
          <cell r="E4957">
            <v>0</v>
          </cell>
          <cell r="F4957">
            <v>0</v>
          </cell>
          <cell r="G4957">
            <v>0</v>
          </cell>
        </row>
        <row r="4958">
          <cell r="A4958" t="str">
            <v>55-01-01-0065</v>
          </cell>
          <cell r="B4958">
            <v>0</v>
          </cell>
          <cell r="C4958" t="str">
            <v xml:space="preserve">  MUHAMMED ALI SIKANDAR</v>
          </cell>
          <cell r="D4958">
            <v>0</v>
          </cell>
          <cell r="E4958">
            <v>0</v>
          </cell>
          <cell r="F4958">
            <v>0</v>
          </cell>
          <cell r="G4958">
            <v>0</v>
          </cell>
        </row>
        <row r="4959">
          <cell r="A4959" t="str">
            <v>55-01-01-0066</v>
          </cell>
          <cell r="B4959">
            <v>0</v>
          </cell>
          <cell r="C4959" t="str">
            <v xml:space="preserve">  JAMAL SHAH</v>
          </cell>
          <cell r="D4959">
            <v>0</v>
          </cell>
          <cell r="E4959">
            <v>0</v>
          </cell>
          <cell r="F4959">
            <v>0</v>
          </cell>
          <cell r="G4959">
            <v>0</v>
          </cell>
        </row>
        <row r="4960">
          <cell r="A4960" t="str">
            <v>55-01-01-0067</v>
          </cell>
          <cell r="B4960">
            <v>0</v>
          </cell>
          <cell r="C4960" t="str">
            <v xml:space="preserve">  YOUSAF SHAH</v>
          </cell>
          <cell r="D4960">
            <v>0</v>
          </cell>
          <cell r="E4960">
            <v>0</v>
          </cell>
          <cell r="F4960">
            <v>0</v>
          </cell>
          <cell r="G4960">
            <v>0</v>
          </cell>
        </row>
        <row r="4961">
          <cell r="A4961" t="str">
            <v>55-01-01-0068</v>
          </cell>
          <cell r="B4961">
            <v>0</v>
          </cell>
          <cell r="C4961" t="str">
            <v xml:space="preserve">  MUHAMMAD AZAM</v>
          </cell>
          <cell r="D4961">
            <v>0</v>
          </cell>
          <cell r="E4961">
            <v>0</v>
          </cell>
          <cell r="F4961">
            <v>0</v>
          </cell>
          <cell r="G4961">
            <v>0</v>
          </cell>
        </row>
        <row r="4962">
          <cell r="A4962" t="str">
            <v>55-01-01-0069</v>
          </cell>
          <cell r="B4962">
            <v>0</v>
          </cell>
          <cell r="C4962" t="str">
            <v xml:space="preserve">  NASEEM SHAH</v>
          </cell>
          <cell r="D4962">
            <v>0</v>
          </cell>
          <cell r="E4962">
            <v>0</v>
          </cell>
          <cell r="F4962">
            <v>0</v>
          </cell>
          <cell r="G4962">
            <v>0</v>
          </cell>
        </row>
        <row r="4963">
          <cell r="A4963" t="str">
            <v>55-01-01-0070</v>
          </cell>
          <cell r="B4963">
            <v>0</v>
          </cell>
          <cell r="C4963" t="str">
            <v xml:space="preserve">  USMAN ALI</v>
          </cell>
          <cell r="D4963">
            <v>0</v>
          </cell>
          <cell r="E4963">
            <v>0</v>
          </cell>
          <cell r="F4963">
            <v>0</v>
          </cell>
          <cell r="G4963">
            <v>0</v>
          </cell>
        </row>
        <row r="4964">
          <cell r="A4964" t="str">
            <v>55-01-01-0071</v>
          </cell>
          <cell r="B4964">
            <v>0</v>
          </cell>
          <cell r="C4964" t="str">
            <v xml:space="preserve">  MUHAMMED INAM</v>
          </cell>
          <cell r="D4964">
            <v>0</v>
          </cell>
          <cell r="E4964">
            <v>0</v>
          </cell>
          <cell r="F4964">
            <v>0</v>
          </cell>
          <cell r="G4964">
            <v>0</v>
          </cell>
        </row>
        <row r="4965">
          <cell r="A4965" t="str">
            <v>55-01-01-0072</v>
          </cell>
          <cell r="B4965">
            <v>0</v>
          </cell>
          <cell r="C4965" t="str">
            <v xml:space="preserve">  NASIR ALI</v>
          </cell>
          <cell r="D4965">
            <v>0</v>
          </cell>
          <cell r="E4965">
            <v>0</v>
          </cell>
          <cell r="F4965">
            <v>0</v>
          </cell>
          <cell r="G4965">
            <v>0</v>
          </cell>
        </row>
        <row r="4966">
          <cell r="A4966" t="str">
            <v>55-01-01-0073</v>
          </cell>
          <cell r="B4966">
            <v>0</v>
          </cell>
          <cell r="C4966" t="str">
            <v xml:space="preserve">  SALIM SHAH</v>
          </cell>
          <cell r="D4966">
            <v>0</v>
          </cell>
          <cell r="E4966">
            <v>0</v>
          </cell>
          <cell r="F4966">
            <v>0</v>
          </cell>
          <cell r="G4966">
            <v>0</v>
          </cell>
        </row>
        <row r="4967">
          <cell r="A4967" t="str">
            <v>55-01-01-0074</v>
          </cell>
          <cell r="B4967">
            <v>0</v>
          </cell>
          <cell r="C4967" t="str">
            <v xml:space="preserve">  AMJAD ALI</v>
          </cell>
          <cell r="D4967">
            <v>0</v>
          </cell>
          <cell r="E4967">
            <v>0</v>
          </cell>
          <cell r="F4967">
            <v>0</v>
          </cell>
          <cell r="G4967">
            <v>0</v>
          </cell>
        </row>
        <row r="4968">
          <cell r="A4968" t="str">
            <v>55-01-01-0075</v>
          </cell>
          <cell r="B4968">
            <v>0</v>
          </cell>
          <cell r="C4968" t="str">
            <v xml:space="preserve">  SHEHBAZ KHAN</v>
          </cell>
          <cell r="D4968">
            <v>0</v>
          </cell>
          <cell r="E4968">
            <v>0</v>
          </cell>
          <cell r="F4968">
            <v>0</v>
          </cell>
          <cell r="G4968">
            <v>0</v>
          </cell>
        </row>
        <row r="4969">
          <cell r="A4969" t="str">
            <v>55-01-01-0076</v>
          </cell>
          <cell r="B4969">
            <v>0</v>
          </cell>
          <cell r="C4969" t="str">
            <v xml:space="preserve">  KHAN MUHAMMAD</v>
          </cell>
          <cell r="D4969">
            <v>0</v>
          </cell>
          <cell r="E4969">
            <v>0</v>
          </cell>
          <cell r="F4969">
            <v>0</v>
          </cell>
          <cell r="G4969">
            <v>0</v>
          </cell>
        </row>
        <row r="4970">
          <cell r="A4970" t="str">
            <v>55-01-01-0077</v>
          </cell>
          <cell r="B4970">
            <v>0</v>
          </cell>
          <cell r="C4970" t="str">
            <v xml:space="preserve">  INTERNATIONAL EXPORT CORPORATION.</v>
          </cell>
          <cell r="D4970">
            <v>0</v>
          </cell>
          <cell r="E4970">
            <v>0</v>
          </cell>
          <cell r="F4970">
            <v>0</v>
          </cell>
          <cell r="G4970">
            <v>0</v>
          </cell>
        </row>
        <row r="4971">
          <cell r="A4971" t="str">
            <v>55-01-01-0078</v>
          </cell>
          <cell r="B4971">
            <v>0</v>
          </cell>
          <cell r="C4971" t="str">
            <v xml:space="preserve">  AL-AZHAR INDUSTRIES</v>
          </cell>
          <cell r="D4971">
            <v>0</v>
          </cell>
          <cell r="E4971">
            <v>0</v>
          </cell>
          <cell r="F4971">
            <v>0</v>
          </cell>
          <cell r="G4971">
            <v>0</v>
          </cell>
        </row>
        <row r="4972">
          <cell r="A4972" t="str">
            <v>55-01-01-0079</v>
          </cell>
          <cell r="B4972">
            <v>0</v>
          </cell>
          <cell r="C4972" t="str">
            <v xml:space="preserve">  ALI ENTERPRISES</v>
          </cell>
          <cell r="D4972">
            <v>0</v>
          </cell>
          <cell r="E4972">
            <v>0</v>
          </cell>
          <cell r="F4972">
            <v>0</v>
          </cell>
          <cell r="G4972">
            <v>0</v>
          </cell>
        </row>
        <row r="4973">
          <cell r="A4973" t="str">
            <v>55-01-01-0080</v>
          </cell>
          <cell r="B4973">
            <v>0</v>
          </cell>
          <cell r="C4973" t="str">
            <v xml:space="preserve">  NAVEED ALAM</v>
          </cell>
          <cell r="D4973">
            <v>0</v>
          </cell>
          <cell r="E4973">
            <v>0</v>
          </cell>
          <cell r="F4973">
            <v>0</v>
          </cell>
          <cell r="G4973">
            <v>0</v>
          </cell>
        </row>
        <row r="4974">
          <cell r="A4974" t="str">
            <v>55-01-01-0081</v>
          </cell>
          <cell r="B4974">
            <v>0</v>
          </cell>
          <cell r="C4974" t="str">
            <v xml:space="preserve">  MUHAMMED HUSSAIN</v>
          </cell>
          <cell r="D4974">
            <v>0</v>
          </cell>
          <cell r="E4974">
            <v>0</v>
          </cell>
          <cell r="F4974">
            <v>0</v>
          </cell>
          <cell r="G4974">
            <v>0</v>
          </cell>
        </row>
        <row r="4975">
          <cell r="A4975" t="str">
            <v>55-01-01-0082</v>
          </cell>
          <cell r="B4975">
            <v>0</v>
          </cell>
          <cell r="C4975" t="str">
            <v xml:space="preserve">  HAIDER ALI</v>
          </cell>
          <cell r="D4975">
            <v>0</v>
          </cell>
          <cell r="E4975">
            <v>0</v>
          </cell>
          <cell r="F4975">
            <v>0</v>
          </cell>
          <cell r="G4975">
            <v>0</v>
          </cell>
        </row>
        <row r="4976">
          <cell r="A4976" t="str">
            <v>55-01-01-0083</v>
          </cell>
          <cell r="B4976">
            <v>0</v>
          </cell>
          <cell r="C4976" t="str">
            <v xml:space="preserve">  QAISER KHAN</v>
          </cell>
          <cell r="D4976">
            <v>0</v>
          </cell>
          <cell r="E4976">
            <v>0</v>
          </cell>
          <cell r="F4976">
            <v>0</v>
          </cell>
          <cell r="G4976">
            <v>0</v>
          </cell>
        </row>
        <row r="4977">
          <cell r="A4977" t="str">
            <v>55-01-01-0084</v>
          </cell>
          <cell r="B4977">
            <v>0</v>
          </cell>
          <cell r="C4977" t="str">
            <v xml:space="preserve">  SHER KHAN</v>
          </cell>
          <cell r="D4977">
            <v>0</v>
          </cell>
          <cell r="E4977">
            <v>0</v>
          </cell>
          <cell r="F4977">
            <v>0</v>
          </cell>
          <cell r="G4977">
            <v>0</v>
          </cell>
        </row>
        <row r="4978">
          <cell r="A4978" t="str">
            <v>55-01-01-0085</v>
          </cell>
          <cell r="B4978">
            <v>0</v>
          </cell>
          <cell r="C4978" t="str">
            <v xml:space="preserve">  A.M.I. INTERNATIONAL</v>
          </cell>
          <cell r="D4978">
            <v>0</v>
          </cell>
          <cell r="E4978">
            <v>0</v>
          </cell>
          <cell r="F4978">
            <v>0</v>
          </cell>
          <cell r="G4978">
            <v>0</v>
          </cell>
        </row>
        <row r="4979">
          <cell r="A4979" t="str">
            <v>55-01-01-0086</v>
          </cell>
          <cell r="B4979">
            <v>0</v>
          </cell>
          <cell r="C4979" t="str">
            <v xml:space="preserve">  TARIQ SHAH</v>
          </cell>
          <cell r="D4979">
            <v>0</v>
          </cell>
          <cell r="E4979">
            <v>0</v>
          </cell>
          <cell r="F4979">
            <v>0</v>
          </cell>
          <cell r="G4979">
            <v>0</v>
          </cell>
        </row>
        <row r="4980">
          <cell r="A4980" t="str">
            <v>55-01-01-0087</v>
          </cell>
          <cell r="B4980">
            <v>0</v>
          </cell>
          <cell r="C4980" t="str">
            <v xml:space="preserve">  I.F.C. ENTERPRISES</v>
          </cell>
          <cell r="D4980">
            <v>0</v>
          </cell>
          <cell r="E4980">
            <v>0</v>
          </cell>
          <cell r="F4980">
            <v>0</v>
          </cell>
          <cell r="G4980">
            <v>0</v>
          </cell>
        </row>
        <row r="4981">
          <cell r="A4981" t="str">
            <v>55-01-01-0088</v>
          </cell>
          <cell r="B4981">
            <v>0</v>
          </cell>
          <cell r="C4981" t="str">
            <v xml:space="preserve">  ABDUL KARIM</v>
          </cell>
          <cell r="D4981">
            <v>0</v>
          </cell>
          <cell r="E4981">
            <v>0</v>
          </cell>
          <cell r="F4981">
            <v>0</v>
          </cell>
          <cell r="G4981">
            <v>0</v>
          </cell>
        </row>
        <row r="4982">
          <cell r="A4982" t="str">
            <v>55-01-01-0089</v>
          </cell>
          <cell r="B4982">
            <v>0</v>
          </cell>
          <cell r="C4982" t="str">
            <v xml:space="preserve">  UNIVERSAL GUM (PVT) LIMITED</v>
          </cell>
          <cell r="D4982">
            <v>0</v>
          </cell>
          <cell r="E4982">
            <v>0</v>
          </cell>
          <cell r="F4982">
            <v>0</v>
          </cell>
          <cell r="G4982">
            <v>0</v>
          </cell>
        </row>
        <row r="4983">
          <cell r="A4983" t="str">
            <v>55-01-01-0090</v>
          </cell>
          <cell r="B4983">
            <v>0</v>
          </cell>
          <cell r="C4983" t="str">
            <v xml:space="preserve">  HAJI SHAIKH NOOR DIN &amp; SONS (PVT) LTD.</v>
          </cell>
          <cell r="D4983">
            <v>0</v>
          </cell>
          <cell r="E4983">
            <v>0</v>
          </cell>
          <cell r="F4983">
            <v>0</v>
          </cell>
          <cell r="G4983">
            <v>0</v>
          </cell>
        </row>
        <row r="4984">
          <cell r="A4984" t="str">
            <v>55-01-01-0091</v>
          </cell>
          <cell r="B4984">
            <v>0</v>
          </cell>
          <cell r="C4984" t="str">
            <v xml:space="preserve">  SHAH ALAM</v>
          </cell>
          <cell r="D4984">
            <v>0</v>
          </cell>
          <cell r="E4984">
            <v>0</v>
          </cell>
          <cell r="F4984">
            <v>0</v>
          </cell>
          <cell r="G4984">
            <v>0</v>
          </cell>
        </row>
        <row r="4985">
          <cell r="A4985" t="str">
            <v>55-01-01-0092</v>
          </cell>
          <cell r="B4985">
            <v>0</v>
          </cell>
          <cell r="C4985" t="str">
            <v xml:space="preserve">  M.QASIM</v>
          </cell>
          <cell r="D4985">
            <v>0</v>
          </cell>
          <cell r="E4985">
            <v>0</v>
          </cell>
          <cell r="F4985">
            <v>0</v>
          </cell>
          <cell r="G4985">
            <v>0</v>
          </cell>
        </row>
        <row r="4986">
          <cell r="A4986" t="str">
            <v>55-01-01-0093</v>
          </cell>
          <cell r="B4986">
            <v>0</v>
          </cell>
          <cell r="C4986" t="str">
            <v xml:space="preserve">  NOMAN ALI</v>
          </cell>
          <cell r="D4986">
            <v>0</v>
          </cell>
          <cell r="E4986">
            <v>0</v>
          </cell>
          <cell r="F4986">
            <v>0</v>
          </cell>
          <cell r="G4986">
            <v>0</v>
          </cell>
        </row>
        <row r="4987">
          <cell r="A4987" t="str">
            <v>55-01-01-0094</v>
          </cell>
          <cell r="B4987">
            <v>0</v>
          </cell>
          <cell r="C4987" t="str">
            <v xml:space="preserve">  SONIJA ENTERPRISES</v>
          </cell>
          <cell r="D4987">
            <v>0</v>
          </cell>
          <cell r="E4987">
            <v>0</v>
          </cell>
          <cell r="F4987">
            <v>0</v>
          </cell>
          <cell r="G4987">
            <v>0</v>
          </cell>
        </row>
        <row r="4988">
          <cell r="A4988" t="str">
            <v>55-01-01-0095</v>
          </cell>
          <cell r="B4988">
            <v>0</v>
          </cell>
          <cell r="C4988" t="str">
            <v xml:space="preserve">  DANISH INTENRATIONAL</v>
          </cell>
          <cell r="D4988">
            <v>0</v>
          </cell>
          <cell r="E4988">
            <v>0</v>
          </cell>
          <cell r="F4988">
            <v>0</v>
          </cell>
          <cell r="G4988">
            <v>0</v>
          </cell>
        </row>
        <row r="4989">
          <cell r="A4989" t="str">
            <v>55-01-01-0096</v>
          </cell>
          <cell r="B4989">
            <v>0</v>
          </cell>
          <cell r="C4989" t="str">
            <v xml:space="preserve">  NOOR TEXTILES</v>
          </cell>
          <cell r="D4989">
            <v>0</v>
          </cell>
          <cell r="E4989">
            <v>0</v>
          </cell>
          <cell r="F4989">
            <v>0</v>
          </cell>
          <cell r="G4989">
            <v>0</v>
          </cell>
        </row>
        <row r="4990">
          <cell r="A4990" t="str">
            <v>55-01-01-0097</v>
          </cell>
          <cell r="B4990">
            <v>0</v>
          </cell>
          <cell r="C4990" t="str">
            <v xml:space="preserve">  MIAN ENTERPRISES</v>
          </cell>
          <cell r="D4990">
            <v>0</v>
          </cell>
          <cell r="E4990">
            <v>0</v>
          </cell>
          <cell r="F4990">
            <v>0</v>
          </cell>
          <cell r="G4990">
            <v>0</v>
          </cell>
        </row>
        <row r="4991">
          <cell r="A4991" t="str">
            <v>55-01-01-0098</v>
          </cell>
          <cell r="B4991">
            <v>0</v>
          </cell>
          <cell r="C4991" t="str">
            <v xml:space="preserve">  AL-NOOR TEXTILE IND.</v>
          </cell>
          <cell r="D4991">
            <v>0</v>
          </cell>
          <cell r="E4991">
            <v>0</v>
          </cell>
          <cell r="F4991">
            <v>0</v>
          </cell>
          <cell r="G4991">
            <v>0</v>
          </cell>
        </row>
        <row r="4992">
          <cell r="A4992" t="str">
            <v>55-01-01-0099</v>
          </cell>
          <cell r="B4992">
            <v>0</v>
          </cell>
          <cell r="C4992" t="str">
            <v xml:space="preserve">  HAJI AHMED HAJI UMERJI &amp; CO.</v>
          </cell>
          <cell r="D4992">
            <v>0</v>
          </cell>
          <cell r="E4992">
            <v>0</v>
          </cell>
          <cell r="F4992">
            <v>0</v>
          </cell>
          <cell r="G4992">
            <v>0</v>
          </cell>
        </row>
        <row r="4993">
          <cell r="A4993" t="str">
            <v>55-01-01-0100</v>
          </cell>
          <cell r="B4993">
            <v>0</v>
          </cell>
          <cell r="C4993" t="str">
            <v xml:space="preserve">  AUGUST TEXTILE COMMUNION</v>
          </cell>
          <cell r="D4993">
            <v>0</v>
          </cell>
          <cell r="E4993">
            <v>0</v>
          </cell>
          <cell r="F4993">
            <v>0</v>
          </cell>
          <cell r="G4993">
            <v>0</v>
          </cell>
        </row>
        <row r="4994">
          <cell r="A4994" t="str">
            <v>55-01-01-0101</v>
          </cell>
          <cell r="B4994">
            <v>0</v>
          </cell>
          <cell r="C4994" t="str">
            <v xml:space="preserve">  SARDAR ENTERPRISES</v>
          </cell>
          <cell r="D4994">
            <v>0</v>
          </cell>
          <cell r="E4994">
            <v>0</v>
          </cell>
          <cell r="F4994">
            <v>0</v>
          </cell>
          <cell r="G4994">
            <v>0</v>
          </cell>
        </row>
        <row r="4995">
          <cell r="A4995" t="str">
            <v>55-01-01-0102</v>
          </cell>
          <cell r="B4995">
            <v>0</v>
          </cell>
          <cell r="C4995" t="str">
            <v xml:space="preserve">  MEHTAB SILK FACTORY</v>
          </cell>
          <cell r="D4995">
            <v>0</v>
          </cell>
          <cell r="E4995">
            <v>0</v>
          </cell>
          <cell r="F4995">
            <v>0</v>
          </cell>
          <cell r="G4995">
            <v>0</v>
          </cell>
        </row>
        <row r="4996">
          <cell r="A4996" t="str">
            <v>55-01-01-0103</v>
          </cell>
          <cell r="B4996">
            <v>0</v>
          </cell>
          <cell r="C4996" t="str">
            <v xml:space="preserve">  ROOMI INTERNATIONAL</v>
          </cell>
          <cell r="D4996">
            <v>0</v>
          </cell>
          <cell r="E4996">
            <v>0</v>
          </cell>
          <cell r="F4996">
            <v>0</v>
          </cell>
          <cell r="G4996">
            <v>0</v>
          </cell>
        </row>
        <row r="4997">
          <cell r="A4997" t="str">
            <v>55-01-01-0104</v>
          </cell>
          <cell r="B4997">
            <v>0</v>
          </cell>
          <cell r="C4997" t="str">
            <v xml:space="preserve">  UNITED TRADERS</v>
          </cell>
          <cell r="D4997">
            <v>0</v>
          </cell>
          <cell r="E4997">
            <v>0</v>
          </cell>
          <cell r="F4997">
            <v>0</v>
          </cell>
          <cell r="G4997">
            <v>0</v>
          </cell>
        </row>
        <row r="4998">
          <cell r="A4998" t="str">
            <v>55-01-01-0105</v>
          </cell>
          <cell r="B4998">
            <v>0</v>
          </cell>
          <cell r="C4998" t="str">
            <v xml:space="preserve">  MUTUTAL TRADING CORPORATION</v>
          </cell>
          <cell r="D4998">
            <v>0</v>
          </cell>
          <cell r="E4998">
            <v>0</v>
          </cell>
          <cell r="F4998">
            <v>0</v>
          </cell>
          <cell r="G4998">
            <v>0</v>
          </cell>
        </row>
        <row r="4999">
          <cell r="A4999" t="str">
            <v>55-01-01-0106</v>
          </cell>
          <cell r="B4999">
            <v>0</v>
          </cell>
          <cell r="C4999" t="str">
            <v xml:space="preserve">  EXPORT INTERNATIONAL</v>
          </cell>
          <cell r="D4999">
            <v>0</v>
          </cell>
          <cell r="E4999">
            <v>0</v>
          </cell>
          <cell r="F4999">
            <v>0</v>
          </cell>
          <cell r="G4999">
            <v>0</v>
          </cell>
        </row>
        <row r="5000">
          <cell r="A5000" t="str">
            <v>55-01-01-0107</v>
          </cell>
          <cell r="B5000">
            <v>0</v>
          </cell>
          <cell r="C5000" t="str">
            <v xml:space="preserve">  EXPORTER INTERNATIONAL</v>
          </cell>
          <cell r="D5000">
            <v>0</v>
          </cell>
          <cell r="E5000">
            <v>0</v>
          </cell>
          <cell r="F5000">
            <v>0</v>
          </cell>
          <cell r="G5000">
            <v>0</v>
          </cell>
        </row>
        <row r="5001">
          <cell r="A5001" t="str">
            <v>55-01-01-0108</v>
          </cell>
          <cell r="B5001">
            <v>0</v>
          </cell>
          <cell r="C5001" t="str">
            <v xml:space="preserve">  R.A.TEX</v>
          </cell>
          <cell r="D5001">
            <v>0</v>
          </cell>
          <cell r="E5001">
            <v>0</v>
          </cell>
          <cell r="F5001">
            <v>0</v>
          </cell>
          <cell r="G5001">
            <v>0</v>
          </cell>
        </row>
        <row r="5002">
          <cell r="A5002" t="str">
            <v>55-01-01-0109</v>
          </cell>
          <cell r="B5002">
            <v>0</v>
          </cell>
          <cell r="C5002" t="str">
            <v xml:space="preserve">  AL-KARAM TEXTILE MILLS</v>
          </cell>
          <cell r="D5002">
            <v>0</v>
          </cell>
          <cell r="E5002">
            <v>0</v>
          </cell>
          <cell r="F5002">
            <v>0</v>
          </cell>
          <cell r="G5002">
            <v>0</v>
          </cell>
        </row>
        <row r="5003">
          <cell r="A5003" t="str">
            <v>55-01-01-0110</v>
          </cell>
          <cell r="B5003">
            <v>0</v>
          </cell>
          <cell r="C5003" t="str">
            <v xml:space="preserve">  ZODIC CORPORATION</v>
          </cell>
          <cell r="D5003">
            <v>0</v>
          </cell>
          <cell r="E5003">
            <v>0</v>
          </cell>
          <cell r="F5003">
            <v>0</v>
          </cell>
          <cell r="G5003">
            <v>0</v>
          </cell>
        </row>
        <row r="5004">
          <cell r="A5004" t="str">
            <v>55-01-01-0111</v>
          </cell>
          <cell r="B5004">
            <v>0</v>
          </cell>
          <cell r="C5004" t="str">
            <v xml:space="preserve">  U.S.F. CORPORATION</v>
          </cell>
          <cell r="D5004">
            <v>0</v>
          </cell>
          <cell r="E5004">
            <v>0</v>
          </cell>
          <cell r="F5004">
            <v>0</v>
          </cell>
          <cell r="G5004">
            <v>0</v>
          </cell>
        </row>
        <row r="5005">
          <cell r="A5005" t="str">
            <v>55-01-01-0112</v>
          </cell>
          <cell r="B5005">
            <v>0</v>
          </cell>
          <cell r="C5005" t="str">
            <v xml:space="preserve">  BARKAH TEXTILE &amp; PRINTING MILLS (PVT)L</v>
          </cell>
          <cell r="D5005">
            <v>0</v>
          </cell>
          <cell r="E5005">
            <v>0</v>
          </cell>
          <cell r="F5005">
            <v>0</v>
          </cell>
          <cell r="G5005">
            <v>0</v>
          </cell>
        </row>
        <row r="5006">
          <cell r="A5006" t="str">
            <v>55-01-01-0114</v>
          </cell>
          <cell r="B5006">
            <v>0</v>
          </cell>
          <cell r="C5006" t="str">
            <v xml:space="preserve">  TEX COT</v>
          </cell>
          <cell r="D5006">
            <v>0</v>
          </cell>
          <cell r="E5006">
            <v>0</v>
          </cell>
          <cell r="F5006">
            <v>0</v>
          </cell>
          <cell r="G5006">
            <v>0</v>
          </cell>
        </row>
        <row r="5007">
          <cell r="A5007" t="str">
            <v>55-01-01-0115</v>
          </cell>
          <cell r="B5007">
            <v>0</v>
          </cell>
          <cell r="C5007" t="str">
            <v xml:space="preserve">  JILLANI WEAVING MILLS (PVT) LIMITED</v>
          </cell>
          <cell r="D5007">
            <v>0</v>
          </cell>
          <cell r="E5007">
            <v>0</v>
          </cell>
          <cell r="F5007">
            <v>0</v>
          </cell>
          <cell r="G5007">
            <v>0</v>
          </cell>
        </row>
        <row r="5008">
          <cell r="A5008" t="str">
            <v>55-01-01-0116</v>
          </cell>
          <cell r="B5008">
            <v>0</v>
          </cell>
          <cell r="C5008" t="str">
            <v xml:space="preserve">  RIAZ FABRICS INDUSTRIES</v>
          </cell>
          <cell r="D5008">
            <v>0</v>
          </cell>
          <cell r="E5008">
            <v>0</v>
          </cell>
          <cell r="F5008">
            <v>0</v>
          </cell>
          <cell r="G5008">
            <v>0</v>
          </cell>
        </row>
        <row r="5009">
          <cell r="A5009" t="str">
            <v>55-01-01-0117</v>
          </cell>
          <cell r="B5009">
            <v>0</v>
          </cell>
          <cell r="C5009" t="str">
            <v xml:space="preserve">  TAJ TEXTILE INDUSTRIES</v>
          </cell>
          <cell r="D5009">
            <v>0</v>
          </cell>
          <cell r="E5009">
            <v>0</v>
          </cell>
          <cell r="F5009">
            <v>0</v>
          </cell>
          <cell r="G5009">
            <v>0</v>
          </cell>
        </row>
        <row r="5010">
          <cell r="A5010" t="str">
            <v>55-01-01-0118</v>
          </cell>
          <cell r="B5010">
            <v>0</v>
          </cell>
          <cell r="C5010" t="str">
            <v xml:space="preserve">  RAJ TEXTILE</v>
          </cell>
          <cell r="D5010">
            <v>0</v>
          </cell>
          <cell r="E5010">
            <v>0</v>
          </cell>
          <cell r="F5010">
            <v>0</v>
          </cell>
          <cell r="G5010">
            <v>0</v>
          </cell>
        </row>
        <row r="5011">
          <cell r="A5011" t="str">
            <v>55-01-01-0119</v>
          </cell>
          <cell r="B5011">
            <v>0</v>
          </cell>
          <cell r="C5011" t="str">
            <v xml:space="preserve">  UNITED EXPORTS COMPANY</v>
          </cell>
          <cell r="D5011">
            <v>0</v>
          </cell>
          <cell r="E5011">
            <v>0</v>
          </cell>
          <cell r="F5011">
            <v>0</v>
          </cell>
          <cell r="G5011">
            <v>0</v>
          </cell>
        </row>
        <row r="5012">
          <cell r="A5012" t="str">
            <v>55-01-01-0120</v>
          </cell>
          <cell r="B5012">
            <v>0</v>
          </cell>
          <cell r="C5012" t="str">
            <v xml:space="preserve">  SADIQ FABRICS</v>
          </cell>
          <cell r="D5012">
            <v>0</v>
          </cell>
          <cell r="E5012">
            <v>0</v>
          </cell>
          <cell r="F5012">
            <v>0</v>
          </cell>
          <cell r="G5012">
            <v>0</v>
          </cell>
        </row>
        <row r="5013">
          <cell r="A5013" t="str">
            <v>55-01-01-0121</v>
          </cell>
          <cell r="B5013">
            <v>0</v>
          </cell>
          <cell r="C5013" t="str">
            <v xml:space="preserve">  IQRAR FABRICS</v>
          </cell>
          <cell r="D5013">
            <v>0</v>
          </cell>
          <cell r="E5013">
            <v>0</v>
          </cell>
          <cell r="F5013">
            <v>0</v>
          </cell>
          <cell r="G5013">
            <v>0</v>
          </cell>
        </row>
        <row r="5014">
          <cell r="A5014" t="str">
            <v>55-01-01-0122</v>
          </cell>
          <cell r="B5014">
            <v>0</v>
          </cell>
          <cell r="C5014" t="str">
            <v xml:space="preserve">  SAEED MOTIWALA (BROKERAGE OF YARN)</v>
          </cell>
          <cell r="D5014">
            <v>0</v>
          </cell>
          <cell r="E5014">
            <v>0</v>
          </cell>
          <cell r="F5014">
            <v>0</v>
          </cell>
          <cell r="G5014">
            <v>0</v>
          </cell>
        </row>
        <row r="5015">
          <cell r="A5015" t="str">
            <v>55-01-01-0123</v>
          </cell>
          <cell r="B5015">
            <v>0</v>
          </cell>
          <cell r="C5015" t="str">
            <v xml:space="preserve">  AMJAD TEXTILE INDUSTRIES</v>
          </cell>
          <cell r="D5015">
            <v>0</v>
          </cell>
          <cell r="E5015">
            <v>0</v>
          </cell>
          <cell r="F5015">
            <v>0</v>
          </cell>
          <cell r="G5015">
            <v>0</v>
          </cell>
        </row>
        <row r="5016">
          <cell r="A5016" t="str">
            <v>55-01-01-0124</v>
          </cell>
          <cell r="B5016">
            <v>0</v>
          </cell>
          <cell r="C5016" t="str">
            <v xml:space="preserve">  PARVEEN FABRICS</v>
          </cell>
          <cell r="D5016">
            <v>0</v>
          </cell>
          <cell r="E5016">
            <v>0</v>
          </cell>
          <cell r="F5016">
            <v>0</v>
          </cell>
          <cell r="G5016">
            <v>0</v>
          </cell>
        </row>
        <row r="5017">
          <cell r="A5017" t="str">
            <v>55-01-01-0125</v>
          </cell>
          <cell r="B5017">
            <v>0</v>
          </cell>
          <cell r="C5017" t="str">
            <v xml:space="preserve">  SAIGAL TRADERS PROPRIETER</v>
          </cell>
          <cell r="D5017">
            <v>0</v>
          </cell>
          <cell r="E5017">
            <v>0</v>
          </cell>
          <cell r="F5017">
            <v>0</v>
          </cell>
          <cell r="G5017">
            <v>0</v>
          </cell>
        </row>
        <row r="5018">
          <cell r="A5018" t="str">
            <v>55-01-01-0126</v>
          </cell>
          <cell r="B5018">
            <v>0</v>
          </cell>
          <cell r="C5018" t="str">
            <v xml:space="preserve">  FLEXI INTERNATIONAL</v>
          </cell>
          <cell r="D5018">
            <v>0</v>
          </cell>
          <cell r="E5018">
            <v>0</v>
          </cell>
          <cell r="F5018">
            <v>0</v>
          </cell>
          <cell r="G5018">
            <v>0</v>
          </cell>
        </row>
        <row r="5019">
          <cell r="A5019" t="str">
            <v>55-01-01-0127</v>
          </cell>
          <cell r="B5019">
            <v>0</v>
          </cell>
          <cell r="C5019" t="str">
            <v xml:space="preserve">  ASIA TEXTILE</v>
          </cell>
          <cell r="D5019">
            <v>0</v>
          </cell>
          <cell r="E5019">
            <v>0</v>
          </cell>
          <cell r="F5019">
            <v>0</v>
          </cell>
          <cell r="G5019">
            <v>0</v>
          </cell>
        </row>
        <row r="5020">
          <cell r="A5020" t="str">
            <v>55-01-01-0128</v>
          </cell>
          <cell r="B5020">
            <v>0</v>
          </cell>
          <cell r="C5020" t="str">
            <v xml:space="preserve">  ALI IMPEX</v>
          </cell>
          <cell r="D5020">
            <v>0</v>
          </cell>
          <cell r="E5020">
            <v>0</v>
          </cell>
          <cell r="F5020">
            <v>0</v>
          </cell>
          <cell r="G5020">
            <v>0</v>
          </cell>
        </row>
        <row r="5021">
          <cell r="A5021" t="str">
            <v>55-01-01-0129</v>
          </cell>
          <cell r="B5021">
            <v>0</v>
          </cell>
          <cell r="C5021" t="str">
            <v xml:space="preserve">  LAKHANY SILK MILLS (PVT) LIMITED.</v>
          </cell>
          <cell r="D5021">
            <v>0</v>
          </cell>
          <cell r="E5021">
            <v>0</v>
          </cell>
          <cell r="F5021">
            <v>0</v>
          </cell>
          <cell r="G5021">
            <v>0</v>
          </cell>
        </row>
        <row r="5022">
          <cell r="A5022" t="str">
            <v>55-01-01-0130</v>
          </cell>
          <cell r="B5022">
            <v>0</v>
          </cell>
          <cell r="C5022" t="str">
            <v xml:space="preserve">  ABID TRADERS</v>
          </cell>
          <cell r="D5022">
            <v>0</v>
          </cell>
          <cell r="E5022">
            <v>0</v>
          </cell>
          <cell r="F5022">
            <v>0</v>
          </cell>
          <cell r="G5022">
            <v>0</v>
          </cell>
        </row>
        <row r="5023">
          <cell r="A5023" t="str">
            <v>55-01-01-0131</v>
          </cell>
          <cell r="B5023">
            <v>0</v>
          </cell>
          <cell r="C5023" t="str">
            <v xml:space="preserve">  FASHION KNIT INDUSTRIES</v>
          </cell>
          <cell r="D5023">
            <v>0</v>
          </cell>
          <cell r="E5023">
            <v>0</v>
          </cell>
          <cell r="F5023">
            <v>0</v>
          </cell>
          <cell r="G5023">
            <v>0</v>
          </cell>
        </row>
        <row r="5024">
          <cell r="A5024" t="str">
            <v>55-01-01-0132</v>
          </cell>
          <cell r="B5024">
            <v>0</v>
          </cell>
          <cell r="C5024" t="str">
            <v xml:space="preserve">  RADIANT TEXTILES</v>
          </cell>
          <cell r="D5024">
            <v>0</v>
          </cell>
          <cell r="E5024">
            <v>0</v>
          </cell>
          <cell r="F5024">
            <v>0</v>
          </cell>
          <cell r="G5024">
            <v>0</v>
          </cell>
        </row>
        <row r="5025">
          <cell r="A5025" t="str">
            <v>55-01-01-0133</v>
          </cell>
          <cell r="B5025">
            <v>0</v>
          </cell>
          <cell r="C5025" t="str">
            <v xml:space="preserve">  AMNA TEXTILE</v>
          </cell>
          <cell r="D5025">
            <v>0</v>
          </cell>
          <cell r="E5025">
            <v>0</v>
          </cell>
          <cell r="F5025">
            <v>0</v>
          </cell>
          <cell r="G5025">
            <v>0</v>
          </cell>
        </row>
        <row r="5026">
          <cell r="A5026" t="str">
            <v>55-01-01-0134</v>
          </cell>
          <cell r="B5026">
            <v>0</v>
          </cell>
          <cell r="C5026" t="str">
            <v xml:space="preserve">  ILYAS RAFIQ &amp; COMPANY</v>
          </cell>
          <cell r="D5026">
            <v>0</v>
          </cell>
          <cell r="E5026">
            <v>0</v>
          </cell>
          <cell r="F5026">
            <v>0</v>
          </cell>
          <cell r="G5026">
            <v>0</v>
          </cell>
        </row>
        <row r="5027">
          <cell r="A5027" t="str">
            <v>55-01-01-0135</v>
          </cell>
          <cell r="B5027">
            <v>0</v>
          </cell>
          <cell r="C5027" t="str">
            <v xml:space="preserve">  M.RAFI &amp; SONS</v>
          </cell>
          <cell r="D5027">
            <v>0</v>
          </cell>
          <cell r="E5027">
            <v>0</v>
          </cell>
          <cell r="F5027">
            <v>0</v>
          </cell>
          <cell r="G5027">
            <v>0</v>
          </cell>
        </row>
        <row r="5028">
          <cell r="A5028" t="str">
            <v>55-01-01-0136</v>
          </cell>
          <cell r="B5028">
            <v>0</v>
          </cell>
          <cell r="C5028" t="str">
            <v xml:space="preserve">  JAWWAD INDUSTRIES</v>
          </cell>
          <cell r="D5028">
            <v>0</v>
          </cell>
          <cell r="E5028">
            <v>0</v>
          </cell>
          <cell r="F5028">
            <v>0</v>
          </cell>
          <cell r="G5028">
            <v>0</v>
          </cell>
        </row>
        <row r="5029">
          <cell r="A5029" t="str">
            <v>55-01-01-0137</v>
          </cell>
          <cell r="B5029">
            <v>0</v>
          </cell>
          <cell r="C5029" t="str">
            <v xml:space="preserve">  KNIT TIME</v>
          </cell>
          <cell r="D5029">
            <v>0</v>
          </cell>
          <cell r="E5029">
            <v>0</v>
          </cell>
          <cell r="F5029">
            <v>0</v>
          </cell>
          <cell r="G5029">
            <v>0</v>
          </cell>
        </row>
        <row r="5030">
          <cell r="A5030" t="str">
            <v>55-01-01-0138</v>
          </cell>
          <cell r="B5030">
            <v>0</v>
          </cell>
          <cell r="C5030" t="str">
            <v xml:space="preserve">  AL REHMAN TEXTILE</v>
          </cell>
          <cell r="D5030">
            <v>0</v>
          </cell>
          <cell r="E5030">
            <v>0</v>
          </cell>
          <cell r="F5030">
            <v>0</v>
          </cell>
          <cell r="G5030">
            <v>0</v>
          </cell>
        </row>
        <row r="5031">
          <cell r="A5031" t="str">
            <v>55-01-01-0139</v>
          </cell>
          <cell r="B5031">
            <v>0</v>
          </cell>
          <cell r="C5031" t="str">
            <v xml:space="preserve">  HAREEM TEXTILE</v>
          </cell>
          <cell r="D5031">
            <v>0</v>
          </cell>
          <cell r="E5031">
            <v>0</v>
          </cell>
          <cell r="F5031">
            <v>0</v>
          </cell>
          <cell r="G5031">
            <v>0</v>
          </cell>
        </row>
        <row r="5032">
          <cell r="A5032" t="str">
            <v>55-01-01-0140</v>
          </cell>
          <cell r="B5032">
            <v>0</v>
          </cell>
          <cell r="C5032" t="str">
            <v xml:space="preserve">  ATARA TARPAULINE &amp; TEXTILE MILLS</v>
          </cell>
          <cell r="D5032">
            <v>0</v>
          </cell>
          <cell r="E5032">
            <v>0</v>
          </cell>
          <cell r="F5032">
            <v>0</v>
          </cell>
          <cell r="G5032">
            <v>0</v>
          </cell>
        </row>
        <row r="5033">
          <cell r="A5033" t="str">
            <v>55-01-01-0141</v>
          </cell>
          <cell r="B5033">
            <v>0</v>
          </cell>
          <cell r="C5033" t="str">
            <v xml:space="preserve">  GOVANDI TEXTILE</v>
          </cell>
          <cell r="D5033">
            <v>0</v>
          </cell>
          <cell r="E5033">
            <v>0</v>
          </cell>
          <cell r="F5033">
            <v>0</v>
          </cell>
          <cell r="G5033">
            <v>0</v>
          </cell>
        </row>
        <row r="5034">
          <cell r="A5034" t="str">
            <v>55-01-01-0142</v>
          </cell>
          <cell r="B5034">
            <v>0</v>
          </cell>
          <cell r="C5034" t="str">
            <v xml:space="preserve">  ASFA TEXTILE</v>
          </cell>
          <cell r="D5034">
            <v>0</v>
          </cell>
          <cell r="E5034">
            <v>0</v>
          </cell>
          <cell r="F5034">
            <v>0</v>
          </cell>
          <cell r="G5034">
            <v>0</v>
          </cell>
        </row>
        <row r="5035">
          <cell r="A5035" t="str">
            <v>55-01-01-0143</v>
          </cell>
          <cell r="B5035">
            <v>0</v>
          </cell>
          <cell r="C5035" t="str">
            <v xml:space="preserve">  MUHAMMAD ASHRAF</v>
          </cell>
          <cell r="D5035">
            <v>0</v>
          </cell>
          <cell r="E5035">
            <v>0</v>
          </cell>
          <cell r="F5035">
            <v>0</v>
          </cell>
          <cell r="G5035">
            <v>0</v>
          </cell>
        </row>
        <row r="5036">
          <cell r="A5036" t="str">
            <v>55-01-01-0144</v>
          </cell>
          <cell r="B5036">
            <v>0</v>
          </cell>
          <cell r="C5036" t="str">
            <v xml:space="preserve">  ASSK TRADERS</v>
          </cell>
          <cell r="D5036">
            <v>0</v>
          </cell>
          <cell r="E5036">
            <v>0</v>
          </cell>
          <cell r="F5036">
            <v>0</v>
          </cell>
          <cell r="G5036">
            <v>0</v>
          </cell>
        </row>
        <row r="5037">
          <cell r="A5037" t="str">
            <v>55-01-01-0145</v>
          </cell>
          <cell r="B5037">
            <v>0</v>
          </cell>
          <cell r="C5037" t="str">
            <v xml:space="preserve">  SAJID MEHMOOD</v>
          </cell>
          <cell r="D5037">
            <v>0</v>
          </cell>
          <cell r="E5037">
            <v>0</v>
          </cell>
          <cell r="F5037">
            <v>0</v>
          </cell>
          <cell r="G5037">
            <v>0</v>
          </cell>
        </row>
        <row r="5038">
          <cell r="A5038" t="str">
            <v>55-01-01-0253</v>
          </cell>
          <cell r="B5038">
            <v>0</v>
          </cell>
          <cell r="C5038" t="str">
            <v xml:space="preserve">  LA CONTONADE</v>
          </cell>
          <cell r="D5038">
            <v>0</v>
          </cell>
          <cell r="E5038">
            <v>0</v>
          </cell>
          <cell r="F5038">
            <v>0</v>
          </cell>
          <cell r="G5038">
            <v>0</v>
          </cell>
        </row>
        <row r="5039">
          <cell r="A5039" t="str">
            <v>55-01-01-0254</v>
          </cell>
          <cell r="B5039">
            <v>0</v>
          </cell>
          <cell r="C5039" t="str">
            <v xml:space="preserve">  SALEEM TEXTILES</v>
          </cell>
          <cell r="D5039">
            <v>0</v>
          </cell>
          <cell r="E5039">
            <v>0</v>
          </cell>
          <cell r="F5039">
            <v>0</v>
          </cell>
          <cell r="G5039">
            <v>0</v>
          </cell>
        </row>
        <row r="5040">
          <cell r="A5040" t="str">
            <v>55-01-01-0255</v>
          </cell>
          <cell r="B5040">
            <v>0</v>
          </cell>
          <cell r="C5040" t="str">
            <v xml:space="preserve">  SIKANDAR ENTERPRISES</v>
          </cell>
          <cell r="D5040">
            <v>0</v>
          </cell>
          <cell r="E5040">
            <v>0</v>
          </cell>
          <cell r="F5040">
            <v>0</v>
          </cell>
          <cell r="G5040">
            <v>0</v>
          </cell>
        </row>
        <row r="5041">
          <cell r="A5041" t="str">
            <v>55-01-01-0256</v>
          </cell>
          <cell r="B5041">
            <v>0</v>
          </cell>
          <cell r="C5041" t="str">
            <v xml:space="preserve">  MASHALL CREDITS</v>
          </cell>
          <cell r="D5041">
            <v>0</v>
          </cell>
          <cell r="E5041">
            <v>0</v>
          </cell>
          <cell r="F5041">
            <v>0</v>
          </cell>
          <cell r="G5041">
            <v>0</v>
          </cell>
        </row>
        <row r="5042">
          <cell r="A5042" t="str">
            <v>55-01-01-0257</v>
          </cell>
          <cell r="B5042">
            <v>0</v>
          </cell>
          <cell r="C5042" t="str">
            <v xml:space="preserve">  SANAULLA TEXTILE MILLS.</v>
          </cell>
          <cell r="D5042">
            <v>0</v>
          </cell>
          <cell r="E5042">
            <v>0</v>
          </cell>
          <cell r="F5042">
            <v>0</v>
          </cell>
          <cell r="G5042">
            <v>0</v>
          </cell>
        </row>
        <row r="5043">
          <cell r="A5043" t="str">
            <v>55-01-01-0258</v>
          </cell>
          <cell r="B5043">
            <v>0</v>
          </cell>
          <cell r="C5043" t="str">
            <v xml:space="preserve">  ZONE INTERNATIONAL</v>
          </cell>
          <cell r="D5043">
            <v>0</v>
          </cell>
          <cell r="E5043">
            <v>0</v>
          </cell>
          <cell r="F5043">
            <v>0</v>
          </cell>
          <cell r="G5043">
            <v>0</v>
          </cell>
        </row>
        <row r="5044">
          <cell r="A5044" t="str">
            <v>55-01-01-0259</v>
          </cell>
          <cell r="B5044">
            <v>0</v>
          </cell>
          <cell r="C5044" t="str">
            <v xml:space="preserve">  MILLENIUM TEXTILES.</v>
          </cell>
          <cell r="D5044">
            <v>0</v>
          </cell>
          <cell r="E5044">
            <v>0</v>
          </cell>
          <cell r="F5044">
            <v>0</v>
          </cell>
          <cell r="G5044">
            <v>0</v>
          </cell>
        </row>
        <row r="5045">
          <cell r="A5045" t="str">
            <v>55-01-01-0260</v>
          </cell>
          <cell r="B5045">
            <v>0</v>
          </cell>
          <cell r="C5045" t="str">
            <v xml:space="preserve">  NOON FABRICS</v>
          </cell>
          <cell r="D5045">
            <v>0</v>
          </cell>
          <cell r="E5045">
            <v>0</v>
          </cell>
          <cell r="F5045">
            <v>0</v>
          </cell>
          <cell r="G5045">
            <v>0</v>
          </cell>
        </row>
        <row r="5046">
          <cell r="A5046" t="str">
            <v>55-01-01-0261</v>
          </cell>
          <cell r="B5046">
            <v>0</v>
          </cell>
          <cell r="C5046" t="str">
            <v xml:space="preserve">  MOONA FABRICS</v>
          </cell>
          <cell r="D5046">
            <v>0</v>
          </cell>
          <cell r="E5046">
            <v>0</v>
          </cell>
          <cell r="F5046">
            <v>0</v>
          </cell>
          <cell r="G5046">
            <v>0</v>
          </cell>
        </row>
        <row r="5047">
          <cell r="A5047" t="str">
            <v>55-01-01-0262</v>
          </cell>
          <cell r="B5047">
            <v>0</v>
          </cell>
          <cell r="C5047" t="str">
            <v xml:space="preserve">  SHAYAN FABRIC</v>
          </cell>
          <cell r="D5047">
            <v>0</v>
          </cell>
          <cell r="E5047">
            <v>0</v>
          </cell>
          <cell r="F5047">
            <v>0</v>
          </cell>
          <cell r="G5047">
            <v>0</v>
          </cell>
        </row>
        <row r="5048">
          <cell r="A5048" t="str">
            <v>55-01-01-0263</v>
          </cell>
          <cell r="B5048">
            <v>0</v>
          </cell>
          <cell r="C5048" t="str">
            <v xml:space="preserve">  MUSKAAN ENTERPRISES</v>
          </cell>
          <cell r="D5048">
            <v>0</v>
          </cell>
          <cell r="E5048">
            <v>0</v>
          </cell>
          <cell r="F5048">
            <v>0</v>
          </cell>
          <cell r="G5048">
            <v>0</v>
          </cell>
        </row>
        <row r="5049">
          <cell r="A5049" t="str">
            <v>55-01-01-0264</v>
          </cell>
          <cell r="B5049">
            <v>0</v>
          </cell>
          <cell r="C5049" t="str">
            <v xml:space="preserve">  UNIQUE TEXTILE</v>
          </cell>
          <cell r="D5049">
            <v>0</v>
          </cell>
          <cell r="E5049">
            <v>0</v>
          </cell>
          <cell r="F5049">
            <v>0</v>
          </cell>
          <cell r="G5049">
            <v>0</v>
          </cell>
        </row>
        <row r="5050">
          <cell r="A5050" t="str">
            <v>55-01-01-0265</v>
          </cell>
          <cell r="B5050">
            <v>0</v>
          </cell>
          <cell r="C5050" t="str">
            <v xml:space="preserve">  AL HAMRA TEXTILE</v>
          </cell>
          <cell r="D5050">
            <v>0</v>
          </cell>
          <cell r="E5050">
            <v>0</v>
          </cell>
          <cell r="F5050">
            <v>0</v>
          </cell>
          <cell r="G5050">
            <v>0</v>
          </cell>
        </row>
        <row r="5051">
          <cell r="A5051" t="str">
            <v>55-01-01-0266</v>
          </cell>
          <cell r="B5051">
            <v>0</v>
          </cell>
          <cell r="C5051" t="str">
            <v xml:space="preserve">  PARAGON TEXTILE</v>
          </cell>
          <cell r="D5051">
            <v>0</v>
          </cell>
          <cell r="E5051">
            <v>0</v>
          </cell>
          <cell r="F5051">
            <v>0</v>
          </cell>
          <cell r="G5051">
            <v>0</v>
          </cell>
        </row>
        <row r="5052">
          <cell r="A5052" t="str">
            <v>55-01-01-0267</v>
          </cell>
          <cell r="B5052">
            <v>0</v>
          </cell>
          <cell r="C5052" t="str">
            <v xml:space="preserve">  SUNRISE WEAVING</v>
          </cell>
          <cell r="D5052">
            <v>0</v>
          </cell>
          <cell r="E5052">
            <v>0</v>
          </cell>
          <cell r="F5052">
            <v>0</v>
          </cell>
          <cell r="G5052">
            <v>0</v>
          </cell>
        </row>
        <row r="5053">
          <cell r="A5053" t="str">
            <v>55-01-01-0268</v>
          </cell>
          <cell r="B5053">
            <v>0</v>
          </cell>
          <cell r="C5053" t="str">
            <v xml:space="preserve">  JETEX INDUSTRIRES (PVT) LTD</v>
          </cell>
          <cell r="D5053">
            <v>0</v>
          </cell>
          <cell r="E5053">
            <v>0</v>
          </cell>
          <cell r="F5053">
            <v>0</v>
          </cell>
          <cell r="G5053">
            <v>0</v>
          </cell>
        </row>
        <row r="5054">
          <cell r="A5054" t="str">
            <v>55-01-01-0269</v>
          </cell>
          <cell r="B5054">
            <v>0</v>
          </cell>
          <cell r="C5054" t="str">
            <v xml:space="preserve">  MEHAK WEAVING INDUSTRIES</v>
          </cell>
          <cell r="D5054">
            <v>3847750</v>
          </cell>
          <cell r="E5054">
            <v>0</v>
          </cell>
          <cell r="F5054">
            <v>0</v>
          </cell>
          <cell r="G5054">
            <v>0</v>
          </cell>
        </row>
        <row r="5055">
          <cell r="A5055" t="str">
            <v>55-01-01-0270</v>
          </cell>
          <cell r="B5055">
            <v>0</v>
          </cell>
          <cell r="C5055" t="str">
            <v xml:space="preserve">  DHEDHI BROTHERS</v>
          </cell>
          <cell r="D5055">
            <v>0</v>
          </cell>
          <cell r="E5055">
            <v>0</v>
          </cell>
          <cell r="F5055">
            <v>0</v>
          </cell>
          <cell r="G5055">
            <v>0</v>
          </cell>
        </row>
        <row r="5056">
          <cell r="A5056" t="str">
            <v>55-01-01-0271</v>
          </cell>
          <cell r="B5056">
            <v>0</v>
          </cell>
          <cell r="C5056" t="str">
            <v xml:space="preserve">  IMPERIAL IMPEX</v>
          </cell>
          <cell r="D5056">
            <v>0</v>
          </cell>
          <cell r="E5056">
            <v>0</v>
          </cell>
          <cell r="F5056">
            <v>0</v>
          </cell>
          <cell r="G5056">
            <v>0</v>
          </cell>
        </row>
        <row r="5057">
          <cell r="A5057" t="str">
            <v>55-01-01-0272</v>
          </cell>
          <cell r="B5057">
            <v>0</v>
          </cell>
          <cell r="C5057" t="str">
            <v xml:space="preserve">  JILLANI WEAVING</v>
          </cell>
          <cell r="D5057">
            <v>0</v>
          </cell>
          <cell r="E5057">
            <v>0</v>
          </cell>
          <cell r="F5057">
            <v>0</v>
          </cell>
          <cell r="G5057">
            <v>0</v>
          </cell>
        </row>
        <row r="5058">
          <cell r="A5058" t="str">
            <v>55-01-01-0273</v>
          </cell>
          <cell r="B5058">
            <v>0</v>
          </cell>
          <cell r="C5058" t="str">
            <v xml:space="preserve">  SAJID ALI</v>
          </cell>
          <cell r="D5058">
            <v>0</v>
          </cell>
          <cell r="E5058">
            <v>0</v>
          </cell>
          <cell r="F5058">
            <v>0</v>
          </cell>
          <cell r="G5058">
            <v>0</v>
          </cell>
        </row>
        <row r="5059">
          <cell r="A5059" t="str">
            <v>55-01-01-0274</v>
          </cell>
          <cell r="B5059">
            <v>0</v>
          </cell>
          <cell r="C5059" t="str">
            <v xml:space="preserve">  MUHAMMAD ARSHAD</v>
          </cell>
          <cell r="D5059">
            <v>0</v>
          </cell>
          <cell r="E5059">
            <v>0</v>
          </cell>
          <cell r="F5059">
            <v>0</v>
          </cell>
          <cell r="G5059">
            <v>0</v>
          </cell>
        </row>
        <row r="5060">
          <cell r="A5060" t="str">
            <v>55-01-01-0275</v>
          </cell>
          <cell r="B5060">
            <v>0</v>
          </cell>
          <cell r="C5060" t="str">
            <v xml:space="preserve">  YUNUS SIDDIQ</v>
          </cell>
          <cell r="D5060">
            <v>0</v>
          </cell>
          <cell r="E5060">
            <v>0</v>
          </cell>
          <cell r="F5060">
            <v>0</v>
          </cell>
          <cell r="G5060">
            <v>0</v>
          </cell>
        </row>
        <row r="5061">
          <cell r="A5061" t="str">
            <v>55-01-01-0276</v>
          </cell>
          <cell r="B5061">
            <v>0</v>
          </cell>
          <cell r="C5061" t="str">
            <v xml:space="preserve">  MUHAMMAD AFZAL</v>
          </cell>
          <cell r="D5061">
            <v>0</v>
          </cell>
          <cell r="E5061">
            <v>0</v>
          </cell>
          <cell r="F5061">
            <v>0</v>
          </cell>
          <cell r="G5061">
            <v>0</v>
          </cell>
        </row>
        <row r="5062">
          <cell r="A5062" t="str">
            <v>55-01-01-0277</v>
          </cell>
          <cell r="B5062">
            <v>0</v>
          </cell>
          <cell r="C5062" t="str">
            <v xml:space="preserve">  AL-ZOHRA POLY PACKAGES (PVT) LTD.</v>
          </cell>
          <cell r="D5062">
            <v>594000</v>
          </cell>
          <cell r="E5062">
            <v>0</v>
          </cell>
          <cell r="F5062">
            <v>0</v>
          </cell>
          <cell r="G5062">
            <v>0</v>
          </cell>
        </row>
        <row r="5063">
          <cell r="A5063" t="str">
            <v>55-01-01-0278</v>
          </cell>
          <cell r="B5063">
            <v>0</v>
          </cell>
          <cell r="C5063" t="str">
            <v xml:space="preserve">  ACME INDUSTRIES</v>
          </cell>
          <cell r="D5063">
            <v>0</v>
          </cell>
          <cell r="E5063">
            <v>0</v>
          </cell>
          <cell r="F5063">
            <v>0</v>
          </cell>
          <cell r="G5063">
            <v>0</v>
          </cell>
        </row>
        <row r="5064">
          <cell r="A5064" t="str">
            <v>55-01-01-0279</v>
          </cell>
          <cell r="B5064">
            <v>0</v>
          </cell>
          <cell r="C5064" t="str">
            <v xml:space="preserve">  STAR TEXTILE MILLS LIMITED</v>
          </cell>
          <cell r="D5064">
            <v>0</v>
          </cell>
          <cell r="E5064">
            <v>0</v>
          </cell>
          <cell r="F5064">
            <v>0</v>
          </cell>
          <cell r="G5064">
            <v>0</v>
          </cell>
        </row>
        <row r="5065">
          <cell r="A5065" t="str">
            <v>55-01-02</v>
          </cell>
          <cell r="B5065">
            <v>0</v>
          </cell>
          <cell r="C5065" t="str">
            <v>***ABDUL RAZZAK AGAR</v>
          </cell>
          <cell r="D5065">
            <v>0</v>
          </cell>
          <cell r="E5065">
            <v>0</v>
          </cell>
          <cell r="F5065">
            <v>0</v>
          </cell>
          <cell r="G5065">
            <v>0</v>
          </cell>
        </row>
        <row r="5066">
          <cell r="A5066" t="str">
            <v>55-01-02-0001</v>
          </cell>
          <cell r="B5066">
            <v>0</v>
          </cell>
          <cell r="C5066" t="str">
            <v xml:space="preserve">  MUHAMMAD ISHFAQ KARACHI</v>
          </cell>
          <cell r="D5066">
            <v>0</v>
          </cell>
          <cell r="E5066">
            <v>0</v>
          </cell>
          <cell r="F5066">
            <v>0</v>
          </cell>
          <cell r="G5066">
            <v>0</v>
          </cell>
        </row>
        <row r="5067">
          <cell r="A5067" t="str">
            <v>55-01-02-0002</v>
          </cell>
          <cell r="B5067">
            <v>0</v>
          </cell>
          <cell r="C5067" t="str">
            <v xml:space="preserve">  ABDUL KARIM</v>
          </cell>
          <cell r="D5067">
            <v>0</v>
          </cell>
          <cell r="E5067">
            <v>0</v>
          </cell>
          <cell r="F5067">
            <v>0</v>
          </cell>
          <cell r="G5067">
            <v>0</v>
          </cell>
        </row>
        <row r="5068">
          <cell r="A5068" t="str">
            <v>55-01-02-0003</v>
          </cell>
          <cell r="B5068">
            <v>0</v>
          </cell>
          <cell r="C5068" t="str">
            <v xml:space="preserve">  ABOO KHAN</v>
          </cell>
          <cell r="D5068">
            <v>0</v>
          </cell>
          <cell r="E5068">
            <v>0</v>
          </cell>
          <cell r="F5068">
            <v>0</v>
          </cell>
          <cell r="G5068">
            <v>0</v>
          </cell>
        </row>
        <row r="5069">
          <cell r="A5069" t="str">
            <v>55-01-02-0004</v>
          </cell>
          <cell r="B5069">
            <v>0</v>
          </cell>
          <cell r="C5069" t="str">
            <v xml:space="preserve">  RIZWAN AZIZ</v>
          </cell>
          <cell r="D5069">
            <v>0</v>
          </cell>
          <cell r="E5069">
            <v>0</v>
          </cell>
          <cell r="F5069">
            <v>0</v>
          </cell>
          <cell r="G5069">
            <v>0</v>
          </cell>
        </row>
        <row r="5070">
          <cell r="A5070" t="str">
            <v>55-01-02-0005</v>
          </cell>
          <cell r="B5070">
            <v>0</v>
          </cell>
          <cell r="C5070" t="str">
            <v xml:space="preserve">  JAMAL ARIF</v>
          </cell>
          <cell r="D5070">
            <v>0</v>
          </cell>
          <cell r="E5070">
            <v>0</v>
          </cell>
          <cell r="F5070">
            <v>0</v>
          </cell>
          <cell r="G5070">
            <v>0</v>
          </cell>
        </row>
        <row r="5071">
          <cell r="A5071" t="str">
            <v>55-01-02-0006</v>
          </cell>
          <cell r="B5071">
            <v>0</v>
          </cell>
          <cell r="C5071" t="str">
            <v xml:space="preserve">  TAYYAB ALI</v>
          </cell>
          <cell r="D5071">
            <v>0</v>
          </cell>
          <cell r="E5071">
            <v>0</v>
          </cell>
          <cell r="F5071">
            <v>0</v>
          </cell>
          <cell r="G5071">
            <v>0</v>
          </cell>
        </row>
        <row r="5072">
          <cell r="A5072" t="str">
            <v>55-01-02-0007</v>
          </cell>
          <cell r="B5072">
            <v>0</v>
          </cell>
          <cell r="C5072" t="str">
            <v xml:space="preserve">  MUNIR AHMED</v>
          </cell>
          <cell r="D5072">
            <v>0</v>
          </cell>
          <cell r="E5072">
            <v>0</v>
          </cell>
          <cell r="F5072">
            <v>0</v>
          </cell>
          <cell r="G5072">
            <v>0</v>
          </cell>
        </row>
        <row r="5073">
          <cell r="A5073" t="str">
            <v>55-01-02-0008</v>
          </cell>
          <cell r="B5073">
            <v>0</v>
          </cell>
          <cell r="C5073" t="str">
            <v xml:space="preserve">  ALI KAUSAR</v>
          </cell>
          <cell r="D5073">
            <v>0</v>
          </cell>
          <cell r="E5073">
            <v>0</v>
          </cell>
          <cell r="F5073">
            <v>0</v>
          </cell>
          <cell r="G5073">
            <v>0</v>
          </cell>
        </row>
        <row r="5074">
          <cell r="A5074" t="str">
            <v>55-01-02-0009</v>
          </cell>
          <cell r="B5074">
            <v>0</v>
          </cell>
          <cell r="C5074" t="str">
            <v xml:space="preserve">  MUHAMMAD SALIM</v>
          </cell>
          <cell r="D5074">
            <v>0</v>
          </cell>
          <cell r="E5074">
            <v>0</v>
          </cell>
          <cell r="F5074">
            <v>0</v>
          </cell>
          <cell r="G5074">
            <v>0</v>
          </cell>
        </row>
        <row r="5075">
          <cell r="A5075" t="str">
            <v>55-01-02-0010</v>
          </cell>
          <cell r="B5075">
            <v>0</v>
          </cell>
          <cell r="C5075" t="str">
            <v xml:space="preserve">  ABDUL WAHEED</v>
          </cell>
          <cell r="D5075">
            <v>0</v>
          </cell>
          <cell r="E5075">
            <v>0</v>
          </cell>
          <cell r="F5075">
            <v>0</v>
          </cell>
          <cell r="G5075">
            <v>0</v>
          </cell>
        </row>
        <row r="5076">
          <cell r="A5076" t="str">
            <v>55-01-02-0011</v>
          </cell>
          <cell r="B5076">
            <v>0</v>
          </cell>
          <cell r="C5076" t="str">
            <v xml:space="preserve">  NADEEM AKHTAR</v>
          </cell>
          <cell r="D5076">
            <v>0</v>
          </cell>
          <cell r="E5076">
            <v>0</v>
          </cell>
          <cell r="F5076">
            <v>0</v>
          </cell>
          <cell r="G5076">
            <v>0</v>
          </cell>
        </row>
        <row r="5077">
          <cell r="A5077" t="str">
            <v>55-01-02-0012</v>
          </cell>
          <cell r="B5077">
            <v>0</v>
          </cell>
          <cell r="C5077" t="str">
            <v xml:space="preserve">  MAZHAR ALI</v>
          </cell>
          <cell r="D5077">
            <v>0</v>
          </cell>
          <cell r="E5077">
            <v>0</v>
          </cell>
          <cell r="F5077">
            <v>0</v>
          </cell>
          <cell r="G5077">
            <v>0</v>
          </cell>
        </row>
        <row r="5078">
          <cell r="A5078" t="str">
            <v>55-01-02-0013</v>
          </cell>
          <cell r="B5078">
            <v>0</v>
          </cell>
          <cell r="C5078" t="str">
            <v xml:space="preserve">  UMER FAROOQ</v>
          </cell>
          <cell r="D5078">
            <v>0</v>
          </cell>
          <cell r="E5078">
            <v>0</v>
          </cell>
          <cell r="F5078">
            <v>0</v>
          </cell>
          <cell r="G5078">
            <v>0</v>
          </cell>
        </row>
        <row r="5079">
          <cell r="A5079" t="str">
            <v>55-01-02-0014</v>
          </cell>
          <cell r="B5079">
            <v>0</v>
          </cell>
          <cell r="C5079" t="str">
            <v xml:space="preserve">  KHANANI INDUSTRIES</v>
          </cell>
          <cell r="D5079">
            <v>0</v>
          </cell>
          <cell r="E5079">
            <v>0</v>
          </cell>
          <cell r="F5079">
            <v>0</v>
          </cell>
          <cell r="G5079">
            <v>0</v>
          </cell>
        </row>
        <row r="5080">
          <cell r="A5080" t="str">
            <v>55-01-02-0015</v>
          </cell>
          <cell r="B5080">
            <v>0</v>
          </cell>
          <cell r="C5080" t="str">
            <v xml:space="preserve">  ARSHAD MEHMOOD</v>
          </cell>
          <cell r="D5080">
            <v>0</v>
          </cell>
          <cell r="E5080">
            <v>0</v>
          </cell>
          <cell r="F5080">
            <v>0</v>
          </cell>
          <cell r="G5080">
            <v>0</v>
          </cell>
        </row>
        <row r="5081">
          <cell r="A5081" t="str">
            <v>55-01-02-0016</v>
          </cell>
          <cell r="B5081">
            <v>0</v>
          </cell>
          <cell r="C5081" t="str">
            <v xml:space="preserve">  MUHAMMAD BASHIR</v>
          </cell>
          <cell r="D5081">
            <v>0</v>
          </cell>
          <cell r="E5081">
            <v>0</v>
          </cell>
          <cell r="F5081">
            <v>0</v>
          </cell>
          <cell r="G5081">
            <v>0</v>
          </cell>
        </row>
        <row r="5082">
          <cell r="A5082" t="str">
            <v>55-01-02-0017</v>
          </cell>
          <cell r="B5082">
            <v>0</v>
          </cell>
          <cell r="C5082" t="str">
            <v xml:space="preserve">  MEHMOOD</v>
          </cell>
          <cell r="D5082">
            <v>0</v>
          </cell>
          <cell r="E5082">
            <v>0</v>
          </cell>
          <cell r="F5082">
            <v>0</v>
          </cell>
          <cell r="G5082">
            <v>0</v>
          </cell>
        </row>
        <row r="5083">
          <cell r="A5083" t="str">
            <v>55-01-02-0018</v>
          </cell>
          <cell r="B5083">
            <v>0</v>
          </cell>
          <cell r="C5083" t="str">
            <v xml:space="preserve">  MUHAMMAD SALIM C/O SILK MILLS</v>
          </cell>
          <cell r="D5083">
            <v>0</v>
          </cell>
          <cell r="E5083">
            <v>0</v>
          </cell>
          <cell r="F5083">
            <v>0</v>
          </cell>
          <cell r="G5083">
            <v>0</v>
          </cell>
        </row>
        <row r="5084">
          <cell r="A5084" t="str">
            <v>55-01-02-0019</v>
          </cell>
          <cell r="B5084">
            <v>0</v>
          </cell>
          <cell r="C5084" t="str">
            <v xml:space="preserve">  MANSOOR AHMED</v>
          </cell>
          <cell r="D5084">
            <v>0</v>
          </cell>
          <cell r="E5084">
            <v>0</v>
          </cell>
          <cell r="F5084">
            <v>0</v>
          </cell>
          <cell r="G5084">
            <v>0</v>
          </cell>
        </row>
        <row r="5085">
          <cell r="A5085" t="str">
            <v>55-01-02-0020</v>
          </cell>
          <cell r="B5085">
            <v>0</v>
          </cell>
          <cell r="C5085" t="str">
            <v xml:space="preserve">  FAHEEM GUL</v>
          </cell>
          <cell r="D5085">
            <v>0</v>
          </cell>
          <cell r="E5085">
            <v>0</v>
          </cell>
          <cell r="F5085">
            <v>0</v>
          </cell>
          <cell r="G5085">
            <v>0</v>
          </cell>
        </row>
        <row r="5086">
          <cell r="A5086" t="str">
            <v>55-01-02-0021</v>
          </cell>
          <cell r="B5086">
            <v>0</v>
          </cell>
          <cell r="C5086" t="str">
            <v xml:space="preserve">  TAJ WALI</v>
          </cell>
          <cell r="D5086">
            <v>0</v>
          </cell>
          <cell r="E5086">
            <v>0</v>
          </cell>
          <cell r="F5086">
            <v>0</v>
          </cell>
          <cell r="G5086">
            <v>0</v>
          </cell>
        </row>
        <row r="5087">
          <cell r="A5087" t="str">
            <v>55-01-02-0022</v>
          </cell>
          <cell r="B5087">
            <v>0</v>
          </cell>
          <cell r="C5087" t="str">
            <v xml:space="preserve">  TARIQ ALI</v>
          </cell>
          <cell r="D5087">
            <v>0</v>
          </cell>
          <cell r="E5087">
            <v>0</v>
          </cell>
          <cell r="F5087">
            <v>0</v>
          </cell>
          <cell r="G5087">
            <v>0</v>
          </cell>
        </row>
        <row r="5088">
          <cell r="A5088" t="str">
            <v>55-01-02-0023</v>
          </cell>
          <cell r="B5088">
            <v>0</v>
          </cell>
          <cell r="C5088" t="str">
            <v xml:space="preserve">  IRSHAD ALI</v>
          </cell>
          <cell r="D5088">
            <v>0</v>
          </cell>
          <cell r="E5088">
            <v>0</v>
          </cell>
          <cell r="F5088">
            <v>0</v>
          </cell>
          <cell r="G5088">
            <v>0</v>
          </cell>
        </row>
        <row r="5089">
          <cell r="A5089" t="str">
            <v>55-01-02-0024</v>
          </cell>
          <cell r="B5089">
            <v>0</v>
          </cell>
          <cell r="C5089" t="str">
            <v xml:space="preserve">  NASIR IQBAL.</v>
          </cell>
          <cell r="D5089">
            <v>0</v>
          </cell>
          <cell r="E5089">
            <v>0</v>
          </cell>
          <cell r="F5089">
            <v>0</v>
          </cell>
          <cell r="G5089">
            <v>0</v>
          </cell>
        </row>
        <row r="5090">
          <cell r="A5090" t="str">
            <v>55-01-02-0025</v>
          </cell>
          <cell r="B5090">
            <v>0</v>
          </cell>
          <cell r="C5090" t="str">
            <v xml:space="preserve">  ABDUL SHAKOOR</v>
          </cell>
          <cell r="D5090">
            <v>0</v>
          </cell>
          <cell r="E5090">
            <v>0</v>
          </cell>
          <cell r="F5090">
            <v>0</v>
          </cell>
          <cell r="G5090">
            <v>0</v>
          </cell>
        </row>
        <row r="5091">
          <cell r="A5091" t="str">
            <v>55-01-02-0026</v>
          </cell>
          <cell r="B5091">
            <v>0</v>
          </cell>
          <cell r="C5091" t="str">
            <v xml:space="preserve">  QASIM ALI</v>
          </cell>
          <cell r="D5091">
            <v>0</v>
          </cell>
          <cell r="E5091">
            <v>0</v>
          </cell>
          <cell r="F5091">
            <v>0</v>
          </cell>
          <cell r="G5091">
            <v>0</v>
          </cell>
        </row>
        <row r="5092">
          <cell r="A5092" t="str">
            <v>55-01-02-0027</v>
          </cell>
          <cell r="B5092">
            <v>0</v>
          </cell>
          <cell r="C5092" t="str">
            <v xml:space="preserve">  MUHAMMAD DAWOOD</v>
          </cell>
          <cell r="D5092">
            <v>0</v>
          </cell>
          <cell r="E5092">
            <v>0</v>
          </cell>
          <cell r="F5092">
            <v>0</v>
          </cell>
          <cell r="G5092">
            <v>0</v>
          </cell>
        </row>
        <row r="5093">
          <cell r="A5093" t="str">
            <v>55-01-02-0028</v>
          </cell>
          <cell r="B5093">
            <v>0</v>
          </cell>
          <cell r="C5093" t="str">
            <v xml:space="preserve">  MOHD ARIF</v>
          </cell>
          <cell r="D5093">
            <v>0</v>
          </cell>
          <cell r="E5093">
            <v>0</v>
          </cell>
          <cell r="F5093">
            <v>0</v>
          </cell>
          <cell r="G5093">
            <v>0</v>
          </cell>
        </row>
        <row r="5094">
          <cell r="A5094" t="str">
            <v>55-01-02-0029</v>
          </cell>
          <cell r="B5094">
            <v>0</v>
          </cell>
          <cell r="C5094" t="str">
            <v xml:space="preserve">  ALLAH DAD</v>
          </cell>
          <cell r="D5094">
            <v>0</v>
          </cell>
          <cell r="E5094">
            <v>0</v>
          </cell>
          <cell r="F5094">
            <v>0</v>
          </cell>
          <cell r="G5094">
            <v>0</v>
          </cell>
        </row>
        <row r="5095">
          <cell r="A5095" t="str">
            <v>55-01-02-0030</v>
          </cell>
          <cell r="B5095">
            <v>0</v>
          </cell>
          <cell r="C5095" t="str">
            <v xml:space="preserve">  FEROZE PALAYDAR</v>
          </cell>
          <cell r="D5095">
            <v>0</v>
          </cell>
          <cell r="E5095">
            <v>0</v>
          </cell>
          <cell r="F5095">
            <v>0</v>
          </cell>
          <cell r="G5095">
            <v>0</v>
          </cell>
        </row>
        <row r="5096">
          <cell r="A5096" t="str">
            <v>55-01-02-0031</v>
          </cell>
          <cell r="B5096">
            <v>0</v>
          </cell>
          <cell r="C5096" t="str">
            <v xml:space="preserve">  FEROZE PALAYDAR</v>
          </cell>
          <cell r="D5096">
            <v>0</v>
          </cell>
          <cell r="E5096">
            <v>0</v>
          </cell>
          <cell r="F5096">
            <v>0</v>
          </cell>
          <cell r="G5096">
            <v>0</v>
          </cell>
        </row>
        <row r="5097">
          <cell r="A5097" t="str">
            <v>55-01-02-0032</v>
          </cell>
          <cell r="B5097">
            <v>0</v>
          </cell>
          <cell r="C5097" t="str">
            <v xml:space="preserve">  MUHAMMED SHAFIQ.</v>
          </cell>
          <cell r="D5097">
            <v>0</v>
          </cell>
          <cell r="E5097">
            <v>0</v>
          </cell>
          <cell r="F5097">
            <v>0</v>
          </cell>
          <cell r="G5097">
            <v>0</v>
          </cell>
        </row>
        <row r="5098">
          <cell r="A5098" t="str">
            <v>55-01-02-0033</v>
          </cell>
          <cell r="B5098">
            <v>0</v>
          </cell>
          <cell r="C5098" t="str">
            <v xml:space="preserve">  MUHAMMED ALAM</v>
          </cell>
          <cell r="D5098">
            <v>0</v>
          </cell>
          <cell r="E5098">
            <v>0</v>
          </cell>
          <cell r="F5098">
            <v>0</v>
          </cell>
          <cell r="G5098">
            <v>0</v>
          </cell>
        </row>
        <row r="5099">
          <cell r="A5099" t="str">
            <v>55-01-02-0034</v>
          </cell>
          <cell r="B5099">
            <v>0</v>
          </cell>
          <cell r="C5099" t="str">
            <v xml:space="preserve">  NOOR DAD</v>
          </cell>
          <cell r="D5099">
            <v>0</v>
          </cell>
          <cell r="E5099">
            <v>0</v>
          </cell>
          <cell r="F5099">
            <v>0</v>
          </cell>
          <cell r="G5099">
            <v>0</v>
          </cell>
        </row>
        <row r="5100">
          <cell r="A5100" t="str">
            <v>55-01-02-0035</v>
          </cell>
          <cell r="B5100">
            <v>0</v>
          </cell>
          <cell r="C5100" t="str">
            <v xml:space="preserve">  FAHEEM AMIN.</v>
          </cell>
          <cell r="D5100">
            <v>0</v>
          </cell>
          <cell r="E5100">
            <v>0</v>
          </cell>
          <cell r="F5100">
            <v>0</v>
          </cell>
          <cell r="G5100">
            <v>0</v>
          </cell>
        </row>
        <row r="5101">
          <cell r="A5101" t="str">
            <v>55-01-02-0036</v>
          </cell>
          <cell r="B5101">
            <v>0</v>
          </cell>
          <cell r="C5101" t="str">
            <v xml:space="preserve">  M.R.INDUSTRIES</v>
          </cell>
          <cell r="D5101">
            <v>0</v>
          </cell>
          <cell r="E5101">
            <v>0</v>
          </cell>
          <cell r="F5101">
            <v>0</v>
          </cell>
          <cell r="G5101">
            <v>0</v>
          </cell>
        </row>
        <row r="5102">
          <cell r="A5102" t="str">
            <v>55-01-02-0037</v>
          </cell>
          <cell r="B5102">
            <v>0</v>
          </cell>
          <cell r="C5102" t="str">
            <v xml:space="preserve">  RAUF ILYAS</v>
          </cell>
          <cell r="D5102">
            <v>0</v>
          </cell>
          <cell r="E5102">
            <v>0</v>
          </cell>
          <cell r="F5102">
            <v>0</v>
          </cell>
          <cell r="G5102">
            <v>0</v>
          </cell>
        </row>
        <row r="5103">
          <cell r="A5103" t="str">
            <v>55-01-02-0038</v>
          </cell>
          <cell r="B5103">
            <v>0</v>
          </cell>
          <cell r="C5103" t="str">
            <v xml:space="preserve">  BONANZA GARMENTS INDUSTRIES.</v>
          </cell>
          <cell r="D5103">
            <v>0</v>
          </cell>
          <cell r="E5103">
            <v>0</v>
          </cell>
          <cell r="F5103">
            <v>0</v>
          </cell>
          <cell r="G5103">
            <v>0</v>
          </cell>
        </row>
        <row r="5104">
          <cell r="A5104" t="str">
            <v>55-01-02-0039</v>
          </cell>
          <cell r="B5104">
            <v>0</v>
          </cell>
          <cell r="C5104" t="str">
            <v xml:space="preserve">  NAEEM AHMED</v>
          </cell>
          <cell r="D5104">
            <v>0</v>
          </cell>
          <cell r="E5104">
            <v>0</v>
          </cell>
          <cell r="F5104">
            <v>0</v>
          </cell>
          <cell r="G5104">
            <v>0</v>
          </cell>
        </row>
        <row r="5105">
          <cell r="A5105" t="str">
            <v>55-01-02-0040</v>
          </cell>
          <cell r="B5105">
            <v>0</v>
          </cell>
          <cell r="C5105" t="str">
            <v xml:space="preserve">  SULTAN AHMED (S.I.)</v>
          </cell>
          <cell r="D5105">
            <v>0</v>
          </cell>
          <cell r="E5105">
            <v>0</v>
          </cell>
          <cell r="F5105">
            <v>0</v>
          </cell>
          <cell r="G5105">
            <v>0</v>
          </cell>
        </row>
        <row r="5106">
          <cell r="A5106" t="str">
            <v>55-01-02-0041</v>
          </cell>
          <cell r="B5106">
            <v>0</v>
          </cell>
          <cell r="C5106" t="str">
            <v xml:space="preserve">  ANSA TRADERS</v>
          </cell>
          <cell r="D5106">
            <v>0</v>
          </cell>
          <cell r="E5106">
            <v>0</v>
          </cell>
          <cell r="F5106">
            <v>0</v>
          </cell>
          <cell r="G5106">
            <v>0</v>
          </cell>
        </row>
        <row r="5107">
          <cell r="A5107" t="str">
            <v>55-01-02-0042</v>
          </cell>
          <cell r="B5107">
            <v>0</v>
          </cell>
          <cell r="C5107" t="str">
            <v xml:space="preserve">  MEHRAN INDUSTRIES</v>
          </cell>
          <cell r="D5107">
            <v>0</v>
          </cell>
          <cell r="E5107">
            <v>0</v>
          </cell>
          <cell r="F5107">
            <v>0</v>
          </cell>
          <cell r="G5107">
            <v>0</v>
          </cell>
        </row>
        <row r="5108">
          <cell r="A5108" t="str">
            <v>55-01-02-0043</v>
          </cell>
          <cell r="B5108">
            <v>0</v>
          </cell>
          <cell r="C5108" t="str">
            <v xml:space="preserve">  ALJADEED TEXTILE MILLS LIMITED</v>
          </cell>
          <cell r="D5108">
            <v>0</v>
          </cell>
          <cell r="E5108">
            <v>0</v>
          </cell>
          <cell r="F5108">
            <v>0</v>
          </cell>
          <cell r="G5108">
            <v>0</v>
          </cell>
        </row>
        <row r="5109">
          <cell r="A5109" t="str">
            <v>55-01-02-0044</v>
          </cell>
          <cell r="B5109">
            <v>0</v>
          </cell>
          <cell r="C5109" t="str">
            <v xml:space="preserve">  SHER ALAM</v>
          </cell>
          <cell r="D5109">
            <v>0</v>
          </cell>
          <cell r="E5109">
            <v>0</v>
          </cell>
          <cell r="F5109">
            <v>0</v>
          </cell>
          <cell r="G5109">
            <v>0</v>
          </cell>
        </row>
        <row r="5110">
          <cell r="A5110" t="str">
            <v>55-01-02-0045</v>
          </cell>
          <cell r="B5110">
            <v>0</v>
          </cell>
          <cell r="C5110" t="str">
            <v xml:space="preserve">  JAVID IQBAL</v>
          </cell>
          <cell r="D5110">
            <v>0</v>
          </cell>
          <cell r="E5110">
            <v>0</v>
          </cell>
          <cell r="F5110">
            <v>0</v>
          </cell>
          <cell r="G5110">
            <v>0</v>
          </cell>
        </row>
        <row r="5111">
          <cell r="A5111" t="str">
            <v>55-01-02-0046</v>
          </cell>
          <cell r="B5111">
            <v>0</v>
          </cell>
          <cell r="C5111" t="str">
            <v xml:space="preserve">  KAREEM DAD</v>
          </cell>
          <cell r="D5111">
            <v>0</v>
          </cell>
          <cell r="E5111">
            <v>0</v>
          </cell>
          <cell r="F5111">
            <v>0</v>
          </cell>
          <cell r="G5111">
            <v>0</v>
          </cell>
        </row>
        <row r="5112">
          <cell r="A5112" t="str">
            <v>55-01-02-0047</v>
          </cell>
          <cell r="B5112">
            <v>0</v>
          </cell>
          <cell r="C5112" t="str">
            <v xml:space="preserve">  IRFAN BASHIR</v>
          </cell>
          <cell r="D5112">
            <v>0</v>
          </cell>
          <cell r="E5112">
            <v>0</v>
          </cell>
          <cell r="F5112">
            <v>0</v>
          </cell>
          <cell r="G5112">
            <v>0</v>
          </cell>
        </row>
        <row r="5113">
          <cell r="A5113" t="str">
            <v>55-01-02-0048</v>
          </cell>
          <cell r="B5113">
            <v>0</v>
          </cell>
          <cell r="C5113" t="str">
            <v xml:space="preserve">  FAIRY TEX ENTERPRISES</v>
          </cell>
          <cell r="D5113">
            <v>0</v>
          </cell>
          <cell r="E5113">
            <v>0</v>
          </cell>
          <cell r="F5113">
            <v>0</v>
          </cell>
          <cell r="G5113">
            <v>0</v>
          </cell>
        </row>
        <row r="5114">
          <cell r="A5114" t="str">
            <v>55-01-02-0049</v>
          </cell>
          <cell r="B5114">
            <v>0</v>
          </cell>
          <cell r="C5114" t="str">
            <v xml:space="preserve">  ZAHID SALIM</v>
          </cell>
          <cell r="D5114">
            <v>0</v>
          </cell>
          <cell r="E5114">
            <v>0</v>
          </cell>
          <cell r="F5114">
            <v>0</v>
          </cell>
          <cell r="G5114">
            <v>0</v>
          </cell>
        </row>
        <row r="5115">
          <cell r="A5115" t="str">
            <v>55-01-02-0050</v>
          </cell>
          <cell r="B5115">
            <v>0</v>
          </cell>
          <cell r="C5115" t="str">
            <v xml:space="preserve">  NAVEED ALAM</v>
          </cell>
          <cell r="D5115">
            <v>0</v>
          </cell>
          <cell r="E5115">
            <v>0</v>
          </cell>
          <cell r="F5115">
            <v>0</v>
          </cell>
          <cell r="G5115">
            <v>0</v>
          </cell>
        </row>
        <row r="5116">
          <cell r="A5116" t="str">
            <v>55-01-02-0051</v>
          </cell>
          <cell r="B5116">
            <v>0</v>
          </cell>
          <cell r="C5116" t="str">
            <v xml:space="preserve">  ASIF KHAN.</v>
          </cell>
          <cell r="D5116">
            <v>0</v>
          </cell>
          <cell r="E5116">
            <v>0</v>
          </cell>
          <cell r="F5116">
            <v>0</v>
          </cell>
          <cell r="G5116">
            <v>0</v>
          </cell>
        </row>
        <row r="5117">
          <cell r="A5117" t="str">
            <v>55-01-02-0052</v>
          </cell>
          <cell r="B5117">
            <v>0</v>
          </cell>
          <cell r="C5117" t="str">
            <v xml:space="preserve">  AKBAR KHAN</v>
          </cell>
          <cell r="D5117">
            <v>0</v>
          </cell>
          <cell r="E5117">
            <v>0</v>
          </cell>
          <cell r="F5117">
            <v>0</v>
          </cell>
          <cell r="G5117">
            <v>0</v>
          </cell>
        </row>
        <row r="5118">
          <cell r="A5118" t="str">
            <v>55-01-02-0053</v>
          </cell>
          <cell r="B5118">
            <v>0</v>
          </cell>
          <cell r="C5118" t="str">
            <v xml:space="preserve">  FAKIR MUHAMMAD</v>
          </cell>
          <cell r="D5118">
            <v>0</v>
          </cell>
          <cell r="E5118">
            <v>0</v>
          </cell>
          <cell r="F5118">
            <v>0</v>
          </cell>
          <cell r="G5118">
            <v>0</v>
          </cell>
        </row>
        <row r="5119">
          <cell r="A5119" t="str">
            <v>55-01-02-0054</v>
          </cell>
          <cell r="B5119">
            <v>0</v>
          </cell>
          <cell r="C5119" t="str">
            <v xml:space="preserve">  JAVED AKHTAR</v>
          </cell>
          <cell r="D5119">
            <v>0</v>
          </cell>
          <cell r="E5119">
            <v>0</v>
          </cell>
          <cell r="F5119">
            <v>0</v>
          </cell>
          <cell r="G5119">
            <v>0</v>
          </cell>
        </row>
        <row r="5120">
          <cell r="A5120" t="str">
            <v>55-01-02-0055</v>
          </cell>
          <cell r="B5120">
            <v>0</v>
          </cell>
          <cell r="C5120" t="str">
            <v xml:space="preserve">  AMANAT ALI</v>
          </cell>
          <cell r="D5120">
            <v>0</v>
          </cell>
          <cell r="E5120">
            <v>0</v>
          </cell>
          <cell r="F5120">
            <v>0</v>
          </cell>
          <cell r="G5120">
            <v>0</v>
          </cell>
        </row>
        <row r="5121">
          <cell r="A5121" t="str">
            <v>55-01-02-0056</v>
          </cell>
          <cell r="B5121">
            <v>0</v>
          </cell>
          <cell r="C5121" t="str">
            <v xml:space="preserve">  UNIVERSAL GUM (PVT) LIMITED</v>
          </cell>
          <cell r="D5121">
            <v>0</v>
          </cell>
          <cell r="E5121">
            <v>0</v>
          </cell>
          <cell r="F5121">
            <v>0</v>
          </cell>
          <cell r="G5121">
            <v>0</v>
          </cell>
        </row>
        <row r="5122">
          <cell r="A5122" t="str">
            <v>55-01-02-0057</v>
          </cell>
          <cell r="B5122">
            <v>0</v>
          </cell>
          <cell r="C5122" t="str">
            <v xml:space="preserve">  INDUS RAYAN MILLS</v>
          </cell>
          <cell r="D5122">
            <v>0</v>
          </cell>
          <cell r="E5122">
            <v>0</v>
          </cell>
          <cell r="F5122">
            <v>0</v>
          </cell>
          <cell r="G5122">
            <v>0</v>
          </cell>
        </row>
        <row r="5123">
          <cell r="A5123" t="str">
            <v>55-01-02-0058</v>
          </cell>
          <cell r="B5123">
            <v>0</v>
          </cell>
          <cell r="C5123" t="str">
            <v xml:space="preserve">  ALLIED MULITPUL INDISTRY</v>
          </cell>
          <cell r="D5123">
            <v>0</v>
          </cell>
          <cell r="E5123">
            <v>0</v>
          </cell>
          <cell r="F5123">
            <v>0</v>
          </cell>
          <cell r="G5123">
            <v>0</v>
          </cell>
        </row>
        <row r="5124">
          <cell r="A5124" t="str">
            <v>55-01-02-0059</v>
          </cell>
          <cell r="B5124">
            <v>0</v>
          </cell>
          <cell r="C5124" t="str">
            <v xml:space="preserve">  ABDULLAH TRADERS</v>
          </cell>
          <cell r="D5124">
            <v>0</v>
          </cell>
          <cell r="E5124">
            <v>0</v>
          </cell>
          <cell r="F5124">
            <v>0</v>
          </cell>
          <cell r="G5124">
            <v>0</v>
          </cell>
        </row>
        <row r="5125">
          <cell r="A5125" t="str">
            <v>55-01-02-0060</v>
          </cell>
          <cell r="B5125">
            <v>0</v>
          </cell>
          <cell r="C5125" t="str">
            <v xml:space="preserve">  SHEHZAD INDUSTRIES</v>
          </cell>
          <cell r="D5125">
            <v>0</v>
          </cell>
          <cell r="E5125">
            <v>0</v>
          </cell>
          <cell r="F5125">
            <v>0</v>
          </cell>
          <cell r="G5125">
            <v>0</v>
          </cell>
        </row>
        <row r="5126">
          <cell r="A5126" t="str">
            <v>55-01-02-0061</v>
          </cell>
          <cell r="B5126">
            <v>0</v>
          </cell>
          <cell r="C5126" t="str">
            <v xml:space="preserve">  M/S EVERGREEN INDUSTRIES</v>
          </cell>
          <cell r="D5126">
            <v>0</v>
          </cell>
          <cell r="E5126">
            <v>0</v>
          </cell>
          <cell r="F5126">
            <v>0</v>
          </cell>
          <cell r="G5126">
            <v>0</v>
          </cell>
        </row>
        <row r="5127">
          <cell r="A5127" t="str">
            <v>55-01-02-0062</v>
          </cell>
          <cell r="B5127">
            <v>0</v>
          </cell>
          <cell r="C5127" t="str">
            <v xml:space="preserve">  M/S A.R.C ENTERPRISES</v>
          </cell>
          <cell r="D5127">
            <v>0</v>
          </cell>
          <cell r="E5127">
            <v>0</v>
          </cell>
          <cell r="F5127">
            <v>0</v>
          </cell>
          <cell r="G5127">
            <v>0</v>
          </cell>
        </row>
        <row r="5128">
          <cell r="A5128" t="str">
            <v>55-01-02-0063</v>
          </cell>
          <cell r="B5128">
            <v>0</v>
          </cell>
          <cell r="C5128" t="str">
            <v xml:space="preserve">  SAJID MAHMOOD</v>
          </cell>
          <cell r="D5128">
            <v>0</v>
          </cell>
          <cell r="E5128">
            <v>0</v>
          </cell>
          <cell r="F5128">
            <v>0</v>
          </cell>
          <cell r="G5128">
            <v>0</v>
          </cell>
        </row>
        <row r="5129">
          <cell r="A5129" t="str">
            <v>55-01-02-0064</v>
          </cell>
          <cell r="B5129">
            <v>0</v>
          </cell>
          <cell r="C5129" t="str">
            <v xml:space="preserve">  A.MAJEED &amp; SONS</v>
          </cell>
          <cell r="D5129">
            <v>0</v>
          </cell>
          <cell r="E5129">
            <v>0</v>
          </cell>
          <cell r="F5129">
            <v>0</v>
          </cell>
          <cell r="G5129">
            <v>0</v>
          </cell>
        </row>
        <row r="5130">
          <cell r="A5130" t="str">
            <v>55-01-02-0065</v>
          </cell>
          <cell r="B5130">
            <v>0</v>
          </cell>
          <cell r="C5130" t="str">
            <v xml:space="preserve">  ARSHAD ALI</v>
          </cell>
          <cell r="D5130">
            <v>0</v>
          </cell>
          <cell r="E5130">
            <v>0</v>
          </cell>
          <cell r="F5130">
            <v>0</v>
          </cell>
          <cell r="G5130">
            <v>0</v>
          </cell>
        </row>
        <row r="5131">
          <cell r="A5131" t="str">
            <v>55-01-02-0066</v>
          </cell>
          <cell r="B5131">
            <v>0</v>
          </cell>
          <cell r="C5131" t="str">
            <v xml:space="preserve">  ASHFAQ AHMED</v>
          </cell>
          <cell r="D5131">
            <v>0</v>
          </cell>
          <cell r="E5131">
            <v>0</v>
          </cell>
          <cell r="F5131">
            <v>0</v>
          </cell>
          <cell r="G5131">
            <v>0</v>
          </cell>
        </row>
        <row r="5132">
          <cell r="A5132" t="str">
            <v>55-01-02-0067</v>
          </cell>
          <cell r="B5132">
            <v>0</v>
          </cell>
          <cell r="C5132" t="str">
            <v xml:space="preserve">  FAROOQ KHAN</v>
          </cell>
          <cell r="D5132">
            <v>0</v>
          </cell>
          <cell r="E5132">
            <v>0</v>
          </cell>
          <cell r="F5132">
            <v>0</v>
          </cell>
          <cell r="G5132">
            <v>0</v>
          </cell>
        </row>
        <row r="5133">
          <cell r="A5133" t="str">
            <v>55-01-02-0068</v>
          </cell>
          <cell r="B5133">
            <v>0</v>
          </cell>
          <cell r="C5133" t="str">
            <v xml:space="preserve">  SIKANDAR KHAN</v>
          </cell>
          <cell r="D5133">
            <v>0</v>
          </cell>
          <cell r="E5133">
            <v>0</v>
          </cell>
          <cell r="F5133">
            <v>0</v>
          </cell>
          <cell r="G5133">
            <v>0</v>
          </cell>
        </row>
        <row r="5134">
          <cell r="A5134" t="str">
            <v>55-01-02-0069</v>
          </cell>
          <cell r="B5134">
            <v>0</v>
          </cell>
          <cell r="C5134" t="str">
            <v xml:space="preserve">  DATARI INTERNATIONAL</v>
          </cell>
          <cell r="D5134">
            <v>0</v>
          </cell>
          <cell r="E5134">
            <v>0</v>
          </cell>
          <cell r="F5134">
            <v>0</v>
          </cell>
          <cell r="G5134">
            <v>0</v>
          </cell>
        </row>
        <row r="5135">
          <cell r="A5135" t="str">
            <v>55-01-02-0070</v>
          </cell>
          <cell r="B5135">
            <v>0</v>
          </cell>
          <cell r="C5135" t="str">
            <v xml:space="preserve">  H.A.GHAFFAR &amp; CO.</v>
          </cell>
          <cell r="D5135">
            <v>0</v>
          </cell>
          <cell r="E5135">
            <v>0</v>
          </cell>
          <cell r="F5135">
            <v>0</v>
          </cell>
          <cell r="G5135">
            <v>0</v>
          </cell>
        </row>
        <row r="5136">
          <cell r="A5136" t="str">
            <v>55-01-02-0071</v>
          </cell>
          <cell r="B5136">
            <v>0</v>
          </cell>
          <cell r="C5136" t="str">
            <v xml:space="preserve">  AUGUST TEXTILE COMMUNION</v>
          </cell>
          <cell r="D5136">
            <v>0</v>
          </cell>
          <cell r="E5136">
            <v>0</v>
          </cell>
          <cell r="F5136">
            <v>0</v>
          </cell>
          <cell r="G5136">
            <v>0</v>
          </cell>
        </row>
        <row r="5137">
          <cell r="A5137" t="str">
            <v>55-01-02-0072</v>
          </cell>
          <cell r="B5137">
            <v>0</v>
          </cell>
          <cell r="C5137" t="str">
            <v xml:space="preserve">  AFROZ TEXTILE INDUSTRIES (PVT) LIMITED</v>
          </cell>
          <cell r="D5137">
            <v>0</v>
          </cell>
          <cell r="E5137">
            <v>0</v>
          </cell>
          <cell r="F5137">
            <v>0</v>
          </cell>
          <cell r="G5137">
            <v>0</v>
          </cell>
        </row>
        <row r="5138">
          <cell r="A5138" t="str">
            <v>55-01-02-0073</v>
          </cell>
          <cell r="B5138">
            <v>0</v>
          </cell>
          <cell r="C5138" t="str">
            <v xml:space="preserve">  FASHION ART INTERNATIONAL</v>
          </cell>
          <cell r="D5138">
            <v>0</v>
          </cell>
          <cell r="E5138">
            <v>0</v>
          </cell>
          <cell r="F5138">
            <v>0</v>
          </cell>
          <cell r="G5138">
            <v>0</v>
          </cell>
        </row>
        <row r="5139">
          <cell r="A5139" t="str">
            <v>55-01-03</v>
          </cell>
          <cell r="B5139">
            <v>0</v>
          </cell>
          <cell r="C5139" t="str">
            <v>***SHAMIM ADIL.</v>
          </cell>
          <cell r="D5139">
            <v>0</v>
          </cell>
          <cell r="E5139">
            <v>0</v>
          </cell>
          <cell r="F5139">
            <v>0</v>
          </cell>
          <cell r="G5139">
            <v>0</v>
          </cell>
        </row>
        <row r="5140">
          <cell r="A5140" t="str">
            <v>55-01-03-0001</v>
          </cell>
          <cell r="B5140">
            <v>0</v>
          </cell>
          <cell r="C5140" t="str">
            <v xml:space="preserve">  IONA ENTERPRISES</v>
          </cell>
          <cell r="D5140">
            <v>0</v>
          </cell>
          <cell r="E5140">
            <v>0</v>
          </cell>
          <cell r="F5140">
            <v>0</v>
          </cell>
          <cell r="G5140">
            <v>0</v>
          </cell>
        </row>
        <row r="5141">
          <cell r="A5141" t="str">
            <v>55-01-04</v>
          </cell>
          <cell r="B5141">
            <v>0</v>
          </cell>
          <cell r="C5141" t="str">
            <v>***ABDUL MAJEED</v>
          </cell>
          <cell r="D5141">
            <v>0</v>
          </cell>
          <cell r="E5141">
            <v>0</v>
          </cell>
          <cell r="F5141">
            <v>0</v>
          </cell>
          <cell r="G5141">
            <v>0</v>
          </cell>
        </row>
        <row r="5142">
          <cell r="A5142" t="str">
            <v>55-01-04-0001</v>
          </cell>
          <cell r="B5142">
            <v>0</v>
          </cell>
          <cell r="C5142" t="str">
            <v xml:space="preserve">  NOMAN ALI</v>
          </cell>
          <cell r="D5142">
            <v>0</v>
          </cell>
          <cell r="E5142">
            <v>0</v>
          </cell>
          <cell r="F5142">
            <v>0</v>
          </cell>
          <cell r="G5142">
            <v>0</v>
          </cell>
        </row>
        <row r="5143">
          <cell r="A5143" t="str">
            <v>55-01-05</v>
          </cell>
          <cell r="B5143">
            <v>0</v>
          </cell>
          <cell r="C5143" t="str">
            <v>***TARIQ MOTON</v>
          </cell>
          <cell r="D5143">
            <v>0</v>
          </cell>
          <cell r="E5143">
            <v>0</v>
          </cell>
          <cell r="F5143">
            <v>0</v>
          </cell>
          <cell r="G5143">
            <v>0</v>
          </cell>
        </row>
        <row r="5144">
          <cell r="A5144" t="str">
            <v>55-01-05-0001</v>
          </cell>
          <cell r="B5144">
            <v>0</v>
          </cell>
          <cell r="C5144" t="str">
            <v xml:space="preserve">  SAJID MEHMOOD</v>
          </cell>
          <cell r="D5144">
            <v>0</v>
          </cell>
          <cell r="E5144">
            <v>0</v>
          </cell>
          <cell r="F5144">
            <v>0</v>
          </cell>
          <cell r="G5144">
            <v>0</v>
          </cell>
        </row>
        <row r="5145">
          <cell r="A5145" t="str">
            <v>55-01-06</v>
          </cell>
          <cell r="B5145">
            <v>0</v>
          </cell>
          <cell r="C5145" t="str">
            <v>***ZEESHAN MOTON</v>
          </cell>
          <cell r="D5145">
            <v>0</v>
          </cell>
          <cell r="E5145">
            <v>0</v>
          </cell>
          <cell r="F5145">
            <v>0</v>
          </cell>
          <cell r="G5145">
            <v>0</v>
          </cell>
        </row>
        <row r="5146">
          <cell r="A5146" t="str">
            <v>55-01-06-0001</v>
          </cell>
          <cell r="B5146">
            <v>0</v>
          </cell>
          <cell r="C5146" t="str">
            <v xml:space="preserve">  AZIZ SONS</v>
          </cell>
          <cell r="D5146">
            <v>0</v>
          </cell>
          <cell r="E5146">
            <v>0</v>
          </cell>
          <cell r="F5146">
            <v>0</v>
          </cell>
          <cell r="G5146">
            <v>0</v>
          </cell>
        </row>
        <row r="5147">
          <cell r="A5147" t="str">
            <v>55-01-07</v>
          </cell>
          <cell r="B5147">
            <v>0</v>
          </cell>
          <cell r="C5147" t="str">
            <v>***MOHAMMAD ALI DAWOOD</v>
          </cell>
          <cell r="D5147">
            <v>0</v>
          </cell>
          <cell r="E5147">
            <v>0</v>
          </cell>
          <cell r="F5147">
            <v>0</v>
          </cell>
          <cell r="G5147">
            <v>0</v>
          </cell>
        </row>
        <row r="5148">
          <cell r="A5148" t="str">
            <v>55-01-07-0001</v>
          </cell>
          <cell r="B5148">
            <v>0</v>
          </cell>
          <cell r="C5148" t="str">
            <v xml:space="preserve">  MOHAMMAD ALI DAWOOD</v>
          </cell>
          <cell r="D5148">
            <v>0</v>
          </cell>
          <cell r="E5148">
            <v>0</v>
          </cell>
          <cell r="F5148">
            <v>0</v>
          </cell>
          <cell r="G5148">
            <v>0</v>
          </cell>
        </row>
        <row r="5149">
          <cell r="A5149" t="str">
            <v>55-01-07-0002</v>
          </cell>
          <cell r="B5149">
            <v>0</v>
          </cell>
          <cell r="C5149" t="str">
            <v xml:space="preserve">  USMAN OMER</v>
          </cell>
          <cell r="D5149">
            <v>0</v>
          </cell>
          <cell r="E5149">
            <v>0</v>
          </cell>
          <cell r="F5149">
            <v>0</v>
          </cell>
          <cell r="G5149">
            <v>0</v>
          </cell>
        </row>
        <row r="5150">
          <cell r="A5150" t="str">
            <v>55-01-07-0003</v>
          </cell>
          <cell r="B5150">
            <v>0</v>
          </cell>
          <cell r="C5150" t="str">
            <v xml:space="preserve">  GHAFFAR HABIB</v>
          </cell>
          <cell r="D5150">
            <v>0</v>
          </cell>
          <cell r="E5150">
            <v>0</v>
          </cell>
          <cell r="F5150">
            <v>0</v>
          </cell>
          <cell r="G5150">
            <v>0</v>
          </cell>
        </row>
        <row r="5151">
          <cell r="A5151" t="str">
            <v>55-01-07-0004</v>
          </cell>
          <cell r="B5151">
            <v>0</v>
          </cell>
          <cell r="C5151" t="str">
            <v xml:space="preserve">  GUL HAMEED</v>
          </cell>
          <cell r="D5151">
            <v>0</v>
          </cell>
          <cell r="E5151">
            <v>0</v>
          </cell>
          <cell r="F5151">
            <v>0</v>
          </cell>
          <cell r="G5151">
            <v>0</v>
          </cell>
        </row>
        <row r="5152">
          <cell r="A5152" t="str">
            <v>55-01-07-0005</v>
          </cell>
          <cell r="B5152">
            <v>0</v>
          </cell>
          <cell r="C5152" t="str">
            <v xml:space="preserve">  GUL SHER</v>
          </cell>
          <cell r="D5152">
            <v>0</v>
          </cell>
          <cell r="E5152">
            <v>0</v>
          </cell>
          <cell r="F5152">
            <v>0</v>
          </cell>
          <cell r="G5152">
            <v>0</v>
          </cell>
        </row>
        <row r="5153">
          <cell r="A5153" t="str">
            <v>55-01-07-0006</v>
          </cell>
          <cell r="B5153">
            <v>0</v>
          </cell>
          <cell r="C5153" t="str">
            <v xml:space="preserve">  ABDUL WAHEED</v>
          </cell>
          <cell r="D5153">
            <v>0</v>
          </cell>
          <cell r="E5153">
            <v>0</v>
          </cell>
          <cell r="F5153">
            <v>0</v>
          </cell>
          <cell r="G5153">
            <v>0</v>
          </cell>
        </row>
        <row r="5154">
          <cell r="A5154" t="str">
            <v>55-01-07-0007</v>
          </cell>
          <cell r="B5154">
            <v>0</v>
          </cell>
          <cell r="C5154" t="str">
            <v xml:space="preserve">  SULTAN AHMED</v>
          </cell>
          <cell r="D5154">
            <v>0</v>
          </cell>
          <cell r="E5154">
            <v>0</v>
          </cell>
          <cell r="F5154">
            <v>0</v>
          </cell>
          <cell r="G5154">
            <v>0</v>
          </cell>
        </row>
        <row r="5155">
          <cell r="A5155" t="str">
            <v>55-01-07-0008</v>
          </cell>
          <cell r="B5155">
            <v>0</v>
          </cell>
          <cell r="C5155" t="str">
            <v xml:space="preserve">  ARSHAD MEHMOOD</v>
          </cell>
          <cell r="D5155">
            <v>0</v>
          </cell>
          <cell r="E5155">
            <v>0</v>
          </cell>
          <cell r="F5155">
            <v>0</v>
          </cell>
          <cell r="G5155">
            <v>0</v>
          </cell>
        </row>
        <row r="5156">
          <cell r="A5156" t="str">
            <v>55-01-07-0009</v>
          </cell>
          <cell r="B5156">
            <v>0</v>
          </cell>
          <cell r="C5156" t="str">
            <v xml:space="preserve">  ABDUL LATIF</v>
          </cell>
          <cell r="D5156">
            <v>0</v>
          </cell>
          <cell r="E5156">
            <v>0</v>
          </cell>
          <cell r="F5156">
            <v>0</v>
          </cell>
          <cell r="G5156">
            <v>0</v>
          </cell>
        </row>
        <row r="5157">
          <cell r="A5157" t="str">
            <v>55-01-07-0010</v>
          </cell>
          <cell r="B5157">
            <v>0</v>
          </cell>
          <cell r="C5157" t="str">
            <v xml:space="preserve">  MUHAMMAD AJMAL</v>
          </cell>
          <cell r="D5157">
            <v>0</v>
          </cell>
          <cell r="E5157">
            <v>0</v>
          </cell>
          <cell r="F5157">
            <v>0</v>
          </cell>
          <cell r="G5157">
            <v>0</v>
          </cell>
        </row>
        <row r="5158">
          <cell r="A5158" t="str">
            <v>55-01-07-0011</v>
          </cell>
          <cell r="B5158">
            <v>0</v>
          </cell>
          <cell r="C5158" t="str">
            <v xml:space="preserve">  ABID ALI</v>
          </cell>
          <cell r="D5158">
            <v>0</v>
          </cell>
          <cell r="E5158">
            <v>0</v>
          </cell>
          <cell r="F5158">
            <v>0</v>
          </cell>
          <cell r="G5158">
            <v>0</v>
          </cell>
        </row>
        <row r="5159">
          <cell r="A5159" t="str">
            <v>55-01-07-0012</v>
          </cell>
          <cell r="B5159">
            <v>0</v>
          </cell>
          <cell r="C5159" t="str">
            <v xml:space="preserve">  RIAZ ALI</v>
          </cell>
          <cell r="D5159">
            <v>0</v>
          </cell>
          <cell r="E5159">
            <v>0</v>
          </cell>
          <cell r="F5159">
            <v>0</v>
          </cell>
          <cell r="G5159">
            <v>0</v>
          </cell>
        </row>
        <row r="5160">
          <cell r="A5160" t="str">
            <v>55-01-07-0013</v>
          </cell>
          <cell r="B5160">
            <v>0</v>
          </cell>
          <cell r="C5160" t="str">
            <v xml:space="preserve">  NAZAR HUSSAIN</v>
          </cell>
          <cell r="D5160">
            <v>0</v>
          </cell>
          <cell r="E5160">
            <v>0</v>
          </cell>
          <cell r="F5160">
            <v>0</v>
          </cell>
          <cell r="G5160">
            <v>0</v>
          </cell>
        </row>
        <row r="5161">
          <cell r="A5161" t="str">
            <v>55-01-07-0014</v>
          </cell>
          <cell r="B5161">
            <v>0</v>
          </cell>
          <cell r="C5161" t="str">
            <v xml:space="preserve">  HYDER ALI</v>
          </cell>
          <cell r="D5161">
            <v>0</v>
          </cell>
          <cell r="E5161">
            <v>0</v>
          </cell>
          <cell r="F5161">
            <v>0</v>
          </cell>
          <cell r="G5161">
            <v>0</v>
          </cell>
        </row>
        <row r="5162">
          <cell r="A5162" t="str">
            <v>55-01-07-0015</v>
          </cell>
          <cell r="B5162">
            <v>0</v>
          </cell>
          <cell r="C5162" t="str">
            <v xml:space="preserve">  NAEEM AHMED</v>
          </cell>
          <cell r="D5162">
            <v>0</v>
          </cell>
          <cell r="E5162">
            <v>0</v>
          </cell>
          <cell r="F5162">
            <v>0</v>
          </cell>
          <cell r="G5162">
            <v>0</v>
          </cell>
        </row>
        <row r="5163">
          <cell r="A5163" t="str">
            <v>55-01-07-0016</v>
          </cell>
          <cell r="B5163">
            <v>0</v>
          </cell>
          <cell r="C5163" t="str">
            <v xml:space="preserve">  NASIR KHAN</v>
          </cell>
          <cell r="D5163">
            <v>0</v>
          </cell>
          <cell r="E5163">
            <v>0</v>
          </cell>
          <cell r="F5163">
            <v>0</v>
          </cell>
          <cell r="G5163">
            <v>0</v>
          </cell>
        </row>
        <row r="5164">
          <cell r="A5164" t="str">
            <v>55-01-07-0017</v>
          </cell>
          <cell r="B5164">
            <v>0</v>
          </cell>
          <cell r="C5164" t="str">
            <v xml:space="preserve">  NADEEM AHMED</v>
          </cell>
          <cell r="D5164">
            <v>0</v>
          </cell>
          <cell r="E5164">
            <v>0</v>
          </cell>
          <cell r="F5164">
            <v>0</v>
          </cell>
          <cell r="G5164">
            <v>0</v>
          </cell>
        </row>
        <row r="5165">
          <cell r="A5165" t="str">
            <v>55-01-07-0018</v>
          </cell>
          <cell r="B5165">
            <v>0</v>
          </cell>
          <cell r="C5165" t="str">
            <v xml:space="preserve">  KABIR UDDIN.</v>
          </cell>
          <cell r="D5165">
            <v>0</v>
          </cell>
          <cell r="E5165">
            <v>0</v>
          </cell>
          <cell r="F5165">
            <v>0</v>
          </cell>
          <cell r="G5165">
            <v>0</v>
          </cell>
        </row>
        <row r="5166">
          <cell r="A5166" t="str">
            <v>55-01-07-0019</v>
          </cell>
          <cell r="B5166">
            <v>0</v>
          </cell>
          <cell r="C5166" t="str">
            <v xml:space="preserve">  FAIZ ALI.</v>
          </cell>
          <cell r="D5166">
            <v>0</v>
          </cell>
          <cell r="E5166">
            <v>0</v>
          </cell>
          <cell r="F5166">
            <v>0</v>
          </cell>
          <cell r="G5166">
            <v>0</v>
          </cell>
        </row>
        <row r="5167">
          <cell r="A5167" t="str">
            <v>55-01-07-0020</v>
          </cell>
          <cell r="B5167">
            <v>0</v>
          </cell>
          <cell r="C5167" t="str">
            <v xml:space="preserve">  NAZIR AHMED</v>
          </cell>
          <cell r="D5167">
            <v>0</v>
          </cell>
          <cell r="E5167">
            <v>0</v>
          </cell>
          <cell r="F5167">
            <v>0</v>
          </cell>
          <cell r="G5167">
            <v>0</v>
          </cell>
        </row>
        <row r="5168">
          <cell r="A5168" t="str">
            <v>55-01-07-0021</v>
          </cell>
          <cell r="B5168">
            <v>0</v>
          </cell>
          <cell r="C5168" t="str">
            <v xml:space="preserve">  SALMAN AHMED</v>
          </cell>
          <cell r="D5168">
            <v>0</v>
          </cell>
          <cell r="E5168">
            <v>0</v>
          </cell>
          <cell r="F5168">
            <v>0</v>
          </cell>
          <cell r="G5168">
            <v>0</v>
          </cell>
        </row>
        <row r="5169">
          <cell r="A5169" t="str">
            <v>55-01-07-0022</v>
          </cell>
          <cell r="B5169">
            <v>0</v>
          </cell>
          <cell r="C5169" t="str">
            <v xml:space="preserve">  MEER ZAMAN</v>
          </cell>
          <cell r="D5169">
            <v>0</v>
          </cell>
          <cell r="E5169">
            <v>0</v>
          </cell>
          <cell r="F5169">
            <v>0</v>
          </cell>
          <cell r="G5169">
            <v>0</v>
          </cell>
        </row>
        <row r="5170">
          <cell r="A5170" t="str">
            <v>55-01-07-0023</v>
          </cell>
          <cell r="B5170">
            <v>0</v>
          </cell>
          <cell r="C5170" t="str">
            <v xml:space="preserve">  NAZIR GUL</v>
          </cell>
          <cell r="D5170">
            <v>0</v>
          </cell>
          <cell r="E5170">
            <v>0</v>
          </cell>
          <cell r="F5170">
            <v>0</v>
          </cell>
          <cell r="G5170">
            <v>0</v>
          </cell>
        </row>
        <row r="5171">
          <cell r="A5171" t="str">
            <v>55-01-07-0024</v>
          </cell>
          <cell r="B5171">
            <v>0</v>
          </cell>
          <cell r="C5171" t="str">
            <v xml:space="preserve">  AFZAL AHMED</v>
          </cell>
          <cell r="D5171">
            <v>0</v>
          </cell>
          <cell r="E5171">
            <v>0</v>
          </cell>
          <cell r="F5171">
            <v>0</v>
          </cell>
          <cell r="G5171">
            <v>0</v>
          </cell>
        </row>
        <row r="5172">
          <cell r="A5172" t="str">
            <v>55-01-07-0025</v>
          </cell>
          <cell r="B5172">
            <v>0</v>
          </cell>
          <cell r="C5172" t="str">
            <v xml:space="preserve">  WASEEM GUL</v>
          </cell>
          <cell r="D5172">
            <v>0</v>
          </cell>
          <cell r="E5172">
            <v>0</v>
          </cell>
          <cell r="F5172">
            <v>0</v>
          </cell>
          <cell r="G5172">
            <v>0</v>
          </cell>
        </row>
        <row r="5173">
          <cell r="A5173" t="str">
            <v>55-01-07-0026</v>
          </cell>
          <cell r="B5173">
            <v>0</v>
          </cell>
          <cell r="C5173" t="str">
            <v xml:space="preserve">  NAVEED ALI.</v>
          </cell>
          <cell r="D5173">
            <v>0</v>
          </cell>
          <cell r="E5173">
            <v>0</v>
          </cell>
          <cell r="F5173">
            <v>0</v>
          </cell>
          <cell r="G5173">
            <v>0</v>
          </cell>
        </row>
        <row r="5174">
          <cell r="A5174" t="str">
            <v>55-01-07-0027</v>
          </cell>
          <cell r="B5174">
            <v>0</v>
          </cell>
          <cell r="C5174" t="str">
            <v xml:space="preserve">  SULTAN SHAH</v>
          </cell>
          <cell r="D5174">
            <v>0</v>
          </cell>
          <cell r="E5174">
            <v>0</v>
          </cell>
          <cell r="F5174">
            <v>0</v>
          </cell>
          <cell r="G5174">
            <v>0</v>
          </cell>
        </row>
        <row r="5175">
          <cell r="A5175" t="str">
            <v>55-01-07-0028</v>
          </cell>
          <cell r="B5175">
            <v>0</v>
          </cell>
          <cell r="C5175" t="str">
            <v xml:space="preserve">  KABIR KHAN</v>
          </cell>
          <cell r="D5175">
            <v>0</v>
          </cell>
          <cell r="E5175">
            <v>0</v>
          </cell>
          <cell r="F5175">
            <v>0</v>
          </cell>
          <cell r="G5175">
            <v>0</v>
          </cell>
        </row>
        <row r="5176">
          <cell r="A5176" t="str">
            <v>55-01-07-0029</v>
          </cell>
          <cell r="B5176">
            <v>0</v>
          </cell>
          <cell r="C5176" t="str">
            <v xml:space="preserve">  FARID NAW2AZ</v>
          </cell>
          <cell r="D5176">
            <v>0</v>
          </cell>
          <cell r="E5176">
            <v>0</v>
          </cell>
          <cell r="F5176">
            <v>0</v>
          </cell>
          <cell r="G5176">
            <v>0</v>
          </cell>
        </row>
        <row r="5177">
          <cell r="A5177" t="str">
            <v>55-01-07-0030</v>
          </cell>
          <cell r="B5177">
            <v>0</v>
          </cell>
          <cell r="C5177" t="str">
            <v xml:space="preserve">  SALIM GUL</v>
          </cell>
          <cell r="D5177">
            <v>0</v>
          </cell>
          <cell r="E5177">
            <v>0</v>
          </cell>
          <cell r="F5177">
            <v>0</v>
          </cell>
          <cell r="G5177">
            <v>0</v>
          </cell>
        </row>
        <row r="5178">
          <cell r="A5178" t="str">
            <v>55-01-07-0031</v>
          </cell>
          <cell r="B5178">
            <v>0</v>
          </cell>
          <cell r="C5178" t="str">
            <v xml:space="preserve">  SAJID ALI</v>
          </cell>
          <cell r="D5178">
            <v>0</v>
          </cell>
          <cell r="E5178">
            <v>0</v>
          </cell>
          <cell r="F5178">
            <v>0</v>
          </cell>
          <cell r="G5178">
            <v>0</v>
          </cell>
        </row>
        <row r="5179">
          <cell r="A5179" t="str">
            <v>55-01-07-0032</v>
          </cell>
          <cell r="B5179">
            <v>0</v>
          </cell>
          <cell r="C5179" t="str">
            <v xml:space="preserve">  TARIQ JAMIL</v>
          </cell>
          <cell r="D5179">
            <v>0</v>
          </cell>
          <cell r="E5179">
            <v>0</v>
          </cell>
          <cell r="F5179">
            <v>0</v>
          </cell>
          <cell r="G5179">
            <v>0</v>
          </cell>
        </row>
        <row r="5180">
          <cell r="A5180" t="str">
            <v>55-01-07-0033</v>
          </cell>
          <cell r="B5180">
            <v>0</v>
          </cell>
          <cell r="C5180" t="str">
            <v xml:space="preserve">  ATIF ALI</v>
          </cell>
          <cell r="D5180">
            <v>0</v>
          </cell>
          <cell r="E5180">
            <v>0</v>
          </cell>
          <cell r="F5180">
            <v>0</v>
          </cell>
          <cell r="G5180">
            <v>0</v>
          </cell>
        </row>
        <row r="5181">
          <cell r="A5181" t="str">
            <v>55-01-07-0034</v>
          </cell>
          <cell r="B5181">
            <v>0</v>
          </cell>
          <cell r="C5181" t="str">
            <v xml:space="preserve">  MUNIR AHMED</v>
          </cell>
          <cell r="D5181">
            <v>0</v>
          </cell>
          <cell r="E5181">
            <v>0</v>
          </cell>
          <cell r="F5181">
            <v>0</v>
          </cell>
          <cell r="G5181">
            <v>0</v>
          </cell>
        </row>
        <row r="5182">
          <cell r="A5182" t="str">
            <v>55-01-07-0035</v>
          </cell>
          <cell r="B5182">
            <v>0</v>
          </cell>
          <cell r="C5182" t="str">
            <v xml:space="preserve">  UMER FAROOQ</v>
          </cell>
          <cell r="D5182">
            <v>0</v>
          </cell>
          <cell r="E5182">
            <v>0</v>
          </cell>
          <cell r="F5182">
            <v>0</v>
          </cell>
          <cell r="G5182">
            <v>0</v>
          </cell>
        </row>
        <row r="5183">
          <cell r="A5183" t="str">
            <v>55-01-07-0036</v>
          </cell>
          <cell r="B5183">
            <v>0</v>
          </cell>
          <cell r="C5183" t="str">
            <v xml:space="preserve">  YASIR AKHTAR</v>
          </cell>
          <cell r="D5183">
            <v>0</v>
          </cell>
          <cell r="E5183">
            <v>0</v>
          </cell>
          <cell r="F5183">
            <v>0</v>
          </cell>
          <cell r="G5183">
            <v>0</v>
          </cell>
        </row>
        <row r="5184">
          <cell r="A5184" t="str">
            <v>55-01-07-0037</v>
          </cell>
          <cell r="B5184">
            <v>0</v>
          </cell>
          <cell r="C5184" t="str">
            <v xml:space="preserve">  AFZAL KHAN</v>
          </cell>
          <cell r="D5184">
            <v>0</v>
          </cell>
          <cell r="E5184">
            <v>0</v>
          </cell>
          <cell r="F5184">
            <v>0</v>
          </cell>
          <cell r="G5184">
            <v>0</v>
          </cell>
        </row>
        <row r="5185">
          <cell r="A5185" t="str">
            <v>55-01-07-0038</v>
          </cell>
          <cell r="B5185">
            <v>0</v>
          </cell>
          <cell r="C5185" t="str">
            <v xml:space="preserve">  BASHIR AHMED</v>
          </cell>
          <cell r="D5185">
            <v>0</v>
          </cell>
          <cell r="E5185">
            <v>0</v>
          </cell>
          <cell r="F5185">
            <v>0</v>
          </cell>
          <cell r="G5185">
            <v>0</v>
          </cell>
        </row>
        <row r="5186">
          <cell r="A5186" t="str">
            <v>55-01-07-0039</v>
          </cell>
          <cell r="B5186">
            <v>0</v>
          </cell>
          <cell r="C5186" t="str">
            <v xml:space="preserve">  MUHAMMAD SARWAR</v>
          </cell>
          <cell r="D5186">
            <v>0</v>
          </cell>
          <cell r="E5186">
            <v>0</v>
          </cell>
          <cell r="F5186">
            <v>0</v>
          </cell>
          <cell r="G5186">
            <v>0</v>
          </cell>
        </row>
        <row r="5187">
          <cell r="A5187" t="str">
            <v>55-01-07-0040</v>
          </cell>
          <cell r="B5187">
            <v>0</v>
          </cell>
          <cell r="C5187" t="str">
            <v xml:space="preserve">  GHULAM MOHAMMED</v>
          </cell>
          <cell r="D5187">
            <v>0</v>
          </cell>
          <cell r="E5187">
            <v>0</v>
          </cell>
          <cell r="F5187">
            <v>0</v>
          </cell>
          <cell r="G5187">
            <v>0</v>
          </cell>
        </row>
        <row r="5188">
          <cell r="A5188" t="str">
            <v>55-01-07-0041</v>
          </cell>
          <cell r="B5188">
            <v>0</v>
          </cell>
          <cell r="C5188" t="str">
            <v xml:space="preserve">  QAISER JAVED</v>
          </cell>
          <cell r="D5188">
            <v>0</v>
          </cell>
          <cell r="E5188">
            <v>0</v>
          </cell>
          <cell r="F5188">
            <v>0</v>
          </cell>
          <cell r="G5188">
            <v>0</v>
          </cell>
        </row>
        <row r="5189">
          <cell r="A5189" t="str">
            <v>55-01-07-0042</v>
          </cell>
          <cell r="B5189">
            <v>0</v>
          </cell>
          <cell r="C5189" t="str">
            <v xml:space="preserve">  KHAN MUHAMMAD</v>
          </cell>
          <cell r="D5189">
            <v>0</v>
          </cell>
          <cell r="E5189">
            <v>0</v>
          </cell>
          <cell r="F5189">
            <v>0</v>
          </cell>
          <cell r="G5189">
            <v>0</v>
          </cell>
        </row>
        <row r="5190">
          <cell r="A5190" t="str">
            <v>55-01-07-0043</v>
          </cell>
          <cell r="B5190">
            <v>0</v>
          </cell>
          <cell r="C5190" t="str">
            <v xml:space="preserve">  ANWAR KHAN</v>
          </cell>
          <cell r="D5190">
            <v>0</v>
          </cell>
          <cell r="E5190">
            <v>0</v>
          </cell>
          <cell r="F5190">
            <v>0</v>
          </cell>
          <cell r="G5190">
            <v>0</v>
          </cell>
        </row>
        <row r="5191">
          <cell r="A5191" t="str">
            <v>55-01-07-0044</v>
          </cell>
          <cell r="B5191">
            <v>0</v>
          </cell>
          <cell r="C5191" t="str">
            <v xml:space="preserve">  IRFAN ALI</v>
          </cell>
          <cell r="D5191">
            <v>0</v>
          </cell>
          <cell r="E5191">
            <v>0</v>
          </cell>
          <cell r="F5191">
            <v>0</v>
          </cell>
          <cell r="G5191">
            <v>0</v>
          </cell>
        </row>
        <row r="5192">
          <cell r="A5192" t="str">
            <v>55-01-07-0045</v>
          </cell>
          <cell r="B5192">
            <v>0</v>
          </cell>
          <cell r="C5192" t="str">
            <v xml:space="preserve">  SHAH ALAM</v>
          </cell>
          <cell r="D5192">
            <v>0</v>
          </cell>
          <cell r="E5192">
            <v>0</v>
          </cell>
          <cell r="F5192">
            <v>0</v>
          </cell>
          <cell r="G5192">
            <v>0</v>
          </cell>
        </row>
        <row r="5193">
          <cell r="A5193" t="str">
            <v>55-01-07-0046</v>
          </cell>
          <cell r="B5193">
            <v>0</v>
          </cell>
          <cell r="C5193" t="str">
            <v xml:space="preserve">  MUHAMMAD KHALID</v>
          </cell>
          <cell r="D5193">
            <v>0</v>
          </cell>
          <cell r="E5193">
            <v>0</v>
          </cell>
          <cell r="F5193">
            <v>0</v>
          </cell>
          <cell r="G5193">
            <v>0</v>
          </cell>
        </row>
        <row r="5194">
          <cell r="A5194" t="str">
            <v>55-01-07-0047</v>
          </cell>
          <cell r="B5194">
            <v>0</v>
          </cell>
          <cell r="C5194" t="str">
            <v xml:space="preserve">  NADIR SHAH</v>
          </cell>
          <cell r="D5194">
            <v>0</v>
          </cell>
          <cell r="E5194">
            <v>0</v>
          </cell>
          <cell r="F5194">
            <v>0</v>
          </cell>
          <cell r="G5194">
            <v>0</v>
          </cell>
        </row>
        <row r="5195">
          <cell r="A5195" t="str">
            <v>55-01-07-0048</v>
          </cell>
          <cell r="B5195">
            <v>0</v>
          </cell>
          <cell r="C5195" t="str">
            <v xml:space="preserve">  NOOR ALAM</v>
          </cell>
          <cell r="D5195">
            <v>0</v>
          </cell>
          <cell r="E5195">
            <v>0</v>
          </cell>
          <cell r="F5195">
            <v>0</v>
          </cell>
          <cell r="G5195">
            <v>0</v>
          </cell>
        </row>
        <row r="5196">
          <cell r="A5196" t="str">
            <v>55-01-07-0049</v>
          </cell>
          <cell r="B5196">
            <v>0</v>
          </cell>
          <cell r="C5196" t="str">
            <v xml:space="preserve">  AMANAT ALI</v>
          </cell>
          <cell r="D5196">
            <v>0</v>
          </cell>
          <cell r="E5196">
            <v>0</v>
          </cell>
          <cell r="F5196">
            <v>0</v>
          </cell>
          <cell r="G5196">
            <v>0</v>
          </cell>
        </row>
        <row r="5197">
          <cell r="A5197" t="str">
            <v>55-01-07-0050</v>
          </cell>
          <cell r="B5197">
            <v>0</v>
          </cell>
          <cell r="C5197" t="str">
            <v xml:space="preserve">  ABDUL SHAHID</v>
          </cell>
          <cell r="D5197">
            <v>0</v>
          </cell>
          <cell r="E5197">
            <v>0</v>
          </cell>
          <cell r="F5197">
            <v>0</v>
          </cell>
          <cell r="G5197">
            <v>0</v>
          </cell>
        </row>
        <row r="5198">
          <cell r="A5198" t="str">
            <v>55-01-07-0051</v>
          </cell>
          <cell r="B5198">
            <v>0</v>
          </cell>
          <cell r="C5198" t="str">
            <v xml:space="preserve">  NAVEED ALAM</v>
          </cell>
          <cell r="D5198">
            <v>0</v>
          </cell>
          <cell r="E5198">
            <v>0</v>
          </cell>
          <cell r="F5198">
            <v>0</v>
          </cell>
          <cell r="G5198">
            <v>0</v>
          </cell>
        </row>
        <row r="5199">
          <cell r="A5199" t="str">
            <v>55-01-07-0052</v>
          </cell>
          <cell r="B5199">
            <v>0</v>
          </cell>
          <cell r="C5199" t="str">
            <v xml:space="preserve">  MUHAMMAD AZIZ</v>
          </cell>
          <cell r="D5199">
            <v>0</v>
          </cell>
          <cell r="E5199">
            <v>0</v>
          </cell>
          <cell r="F5199">
            <v>0</v>
          </cell>
          <cell r="G5199">
            <v>0</v>
          </cell>
        </row>
        <row r="5200">
          <cell r="A5200" t="str">
            <v>55-01-07-0053</v>
          </cell>
          <cell r="B5200">
            <v>0</v>
          </cell>
          <cell r="C5200" t="str">
            <v xml:space="preserve">  QASIM KHAN</v>
          </cell>
          <cell r="D5200">
            <v>0</v>
          </cell>
          <cell r="E5200">
            <v>0</v>
          </cell>
          <cell r="F5200">
            <v>0</v>
          </cell>
          <cell r="G5200">
            <v>0</v>
          </cell>
        </row>
        <row r="5201">
          <cell r="A5201" t="str">
            <v>55-01-07-0054</v>
          </cell>
          <cell r="B5201">
            <v>0</v>
          </cell>
          <cell r="C5201" t="str">
            <v xml:space="preserve">  NAVEED SHAH</v>
          </cell>
          <cell r="D5201">
            <v>0</v>
          </cell>
          <cell r="E5201">
            <v>0</v>
          </cell>
          <cell r="F5201">
            <v>0</v>
          </cell>
          <cell r="G5201">
            <v>0</v>
          </cell>
        </row>
        <row r="5202">
          <cell r="A5202" t="str">
            <v>55-01-08</v>
          </cell>
          <cell r="B5202">
            <v>0</v>
          </cell>
          <cell r="C5202" t="str">
            <v>***KHALID SAEED</v>
          </cell>
          <cell r="D5202">
            <v>0</v>
          </cell>
          <cell r="E5202">
            <v>0</v>
          </cell>
          <cell r="F5202">
            <v>0</v>
          </cell>
          <cell r="G5202">
            <v>0</v>
          </cell>
        </row>
        <row r="5203">
          <cell r="A5203" t="str">
            <v>55-01-08-0001</v>
          </cell>
          <cell r="B5203">
            <v>0</v>
          </cell>
          <cell r="C5203" t="str">
            <v xml:space="preserve">  TEXPRO</v>
          </cell>
          <cell r="D5203">
            <v>0</v>
          </cell>
          <cell r="E5203">
            <v>0</v>
          </cell>
          <cell r="F5203">
            <v>0</v>
          </cell>
          <cell r="G5203">
            <v>0</v>
          </cell>
        </row>
        <row r="5204">
          <cell r="A5204" t="str">
            <v>55-01-08-0002</v>
          </cell>
          <cell r="B5204">
            <v>0</v>
          </cell>
          <cell r="C5204" t="str">
            <v xml:space="preserve">  KHALID SAEED (BROKERAGE OF COMMISSION)</v>
          </cell>
          <cell r="D5204">
            <v>0</v>
          </cell>
          <cell r="E5204">
            <v>0</v>
          </cell>
          <cell r="F5204">
            <v>0</v>
          </cell>
          <cell r="G5204">
            <v>0</v>
          </cell>
        </row>
        <row r="5205">
          <cell r="A5205" t="str">
            <v>55-01-08-0003</v>
          </cell>
          <cell r="B5205">
            <v>0</v>
          </cell>
          <cell r="C5205" t="str">
            <v xml:space="preserve">  HI-KNIT (PVT) LTD.</v>
          </cell>
          <cell r="D5205">
            <v>0</v>
          </cell>
          <cell r="E5205">
            <v>0</v>
          </cell>
          <cell r="F5205">
            <v>0</v>
          </cell>
          <cell r="G5205">
            <v>0</v>
          </cell>
        </row>
        <row r="5206">
          <cell r="A5206" t="str">
            <v>55-01-08-0004</v>
          </cell>
          <cell r="B5206">
            <v>0</v>
          </cell>
          <cell r="C5206" t="str">
            <v xml:space="preserve">  SWAN TEXTILE</v>
          </cell>
          <cell r="D5206">
            <v>0</v>
          </cell>
          <cell r="E5206">
            <v>0</v>
          </cell>
          <cell r="F5206">
            <v>0</v>
          </cell>
          <cell r="G5206">
            <v>0</v>
          </cell>
        </row>
        <row r="5207">
          <cell r="A5207" t="str">
            <v>55-01-09</v>
          </cell>
          <cell r="B5207">
            <v>0</v>
          </cell>
          <cell r="C5207" t="str">
            <v>***MOHSIN JAMIL</v>
          </cell>
          <cell r="D5207">
            <v>0</v>
          </cell>
          <cell r="E5207">
            <v>0</v>
          </cell>
          <cell r="F5207">
            <v>0</v>
          </cell>
          <cell r="G5207">
            <v>0</v>
          </cell>
        </row>
        <row r="5208">
          <cell r="A5208" t="str">
            <v>55-01-09-0001</v>
          </cell>
          <cell r="B5208">
            <v>0</v>
          </cell>
          <cell r="C5208" t="str">
            <v xml:space="preserve">  FANCY TOWEL INDUSTRIES</v>
          </cell>
          <cell r="D5208">
            <v>0</v>
          </cell>
          <cell r="E5208">
            <v>0</v>
          </cell>
          <cell r="F5208">
            <v>0</v>
          </cell>
          <cell r="G5208">
            <v>0</v>
          </cell>
        </row>
        <row r="5209">
          <cell r="A5209" t="str">
            <v>55-01-09-0002</v>
          </cell>
          <cell r="B5209">
            <v>0</v>
          </cell>
          <cell r="C5209" t="str">
            <v xml:space="preserve">  FRIENDS COTTON PRODUCTS</v>
          </cell>
          <cell r="D5209">
            <v>0</v>
          </cell>
          <cell r="E5209">
            <v>0</v>
          </cell>
          <cell r="F5209">
            <v>0</v>
          </cell>
          <cell r="G5209">
            <v>0</v>
          </cell>
        </row>
        <row r="5210">
          <cell r="A5210" t="str">
            <v>55-01-09-0003</v>
          </cell>
          <cell r="B5210">
            <v>0</v>
          </cell>
          <cell r="C5210" t="str">
            <v xml:space="preserve">  NAZ TEXTILE (PVT) LIMITED</v>
          </cell>
          <cell r="D5210">
            <v>0</v>
          </cell>
          <cell r="E5210">
            <v>0</v>
          </cell>
          <cell r="F5210">
            <v>0</v>
          </cell>
          <cell r="G5210">
            <v>0</v>
          </cell>
        </row>
        <row r="5211">
          <cell r="A5211" t="str">
            <v>55-01-09-0004</v>
          </cell>
          <cell r="B5211">
            <v>0</v>
          </cell>
          <cell r="C5211" t="str">
            <v xml:space="preserve">  ADNAN APPARELS</v>
          </cell>
          <cell r="D5211">
            <v>0</v>
          </cell>
          <cell r="E5211">
            <v>0</v>
          </cell>
          <cell r="F5211">
            <v>0</v>
          </cell>
          <cell r="G5211">
            <v>0</v>
          </cell>
        </row>
        <row r="5212">
          <cell r="A5212" t="str">
            <v>55-01-09-0005</v>
          </cell>
          <cell r="B5212">
            <v>0</v>
          </cell>
          <cell r="C5212" t="str">
            <v xml:space="preserve">  SURIA TEX</v>
          </cell>
          <cell r="D5212">
            <v>0</v>
          </cell>
          <cell r="E5212">
            <v>0</v>
          </cell>
          <cell r="F5212">
            <v>0</v>
          </cell>
          <cell r="G5212">
            <v>0</v>
          </cell>
        </row>
        <row r="5213">
          <cell r="A5213" t="str">
            <v>55-01-09-0006</v>
          </cell>
          <cell r="B5213">
            <v>0</v>
          </cell>
          <cell r="C5213" t="str">
            <v xml:space="preserve">  HASHIM TOWEL</v>
          </cell>
          <cell r="D5213">
            <v>0</v>
          </cell>
          <cell r="E5213">
            <v>0</v>
          </cell>
          <cell r="F5213">
            <v>0</v>
          </cell>
          <cell r="G5213">
            <v>0</v>
          </cell>
        </row>
        <row r="5214">
          <cell r="A5214" t="str">
            <v>55-01-09-0007</v>
          </cell>
          <cell r="B5214">
            <v>0</v>
          </cell>
          <cell r="C5214" t="str">
            <v xml:space="preserve">  FAISAL INDUSTRIES</v>
          </cell>
          <cell r="D5214">
            <v>0</v>
          </cell>
          <cell r="E5214">
            <v>0</v>
          </cell>
          <cell r="F5214">
            <v>0</v>
          </cell>
          <cell r="G5214">
            <v>0</v>
          </cell>
        </row>
        <row r="5215">
          <cell r="A5215" t="str">
            <v>55-01-09-0008</v>
          </cell>
          <cell r="B5215">
            <v>0</v>
          </cell>
          <cell r="C5215" t="str">
            <v xml:space="preserve">  NOOR POOR INDUSTRIES</v>
          </cell>
          <cell r="D5215">
            <v>0</v>
          </cell>
          <cell r="E5215">
            <v>0</v>
          </cell>
          <cell r="F5215">
            <v>0</v>
          </cell>
          <cell r="G5215">
            <v>0</v>
          </cell>
        </row>
        <row r="5216">
          <cell r="A5216" t="str">
            <v>55-01-09-0009</v>
          </cell>
          <cell r="B5216">
            <v>0</v>
          </cell>
          <cell r="C5216" t="str">
            <v xml:space="preserve">  FASHION ART INTERNATIONAL</v>
          </cell>
          <cell r="D5216">
            <v>0</v>
          </cell>
          <cell r="E5216">
            <v>0</v>
          </cell>
          <cell r="F5216">
            <v>0</v>
          </cell>
          <cell r="G5216">
            <v>0</v>
          </cell>
        </row>
        <row r="5217">
          <cell r="A5217" t="str">
            <v>55-01-09-0010</v>
          </cell>
          <cell r="B5217">
            <v>0</v>
          </cell>
          <cell r="C5217" t="str">
            <v xml:space="preserve">  MANSOOR TENRY (PVT) LIMITED</v>
          </cell>
          <cell r="D5217">
            <v>0</v>
          </cell>
          <cell r="E5217">
            <v>0</v>
          </cell>
          <cell r="F5217">
            <v>0</v>
          </cell>
          <cell r="G5217">
            <v>0</v>
          </cell>
        </row>
        <row r="5218">
          <cell r="A5218" t="str">
            <v>55-01-09-0011</v>
          </cell>
          <cell r="B5218">
            <v>0</v>
          </cell>
          <cell r="C5218" t="str">
            <v xml:space="preserve">  TULIP TOWEL INDUSTRIES</v>
          </cell>
          <cell r="D5218">
            <v>0</v>
          </cell>
          <cell r="E5218">
            <v>0</v>
          </cell>
          <cell r="F5218">
            <v>0</v>
          </cell>
          <cell r="G5218">
            <v>0</v>
          </cell>
        </row>
        <row r="5219">
          <cell r="A5219" t="str">
            <v>55-01-09-0012</v>
          </cell>
          <cell r="B5219">
            <v>0</v>
          </cell>
          <cell r="C5219" t="str">
            <v xml:space="preserve">  AL-ASIF TEXTILE INDUSTRIES</v>
          </cell>
          <cell r="D5219">
            <v>0</v>
          </cell>
          <cell r="E5219">
            <v>0</v>
          </cell>
          <cell r="F5219">
            <v>0</v>
          </cell>
          <cell r="G5219">
            <v>0</v>
          </cell>
        </row>
        <row r="5220">
          <cell r="A5220" t="str">
            <v>55-01-09-0013</v>
          </cell>
          <cell r="B5220">
            <v>0</v>
          </cell>
          <cell r="C5220" t="str">
            <v xml:space="preserve">  A ESSAK &amp; SONS</v>
          </cell>
          <cell r="D5220">
            <v>0</v>
          </cell>
          <cell r="E5220">
            <v>0</v>
          </cell>
          <cell r="F5220">
            <v>0</v>
          </cell>
          <cell r="G5220">
            <v>0</v>
          </cell>
        </row>
        <row r="5221">
          <cell r="A5221" t="str">
            <v>55-01-09-0014</v>
          </cell>
          <cell r="B5221">
            <v>0</v>
          </cell>
          <cell r="C5221" t="str">
            <v xml:space="preserve">  JAMIL BROTHERS (BROKERAGE ON YARN).</v>
          </cell>
          <cell r="D5221">
            <v>0</v>
          </cell>
          <cell r="E5221">
            <v>0</v>
          </cell>
          <cell r="F5221">
            <v>0</v>
          </cell>
          <cell r="G5221">
            <v>0</v>
          </cell>
        </row>
        <row r="5222">
          <cell r="A5222" t="str">
            <v>55-01-10</v>
          </cell>
          <cell r="B5222">
            <v>0</v>
          </cell>
          <cell r="C5222" t="str">
            <v>***MUHAMMAD FAROOQ TEXTILE MILLS LIMITED</v>
          </cell>
          <cell r="D5222">
            <v>0</v>
          </cell>
          <cell r="E5222">
            <v>0</v>
          </cell>
          <cell r="F5222">
            <v>0</v>
          </cell>
          <cell r="G5222">
            <v>0</v>
          </cell>
        </row>
        <row r="5223">
          <cell r="A5223" t="str">
            <v>55-01-10-0001</v>
          </cell>
          <cell r="B5223">
            <v>0</v>
          </cell>
          <cell r="C5223" t="str">
            <v xml:space="preserve">  MUHAMMAD FAROOQ TEXTILE MILLS LIMITED</v>
          </cell>
          <cell r="D5223">
            <v>0</v>
          </cell>
          <cell r="E5223">
            <v>0</v>
          </cell>
          <cell r="F5223">
            <v>0</v>
          </cell>
          <cell r="G5223">
            <v>0</v>
          </cell>
        </row>
        <row r="5224">
          <cell r="A5224" t="str">
            <v>55-01-11</v>
          </cell>
          <cell r="B5224">
            <v>0</v>
          </cell>
          <cell r="C5224" t="str">
            <v>***UNIVERSAL CORPORATION</v>
          </cell>
          <cell r="D5224">
            <v>0</v>
          </cell>
          <cell r="E5224">
            <v>0</v>
          </cell>
          <cell r="F5224">
            <v>0</v>
          </cell>
          <cell r="G5224">
            <v>0</v>
          </cell>
        </row>
        <row r="5225">
          <cell r="A5225" t="str">
            <v>55-01-11-0001</v>
          </cell>
          <cell r="B5225">
            <v>0</v>
          </cell>
          <cell r="C5225" t="str">
            <v xml:space="preserve">  UNIVERSAL CORPORATION</v>
          </cell>
          <cell r="D5225">
            <v>0</v>
          </cell>
          <cell r="E5225">
            <v>0</v>
          </cell>
          <cell r="F5225">
            <v>0</v>
          </cell>
          <cell r="G5225">
            <v>0</v>
          </cell>
        </row>
        <row r="5226">
          <cell r="A5226" t="str">
            <v>55-01-12</v>
          </cell>
          <cell r="B5226">
            <v>0</v>
          </cell>
          <cell r="C5226" t="str">
            <v>***OXFORD KNITTING MILLS (PVT) LTD.</v>
          </cell>
          <cell r="D5226">
            <v>0</v>
          </cell>
          <cell r="E5226">
            <v>0</v>
          </cell>
          <cell r="F5226">
            <v>0</v>
          </cell>
          <cell r="G5226">
            <v>0</v>
          </cell>
        </row>
        <row r="5227">
          <cell r="A5227" t="str">
            <v>55-01-12-0001</v>
          </cell>
          <cell r="B5227">
            <v>0</v>
          </cell>
          <cell r="C5227" t="str">
            <v xml:space="preserve">  OXFORD KNITTING MILLS (PVT) LTD.</v>
          </cell>
          <cell r="D5227">
            <v>0</v>
          </cell>
          <cell r="E5227">
            <v>0</v>
          </cell>
          <cell r="F5227">
            <v>0</v>
          </cell>
          <cell r="G5227">
            <v>0</v>
          </cell>
        </row>
        <row r="5228">
          <cell r="A5228" t="str">
            <v>55-01-13</v>
          </cell>
          <cell r="B5228">
            <v>0</v>
          </cell>
          <cell r="C5228" t="str">
            <v>***SIKANDAR ISMAIL.</v>
          </cell>
          <cell r="D5228">
            <v>0</v>
          </cell>
          <cell r="E5228">
            <v>0</v>
          </cell>
          <cell r="F5228">
            <v>0</v>
          </cell>
          <cell r="G5228">
            <v>0</v>
          </cell>
        </row>
        <row r="5229">
          <cell r="A5229" t="str">
            <v>55-01-13-0001</v>
          </cell>
          <cell r="B5229">
            <v>0</v>
          </cell>
          <cell r="C5229" t="str">
            <v xml:space="preserve">  PAUL TEXTILE AND TOWEL INDUSTRIES</v>
          </cell>
          <cell r="D5229">
            <v>0</v>
          </cell>
          <cell r="E5229">
            <v>0</v>
          </cell>
          <cell r="F5229">
            <v>0</v>
          </cell>
          <cell r="G5229">
            <v>0</v>
          </cell>
        </row>
        <row r="5230">
          <cell r="A5230" t="str">
            <v>55-01-13-0002</v>
          </cell>
          <cell r="B5230">
            <v>0</v>
          </cell>
          <cell r="C5230" t="str">
            <v xml:space="preserve">  NAZ TEXTILE (PVT) LIMITED</v>
          </cell>
          <cell r="D5230">
            <v>0</v>
          </cell>
          <cell r="E5230">
            <v>0</v>
          </cell>
          <cell r="F5230">
            <v>0</v>
          </cell>
          <cell r="G5230">
            <v>0</v>
          </cell>
        </row>
        <row r="5231">
          <cell r="A5231" t="str">
            <v>55-01-13-0003</v>
          </cell>
          <cell r="B5231">
            <v>0</v>
          </cell>
          <cell r="C5231" t="str">
            <v xml:space="preserve">  NAKSHBANDI INDUSTRIES</v>
          </cell>
          <cell r="D5231">
            <v>0</v>
          </cell>
          <cell r="E5231">
            <v>0</v>
          </cell>
          <cell r="F5231">
            <v>0</v>
          </cell>
          <cell r="G5231">
            <v>0</v>
          </cell>
        </row>
        <row r="5232">
          <cell r="A5232" t="str">
            <v>55-01-13-0004</v>
          </cell>
          <cell r="B5232">
            <v>0</v>
          </cell>
          <cell r="C5232" t="str">
            <v xml:space="preserve">  MAHTABI</v>
          </cell>
          <cell r="D5232">
            <v>0</v>
          </cell>
          <cell r="E5232">
            <v>0</v>
          </cell>
          <cell r="F5232">
            <v>0</v>
          </cell>
          <cell r="G5232">
            <v>0</v>
          </cell>
        </row>
        <row r="5233">
          <cell r="A5233" t="str">
            <v>55-01-13-0005</v>
          </cell>
          <cell r="B5233">
            <v>0</v>
          </cell>
          <cell r="C5233" t="str">
            <v xml:space="preserve">  HASHAM TOWEL</v>
          </cell>
          <cell r="D5233">
            <v>0</v>
          </cell>
          <cell r="E5233">
            <v>0</v>
          </cell>
          <cell r="F5233">
            <v>0</v>
          </cell>
          <cell r="G5233">
            <v>0</v>
          </cell>
        </row>
        <row r="5234">
          <cell r="A5234" t="str">
            <v>55-01-13-0006</v>
          </cell>
          <cell r="B5234">
            <v>0</v>
          </cell>
          <cell r="C5234" t="str">
            <v xml:space="preserve">  SURIA TEX</v>
          </cell>
          <cell r="D5234">
            <v>0</v>
          </cell>
          <cell r="E5234">
            <v>0</v>
          </cell>
          <cell r="F5234">
            <v>0</v>
          </cell>
          <cell r="G5234">
            <v>0</v>
          </cell>
        </row>
        <row r="5235">
          <cell r="A5235" t="str">
            <v>55-01-13-0007</v>
          </cell>
          <cell r="B5235">
            <v>0</v>
          </cell>
          <cell r="C5235" t="str">
            <v xml:space="preserve">  AFRO TEXTILE INDUSTRIES</v>
          </cell>
          <cell r="D5235">
            <v>0</v>
          </cell>
          <cell r="E5235">
            <v>0</v>
          </cell>
          <cell r="F5235">
            <v>0</v>
          </cell>
          <cell r="G5235">
            <v>0</v>
          </cell>
        </row>
        <row r="5236">
          <cell r="A5236" t="str">
            <v>55-01-13-0008</v>
          </cell>
          <cell r="B5236">
            <v>0</v>
          </cell>
          <cell r="C5236" t="str">
            <v xml:space="preserve">  ANSARI TEXTILE INDUSTRIES</v>
          </cell>
          <cell r="D5236">
            <v>0</v>
          </cell>
          <cell r="E5236">
            <v>0</v>
          </cell>
          <cell r="F5236">
            <v>0</v>
          </cell>
          <cell r="G5236">
            <v>0</v>
          </cell>
        </row>
        <row r="5237">
          <cell r="A5237" t="str">
            <v>55-01-13-0009</v>
          </cell>
          <cell r="B5237">
            <v>0</v>
          </cell>
          <cell r="C5237" t="str">
            <v xml:space="preserve">  SHAHARYAR TOWELS</v>
          </cell>
          <cell r="D5237">
            <v>0</v>
          </cell>
          <cell r="E5237">
            <v>0</v>
          </cell>
          <cell r="F5237">
            <v>0</v>
          </cell>
          <cell r="G5237">
            <v>0</v>
          </cell>
        </row>
        <row r="5238">
          <cell r="A5238" t="str">
            <v>55-01-13-0010</v>
          </cell>
          <cell r="B5238">
            <v>0</v>
          </cell>
          <cell r="C5238" t="str">
            <v xml:space="preserve">  MACHTRADE CORPORATION</v>
          </cell>
          <cell r="D5238">
            <v>0</v>
          </cell>
          <cell r="E5238">
            <v>0</v>
          </cell>
          <cell r="F5238">
            <v>0</v>
          </cell>
          <cell r="G5238">
            <v>0</v>
          </cell>
        </row>
        <row r="5239">
          <cell r="A5239" t="str">
            <v>55-01-13-0011</v>
          </cell>
          <cell r="B5239">
            <v>0</v>
          </cell>
          <cell r="C5239" t="str">
            <v xml:space="preserve">  H.R COTTON INDUSTRIES</v>
          </cell>
          <cell r="D5239">
            <v>0</v>
          </cell>
          <cell r="E5239">
            <v>0</v>
          </cell>
          <cell r="F5239">
            <v>0</v>
          </cell>
          <cell r="G5239">
            <v>0</v>
          </cell>
        </row>
        <row r="5240">
          <cell r="A5240" t="str">
            <v>55-01-13-0012</v>
          </cell>
          <cell r="B5240">
            <v>0</v>
          </cell>
          <cell r="C5240" t="str">
            <v xml:space="preserve">  SIKANDAR ISMAIL  {BROKER}</v>
          </cell>
          <cell r="D5240">
            <v>0</v>
          </cell>
          <cell r="E5240">
            <v>0</v>
          </cell>
          <cell r="F5240">
            <v>0</v>
          </cell>
          <cell r="G5240">
            <v>0</v>
          </cell>
        </row>
        <row r="5241">
          <cell r="A5241" t="str">
            <v>55-01-13-0013</v>
          </cell>
          <cell r="B5241">
            <v>0</v>
          </cell>
          <cell r="C5241" t="str">
            <v xml:space="preserve">  IMRAN TEXTILES</v>
          </cell>
          <cell r="D5241">
            <v>0</v>
          </cell>
          <cell r="E5241">
            <v>0</v>
          </cell>
          <cell r="F5241">
            <v>0</v>
          </cell>
          <cell r="G5241">
            <v>0</v>
          </cell>
        </row>
        <row r="5242">
          <cell r="A5242" t="str">
            <v>55-01-14</v>
          </cell>
          <cell r="B5242">
            <v>0</v>
          </cell>
          <cell r="C5242" t="str">
            <v>***AMIN HABIB.</v>
          </cell>
          <cell r="D5242">
            <v>0</v>
          </cell>
          <cell r="E5242">
            <v>0</v>
          </cell>
          <cell r="F5242">
            <v>0</v>
          </cell>
          <cell r="G5242">
            <v>0</v>
          </cell>
        </row>
        <row r="5243">
          <cell r="A5243" t="str">
            <v>55-01-14-0001</v>
          </cell>
          <cell r="B5243">
            <v>0</v>
          </cell>
          <cell r="C5243" t="str">
            <v xml:space="preserve">  MULTINATIONAL EXPORT BUREAU</v>
          </cell>
          <cell r="D5243">
            <v>0</v>
          </cell>
          <cell r="E5243">
            <v>0</v>
          </cell>
          <cell r="F5243">
            <v>0</v>
          </cell>
          <cell r="G5243">
            <v>0</v>
          </cell>
        </row>
        <row r="5244">
          <cell r="A5244" t="str">
            <v>55-01-14-0002</v>
          </cell>
          <cell r="B5244">
            <v>0</v>
          </cell>
          <cell r="C5244" t="str">
            <v xml:space="preserve">  EASTERN GARMENTS(PVT) LIMITED</v>
          </cell>
          <cell r="D5244">
            <v>0</v>
          </cell>
          <cell r="E5244">
            <v>0</v>
          </cell>
          <cell r="F5244">
            <v>0</v>
          </cell>
          <cell r="G5244">
            <v>0</v>
          </cell>
        </row>
        <row r="5245">
          <cell r="A5245" t="str">
            <v>55-01-14-0003</v>
          </cell>
          <cell r="B5245">
            <v>0</v>
          </cell>
          <cell r="C5245" t="str">
            <v xml:space="preserve">  HABIB YOUSAF (COMMISSION AGENT)</v>
          </cell>
          <cell r="D5245">
            <v>0</v>
          </cell>
          <cell r="E5245">
            <v>0</v>
          </cell>
          <cell r="F5245">
            <v>0</v>
          </cell>
          <cell r="G5245">
            <v>0</v>
          </cell>
        </row>
        <row r="5246">
          <cell r="A5246" t="str">
            <v>55-01-14-0004</v>
          </cell>
          <cell r="B5246">
            <v>0</v>
          </cell>
          <cell r="C5246" t="str">
            <v xml:space="preserve">  AIBANI TRADEWAYS</v>
          </cell>
          <cell r="D5246">
            <v>0</v>
          </cell>
          <cell r="E5246">
            <v>0</v>
          </cell>
          <cell r="F5246">
            <v>0</v>
          </cell>
          <cell r="G5246">
            <v>0</v>
          </cell>
        </row>
        <row r="5247">
          <cell r="A5247" t="str">
            <v>55-01-15</v>
          </cell>
          <cell r="B5247">
            <v>0</v>
          </cell>
          <cell r="C5247" t="str">
            <v>***ABDUL RAZZAK.</v>
          </cell>
          <cell r="D5247">
            <v>0</v>
          </cell>
          <cell r="E5247">
            <v>0</v>
          </cell>
          <cell r="F5247">
            <v>0</v>
          </cell>
          <cell r="G5247">
            <v>0</v>
          </cell>
        </row>
        <row r="5248">
          <cell r="A5248" t="str">
            <v>55-01-15-0001</v>
          </cell>
          <cell r="B5248">
            <v>0</v>
          </cell>
          <cell r="C5248" t="str">
            <v xml:space="preserve">  MITEX</v>
          </cell>
          <cell r="D5248">
            <v>0</v>
          </cell>
          <cell r="E5248">
            <v>0</v>
          </cell>
          <cell r="F5248">
            <v>0</v>
          </cell>
          <cell r="G5248">
            <v>0</v>
          </cell>
        </row>
        <row r="5249">
          <cell r="A5249" t="str">
            <v>55-01-16</v>
          </cell>
          <cell r="B5249">
            <v>0</v>
          </cell>
          <cell r="C5249" t="str">
            <v>***IMRAN JAVED HASSAN</v>
          </cell>
          <cell r="D5249">
            <v>0</v>
          </cell>
          <cell r="E5249">
            <v>0</v>
          </cell>
          <cell r="F5249">
            <v>0</v>
          </cell>
          <cell r="G5249">
            <v>0</v>
          </cell>
        </row>
        <row r="5250">
          <cell r="A5250" t="str">
            <v>55-01-16-0001</v>
          </cell>
          <cell r="B5250">
            <v>0</v>
          </cell>
          <cell r="C5250" t="str">
            <v xml:space="preserve">  VANTAGE CORPORATION</v>
          </cell>
          <cell r="D5250">
            <v>0</v>
          </cell>
          <cell r="E5250">
            <v>0</v>
          </cell>
          <cell r="F5250">
            <v>0</v>
          </cell>
          <cell r="G5250">
            <v>0</v>
          </cell>
        </row>
        <row r="5251">
          <cell r="A5251" t="str">
            <v>55-01-17</v>
          </cell>
          <cell r="B5251">
            <v>0</v>
          </cell>
          <cell r="C5251" t="str">
            <v>***ASHRAF C/O OWAIS</v>
          </cell>
          <cell r="D5251">
            <v>0</v>
          </cell>
          <cell r="E5251">
            <v>0</v>
          </cell>
          <cell r="F5251">
            <v>0</v>
          </cell>
          <cell r="G5251">
            <v>0</v>
          </cell>
        </row>
        <row r="5252">
          <cell r="A5252" t="str">
            <v>55-01-17-0001</v>
          </cell>
          <cell r="B5252">
            <v>0</v>
          </cell>
          <cell r="C5252" t="str">
            <v xml:space="preserve">  MUHAMMAD OWAIS</v>
          </cell>
          <cell r="D5252">
            <v>0</v>
          </cell>
          <cell r="E5252">
            <v>0</v>
          </cell>
          <cell r="F5252">
            <v>0</v>
          </cell>
          <cell r="G5252">
            <v>0</v>
          </cell>
        </row>
        <row r="5253">
          <cell r="A5253" t="str">
            <v>55-01-17-0002</v>
          </cell>
          <cell r="B5253">
            <v>0</v>
          </cell>
          <cell r="C5253" t="str">
            <v xml:space="preserve">  MUHAMMAD USMAN</v>
          </cell>
          <cell r="D5253">
            <v>0</v>
          </cell>
          <cell r="E5253">
            <v>0</v>
          </cell>
          <cell r="F5253">
            <v>0</v>
          </cell>
          <cell r="G5253">
            <v>0</v>
          </cell>
        </row>
        <row r="5254">
          <cell r="A5254" t="str">
            <v>55-01-18</v>
          </cell>
          <cell r="B5254">
            <v>0</v>
          </cell>
          <cell r="C5254" t="str">
            <v>***DIRECT SALES OF YARN</v>
          </cell>
          <cell r="D5254">
            <v>0</v>
          </cell>
          <cell r="E5254">
            <v>0</v>
          </cell>
          <cell r="F5254">
            <v>0</v>
          </cell>
          <cell r="G5254">
            <v>0</v>
          </cell>
        </row>
        <row r="5255">
          <cell r="A5255" t="str">
            <v>55-01-18-0001</v>
          </cell>
          <cell r="B5255">
            <v>0</v>
          </cell>
          <cell r="C5255" t="str">
            <v xml:space="preserve">  SIDDIQ SONS DENIM MILLS LTD.</v>
          </cell>
          <cell r="D5255">
            <v>0</v>
          </cell>
          <cell r="E5255">
            <v>0</v>
          </cell>
          <cell r="F5255">
            <v>0</v>
          </cell>
          <cell r="G5255">
            <v>0</v>
          </cell>
        </row>
        <row r="5256">
          <cell r="A5256" t="str">
            <v>55-01-19</v>
          </cell>
          <cell r="B5256">
            <v>0</v>
          </cell>
          <cell r="C5256" t="str">
            <v>***ADAMJEE ENTERPRISES</v>
          </cell>
          <cell r="D5256">
            <v>0</v>
          </cell>
          <cell r="E5256">
            <v>0</v>
          </cell>
          <cell r="F5256">
            <v>0</v>
          </cell>
          <cell r="G5256">
            <v>0</v>
          </cell>
        </row>
        <row r="5257">
          <cell r="A5257" t="str">
            <v>55-01-19-0001</v>
          </cell>
          <cell r="B5257">
            <v>0</v>
          </cell>
          <cell r="C5257" t="str">
            <v xml:space="preserve">  ADAMJEE ENTERPRISES</v>
          </cell>
          <cell r="D5257">
            <v>0</v>
          </cell>
          <cell r="E5257">
            <v>0</v>
          </cell>
          <cell r="F5257">
            <v>0</v>
          </cell>
          <cell r="G5257">
            <v>0</v>
          </cell>
        </row>
        <row r="5258">
          <cell r="A5258" t="str">
            <v>55-01-20</v>
          </cell>
          <cell r="B5258">
            <v>0</v>
          </cell>
          <cell r="C5258" t="str">
            <v>***AL- KARAM TEXTILE MILLS LTD.</v>
          </cell>
          <cell r="D5258">
            <v>0</v>
          </cell>
          <cell r="E5258">
            <v>0</v>
          </cell>
          <cell r="F5258">
            <v>0</v>
          </cell>
          <cell r="G5258">
            <v>0</v>
          </cell>
        </row>
        <row r="5259">
          <cell r="A5259" t="str">
            <v>55-01-20-0001</v>
          </cell>
          <cell r="B5259">
            <v>0</v>
          </cell>
          <cell r="C5259" t="str">
            <v xml:space="preserve">  AL-KARAM TEXTILE MILLS LTD.</v>
          </cell>
          <cell r="D5259">
            <v>0</v>
          </cell>
          <cell r="E5259">
            <v>0</v>
          </cell>
          <cell r="F5259">
            <v>0</v>
          </cell>
          <cell r="G5259">
            <v>0</v>
          </cell>
        </row>
        <row r="5260">
          <cell r="A5260" t="str">
            <v>55-01-20-0002</v>
          </cell>
          <cell r="B5260">
            <v>0</v>
          </cell>
          <cell r="C5260" t="str">
            <v xml:space="preserve">  ORIENT TEXTILE MILLS LIMITED</v>
          </cell>
          <cell r="D5260">
            <v>0</v>
          </cell>
          <cell r="E5260">
            <v>0</v>
          </cell>
          <cell r="F5260">
            <v>0</v>
          </cell>
          <cell r="G5260">
            <v>0</v>
          </cell>
        </row>
        <row r="5261">
          <cell r="A5261" t="str">
            <v>55-01-21</v>
          </cell>
          <cell r="B5261">
            <v>0</v>
          </cell>
          <cell r="C5261" t="str">
            <v>***ALTAF ENTERPRISES.</v>
          </cell>
          <cell r="D5261">
            <v>0</v>
          </cell>
          <cell r="E5261">
            <v>0</v>
          </cell>
          <cell r="F5261">
            <v>0</v>
          </cell>
          <cell r="G5261">
            <v>0</v>
          </cell>
        </row>
        <row r="5262">
          <cell r="A5262" t="str">
            <v>55-01-21-0001</v>
          </cell>
          <cell r="B5262">
            <v>0</v>
          </cell>
          <cell r="C5262" t="str">
            <v xml:space="preserve">  ALTAF ENTERPRISES</v>
          </cell>
          <cell r="D5262">
            <v>0</v>
          </cell>
          <cell r="E5262">
            <v>0</v>
          </cell>
          <cell r="F5262">
            <v>0</v>
          </cell>
          <cell r="G5262">
            <v>0</v>
          </cell>
        </row>
        <row r="5263">
          <cell r="A5263" t="str">
            <v>55-01-21-0002</v>
          </cell>
          <cell r="B5263">
            <v>0</v>
          </cell>
          <cell r="C5263" t="str">
            <v xml:space="preserve">  KARACHI DOUBLING.</v>
          </cell>
          <cell r="D5263">
            <v>0</v>
          </cell>
          <cell r="E5263">
            <v>0</v>
          </cell>
          <cell r="F5263">
            <v>0</v>
          </cell>
          <cell r="G5263">
            <v>0</v>
          </cell>
        </row>
        <row r="5264">
          <cell r="A5264" t="str">
            <v>55-01-22</v>
          </cell>
          <cell r="B5264">
            <v>0</v>
          </cell>
          <cell r="C5264" t="str">
            <v>***FAISAL KARACHI.</v>
          </cell>
          <cell r="D5264">
            <v>0</v>
          </cell>
          <cell r="E5264">
            <v>0</v>
          </cell>
          <cell r="F5264">
            <v>0</v>
          </cell>
          <cell r="G5264">
            <v>0</v>
          </cell>
        </row>
        <row r="5265">
          <cell r="A5265" t="str">
            <v>55-01-22-0001</v>
          </cell>
          <cell r="B5265">
            <v>0</v>
          </cell>
          <cell r="C5265" t="str">
            <v xml:space="preserve">  FAISAL KARACHI.</v>
          </cell>
          <cell r="D5265">
            <v>0</v>
          </cell>
          <cell r="E5265">
            <v>0</v>
          </cell>
          <cell r="F5265">
            <v>0</v>
          </cell>
          <cell r="G5265">
            <v>0</v>
          </cell>
        </row>
        <row r="5266">
          <cell r="A5266" t="str">
            <v>55-01-23</v>
          </cell>
          <cell r="B5266">
            <v>0</v>
          </cell>
          <cell r="C5266" t="str">
            <v>***AMIN TABBA</v>
          </cell>
          <cell r="D5266">
            <v>0</v>
          </cell>
          <cell r="E5266">
            <v>0</v>
          </cell>
          <cell r="F5266">
            <v>0</v>
          </cell>
          <cell r="G5266">
            <v>0</v>
          </cell>
        </row>
        <row r="5267">
          <cell r="A5267" t="str">
            <v>55-01-23-0001</v>
          </cell>
          <cell r="B5267">
            <v>0</v>
          </cell>
          <cell r="C5267" t="str">
            <v xml:space="preserve">  SAFAI INTERNATIONAL</v>
          </cell>
          <cell r="D5267">
            <v>0</v>
          </cell>
          <cell r="E5267">
            <v>0</v>
          </cell>
          <cell r="F5267">
            <v>0</v>
          </cell>
          <cell r="G5267">
            <v>0</v>
          </cell>
        </row>
        <row r="5268">
          <cell r="A5268" t="str">
            <v>55-01-23-0002</v>
          </cell>
          <cell r="B5268">
            <v>0</v>
          </cell>
          <cell r="C5268" t="str">
            <v xml:space="preserve">  ARSHAD CORPORATION (PVT) LIMITED</v>
          </cell>
          <cell r="D5268">
            <v>0</v>
          </cell>
          <cell r="E5268">
            <v>0</v>
          </cell>
          <cell r="F5268">
            <v>0</v>
          </cell>
          <cell r="G5268">
            <v>0</v>
          </cell>
        </row>
        <row r="5269">
          <cell r="A5269" t="str">
            <v>55-01-23-0003</v>
          </cell>
          <cell r="B5269">
            <v>0</v>
          </cell>
          <cell r="C5269" t="str">
            <v xml:space="preserve">  ADAMJEE ENTERPRISES</v>
          </cell>
          <cell r="D5269">
            <v>0</v>
          </cell>
          <cell r="E5269">
            <v>0</v>
          </cell>
          <cell r="F5269">
            <v>0</v>
          </cell>
          <cell r="G5269">
            <v>0</v>
          </cell>
        </row>
        <row r="5270">
          <cell r="A5270" t="str">
            <v>55-01-23-0004</v>
          </cell>
          <cell r="B5270">
            <v>0</v>
          </cell>
          <cell r="C5270" t="str">
            <v xml:space="preserve">  HOME CARE TEXTILES</v>
          </cell>
          <cell r="D5270">
            <v>0</v>
          </cell>
          <cell r="E5270">
            <v>0</v>
          </cell>
          <cell r="F5270">
            <v>0</v>
          </cell>
          <cell r="G5270">
            <v>0</v>
          </cell>
        </row>
        <row r="5271">
          <cell r="A5271" t="str">
            <v>55-01-23-0005</v>
          </cell>
          <cell r="B5271">
            <v>0</v>
          </cell>
          <cell r="C5271" t="str">
            <v xml:space="preserve">  FABRICS INTERNATIONAL C/O AMIN TABBA</v>
          </cell>
          <cell r="D5271">
            <v>0</v>
          </cell>
          <cell r="E5271">
            <v>0</v>
          </cell>
          <cell r="F5271">
            <v>0</v>
          </cell>
          <cell r="G5271">
            <v>0</v>
          </cell>
        </row>
        <row r="5272">
          <cell r="A5272" t="str">
            <v>55-01-23-0006</v>
          </cell>
          <cell r="B5272">
            <v>0</v>
          </cell>
          <cell r="C5272" t="str">
            <v xml:space="preserve">  J.A TEXTILES C/O AMIN TABBA</v>
          </cell>
          <cell r="D5272">
            <v>0</v>
          </cell>
          <cell r="E5272">
            <v>0</v>
          </cell>
          <cell r="F5272">
            <v>0</v>
          </cell>
          <cell r="G5272">
            <v>0</v>
          </cell>
        </row>
        <row r="5273">
          <cell r="A5273" t="str">
            <v>55-01-24</v>
          </cell>
          <cell r="B5273">
            <v>0</v>
          </cell>
          <cell r="C5273" t="str">
            <v>***MUNIR RIAZ JANGRA</v>
          </cell>
          <cell r="D5273">
            <v>0</v>
          </cell>
          <cell r="E5273">
            <v>0</v>
          </cell>
          <cell r="F5273">
            <v>0</v>
          </cell>
          <cell r="G5273">
            <v>0</v>
          </cell>
        </row>
        <row r="5274">
          <cell r="A5274" t="str">
            <v>55-01-24-0001</v>
          </cell>
          <cell r="B5274">
            <v>0</v>
          </cell>
          <cell r="C5274" t="str">
            <v xml:space="preserve">  FLEXI INTERNATIONAL</v>
          </cell>
          <cell r="D5274">
            <v>0</v>
          </cell>
          <cell r="E5274">
            <v>0</v>
          </cell>
          <cell r="F5274">
            <v>0</v>
          </cell>
          <cell r="G5274">
            <v>0</v>
          </cell>
        </row>
        <row r="5275">
          <cell r="A5275" t="str">
            <v>55-01-25</v>
          </cell>
          <cell r="B5275">
            <v>0</v>
          </cell>
          <cell r="C5275" t="str">
            <v>***KASHIF AFTAB</v>
          </cell>
          <cell r="D5275">
            <v>0</v>
          </cell>
          <cell r="E5275">
            <v>0</v>
          </cell>
          <cell r="F5275">
            <v>0</v>
          </cell>
          <cell r="G5275">
            <v>0</v>
          </cell>
        </row>
        <row r="5276">
          <cell r="A5276" t="str">
            <v>55-01-25-0001</v>
          </cell>
          <cell r="B5276">
            <v>0</v>
          </cell>
          <cell r="C5276" t="str">
            <v xml:space="preserve">  MS CORPORATION</v>
          </cell>
          <cell r="D5276">
            <v>0</v>
          </cell>
          <cell r="E5276">
            <v>0</v>
          </cell>
          <cell r="F5276">
            <v>0</v>
          </cell>
          <cell r="G5276">
            <v>0</v>
          </cell>
        </row>
        <row r="5277">
          <cell r="A5277" t="str">
            <v>55-01-25-0002</v>
          </cell>
          <cell r="B5277">
            <v>0</v>
          </cell>
          <cell r="C5277" t="str">
            <v xml:space="preserve">  TOWELLERS LIMITED</v>
          </cell>
          <cell r="D5277">
            <v>0</v>
          </cell>
          <cell r="E5277">
            <v>0</v>
          </cell>
          <cell r="F5277">
            <v>0</v>
          </cell>
          <cell r="G5277">
            <v>0</v>
          </cell>
        </row>
        <row r="5278">
          <cell r="A5278" t="str">
            <v>55-01-25-0003</v>
          </cell>
          <cell r="B5278">
            <v>0</v>
          </cell>
          <cell r="C5278" t="str">
            <v xml:space="preserve">  CHERRY INTERNATIONAL</v>
          </cell>
          <cell r="D5278">
            <v>0</v>
          </cell>
          <cell r="E5278">
            <v>0</v>
          </cell>
          <cell r="F5278">
            <v>0</v>
          </cell>
          <cell r="G5278">
            <v>0</v>
          </cell>
        </row>
        <row r="5279">
          <cell r="A5279" t="str">
            <v>55-01-25-0004</v>
          </cell>
          <cell r="B5279">
            <v>0</v>
          </cell>
          <cell r="C5279" t="str">
            <v xml:space="preserve">  ZINTEX CORPORATION</v>
          </cell>
          <cell r="D5279">
            <v>0</v>
          </cell>
          <cell r="E5279">
            <v>0</v>
          </cell>
          <cell r="F5279">
            <v>0</v>
          </cell>
          <cell r="G5279">
            <v>0</v>
          </cell>
        </row>
        <row r="5280">
          <cell r="A5280" t="str">
            <v>55-01-25-0005</v>
          </cell>
          <cell r="B5280">
            <v>0</v>
          </cell>
          <cell r="C5280" t="str">
            <v xml:space="preserve">  SABA TEXTILES (PVT) LIMITED</v>
          </cell>
          <cell r="D5280">
            <v>0</v>
          </cell>
          <cell r="E5280">
            <v>0</v>
          </cell>
          <cell r="F5280">
            <v>0</v>
          </cell>
          <cell r="G5280">
            <v>0</v>
          </cell>
        </row>
        <row r="5281">
          <cell r="A5281" t="str">
            <v>55-01-25-0006</v>
          </cell>
          <cell r="B5281">
            <v>0</v>
          </cell>
          <cell r="C5281" t="str">
            <v xml:space="preserve">  KHURRAM SILK FACTORY</v>
          </cell>
          <cell r="D5281">
            <v>0</v>
          </cell>
          <cell r="E5281">
            <v>0</v>
          </cell>
          <cell r="F5281">
            <v>0</v>
          </cell>
          <cell r="G5281">
            <v>0</v>
          </cell>
        </row>
        <row r="5282">
          <cell r="A5282" t="str">
            <v>55-01-25-0007</v>
          </cell>
          <cell r="B5282">
            <v>0</v>
          </cell>
          <cell r="C5282" t="str">
            <v xml:space="preserve">  HASNI HOSIERY MILLS (PVT) LIMITED</v>
          </cell>
          <cell r="D5282">
            <v>0</v>
          </cell>
          <cell r="E5282">
            <v>0</v>
          </cell>
          <cell r="F5282">
            <v>0</v>
          </cell>
          <cell r="G5282">
            <v>0</v>
          </cell>
        </row>
        <row r="5283">
          <cell r="A5283" t="str">
            <v>55-01-25-0008</v>
          </cell>
          <cell r="B5283">
            <v>0</v>
          </cell>
          <cell r="C5283" t="str">
            <v xml:space="preserve">  FAUZIA INDUSTRIES (PVT) LTD</v>
          </cell>
          <cell r="D5283">
            <v>0</v>
          </cell>
          <cell r="E5283">
            <v>0</v>
          </cell>
          <cell r="F5283">
            <v>0</v>
          </cell>
          <cell r="G5283">
            <v>0</v>
          </cell>
        </row>
        <row r="5284">
          <cell r="A5284" t="str">
            <v>55-01-25-0009</v>
          </cell>
          <cell r="B5284">
            <v>0</v>
          </cell>
          <cell r="C5284" t="str">
            <v xml:space="preserve">  M.KASHIF</v>
          </cell>
          <cell r="D5284">
            <v>0</v>
          </cell>
          <cell r="E5284">
            <v>0</v>
          </cell>
          <cell r="F5284">
            <v>0</v>
          </cell>
          <cell r="G5284">
            <v>0</v>
          </cell>
        </row>
        <row r="5285">
          <cell r="A5285" t="str">
            <v>55-01-25-0010</v>
          </cell>
          <cell r="B5285">
            <v>0</v>
          </cell>
          <cell r="C5285" t="str">
            <v xml:space="preserve">  GUL ENTERPRISES</v>
          </cell>
          <cell r="D5285">
            <v>0</v>
          </cell>
          <cell r="E5285">
            <v>0</v>
          </cell>
          <cell r="F5285">
            <v>0</v>
          </cell>
          <cell r="G5285">
            <v>0</v>
          </cell>
        </row>
        <row r="5286">
          <cell r="A5286" t="str">
            <v>55-01-26</v>
          </cell>
          <cell r="B5286">
            <v>0</v>
          </cell>
          <cell r="C5286" t="str">
            <v>***DR.KHALID.</v>
          </cell>
          <cell r="D5286">
            <v>0</v>
          </cell>
          <cell r="E5286">
            <v>0</v>
          </cell>
          <cell r="F5286">
            <v>0</v>
          </cell>
          <cell r="G5286">
            <v>0</v>
          </cell>
        </row>
        <row r="5287">
          <cell r="A5287" t="str">
            <v>55-01-26-0001</v>
          </cell>
          <cell r="B5287">
            <v>0</v>
          </cell>
          <cell r="C5287" t="str">
            <v xml:space="preserve">  J. K BROTHERS PAKISTAN (PVT) LIMITED.</v>
          </cell>
          <cell r="D5287">
            <v>0</v>
          </cell>
          <cell r="E5287">
            <v>0</v>
          </cell>
          <cell r="F5287">
            <v>0</v>
          </cell>
          <cell r="G5287">
            <v>0</v>
          </cell>
        </row>
        <row r="5288">
          <cell r="A5288" t="str">
            <v>55-01-26-0002</v>
          </cell>
          <cell r="B5288">
            <v>0</v>
          </cell>
          <cell r="C5288" t="str">
            <v xml:space="preserve">  COTTON APPARELS AND TEXTILE.</v>
          </cell>
          <cell r="D5288">
            <v>0</v>
          </cell>
          <cell r="E5288">
            <v>0</v>
          </cell>
          <cell r="F5288">
            <v>0</v>
          </cell>
          <cell r="G5288">
            <v>0</v>
          </cell>
        </row>
        <row r="5289">
          <cell r="A5289" t="str">
            <v>55-01-27</v>
          </cell>
          <cell r="B5289">
            <v>0</v>
          </cell>
          <cell r="C5289" t="str">
            <v>***SHEIKH AFZAL</v>
          </cell>
          <cell r="D5289">
            <v>0</v>
          </cell>
          <cell r="E5289">
            <v>0</v>
          </cell>
          <cell r="F5289">
            <v>0</v>
          </cell>
          <cell r="G5289">
            <v>0</v>
          </cell>
        </row>
        <row r="5290">
          <cell r="A5290" t="str">
            <v>55-01-27-0001</v>
          </cell>
          <cell r="B5290">
            <v>0</v>
          </cell>
          <cell r="C5290" t="str">
            <v xml:space="preserve">  CHERRY INTERNATIONAL (SHEIKH AFZAL)</v>
          </cell>
          <cell r="D5290">
            <v>0</v>
          </cell>
          <cell r="E5290">
            <v>0</v>
          </cell>
          <cell r="F5290">
            <v>0</v>
          </cell>
          <cell r="G5290">
            <v>0</v>
          </cell>
        </row>
        <row r="5291">
          <cell r="A5291" t="str">
            <v>55-01-28</v>
          </cell>
          <cell r="B5291">
            <v>0</v>
          </cell>
          <cell r="C5291" t="str">
            <v>***SHABBIR &amp; SHABBIR</v>
          </cell>
          <cell r="D5291">
            <v>0</v>
          </cell>
          <cell r="E5291">
            <v>0</v>
          </cell>
          <cell r="F5291">
            <v>0</v>
          </cell>
          <cell r="G5291">
            <v>0</v>
          </cell>
        </row>
        <row r="5292">
          <cell r="A5292" t="str">
            <v>55-01-28-0001</v>
          </cell>
          <cell r="B5292">
            <v>0</v>
          </cell>
          <cell r="C5292" t="str">
            <v xml:space="preserve">  LAKHANY SILK MILLS (PVT) LTD. (SHABBIR</v>
          </cell>
          <cell r="D5292">
            <v>0</v>
          </cell>
          <cell r="E5292">
            <v>0</v>
          </cell>
          <cell r="F5292">
            <v>0</v>
          </cell>
          <cell r="G5292">
            <v>0</v>
          </cell>
        </row>
        <row r="5293">
          <cell r="A5293" t="str">
            <v>55-01-30</v>
          </cell>
          <cell r="B5293">
            <v>0</v>
          </cell>
          <cell r="C5293" t="str">
            <v>***RAFIQ ILYAS.</v>
          </cell>
          <cell r="D5293">
            <v>0</v>
          </cell>
          <cell r="E5293">
            <v>0</v>
          </cell>
          <cell r="F5293">
            <v>0</v>
          </cell>
          <cell r="G5293">
            <v>0</v>
          </cell>
        </row>
        <row r="5294">
          <cell r="A5294" t="str">
            <v>55-01-30-0001</v>
          </cell>
          <cell r="B5294">
            <v>0</v>
          </cell>
          <cell r="C5294" t="str">
            <v xml:space="preserve">  TOWELLERS LIMITED</v>
          </cell>
          <cell r="D5294">
            <v>0</v>
          </cell>
          <cell r="E5294">
            <v>0</v>
          </cell>
          <cell r="F5294">
            <v>0</v>
          </cell>
          <cell r="G5294">
            <v>0</v>
          </cell>
        </row>
        <row r="5295">
          <cell r="A5295" t="str">
            <v>55-01-30-0002</v>
          </cell>
          <cell r="B5295">
            <v>0</v>
          </cell>
          <cell r="C5295" t="str">
            <v xml:space="preserve">  MUHAMMED USMAN.</v>
          </cell>
          <cell r="D5295">
            <v>0</v>
          </cell>
          <cell r="E5295">
            <v>0</v>
          </cell>
          <cell r="F5295">
            <v>0</v>
          </cell>
          <cell r="G5295">
            <v>0</v>
          </cell>
        </row>
        <row r="5296">
          <cell r="A5296" t="str">
            <v>55-01-30-0003</v>
          </cell>
          <cell r="B5296">
            <v>0</v>
          </cell>
          <cell r="C5296" t="str">
            <v xml:space="preserve">  SALIM ELLAHI</v>
          </cell>
          <cell r="D5296">
            <v>0</v>
          </cell>
          <cell r="E5296">
            <v>0</v>
          </cell>
          <cell r="F5296">
            <v>0</v>
          </cell>
          <cell r="G5296">
            <v>0</v>
          </cell>
        </row>
        <row r="5297">
          <cell r="A5297" t="str">
            <v>55-01-30-0004</v>
          </cell>
          <cell r="B5297">
            <v>0</v>
          </cell>
          <cell r="C5297" t="str">
            <v xml:space="preserve">  MOHAMMED ALAM</v>
          </cell>
          <cell r="D5297">
            <v>0</v>
          </cell>
          <cell r="E5297">
            <v>0</v>
          </cell>
          <cell r="F5297">
            <v>0</v>
          </cell>
          <cell r="G5297">
            <v>0</v>
          </cell>
        </row>
        <row r="5298">
          <cell r="A5298" t="str">
            <v>55-01-30-0005</v>
          </cell>
          <cell r="B5298">
            <v>0</v>
          </cell>
          <cell r="C5298" t="str">
            <v xml:space="preserve">  HAIDER ALI.</v>
          </cell>
          <cell r="D5298">
            <v>0</v>
          </cell>
          <cell r="E5298">
            <v>0</v>
          </cell>
          <cell r="F5298">
            <v>0</v>
          </cell>
          <cell r="G5298">
            <v>0</v>
          </cell>
        </row>
        <row r="5299">
          <cell r="A5299" t="str">
            <v>55-01-30-0006</v>
          </cell>
          <cell r="B5299">
            <v>0</v>
          </cell>
          <cell r="C5299" t="str">
            <v xml:space="preserve">  MUHAMMED ARSHAD</v>
          </cell>
          <cell r="D5299">
            <v>0</v>
          </cell>
          <cell r="E5299">
            <v>0</v>
          </cell>
          <cell r="F5299">
            <v>0</v>
          </cell>
          <cell r="G5299">
            <v>0</v>
          </cell>
        </row>
        <row r="5300">
          <cell r="A5300" t="str">
            <v>55-01-30-0007</v>
          </cell>
          <cell r="B5300">
            <v>0</v>
          </cell>
          <cell r="C5300" t="str">
            <v xml:space="preserve">  FAROOQ ALI.</v>
          </cell>
          <cell r="D5300">
            <v>0</v>
          </cell>
          <cell r="E5300">
            <v>0</v>
          </cell>
          <cell r="F5300">
            <v>0</v>
          </cell>
          <cell r="G5300">
            <v>0</v>
          </cell>
        </row>
        <row r="5301">
          <cell r="A5301" t="str">
            <v>55-01-30-0008</v>
          </cell>
          <cell r="B5301">
            <v>0</v>
          </cell>
          <cell r="C5301" t="str">
            <v xml:space="preserve">  NOOR DAD</v>
          </cell>
          <cell r="D5301">
            <v>0</v>
          </cell>
          <cell r="E5301">
            <v>0</v>
          </cell>
          <cell r="F5301">
            <v>0</v>
          </cell>
          <cell r="G5301">
            <v>0</v>
          </cell>
        </row>
        <row r="5302">
          <cell r="A5302" t="str">
            <v>55-01-30-0009</v>
          </cell>
          <cell r="B5302">
            <v>0</v>
          </cell>
          <cell r="C5302" t="str">
            <v xml:space="preserve">  NAEEM GUL</v>
          </cell>
          <cell r="D5302">
            <v>0</v>
          </cell>
          <cell r="E5302">
            <v>0</v>
          </cell>
          <cell r="F5302">
            <v>0</v>
          </cell>
          <cell r="G5302">
            <v>0</v>
          </cell>
        </row>
        <row r="5303">
          <cell r="A5303" t="str">
            <v>55-01-30-0010</v>
          </cell>
          <cell r="B5303">
            <v>0</v>
          </cell>
          <cell r="C5303" t="str">
            <v xml:space="preserve">  ANWAR PALAYDAR</v>
          </cell>
          <cell r="D5303">
            <v>0</v>
          </cell>
          <cell r="E5303">
            <v>0</v>
          </cell>
          <cell r="F5303">
            <v>0</v>
          </cell>
          <cell r="G5303">
            <v>0</v>
          </cell>
        </row>
        <row r="5304">
          <cell r="A5304" t="str">
            <v>55-01-30-0011</v>
          </cell>
          <cell r="B5304">
            <v>0</v>
          </cell>
          <cell r="C5304" t="str">
            <v xml:space="preserve">  ARSHAD PALAYDAR.</v>
          </cell>
          <cell r="D5304">
            <v>0</v>
          </cell>
          <cell r="E5304">
            <v>0</v>
          </cell>
          <cell r="F5304">
            <v>0</v>
          </cell>
          <cell r="G5304">
            <v>0</v>
          </cell>
        </row>
        <row r="5305">
          <cell r="A5305" t="str">
            <v>55-01-30-0012</v>
          </cell>
          <cell r="B5305">
            <v>0</v>
          </cell>
          <cell r="C5305" t="str">
            <v xml:space="preserve">  BASHIR AHMED</v>
          </cell>
          <cell r="D5305">
            <v>0</v>
          </cell>
          <cell r="E5305">
            <v>0</v>
          </cell>
          <cell r="F5305">
            <v>0</v>
          </cell>
          <cell r="G5305">
            <v>0</v>
          </cell>
        </row>
        <row r="5306">
          <cell r="A5306" t="str">
            <v>55-01-30-0013</v>
          </cell>
          <cell r="B5306">
            <v>0</v>
          </cell>
          <cell r="C5306" t="str">
            <v xml:space="preserve">  ANWAR KAMAL</v>
          </cell>
          <cell r="D5306">
            <v>0</v>
          </cell>
          <cell r="E5306">
            <v>0</v>
          </cell>
          <cell r="F5306">
            <v>0</v>
          </cell>
          <cell r="G5306">
            <v>0</v>
          </cell>
        </row>
        <row r="5307">
          <cell r="A5307" t="str">
            <v>55-01-30-0014</v>
          </cell>
          <cell r="B5307">
            <v>0</v>
          </cell>
          <cell r="C5307" t="str">
            <v xml:space="preserve">  NAVEED ALAM</v>
          </cell>
          <cell r="D5307">
            <v>0</v>
          </cell>
          <cell r="E5307">
            <v>0</v>
          </cell>
          <cell r="F5307">
            <v>0</v>
          </cell>
          <cell r="G5307">
            <v>0</v>
          </cell>
        </row>
        <row r="5308">
          <cell r="A5308" t="str">
            <v>55-01-30-0015</v>
          </cell>
          <cell r="B5308">
            <v>0</v>
          </cell>
          <cell r="C5308" t="str">
            <v xml:space="preserve">  GUL HAMEED</v>
          </cell>
          <cell r="D5308">
            <v>0</v>
          </cell>
          <cell r="E5308">
            <v>0</v>
          </cell>
          <cell r="F5308">
            <v>0</v>
          </cell>
          <cell r="G5308">
            <v>0</v>
          </cell>
        </row>
        <row r="5309">
          <cell r="A5309" t="str">
            <v>55-01-30-0016</v>
          </cell>
          <cell r="B5309">
            <v>0</v>
          </cell>
          <cell r="C5309" t="str">
            <v xml:space="preserve">  NAEEM KHAN</v>
          </cell>
          <cell r="D5309">
            <v>0</v>
          </cell>
          <cell r="E5309">
            <v>0</v>
          </cell>
          <cell r="F5309">
            <v>0</v>
          </cell>
          <cell r="G5309">
            <v>0</v>
          </cell>
        </row>
        <row r="5310">
          <cell r="A5310" t="str">
            <v>55-01-30-0017</v>
          </cell>
          <cell r="B5310">
            <v>0</v>
          </cell>
          <cell r="C5310" t="str">
            <v xml:space="preserve">  ZAHID SHAH</v>
          </cell>
          <cell r="D5310">
            <v>0</v>
          </cell>
          <cell r="E5310">
            <v>0</v>
          </cell>
          <cell r="F5310">
            <v>0</v>
          </cell>
          <cell r="G5310">
            <v>0</v>
          </cell>
        </row>
        <row r="5311">
          <cell r="A5311" t="str">
            <v>55-01-30-0018</v>
          </cell>
          <cell r="B5311">
            <v>0</v>
          </cell>
          <cell r="C5311" t="str">
            <v xml:space="preserve">  ABDUL BASIT</v>
          </cell>
          <cell r="D5311">
            <v>0</v>
          </cell>
          <cell r="E5311">
            <v>0</v>
          </cell>
          <cell r="F5311">
            <v>0</v>
          </cell>
          <cell r="G5311">
            <v>0</v>
          </cell>
        </row>
        <row r="5312">
          <cell r="A5312" t="str">
            <v>55-01-30-0019</v>
          </cell>
          <cell r="B5312">
            <v>0</v>
          </cell>
          <cell r="C5312" t="str">
            <v xml:space="preserve">  MUHAMMAD ALI</v>
          </cell>
          <cell r="D5312">
            <v>0</v>
          </cell>
          <cell r="E5312">
            <v>0</v>
          </cell>
          <cell r="F5312">
            <v>0</v>
          </cell>
          <cell r="G5312">
            <v>0</v>
          </cell>
        </row>
        <row r="5313">
          <cell r="A5313" t="str">
            <v>55-01-30-0020</v>
          </cell>
          <cell r="B5313">
            <v>0</v>
          </cell>
          <cell r="C5313" t="str">
            <v xml:space="preserve">  ABDUL HAMEED</v>
          </cell>
          <cell r="D5313">
            <v>0</v>
          </cell>
          <cell r="E5313">
            <v>0</v>
          </cell>
          <cell r="F5313">
            <v>0</v>
          </cell>
          <cell r="G5313">
            <v>0</v>
          </cell>
        </row>
        <row r="5314">
          <cell r="A5314" t="str">
            <v>55-01-30-0021</v>
          </cell>
          <cell r="B5314">
            <v>0</v>
          </cell>
          <cell r="C5314" t="str">
            <v xml:space="preserve">  IRSHAD</v>
          </cell>
          <cell r="D5314">
            <v>0</v>
          </cell>
          <cell r="E5314">
            <v>0</v>
          </cell>
          <cell r="F5314">
            <v>0</v>
          </cell>
          <cell r="G5314">
            <v>0</v>
          </cell>
        </row>
        <row r="5315">
          <cell r="A5315" t="str">
            <v>55-01-30-0022</v>
          </cell>
          <cell r="B5315">
            <v>0</v>
          </cell>
          <cell r="C5315" t="str">
            <v xml:space="preserve">  KHAN MOHAMMAD</v>
          </cell>
          <cell r="D5315">
            <v>0</v>
          </cell>
          <cell r="E5315">
            <v>0</v>
          </cell>
          <cell r="F5315">
            <v>0</v>
          </cell>
          <cell r="G5315">
            <v>0</v>
          </cell>
        </row>
        <row r="5316">
          <cell r="A5316" t="str">
            <v>55-01-30-0023</v>
          </cell>
          <cell r="B5316">
            <v>0</v>
          </cell>
          <cell r="C5316" t="str">
            <v xml:space="preserve">  KARIM DAD</v>
          </cell>
          <cell r="D5316">
            <v>0</v>
          </cell>
          <cell r="E5316">
            <v>0</v>
          </cell>
          <cell r="F5316">
            <v>0</v>
          </cell>
          <cell r="G5316">
            <v>0</v>
          </cell>
        </row>
        <row r="5317">
          <cell r="A5317" t="str">
            <v>55-01-30-0024</v>
          </cell>
          <cell r="B5317">
            <v>0</v>
          </cell>
          <cell r="C5317" t="str">
            <v xml:space="preserve">  ABID HUSSAIN</v>
          </cell>
          <cell r="D5317">
            <v>0</v>
          </cell>
          <cell r="E5317">
            <v>0</v>
          </cell>
          <cell r="F5317">
            <v>0</v>
          </cell>
          <cell r="G5317">
            <v>0</v>
          </cell>
        </row>
        <row r="5318">
          <cell r="A5318" t="str">
            <v>55-01-30-0025</v>
          </cell>
          <cell r="B5318">
            <v>0</v>
          </cell>
          <cell r="C5318" t="str">
            <v xml:space="preserve">  NOMAN ALI</v>
          </cell>
          <cell r="D5318">
            <v>0</v>
          </cell>
          <cell r="E5318">
            <v>0</v>
          </cell>
          <cell r="F5318">
            <v>0</v>
          </cell>
          <cell r="G5318">
            <v>0</v>
          </cell>
        </row>
        <row r="5319">
          <cell r="A5319" t="str">
            <v>55-01-30-0026</v>
          </cell>
          <cell r="B5319">
            <v>0</v>
          </cell>
          <cell r="C5319" t="str">
            <v xml:space="preserve">  ARSHAD ALI</v>
          </cell>
          <cell r="D5319">
            <v>0</v>
          </cell>
          <cell r="E5319">
            <v>0</v>
          </cell>
          <cell r="F5319">
            <v>0</v>
          </cell>
          <cell r="G5319">
            <v>0</v>
          </cell>
        </row>
        <row r="5320">
          <cell r="A5320" t="str">
            <v>55-01-30-0027</v>
          </cell>
          <cell r="B5320">
            <v>0</v>
          </cell>
          <cell r="C5320" t="str">
            <v xml:space="preserve">  QAISER JAVED</v>
          </cell>
          <cell r="D5320">
            <v>0</v>
          </cell>
          <cell r="E5320">
            <v>0</v>
          </cell>
          <cell r="F5320">
            <v>0</v>
          </cell>
          <cell r="G5320">
            <v>0</v>
          </cell>
        </row>
        <row r="5321">
          <cell r="A5321" t="str">
            <v>55-01-30-0028</v>
          </cell>
          <cell r="B5321">
            <v>0</v>
          </cell>
          <cell r="C5321" t="str">
            <v xml:space="preserve">  USMAN ALI</v>
          </cell>
          <cell r="D5321">
            <v>0</v>
          </cell>
          <cell r="E5321">
            <v>0</v>
          </cell>
          <cell r="F5321">
            <v>0</v>
          </cell>
          <cell r="G5321">
            <v>0</v>
          </cell>
        </row>
        <row r="5322">
          <cell r="A5322" t="str">
            <v>55-01-30-0029</v>
          </cell>
          <cell r="B5322">
            <v>0</v>
          </cell>
          <cell r="C5322" t="str">
            <v xml:space="preserve">  SAJID MEHMOOD</v>
          </cell>
          <cell r="D5322">
            <v>0</v>
          </cell>
          <cell r="E5322">
            <v>0</v>
          </cell>
          <cell r="F5322">
            <v>0</v>
          </cell>
          <cell r="G5322">
            <v>0</v>
          </cell>
        </row>
        <row r="5323">
          <cell r="A5323" t="str">
            <v>55-01-30-0030</v>
          </cell>
          <cell r="B5323">
            <v>0</v>
          </cell>
          <cell r="C5323" t="str">
            <v xml:space="preserve">  HASNAIN TEXTILE</v>
          </cell>
          <cell r="D5323">
            <v>0</v>
          </cell>
          <cell r="E5323">
            <v>0</v>
          </cell>
          <cell r="F5323">
            <v>0</v>
          </cell>
          <cell r="G5323">
            <v>0</v>
          </cell>
        </row>
        <row r="5324">
          <cell r="A5324" t="str">
            <v>55-01-30-0031</v>
          </cell>
          <cell r="B5324">
            <v>0</v>
          </cell>
          <cell r="C5324" t="str">
            <v xml:space="preserve">  MEHAK WEAVING INDUSTRIES</v>
          </cell>
          <cell r="D5324">
            <v>0</v>
          </cell>
          <cell r="E5324">
            <v>0</v>
          </cell>
          <cell r="F5324">
            <v>0</v>
          </cell>
          <cell r="G5324">
            <v>0</v>
          </cell>
        </row>
        <row r="5325">
          <cell r="A5325" t="str">
            <v>55-01-30-0032</v>
          </cell>
          <cell r="B5325">
            <v>0</v>
          </cell>
          <cell r="C5325" t="str">
            <v xml:space="preserve">  IMPERIAL IMPEX</v>
          </cell>
          <cell r="D5325">
            <v>0</v>
          </cell>
          <cell r="E5325">
            <v>0</v>
          </cell>
          <cell r="F5325">
            <v>0</v>
          </cell>
          <cell r="G5325">
            <v>0</v>
          </cell>
        </row>
        <row r="5326">
          <cell r="A5326" t="str">
            <v>55-01-31</v>
          </cell>
          <cell r="B5326">
            <v>0</v>
          </cell>
          <cell r="C5326" t="str">
            <v>***SADAAT</v>
          </cell>
          <cell r="D5326">
            <v>0</v>
          </cell>
          <cell r="E5326">
            <v>0</v>
          </cell>
          <cell r="F5326">
            <v>0</v>
          </cell>
          <cell r="G5326">
            <v>0</v>
          </cell>
        </row>
        <row r="5327">
          <cell r="A5327" t="str">
            <v>55-01-31-0001</v>
          </cell>
          <cell r="B5327">
            <v>0</v>
          </cell>
          <cell r="C5327" t="str">
            <v xml:space="preserve">  HAJI SHEIKH NAWAB DIN AND SONS</v>
          </cell>
          <cell r="D5327">
            <v>0</v>
          </cell>
          <cell r="E5327">
            <v>0</v>
          </cell>
          <cell r="F5327">
            <v>0</v>
          </cell>
          <cell r="G5327">
            <v>0</v>
          </cell>
        </row>
        <row r="5328">
          <cell r="A5328" t="str">
            <v>55-01-31-0002</v>
          </cell>
          <cell r="B5328">
            <v>0</v>
          </cell>
          <cell r="C5328" t="str">
            <v xml:space="preserve">  H.M.S TENT TEXTILE INDUSTRY (REGD).</v>
          </cell>
          <cell r="D5328">
            <v>0</v>
          </cell>
          <cell r="E5328">
            <v>0</v>
          </cell>
          <cell r="F5328">
            <v>0</v>
          </cell>
          <cell r="G5328">
            <v>0</v>
          </cell>
        </row>
        <row r="5329">
          <cell r="A5329" t="str">
            <v>55-01-31-0003</v>
          </cell>
          <cell r="B5329">
            <v>0</v>
          </cell>
          <cell r="C5329" t="str">
            <v xml:space="preserve">  OPAL TEXTILE</v>
          </cell>
          <cell r="D5329">
            <v>0</v>
          </cell>
          <cell r="E5329">
            <v>0</v>
          </cell>
          <cell r="F5329">
            <v>0</v>
          </cell>
          <cell r="G5329">
            <v>0</v>
          </cell>
        </row>
        <row r="5330">
          <cell r="A5330" t="str">
            <v>55-01-32</v>
          </cell>
          <cell r="B5330">
            <v>0</v>
          </cell>
          <cell r="C5330" t="str">
            <v>***YOUSAF GODIL.</v>
          </cell>
          <cell r="D5330">
            <v>0</v>
          </cell>
          <cell r="E5330">
            <v>0</v>
          </cell>
          <cell r="F5330">
            <v>0</v>
          </cell>
          <cell r="G5330">
            <v>0</v>
          </cell>
        </row>
        <row r="5331">
          <cell r="A5331" t="str">
            <v>55-01-32-0001</v>
          </cell>
          <cell r="B5331">
            <v>0</v>
          </cell>
          <cell r="C5331" t="str">
            <v xml:space="preserve">  NINA INDUSTRIES</v>
          </cell>
          <cell r="D5331">
            <v>0</v>
          </cell>
          <cell r="E5331">
            <v>0</v>
          </cell>
          <cell r="F5331">
            <v>0</v>
          </cell>
          <cell r="G5331">
            <v>0</v>
          </cell>
        </row>
        <row r="5332">
          <cell r="A5332" t="str">
            <v>55-01-32-0002</v>
          </cell>
          <cell r="B5332">
            <v>0</v>
          </cell>
          <cell r="C5332" t="str">
            <v xml:space="preserve">  AL-RAHIM TEXTILE INDUSTRIES</v>
          </cell>
          <cell r="D5332">
            <v>0</v>
          </cell>
          <cell r="E5332">
            <v>0</v>
          </cell>
          <cell r="F5332">
            <v>0</v>
          </cell>
          <cell r="G5332">
            <v>0</v>
          </cell>
        </row>
        <row r="5333">
          <cell r="A5333" t="str">
            <v>55-01-33</v>
          </cell>
          <cell r="B5333">
            <v>0</v>
          </cell>
          <cell r="C5333" t="str">
            <v>***HAFIZ MUHAMMED UMAR.</v>
          </cell>
          <cell r="D5333">
            <v>0</v>
          </cell>
          <cell r="E5333">
            <v>0</v>
          </cell>
          <cell r="F5333">
            <v>0</v>
          </cell>
          <cell r="G5333">
            <v>0</v>
          </cell>
        </row>
        <row r="5334">
          <cell r="A5334" t="str">
            <v>55-01-33-0001</v>
          </cell>
          <cell r="B5334">
            <v>0</v>
          </cell>
          <cell r="C5334" t="str">
            <v xml:space="preserve">  BISMILLAH TEXTILE (PVT) LIMITED.</v>
          </cell>
          <cell r="D5334">
            <v>0</v>
          </cell>
          <cell r="E5334">
            <v>0</v>
          </cell>
          <cell r="F5334">
            <v>0</v>
          </cell>
          <cell r="G5334">
            <v>0</v>
          </cell>
        </row>
        <row r="5335">
          <cell r="A5335" t="str">
            <v>55-01-33-0002</v>
          </cell>
          <cell r="B5335">
            <v>0</v>
          </cell>
          <cell r="C5335" t="str">
            <v xml:space="preserve">  M.Y.ENTERPRISES.</v>
          </cell>
          <cell r="D5335">
            <v>0</v>
          </cell>
          <cell r="E5335">
            <v>0</v>
          </cell>
          <cell r="F5335">
            <v>0</v>
          </cell>
          <cell r="G5335">
            <v>0</v>
          </cell>
        </row>
        <row r="5336">
          <cell r="A5336" t="str">
            <v>55-01-35</v>
          </cell>
          <cell r="B5336">
            <v>0</v>
          </cell>
          <cell r="C5336" t="str">
            <v>***ASHFAQ JANOO.</v>
          </cell>
          <cell r="D5336">
            <v>0</v>
          </cell>
          <cell r="E5336">
            <v>0</v>
          </cell>
          <cell r="F5336">
            <v>0</v>
          </cell>
          <cell r="G5336">
            <v>0</v>
          </cell>
        </row>
        <row r="5337">
          <cell r="A5337" t="str">
            <v>55-01-35-0001</v>
          </cell>
          <cell r="B5337">
            <v>0</v>
          </cell>
          <cell r="C5337" t="str">
            <v xml:space="preserve">  TARIQ SHAH.</v>
          </cell>
          <cell r="D5337">
            <v>0</v>
          </cell>
          <cell r="E5337">
            <v>0</v>
          </cell>
          <cell r="F5337">
            <v>0</v>
          </cell>
          <cell r="G5337">
            <v>0</v>
          </cell>
        </row>
        <row r="5338">
          <cell r="A5338" t="str">
            <v>55-01-35-0002</v>
          </cell>
          <cell r="B5338">
            <v>0</v>
          </cell>
          <cell r="C5338" t="str">
            <v xml:space="preserve">  LATIF SHAH</v>
          </cell>
          <cell r="D5338">
            <v>0</v>
          </cell>
          <cell r="E5338">
            <v>0</v>
          </cell>
          <cell r="F5338">
            <v>0</v>
          </cell>
          <cell r="G5338">
            <v>0</v>
          </cell>
        </row>
        <row r="5339">
          <cell r="A5339" t="str">
            <v>55-01-35-0003</v>
          </cell>
          <cell r="B5339">
            <v>0</v>
          </cell>
          <cell r="C5339" t="str">
            <v xml:space="preserve">  NASIR KHAN</v>
          </cell>
          <cell r="D5339">
            <v>0</v>
          </cell>
          <cell r="E5339">
            <v>0</v>
          </cell>
          <cell r="F5339">
            <v>0</v>
          </cell>
          <cell r="G5339">
            <v>0</v>
          </cell>
        </row>
        <row r="5340">
          <cell r="A5340" t="str">
            <v>55-01-35-0004</v>
          </cell>
          <cell r="B5340">
            <v>0</v>
          </cell>
          <cell r="C5340" t="str">
            <v xml:space="preserve">  QAISER KHAN</v>
          </cell>
          <cell r="D5340">
            <v>0</v>
          </cell>
          <cell r="E5340">
            <v>0</v>
          </cell>
          <cell r="F5340">
            <v>0</v>
          </cell>
          <cell r="G5340">
            <v>0</v>
          </cell>
        </row>
        <row r="5341">
          <cell r="A5341" t="str">
            <v>55-01-35-0005</v>
          </cell>
          <cell r="B5341">
            <v>0</v>
          </cell>
          <cell r="C5341" t="str">
            <v xml:space="preserve">  SHAH ALAM</v>
          </cell>
          <cell r="D5341">
            <v>0</v>
          </cell>
          <cell r="E5341">
            <v>0</v>
          </cell>
          <cell r="F5341">
            <v>0</v>
          </cell>
          <cell r="G5341">
            <v>0</v>
          </cell>
        </row>
        <row r="5342">
          <cell r="A5342" t="str">
            <v>55-01-35-0006</v>
          </cell>
          <cell r="B5342">
            <v>0</v>
          </cell>
          <cell r="C5342" t="str">
            <v xml:space="preserve">  HANIF SHAH</v>
          </cell>
          <cell r="D5342">
            <v>0</v>
          </cell>
          <cell r="E5342">
            <v>0</v>
          </cell>
          <cell r="F5342">
            <v>0</v>
          </cell>
          <cell r="G5342">
            <v>0</v>
          </cell>
        </row>
        <row r="5343">
          <cell r="A5343" t="str">
            <v>55-01-35-0007</v>
          </cell>
          <cell r="B5343">
            <v>0</v>
          </cell>
          <cell r="C5343" t="str">
            <v xml:space="preserve">  MUHAMMAD IQBAL.</v>
          </cell>
          <cell r="D5343">
            <v>0</v>
          </cell>
          <cell r="E5343">
            <v>0</v>
          </cell>
          <cell r="F5343">
            <v>0</v>
          </cell>
          <cell r="G5343">
            <v>0</v>
          </cell>
        </row>
        <row r="5344">
          <cell r="A5344" t="str">
            <v>55-01-35-0008</v>
          </cell>
          <cell r="B5344">
            <v>0</v>
          </cell>
          <cell r="C5344" t="str">
            <v xml:space="preserve">  PANAMA INTERNATIONAL</v>
          </cell>
          <cell r="D5344">
            <v>0</v>
          </cell>
          <cell r="E5344">
            <v>0</v>
          </cell>
          <cell r="F5344">
            <v>0</v>
          </cell>
          <cell r="G5344">
            <v>0</v>
          </cell>
        </row>
        <row r="5345">
          <cell r="A5345" t="str">
            <v>55-01-35-0009</v>
          </cell>
          <cell r="B5345">
            <v>0</v>
          </cell>
          <cell r="C5345" t="str">
            <v xml:space="preserve">  ROOMI INTERNATIONAL</v>
          </cell>
          <cell r="D5345">
            <v>0</v>
          </cell>
          <cell r="E5345">
            <v>0</v>
          </cell>
          <cell r="F5345">
            <v>0</v>
          </cell>
          <cell r="G5345">
            <v>0</v>
          </cell>
        </row>
        <row r="5346">
          <cell r="A5346" t="str">
            <v>55-01-35-0010</v>
          </cell>
          <cell r="B5346">
            <v>0</v>
          </cell>
          <cell r="C5346" t="str">
            <v xml:space="preserve">  AUGUST TEXTILE COMMUNION</v>
          </cell>
          <cell r="D5346">
            <v>0</v>
          </cell>
          <cell r="E5346">
            <v>0</v>
          </cell>
          <cell r="F5346">
            <v>0</v>
          </cell>
          <cell r="G5346">
            <v>0</v>
          </cell>
        </row>
        <row r="5347">
          <cell r="A5347" t="str">
            <v>55-01-35-0011</v>
          </cell>
          <cell r="B5347">
            <v>0</v>
          </cell>
          <cell r="C5347" t="str">
            <v xml:space="preserve">  ZODIC CORPORATION</v>
          </cell>
          <cell r="D5347">
            <v>0</v>
          </cell>
          <cell r="E5347">
            <v>0</v>
          </cell>
          <cell r="F5347">
            <v>0</v>
          </cell>
          <cell r="G5347">
            <v>0</v>
          </cell>
        </row>
        <row r="5348">
          <cell r="A5348" t="str">
            <v>55-01-35-0012</v>
          </cell>
          <cell r="B5348">
            <v>0</v>
          </cell>
          <cell r="C5348" t="str">
            <v xml:space="preserve">  SACOTEX INDUSTRIES</v>
          </cell>
          <cell r="D5348">
            <v>0</v>
          </cell>
          <cell r="E5348">
            <v>0</v>
          </cell>
          <cell r="F5348">
            <v>0</v>
          </cell>
          <cell r="G5348">
            <v>0</v>
          </cell>
        </row>
        <row r="5349">
          <cell r="A5349" t="str">
            <v>55-01-35-0013</v>
          </cell>
          <cell r="B5349">
            <v>0</v>
          </cell>
          <cell r="C5349" t="str">
            <v xml:space="preserve">  TRADE LINKERS</v>
          </cell>
          <cell r="D5349">
            <v>0</v>
          </cell>
          <cell r="E5349">
            <v>0</v>
          </cell>
          <cell r="F5349">
            <v>0</v>
          </cell>
          <cell r="G5349">
            <v>0</v>
          </cell>
        </row>
        <row r="5350">
          <cell r="A5350" t="str">
            <v>55-01-35-0014</v>
          </cell>
          <cell r="B5350">
            <v>0</v>
          </cell>
          <cell r="C5350" t="str">
            <v xml:space="preserve">  UNITED TRADERS</v>
          </cell>
          <cell r="D5350">
            <v>0</v>
          </cell>
          <cell r="E5350">
            <v>0</v>
          </cell>
          <cell r="F5350">
            <v>0</v>
          </cell>
          <cell r="G5350">
            <v>0</v>
          </cell>
        </row>
        <row r="5351">
          <cell r="A5351" t="str">
            <v>55-01-35-0015</v>
          </cell>
          <cell r="B5351">
            <v>0</v>
          </cell>
          <cell r="C5351" t="str">
            <v xml:space="preserve">  FABRINO TEXTILE MILLS (PVT) LIMITED</v>
          </cell>
          <cell r="D5351">
            <v>0</v>
          </cell>
          <cell r="E5351">
            <v>0</v>
          </cell>
          <cell r="F5351">
            <v>0</v>
          </cell>
          <cell r="G5351">
            <v>0</v>
          </cell>
        </row>
        <row r="5352">
          <cell r="A5352" t="str">
            <v>55-01-35-0016</v>
          </cell>
          <cell r="B5352">
            <v>0</v>
          </cell>
          <cell r="C5352" t="str">
            <v xml:space="preserve">  AL-NOOR TEXTILE INDUSTRIES</v>
          </cell>
          <cell r="D5352">
            <v>0</v>
          </cell>
          <cell r="E5352">
            <v>0</v>
          </cell>
          <cell r="F5352">
            <v>0</v>
          </cell>
          <cell r="G5352">
            <v>0</v>
          </cell>
        </row>
        <row r="5353">
          <cell r="A5353" t="str">
            <v>55-01-35-0017</v>
          </cell>
          <cell r="B5353">
            <v>0</v>
          </cell>
          <cell r="C5353" t="str">
            <v xml:space="preserve">  SAIGAL TRADERS PROPRIERTER</v>
          </cell>
          <cell r="D5353">
            <v>0</v>
          </cell>
          <cell r="E5353">
            <v>0</v>
          </cell>
          <cell r="F5353">
            <v>0</v>
          </cell>
          <cell r="G5353">
            <v>0</v>
          </cell>
        </row>
        <row r="5354">
          <cell r="A5354" t="str">
            <v>55-01-35-0018</v>
          </cell>
          <cell r="B5354">
            <v>0</v>
          </cell>
          <cell r="C5354" t="str">
            <v xml:space="preserve">  MAHEE INTERNATIONAL</v>
          </cell>
          <cell r="D5354">
            <v>0</v>
          </cell>
          <cell r="E5354">
            <v>0</v>
          </cell>
          <cell r="F5354">
            <v>0</v>
          </cell>
          <cell r="G5354">
            <v>0</v>
          </cell>
        </row>
        <row r="5355">
          <cell r="A5355" t="str">
            <v>55-01-35-0019</v>
          </cell>
          <cell r="B5355">
            <v>0</v>
          </cell>
          <cell r="C5355" t="str">
            <v xml:space="preserve">  AMAAD TEXTILE MILLS (PVT) LIMITED</v>
          </cell>
          <cell r="D5355">
            <v>0</v>
          </cell>
          <cell r="E5355">
            <v>0</v>
          </cell>
          <cell r="F5355">
            <v>0</v>
          </cell>
          <cell r="G5355">
            <v>0</v>
          </cell>
        </row>
        <row r="5356">
          <cell r="A5356" t="str">
            <v>55-01-35-0020</v>
          </cell>
          <cell r="B5356">
            <v>0</v>
          </cell>
          <cell r="C5356" t="str">
            <v xml:space="preserve">  AL-IZHAR TEXTILE INDUSTRIES</v>
          </cell>
          <cell r="D5356">
            <v>0</v>
          </cell>
          <cell r="E5356">
            <v>0</v>
          </cell>
          <cell r="F5356">
            <v>0</v>
          </cell>
          <cell r="G5356">
            <v>0</v>
          </cell>
        </row>
        <row r="5357">
          <cell r="A5357" t="str">
            <v>55-01-35-0021</v>
          </cell>
          <cell r="B5357">
            <v>0</v>
          </cell>
          <cell r="C5357" t="str">
            <v xml:space="preserve">  RIAZ FABRICS INDUSTRIES</v>
          </cell>
          <cell r="D5357">
            <v>0</v>
          </cell>
          <cell r="E5357">
            <v>0</v>
          </cell>
          <cell r="F5357">
            <v>0</v>
          </cell>
          <cell r="G5357">
            <v>0</v>
          </cell>
        </row>
        <row r="5358">
          <cell r="A5358" t="str">
            <v>55-01-35-0022</v>
          </cell>
          <cell r="B5358">
            <v>0</v>
          </cell>
          <cell r="C5358" t="str">
            <v xml:space="preserve">  JILANI WEAVING MILLS (PVT) LTD</v>
          </cell>
          <cell r="D5358">
            <v>0</v>
          </cell>
          <cell r="E5358">
            <v>0</v>
          </cell>
          <cell r="F5358">
            <v>0</v>
          </cell>
          <cell r="G5358">
            <v>0</v>
          </cell>
        </row>
        <row r="5359">
          <cell r="A5359" t="str">
            <v>55-01-35-0023</v>
          </cell>
          <cell r="B5359">
            <v>0</v>
          </cell>
          <cell r="C5359" t="str">
            <v xml:space="preserve">  HUMMAIL TEXTILE INDUSTRIES (PVT) LIMIT</v>
          </cell>
          <cell r="D5359">
            <v>0</v>
          </cell>
          <cell r="E5359">
            <v>0</v>
          </cell>
          <cell r="F5359">
            <v>0</v>
          </cell>
          <cell r="G5359">
            <v>0</v>
          </cell>
        </row>
        <row r="5360">
          <cell r="A5360" t="str">
            <v>55-01-35-0024</v>
          </cell>
          <cell r="B5360">
            <v>0</v>
          </cell>
          <cell r="C5360" t="str">
            <v xml:space="preserve">  JAN MOHAMMED</v>
          </cell>
          <cell r="D5360">
            <v>0</v>
          </cell>
          <cell r="E5360">
            <v>0</v>
          </cell>
          <cell r="F5360">
            <v>0</v>
          </cell>
          <cell r="G5360">
            <v>0</v>
          </cell>
        </row>
        <row r="5361">
          <cell r="A5361" t="str">
            <v>55-01-35-0025</v>
          </cell>
          <cell r="B5361">
            <v>0</v>
          </cell>
          <cell r="C5361" t="str">
            <v xml:space="preserve">  HUSSAIN TEXTILE</v>
          </cell>
          <cell r="D5361">
            <v>0</v>
          </cell>
          <cell r="E5361">
            <v>0</v>
          </cell>
          <cell r="F5361">
            <v>0</v>
          </cell>
          <cell r="G5361">
            <v>0</v>
          </cell>
        </row>
        <row r="5362">
          <cell r="A5362" t="str">
            <v>55-01-35-0026</v>
          </cell>
          <cell r="B5362">
            <v>0</v>
          </cell>
          <cell r="C5362" t="str">
            <v xml:space="preserve">  TAJ TEXTILE INDUSTRIES</v>
          </cell>
          <cell r="D5362">
            <v>0</v>
          </cell>
          <cell r="E5362">
            <v>0</v>
          </cell>
          <cell r="F5362">
            <v>0</v>
          </cell>
          <cell r="G5362">
            <v>0</v>
          </cell>
        </row>
        <row r="5363">
          <cell r="A5363" t="str">
            <v>55-01-35-0027</v>
          </cell>
          <cell r="B5363">
            <v>0</v>
          </cell>
          <cell r="C5363" t="str">
            <v xml:space="preserve">  M.H.TEXTILES</v>
          </cell>
          <cell r="D5363">
            <v>0</v>
          </cell>
          <cell r="E5363">
            <v>0</v>
          </cell>
          <cell r="F5363">
            <v>0</v>
          </cell>
          <cell r="G5363">
            <v>0</v>
          </cell>
        </row>
        <row r="5364">
          <cell r="A5364" t="str">
            <v>55-01-35-0028</v>
          </cell>
          <cell r="B5364">
            <v>0</v>
          </cell>
          <cell r="C5364" t="str">
            <v xml:space="preserve">  LAKHANY SILK MILLS (PVT) LIMITED</v>
          </cell>
          <cell r="D5364">
            <v>0</v>
          </cell>
          <cell r="E5364">
            <v>0</v>
          </cell>
          <cell r="F5364">
            <v>0</v>
          </cell>
          <cell r="G5364">
            <v>0</v>
          </cell>
        </row>
        <row r="5365">
          <cell r="A5365" t="str">
            <v>55-01-35-0029</v>
          </cell>
          <cell r="B5365">
            <v>0</v>
          </cell>
          <cell r="C5365" t="str">
            <v xml:space="preserve">  YARN MERCHANTS</v>
          </cell>
          <cell r="D5365">
            <v>0</v>
          </cell>
          <cell r="E5365">
            <v>0</v>
          </cell>
          <cell r="F5365">
            <v>0</v>
          </cell>
          <cell r="G5365">
            <v>0</v>
          </cell>
        </row>
        <row r="5366">
          <cell r="A5366" t="str">
            <v>55-01-35-0030</v>
          </cell>
          <cell r="B5366">
            <v>0</v>
          </cell>
          <cell r="C5366" t="str">
            <v xml:space="preserve">  SAMEER SALEEM</v>
          </cell>
          <cell r="D5366">
            <v>0</v>
          </cell>
          <cell r="E5366">
            <v>0</v>
          </cell>
          <cell r="F5366">
            <v>0</v>
          </cell>
          <cell r="G5366">
            <v>0</v>
          </cell>
        </row>
        <row r="5367">
          <cell r="A5367" t="str">
            <v>55-01-35-0031</v>
          </cell>
          <cell r="B5367">
            <v>0</v>
          </cell>
          <cell r="C5367" t="str">
            <v xml:space="preserve">  AMJAD TEXTILE INDUSTRIES</v>
          </cell>
          <cell r="D5367">
            <v>0</v>
          </cell>
          <cell r="E5367">
            <v>0</v>
          </cell>
          <cell r="F5367">
            <v>0</v>
          </cell>
          <cell r="G5367">
            <v>0</v>
          </cell>
        </row>
        <row r="5368">
          <cell r="A5368" t="str">
            <v>55-01-35-0032</v>
          </cell>
          <cell r="B5368">
            <v>0</v>
          </cell>
          <cell r="C5368" t="str">
            <v xml:space="preserve">  SADIQ FABRICS</v>
          </cell>
          <cell r="D5368">
            <v>0</v>
          </cell>
          <cell r="E5368">
            <v>0</v>
          </cell>
          <cell r="F5368">
            <v>0</v>
          </cell>
          <cell r="G5368">
            <v>0</v>
          </cell>
        </row>
        <row r="5369">
          <cell r="A5369" t="str">
            <v>55-01-35-0033</v>
          </cell>
          <cell r="B5369">
            <v>0</v>
          </cell>
          <cell r="C5369" t="str">
            <v xml:space="preserve">  FLEXI INTERNATIONAL</v>
          </cell>
          <cell r="D5369">
            <v>0</v>
          </cell>
          <cell r="E5369">
            <v>0</v>
          </cell>
          <cell r="F5369">
            <v>0</v>
          </cell>
          <cell r="G5369">
            <v>0</v>
          </cell>
        </row>
        <row r="5370">
          <cell r="A5370" t="str">
            <v>55-01-35-0034</v>
          </cell>
          <cell r="B5370">
            <v>0</v>
          </cell>
          <cell r="C5370" t="str">
            <v xml:space="preserve">  DYNAMIC ENTERPRISES</v>
          </cell>
          <cell r="D5370">
            <v>0</v>
          </cell>
          <cell r="E5370">
            <v>0</v>
          </cell>
          <cell r="F5370">
            <v>0</v>
          </cell>
          <cell r="G5370">
            <v>0</v>
          </cell>
        </row>
        <row r="5371">
          <cell r="A5371" t="str">
            <v>55-01-35-0035</v>
          </cell>
          <cell r="B5371">
            <v>0</v>
          </cell>
          <cell r="C5371" t="str">
            <v xml:space="preserve">  PARVEEN FABRICS</v>
          </cell>
          <cell r="D5371">
            <v>0</v>
          </cell>
          <cell r="E5371">
            <v>0</v>
          </cell>
          <cell r="F5371">
            <v>0</v>
          </cell>
          <cell r="G5371">
            <v>0</v>
          </cell>
        </row>
        <row r="5372">
          <cell r="A5372" t="str">
            <v>55-01-35-0036</v>
          </cell>
          <cell r="B5372">
            <v>0</v>
          </cell>
          <cell r="C5372" t="str">
            <v xml:space="preserve">  RAJ TEXTILE</v>
          </cell>
          <cell r="D5372">
            <v>0</v>
          </cell>
          <cell r="E5372">
            <v>0</v>
          </cell>
          <cell r="F5372">
            <v>0</v>
          </cell>
          <cell r="G5372">
            <v>0</v>
          </cell>
        </row>
        <row r="5373">
          <cell r="A5373" t="str">
            <v>55-01-35-0037</v>
          </cell>
          <cell r="B5373">
            <v>0</v>
          </cell>
          <cell r="C5373" t="str">
            <v xml:space="preserve">  IQRAR FABRICS</v>
          </cell>
          <cell r="D5373">
            <v>0</v>
          </cell>
          <cell r="E5373">
            <v>0</v>
          </cell>
          <cell r="F5373">
            <v>0</v>
          </cell>
          <cell r="G5373">
            <v>0</v>
          </cell>
        </row>
        <row r="5374">
          <cell r="A5374" t="str">
            <v>55-01-35-0038</v>
          </cell>
          <cell r="B5374">
            <v>0</v>
          </cell>
          <cell r="C5374" t="str">
            <v xml:space="preserve">  AHSAN TEXTILE</v>
          </cell>
          <cell r="D5374">
            <v>0</v>
          </cell>
          <cell r="E5374">
            <v>0</v>
          </cell>
          <cell r="F5374">
            <v>0</v>
          </cell>
          <cell r="G5374">
            <v>0</v>
          </cell>
        </row>
        <row r="5375">
          <cell r="A5375" t="str">
            <v>55-01-35-0039</v>
          </cell>
          <cell r="B5375">
            <v>0</v>
          </cell>
          <cell r="C5375" t="str">
            <v xml:space="preserve">  ASIA TEXTILE</v>
          </cell>
          <cell r="D5375">
            <v>0</v>
          </cell>
          <cell r="E5375">
            <v>0</v>
          </cell>
          <cell r="F5375">
            <v>0</v>
          </cell>
          <cell r="G5375">
            <v>0</v>
          </cell>
        </row>
        <row r="5376">
          <cell r="A5376" t="str">
            <v>55-01-35-0040</v>
          </cell>
          <cell r="B5376">
            <v>0</v>
          </cell>
          <cell r="C5376" t="str">
            <v xml:space="preserve">  ABID TRADERS</v>
          </cell>
          <cell r="D5376">
            <v>0</v>
          </cell>
          <cell r="E5376">
            <v>0</v>
          </cell>
          <cell r="F5376">
            <v>0</v>
          </cell>
          <cell r="G5376">
            <v>0</v>
          </cell>
        </row>
        <row r="5377">
          <cell r="A5377" t="str">
            <v>55-01-35-0041</v>
          </cell>
          <cell r="B5377">
            <v>0</v>
          </cell>
          <cell r="C5377" t="str">
            <v xml:space="preserve">  H.A. TRADERS</v>
          </cell>
          <cell r="D5377">
            <v>0</v>
          </cell>
          <cell r="E5377">
            <v>0</v>
          </cell>
          <cell r="F5377">
            <v>0</v>
          </cell>
          <cell r="G5377">
            <v>0</v>
          </cell>
        </row>
        <row r="5378">
          <cell r="A5378" t="str">
            <v>55-01-35-0042</v>
          </cell>
          <cell r="B5378">
            <v>0</v>
          </cell>
          <cell r="C5378" t="str">
            <v xml:space="preserve">  ALI IMPEX</v>
          </cell>
          <cell r="D5378">
            <v>0</v>
          </cell>
          <cell r="E5378">
            <v>0</v>
          </cell>
          <cell r="F5378">
            <v>0</v>
          </cell>
          <cell r="G5378">
            <v>0</v>
          </cell>
        </row>
        <row r="5379">
          <cell r="A5379" t="str">
            <v>55-01-35-0043</v>
          </cell>
          <cell r="B5379">
            <v>0</v>
          </cell>
          <cell r="C5379" t="str">
            <v xml:space="preserve">  RADIANT TEXTILES</v>
          </cell>
          <cell r="D5379">
            <v>0</v>
          </cell>
          <cell r="E5379">
            <v>0</v>
          </cell>
          <cell r="F5379">
            <v>0</v>
          </cell>
          <cell r="G5379">
            <v>0</v>
          </cell>
        </row>
        <row r="5380">
          <cell r="A5380" t="str">
            <v>55-01-35-0044</v>
          </cell>
          <cell r="B5380">
            <v>0</v>
          </cell>
          <cell r="C5380" t="str">
            <v xml:space="preserve">  S.T.TEXTILES</v>
          </cell>
          <cell r="D5380">
            <v>0</v>
          </cell>
          <cell r="E5380">
            <v>0</v>
          </cell>
          <cell r="F5380">
            <v>0</v>
          </cell>
          <cell r="G5380">
            <v>0</v>
          </cell>
        </row>
        <row r="5381">
          <cell r="A5381" t="str">
            <v>55-01-35-0045</v>
          </cell>
          <cell r="B5381">
            <v>0</v>
          </cell>
          <cell r="C5381" t="str">
            <v xml:space="preserve">  TEXMACO INTERNATIONAL</v>
          </cell>
          <cell r="D5381">
            <v>0</v>
          </cell>
          <cell r="E5381">
            <v>0</v>
          </cell>
          <cell r="F5381">
            <v>0</v>
          </cell>
          <cell r="G5381">
            <v>0</v>
          </cell>
        </row>
        <row r="5382">
          <cell r="A5382" t="str">
            <v>55-01-35-0046</v>
          </cell>
          <cell r="B5382">
            <v>0</v>
          </cell>
          <cell r="C5382" t="str">
            <v xml:space="preserve">  DREAM TRADING CO</v>
          </cell>
          <cell r="D5382">
            <v>0</v>
          </cell>
          <cell r="E5382">
            <v>0</v>
          </cell>
          <cell r="F5382">
            <v>0</v>
          </cell>
          <cell r="G5382">
            <v>0</v>
          </cell>
        </row>
        <row r="5383">
          <cell r="A5383" t="str">
            <v>55-01-35-0047</v>
          </cell>
          <cell r="B5383">
            <v>0</v>
          </cell>
          <cell r="C5383" t="str">
            <v xml:space="preserve">  FAT INTERNATIONAL</v>
          </cell>
          <cell r="D5383">
            <v>0</v>
          </cell>
          <cell r="E5383">
            <v>0</v>
          </cell>
          <cell r="F5383">
            <v>0</v>
          </cell>
          <cell r="G5383">
            <v>0</v>
          </cell>
        </row>
        <row r="5384">
          <cell r="A5384" t="str">
            <v>55-01-35-0048</v>
          </cell>
          <cell r="B5384">
            <v>0</v>
          </cell>
          <cell r="C5384" t="str">
            <v xml:space="preserve">  AHMED INDUSTRIES</v>
          </cell>
          <cell r="D5384">
            <v>0</v>
          </cell>
          <cell r="E5384">
            <v>0</v>
          </cell>
          <cell r="F5384">
            <v>0</v>
          </cell>
          <cell r="G5384">
            <v>0</v>
          </cell>
        </row>
        <row r="5385">
          <cell r="A5385" t="str">
            <v>55-01-35-0049</v>
          </cell>
          <cell r="B5385">
            <v>0</v>
          </cell>
          <cell r="C5385" t="str">
            <v xml:space="preserve">  S.R ENTERPRISES</v>
          </cell>
          <cell r="D5385">
            <v>0</v>
          </cell>
          <cell r="E5385">
            <v>0</v>
          </cell>
          <cell r="F5385">
            <v>0</v>
          </cell>
          <cell r="G5385">
            <v>0</v>
          </cell>
        </row>
        <row r="5386">
          <cell r="A5386" t="str">
            <v>55-01-35-0050</v>
          </cell>
          <cell r="B5386">
            <v>0</v>
          </cell>
          <cell r="C5386" t="str">
            <v xml:space="preserve">  BAIRY TEX (PVT) LIMITED.</v>
          </cell>
          <cell r="D5386">
            <v>0</v>
          </cell>
          <cell r="E5386">
            <v>0</v>
          </cell>
          <cell r="F5386">
            <v>0</v>
          </cell>
          <cell r="G5386">
            <v>0</v>
          </cell>
        </row>
        <row r="5387">
          <cell r="A5387" t="str">
            <v>55-01-35-0051</v>
          </cell>
          <cell r="B5387">
            <v>0</v>
          </cell>
          <cell r="C5387" t="str">
            <v xml:space="preserve">  AL-AWWAL INTERNATIONAL</v>
          </cell>
          <cell r="D5387">
            <v>0</v>
          </cell>
          <cell r="E5387">
            <v>0</v>
          </cell>
          <cell r="F5387">
            <v>0</v>
          </cell>
          <cell r="G5387">
            <v>0</v>
          </cell>
        </row>
        <row r="5388">
          <cell r="A5388" t="str">
            <v>55-01-35-0052</v>
          </cell>
          <cell r="B5388">
            <v>0</v>
          </cell>
          <cell r="C5388" t="str">
            <v xml:space="preserve">  ASHRAF &amp; COMPANY</v>
          </cell>
          <cell r="D5388">
            <v>0</v>
          </cell>
          <cell r="E5388">
            <v>0</v>
          </cell>
          <cell r="F5388">
            <v>0</v>
          </cell>
          <cell r="G5388">
            <v>0</v>
          </cell>
        </row>
        <row r="5389">
          <cell r="A5389" t="str">
            <v>55-01-35-0053</v>
          </cell>
          <cell r="B5389">
            <v>0</v>
          </cell>
          <cell r="C5389" t="str">
            <v xml:space="preserve">  COMMONSEAS TRADE INTERNATIONAL</v>
          </cell>
          <cell r="D5389">
            <v>0</v>
          </cell>
          <cell r="E5389">
            <v>0</v>
          </cell>
          <cell r="F5389">
            <v>0</v>
          </cell>
          <cell r="G5389">
            <v>0</v>
          </cell>
        </row>
        <row r="5390">
          <cell r="A5390" t="str">
            <v>55-01-35-0054</v>
          </cell>
          <cell r="B5390">
            <v>0</v>
          </cell>
          <cell r="C5390" t="str">
            <v xml:space="preserve">  GLAMOUR INDUSTRIES</v>
          </cell>
          <cell r="D5390">
            <v>0</v>
          </cell>
          <cell r="E5390">
            <v>0</v>
          </cell>
          <cell r="F5390">
            <v>0</v>
          </cell>
          <cell r="G5390">
            <v>0</v>
          </cell>
        </row>
        <row r="5391">
          <cell r="A5391" t="str">
            <v>55-01-35-0055</v>
          </cell>
          <cell r="B5391">
            <v>0</v>
          </cell>
          <cell r="C5391" t="str">
            <v xml:space="preserve">  NISAR TEXTILE CORPORATION</v>
          </cell>
          <cell r="D5391">
            <v>0</v>
          </cell>
          <cell r="E5391">
            <v>0</v>
          </cell>
          <cell r="F5391">
            <v>0</v>
          </cell>
          <cell r="G5391">
            <v>0</v>
          </cell>
        </row>
        <row r="5392">
          <cell r="A5392" t="str">
            <v>55-01-35-0056</v>
          </cell>
          <cell r="B5392">
            <v>0</v>
          </cell>
          <cell r="C5392" t="str">
            <v xml:space="preserve">  GOVANDI TEXTILE</v>
          </cell>
          <cell r="D5392">
            <v>0</v>
          </cell>
          <cell r="E5392">
            <v>0</v>
          </cell>
          <cell r="F5392">
            <v>0</v>
          </cell>
          <cell r="G5392">
            <v>0</v>
          </cell>
        </row>
        <row r="5393">
          <cell r="A5393" t="str">
            <v>55-01-35-0057</v>
          </cell>
          <cell r="B5393">
            <v>0</v>
          </cell>
          <cell r="C5393" t="str">
            <v xml:space="preserve">  SHAYAN FABRIC</v>
          </cell>
          <cell r="D5393">
            <v>0</v>
          </cell>
          <cell r="E5393">
            <v>0</v>
          </cell>
          <cell r="F5393">
            <v>0</v>
          </cell>
          <cell r="G5393">
            <v>0</v>
          </cell>
        </row>
        <row r="5394">
          <cell r="A5394" t="str">
            <v>55-01-35-0058</v>
          </cell>
          <cell r="B5394">
            <v>0</v>
          </cell>
          <cell r="C5394" t="str">
            <v xml:space="preserve">  SHEZA TEXTILE</v>
          </cell>
          <cell r="D5394">
            <v>0</v>
          </cell>
          <cell r="E5394">
            <v>0</v>
          </cell>
          <cell r="F5394">
            <v>0</v>
          </cell>
          <cell r="G5394">
            <v>0</v>
          </cell>
        </row>
        <row r="5395">
          <cell r="A5395" t="str">
            <v>55-01-35-0059</v>
          </cell>
          <cell r="B5395">
            <v>0</v>
          </cell>
          <cell r="C5395" t="str">
            <v xml:space="preserve">  GLAXY TRADING COMPANY</v>
          </cell>
          <cell r="D5395">
            <v>0</v>
          </cell>
          <cell r="E5395">
            <v>0</v>
          </cell>
          <cell r="F5395">
            <v>0</v>
          </cell>
          <cell r="G5395">
            <v>0</v>
          </cell>
        </row>
        <row r="5396">
          <cell r="A5396" t="str">
            <v>55-01-35-0060</v>
          </cell>
          <cell r="B5396">
            <v>0</v>
          </cell>
          <cell r="C5396" t="str">
            <v xml:space="preserve">  NAUSHEEN FABRICS</v>
          </cell>
          <cell r="D5396">
            <v>0</v>
          </cell>
          <cell r="E5396">
            <v>0</v>
          </cell>
          <cell r="F5396">
            <v>0</v>
          </cell>
          <cell r="G5396">
            <v>0</v>
          </cell>
        </row>
        <row r="5397">
          <cell r="A5397" t="str">
            <v>55-01-35-0061</v>
          </cell>
          <cell r="B5397">
            <v>0</v>
          </cell>
          <cell r="C5397" t="str">
            <v xml:space="preserve">  LUCKY TEXTILE MILLS</v>
          </cell>
          <cell r="D5397">
            <v>0</v>
          </cell>
          <cell r="E5397">
            <v>0</v>
          </cell>
          <cell r="F5397">
            <v>0</v>
          </cell>
          <cell r="G5397">
            <v>0</v>
          </cell>
        </row>
        <row r="5398">
          <cell r="A5398" t="str">
            <v>55-01-35-0062</v>
          </cell>
          <cell r="B5398">
            <v>0</v>
          </cell>
          <cell r="C5398" t="str">
            <v xml:space="preserve">  I.A ENTERPRISES</v>
          </cell>
          <cell r="D5398">
            <v>0</v>
          </cell>
          <cell r="E5398">
            <v>0</v>
          </cell>
          <cell r="F5398">
            <v>0</v>
          </cell>
          <cell r="G5398">
            <v>0</v>
          </cell>
        </row>
        <row r="5399">
          <cell r="A5399" t="str">
            <v>55-01-35-0063</v>
          </cell>
          <cell r="B5399">
            <v>0</v>
          </cell>
          <cell r="C5399" t="str">
            <v xml:space="preserve">  ZONE INTERNATIONAL</v>
          </cell>
          <cell r="D5399">
            <v>0</v>
          </cell>
          <cell r="E5399">
            <v>0</v>
          </cell>
          <cell r="F5399">
            <v>0</v>
          </cell>
          <cell r="G5399">
            <v>0</v>
          </cell>
        </row>
        <row r="5400">
          <cell r="A5400" t="str">
            <v>55-01-35-0064</v>
          </cell>
          <cell r="B5400">
            <v>0</v>
          </cell>
          <cell r="C5400" t="str">
            <v xml:space="preserve">  PRIME ENTERPRISES</v>
          </cell>
          <cell r="D5400">
            <v>0</v>
          </cell>
          <cell r="E5400">
            <v>0</v>
          </cell>
          <cell r="F5400">
            <v>0</v>
          </cell>
          <cell r="G5400">
            <v>0</v>
          </cell>
        </row>
        <row r="5401">
          <cell r="A5401" t="str">
            <v>55-01-35-0065</v>
          </cell>
          <cell r="B5401">
            <v>0</v>
          </cell>
          <cell r="C5401" t="str">
            <v xml:space="preserve">  PRIDE INDUSTRY</v>
          </cell>
          <cell r="D5401">
            <v>0</v>
          </cell>
          <cell r="E5401">
            <v>0</v>
          </cell>
          <cell r="F5401">
            <v>0</v>
          </cell>
          <cell r="G5401">
            <v>0</v>
          </cell>
        </row>
        <row r="5402">
          <cell r="A5402" t="str">
            <v>55-01-35-0066</v>
          </cell>
          <cell r="B5402">
            <v>0</v>
          </cell>
          <cell r="C5402" t="str">
            <v xml:space="preserve">  ORIENTAL TRADING COMPANY</v>
          </cell>
          <cell r="D5402">
            <v>0</v>
          </cell>
          <cell r="E5402">
            <v>0</v>
          </cell>
          <cell r="F5402">
            <v>0</v>
          </cell>
          <cell r="G5402">
            <v>0</v>
          </cell>
        </row>
        <row r="5403">
          <cell r="A5403" t="str">
            <v>55-01-35-0067</v>
          </cell>
          <cell r="B5403">
            <v>0</v>
          </cell>
          <cell r="C5403" t="str">
            <v xml:space="preserve">  SPRINT INTERNATIONAL</v>
          </cell>
          <cell r="D5403">
            <v>0</v>
          </cell>
          <cell r="E5403">
            <v>0</v>
          </cell>
          <cell r="F5403">
            <v>0</v>
          </cell>
          <cell r="G5403">
            <v>0</v>
          </cell>
        </row>
        <row r="5404">
          <cell r="A5404" t="str">
            <v>55-01-35-0068</v>
          </cell>
          <cell r="B5404">
            <v>0</v>
          </cell>
          <cell r="C5404" t="str">
            <v xml:space="preserve">  ISMAIL HAMED &amp; SONS</v>
          </cell>
          <cell r="D5404">
            <v>0</v>
          </cell>
          <cell r="E5404">
            <v>0</v>
          </cell>
          <cell r="F5404">
            <v>0</v>
          </cell>
          <cell r="G5404">
            <v>0</v>
          </cell>
        </row>
        <row r="5405">
          <cell r="A5405" t="str">
            <v>55-01-35-0069</v>
          </cell>
          <cell r="B5405">
            <v>0</v>
          </cell>
          <cell r="C5405" t="str">
            <v xml:space="preserve">  ZEESHAN WEAVING</v>
          </cell>
          <cell r="D5405">
            <v>0</v>
          </cell>
          <cell r="E5405">
            <v>0</v>
          </cell>
          <cell r="F5405">
            <v>0</v>
          </cell>
          <cell r="G5405">
            <v>0</v>
          </cell>
        </row>
        <row r="5406">
          <cell r="A5406" t="str">
            <v>55-01-35-0070</v>
          </cell>
          <cell r="B5406">
            <v>0</v>
          </cell>
          <cell r="C5406" t="str">
            <v xml:space="preserve">  DHEDHI BROTHERS</v>
          </cell>
          <cell r="D5406">
            <v>0</v>
          </cell>
          <cell r="E5406">
            <v>0</v>
          </cell>
          <cell r="F5406">
            <v>0</v>
          </cell>
          <cell r="G5406">
            <v>0</v>
          </cell>
        </row>
        <row r="5407">
          <cell r="A5407" t="str">
            <v>55-01-35-0071</v>
          </cell>
          <cell r="B5407">
            <v>0</v>
          </cell>
          <cell r="C5407" t="str">
            <v xml:space="preserve">  PARAGON TEXTILE</v>
          </cell>
          <cell r="D5407">
            <v>0</v>
          </cell>
          <cell r="E5407">
            <v>0</v>
          </cell>
          <cell r="F5407">
            <v>0</v>
          </cell>
          <cell r="G5407">
            <v>0</v>
          </cell>
        </row>
        <row r="5408">
          <cell r="A5408" t="str">
            <v>55-01-35-0072</v>
          </cell>
          <cell r="B5408">
            <v>0</v>
          </cell>
          <cell r="C5408" t="str">
            <v xml:space="preserve">  PRIME CORPORATION</v>
          </cell>
          <cell r="D5408">
            <v>0</v>
          </cell>
          <cell r="E5408">
            <v>0</v>
          </cell>
          <cell r="F5408">
            <v>0</v>
          </cell>
          <cell r="G5408">
            <v>0</v>
          </cell>
        </row>
        <row r="5409">
          <cell r="A5409" t="str">
            <v>55-01-35-0073</v>
          </cell>
          <cell r="B5409">
            <v>0</v>
          </cell>
          <cell r="C5409" t="str">
            <v xml:space="preserve">  IQBAL SILK MILLS (PRIVATE) LTD.</v>
          </cell>
          <cell r="D5409">
            <v>0</v>
          </cell>
          <cell r="E5409">
            <v>0</v>
          </cell>
          <cell r="F5409">
            <v>0</v>
          </cell>
          <cell r="G5409">
            <v>0</v>
          </cell>
        </row>
        <row r="5410">
          <cell r="A5410" t="str">
            <v>55-01-35-0074</v>
          </cell>
          <cell r="B5410">
            <v>0</v>
          </cell>
          <cell r="C5410" t="str">
            <v xml:space="preserve">  LYALLPUR INDUSTRIES</v>
          </cell>
          <cell r="D5410">
            <v>0</v>
          </cell>
          <cell r="E5410">
            <v>0</v>
          </cell>
          <cell r="F5410">
            <v>0</v>
          </cell>
          <cell r="G5410">
            <v>0</v>
          </cell>
        </row>
        <row r="5411">
          <cell r="A5411" t="str">
            <v>55-01-35-0075</v>
          </cell>
          <cell r="B5411">
            <v>0</v>
          </cell>
          <cell r="C5411" t="str">
            <v xml:space="preserve">  MARIAM AGENCIES</v>
          </cell>
          <cell r="D5411">
            <v>0</v>
          </cell>
          <cell r="E5411">
            <v>0</v>
          </cell>
          <cell r="F5411">
            <v>0</v>
          </cell>
          <cell r="G5411">
            <v>0</v>
          </cell>
        </row>
        <row r="5412">
          <cell r="A5412" t="str">
            <v>55-01-35-0076</v>
          </cell>
          <cell r="B5412">
            <v>0</v>
          </cell>
          <cell r="C5412" t="str">
            <v xml:space="preserve">  HASNAIN TEXTILE</v>
          </cell>
          <cell r="D5412">
            <v>0</v>
          </cell>
          <cell r="E5412">
            <v>0</v>
          </cell>
          <cell r="F5412">
            <v>0</v>
          </cell>
          <cell r="G5412">
            <v>0</v>
          </cell>
        </row>
        <row r="5413">
          <cell r="A5413" t="str">
            <v>55-01-35-0077</v>
          </cell>
          <cell r="B5413">
            <v>0</v>
          </cell>
          <cell r="C5413" t="str">
            <v xml:space="preserve">  AL HAMZA TEXTILE CORPORATION</v>
          </cell>
          <cell r="D5413">
            <v>0</v>
          </cell>
          <cell r="E5413">
            <v>0</v>
          </cell>
          <cell r="F5413">
            <v>0</v>
          </cell>
          <cell r="G5413">
            <v>0</v>
          </cell>
        </row>
        <row r="5414">
          <cell r="A5414" t="str">
            <v>55-01-35-0078</v>
          </cell>
          <cell r="B5414">
            <v>0</v>
          </cell>
          <cell r="C5414" t="str">
            <v xml:space="preserve">  GULL ENTERPRISES</v>
          </cell>
          <cell r="D5414">
            <v>0</v>
          </cell>
          <cell r="E5414">
            <v>0</v>
          </cell>
          <cell r="F5414">
            <v>0</v>
          </cell>
          <cell r="G5414">
            <v>0</v>
          </cell>
        </row>
        <row r="5415">
          <cell r="A5415" t="str">
            <v>55-01-35-0079</v>
          </cell>
          <cell r="B5415">
            <v>0</v>
          </cell>
          <cell r="C5415" t="str">
            <v xml:space="preserve">  MUHAMMAD AFZAL</v>
          </cell>
          <cell r="D5415">
            <v>0</v>
          </cell>
          <cell r="E5415">
            <v>0</v>
          </cell>
          <cell r="F5415">
            <v>0</v>
          </cell>
          <cell r="G5415">
            <v>0</v>
          </cell>
        </row>
        <row r="5416">
          <cell r="A5416" t="str">
            <v>55-01-35-0080</v>
          </cell>
          <cell r="B5416">
            <v>0</v>
          </cell>
          <cell r="C5416" t="str">
            <v xml:space="preserve">  JAN TEX</v>
          </cell>
          <cell r="D5416">
            <v>0</v>
          </cell>
          <cell r="E5416">
            <v>0</v>
          </cell>
          <cell r="F5416">
            <v>0</v>
          </cell>
          <cell r="G5416">
            <v>0</v>
          </cell>
        </row>
        <row r="5417">
          <cell r="A5417" t="str">
            <v>55-01-35-0081</v>
          </cell>
          <cell r="B5417">
            <v>0</v>
          </cell>
          <cell r="C5417" t="str">
            <v xml:space="preserve">  A.V.M. CORPORATION</v>
          </cell>
          <cell r="D5417">
            <v>0</v>
          </cell>
          <cell r="E5417">
            <v>0</v>
          </cell>
          <cell r="F5417">
            <v>0</v>
          </cell>
          <cell r="G5417">
            <v>0</v>
          </cell>
        </row>
        <row r="5418">
          <cell r="A5418" t="str">
            <v>55-01-35-0082</v>
          </cell>
          <cell r="B5418">
            <v>0</v>
          </cell>
          <cell r="C5418" t="str">
            <v xml:space="preserve">  SILVER TEXTILE</v>
          </cell>
          <cell r="D5418">
            <v>0</v>
          </cell>
          <cell r="E5418">
            <v>0</v>
          </cell>
          <cell r="F5418">
            <v>0</v>
          </cell>
          <cell r="G5418">
            <v>0</v>
          </cell>
        </row>
        <row r="5419">
          <cell r="A5419" t="str">
            <v>55-01-35-0083</v>
          </cell>
          <cell r="B5419">
            <v>0</v>
          </cell>
          <cell r="C5419" t="str">
            <v xml:space="preserve">  MUHAMMAD IRFAN</v>
          </cell>
          <cell r="D5419">
            <v>0</v>
          </cell>
          <cell r="E5419">
            <v>0</v>
          </cell>
          <cell r="F5419">
            <v>0</v>
          </cell>
          <cell r="G5419">
            <v>0</v>
          </cell>
        </row>
        <row r="5420">
          <cell r="A5420" t="str">
            <v>55-01-35-0084</v>
          </cell>
          <cell r="B5420">
            <v>0</v>
          </cell>
          <cell r="C5420" t="str">
            <v xml:space="preserve">  MUHAMMAD IMRAN</v>
          </cell>
          <cell r="D5420">
            <v>0</v>
          </cell>
          <cell r="E5420">
            <v>0</v>
          </cell>
          <cell r="F5420">
            <v>0</v>
          </cell>
          <cell r="G5420">
            <v>0</v>
          </cell>
        </row>
        <row r="5421">
          <cell r="A5421" t="str">
            <v>55-01-36</v>
          </cell>
          <cell r="B5421">
            <v>0</v>
          </cell>
          <cell r="C5421" t="str">
            <v>***AMANULLAH.</v>
          </cell>
          <cell r="D5421">
            <v>0</v>
          </cell>
          <cell r="E5421">
            <v>0</v>
          </cell>
          <cell r="F5421">
            <v>0</v>
          </cell>
          <cell r="G5421">
            <v>0</v>
          </cell>
        </row>
        <row r="5422">
          <cell r="A5422" t="str">
            <v>55-01-36-0001</v>
          </cell>
          <cell r="B5422">
            <v>0</v>
          </cell>
          <cell r="C5422" t="str">
            <v xml:space="preserve">  AMIN ABDUL GHAFFAR</v>
          </cell>
          <cell r="D5422">
            <v>0</v>
          </cell>
          <cell r="E5422">
            <v>0</v>
          </cell>
          <cell r="F5422">
            <v>0</v>
          </cell>
          <cell r="G5422">
            <v>0</v>
          </cell>
        </row>
        <row r="5423">
          <cell r="A5423" t="str">
            <v>55-01-36-0002</v>
          </cell>
          <cell r="B5423">
            <v>0</v>
          </cell>
          <cell r="C5423" t="str">
            <v xml:space="preserve">  ABDUL NABI</v>
          </cell>
          <cell r="D5423">
            <v>0</v>
          </cell>
          <cell r="E5423">
            <v>0</v>
          </cell>
          <cell r="F5423">
            <v>0</v>
          </cell>
          <cell r="G5423">
            <v>0</v>
          </cell>
        </row>
        <row r="5424">
          <cell r="A5424" t="str">
            <v>55-01-36-0003</v>
          </cell>
          <cell r="B5424">
            <v>0</v>
          </cell>
          <cell r="C5424" t="str">
            <v xml:space="preserve">  MUHAMMAD KHALID</v>
          </cell>
          <cell r="D5424">
            <v>0</v>
          </cell>
          <cell r="E5424">
            <v>0</v>
          </cell>
          <cell r="F5424">
            <v>0</v>
          </cell>
          <cell r="G5424">
            <v>0</v>
          </cell>
        </row>
        <row r="5425">
          <cell r="A5425" t="str">
            <v>55-01-36-0004</v>
          </cell>
          <cell r="B5425">
            <v>0</v>
          </cell>
          <cell r="C5425" t="str">
            <v xml:space="preserve">  YOUSAF BHAI</v>
          </cell>
          <cell r="D5425">
            <v>0</v>
          </cell>
          <cell r="E5425">
            <v>0</v>
          </cell>
          <cell r="F5425">
            <v>0</v>
          </cell>
          <cell r="G5425">
            <v>0</v>
          </cell>
        </row>
        <row r="5426">
          <cell r="A5426" t="str">
            <v>55-01-36-0005</v>
          </cell>
          <cell r="B5426">
            <v>0</v>
          </cell>
          <cell r="C5426" t="str">
            <v xml:space="preserve">  TAUSEEF AMANULLAH</v>
          </cell>
          <cell r="D5426">
            <v>0</v>
          </cell>
          <cell r="E5426">
            <v>0</v>
          </cell>
          <cell r="F5426">
            <v>0</v>
          </cell>
          <cell r="G5426">
            <v>0</v>
          </cell>
        </row>
        <row r="5427">
          <cell r="A5427" t="str">
            <v>55-01-36-0006</v>
          </cell>
          <cell r="B5427">
            <v>0</v>
          </cell>
          <cell r="C5427" t="str">
            <v xml:space="preserve">  JAVED KHAN</v>
          </cell>
          <cell r="D5427">
            <v>0</v>
          </cell>
          <cell r="E5427">
            <v>0</v>
          </cell>
          <cell r="F5427">
            <v>0</v>
          </cell>
          <cell r="G5427">
            <v>0</v>
          </cell>
        </row>
        <row r="5428">
          <cell r="A5428" t="str">
            <v>55-01-36-0007</v>
          </cell>
          <cell r="B5428">
            <v>0</v>
          </cell>
          <cell r="C5428" t="str">
            <v xml:space="preserve">  I.F.C ENTERPRISES</v>
          </cell>
          <cell r="D5428">
            <v>0</v>
          </cell>
          <cell r="E5428">
            <v>0</v>
          </cell>
          <cell r="F5428">
            <v>0</v>
          </cell>
          <cell r="G5428">
            <v>0</v>
          </cell>
        </row>
        <row r="5429">
          <cell r="A5429" t="str">
            <v>55-01-36-0008</v>
          </cell>
          <cell r="B5429">
            <v>0</v>
          </cell>
          <cell r="C5429" t="str">
            <v xml:space="preserve">  YASIR ANAM</v>
          </cell>
          <cell r="D5429">
            <v>0</v>
          </cell>
          <cell r="E5429">
            <v>0</v>
          </cell>
          <cell r="F5429">
            <v>0</v>
          </cell>
          <cell r="G5429">
            <v>0</v>
          </cell>
        </row>
        <row r="5430">
          <cell r="A5430" t="str">
            <v>55-01-36-0009</v>
          </cell>
          <cell r="B5430">
            <v>0</v>
          </cell>
          <cell r="C5430" t="str">
            <v xml:space="preserve">  JAMIL SHAHZAD</v>
          </cell>
          <cell r="D5430">
            <v>0</v>
          </cell>
          <cell r="E5430">
            <v>0</v>
          </cell>
          <cell r="F5430">
            <v>0</v>
          </cell>
          <cell r="G5430">
            <v>0</v>
          </cell>
        </row>
        <row r="5431">
          <cell r="A5431" t="str">
            <v>55-01-37</v>
          </cell>
          <cell r="B5431">
            <v>0</v>
          </cell>
          <cell r="C5431" t="str">
            <v>***REHMATULLAH</v>
          </cell>
          <cell r="D5431">
            <v>0</v>
          </cell>
          <cell r="E5431">
            <v>0</v>
          </cell>
          <cell r="F5431">
            <v>0</v>
          </cell>
          <cell r="G5431">
            <v>0</v>
          </cell>
        </row>
        <row r="5432">
          <cell r="A5432" t="str">
            <v>55-01-37-0001</v>
          </cell>
          <cell r="B5432">
            <v>0</v>
          </cell>
          <cell r="C5432" t="str">
            <v xml:space="preserve">  TERRY TOWELLERS (PVT) LIMITED</v>
          </cell>
          <cell r="D5432">
            <v>0</v>
          </cell>
          <cell r="E5432">
            <v>0</v>
          </cell>
          <cell r="F5432">
            <v>0</v>
          </cell>
          <cell r="G5432">
            <v>0</v>
          </cell>
        </row>
        <row r="5433">
          <cell r="A5433" t="str">
            <v>55-01-39</v>
          </cell>
          <cell r="B5433">
            <v>0</v>
          </cell>
          <cell r="C5433" t="str">
            <v>***YOUSAF DHARKI</v>
          </cell>
          <cell r="D5433">
            <v>0</v>
          </cell>
          <cell r="E5433">
            <v>0</v>
          </cell>
          <cell r="F5433">
            <v>0</v>
          </cell>
          <cell r="G5433">
            <v>0</v>
          </cell>
        </row>
        <row r="5434">
          <cell r="A5434" t="str">
            <v>55-01-39-0001</v>
          </cell>
          <cell r="B5434">
            <v>0</v>
          </cell>
          <cell r="C5434" t="str">
            <v xml:space="preserve">  SHER ALAM</v>
          </cell>
          <cell r="D5434">
            <v>0</v>
          </cell>
          <cell r="E5434">
            <v>0</v>
          </cell>
          <cell r="F5434">
            <v>0</v>
          </cell>
          <cell r="G5434">
            <v>0</v>
          </cell>
        </row>
        <row r="5435">
          <cell r="A5435" t="str">
            <v>55-01-39-0002</v>
          </cell>
          <cell r="B5435">
            <v>0</v>
          </cell>
          <cell r="C5435" t="str">
            <v xml:space="preserve">  MUHAMMAD ALI</v>
          </cell>
          <cell r="D5435">
            <v>0</v>
          </cell>
          <cell r="E5435">
            <v>0</v>
          </cell>
          <cell r="F5435">
            <v>0</v>
          </cell>
          <cell r="G5435">
            <v>0</v>
          </cell>
        </row>
        <row r="5436">
          <cell r="A5436" t="str">
            <v>55-01-39-0003</v>
          </cell>
          <cell r="B5436">
            <v>0</v>
          </cell>
          <cell r="C5436" t="str">
            <v xml:space="preserve">  NOMAN ALI</v>
          </cell>
          <cell r="D5436">
            <v>0</v>
          </cell>
          <cell r="E5436">
            <v>0</v>
          </cell>
          <cell r="F5436">
            <v>0</v>
          </cell>
          <cell r="G5436">
            <v>0</v>
          </cell>
        </row>
        <row r="5437">
          <cell r="A5437" t="str">
            <v>55-01-39-0004</v>
          </cell>
          <cell r="B5437">
            <v>0</v>
          </cell>
          <cell r="C5437" t="str">
            <v xml:space="preserve">  ABDUL GHAFAR</v>
          </cell>
          <cell r="D5437">
            <v>0</v>
          </cell>
          <cell r="E5437">
            <v>0</v>
          </cell>
          <cell r="F5437">
            <v>0</v>
          </cell>
          <cell r="G5437">
            <v>0</v>
          </cell>
        </row>
        <row r="5438">
          <cell r="A5438" t="str">
            <v>55-01-39-0005</v>
          </cell>
          <cell r="B5438">
            <v>0</v>
          </cell>
          <cell r="C5438" t="str">
            <v xml:space="preserve">  SIKANDAR KHAN</v>
          </cell>
          <cell r="D5438">
            <v>0</v>
          </cell>
          <cell r="E5438">
            <v>0</v>
          </cell>
          <cell r="F5438">
            <v>0</v>
          </cell>
          <cell r="G5438">
            <v>0</v>
          </cell>
        </row>
        <row r="5439">
          <cell r="A5439" t="str">
            <v>55-01-39-0006</v>
          </cell>
          <cell r="B5439">
            <v>0</v>
          </cell>
          <cell r="C5439" t="str">
            <v xml:space="preserve">  MUHAMMAD USMAN</v>
          </cell>
          <cell r="D5439">
            <v>0</v>
          </cell>
          <cell r="E5439">
            <v>0</v>
          </cell>
          <cell r="F5439">
            <v>0</v>
          </cell>
          <cell r="G5439">
            <v>0</v>
          </cell>
        </row>
        <row r="5440">
          <cell r="A5440" t="str">
            <v>55-01-39-0007</v>
          </cell>
          <cell r="B5440">
            <v>0</v>
          </cell>
          <cell r="C5440" t="str">
            <v xml:space="preserve">  ANWAR KHAN.</v>
          </cell>
          <cell r="D5440">
            <v>0</v>
          </cell>
          <cell r="E5440">
            <v>0</v>
          </cell>
          <cell r="F5440">
            <v>0</v>
          </cell>
          <cell r="G5440">
            <v>0</v>
          </cell>
        </row>
        <row r="5441">
          <cell r="A5441" t="str">
            <v>55-01-39-0008</v>
          </cell>
          <cell r="B5441">
            <v>0</v>
          </cell>
          <cell r="C5441" t="str">
            <v xml:space="preserve">  SAJID MEHMOOD</v>
          </cell>
          <cell r="D5441">
            <v>0</v>
          </cell>
          <cell r="E5441">
            <v>0</v>
          </cell>
          <cell r="F5441">
            <v>0</v>
          </cell>
          <cell r="G5441">
            <v>0</v>
          </cell>
        </row>
        <row r="5442">
          <cell r="A5442" t="str">
            <v>55-01-39-0009</v>
          </cell>
          <cell r="B5442">
            <v>0</v>
          </cell>
          <cell r="C5442" t="str">
            <v xml:space="preserve">  SHEHBAZ KHAN</v>
          </cell>
          <cell r="D5442">
            <v>0</v>
          </cell>
          <cell r="E5442">
            <v>0</v>
          </cell>
          <cell r="F5442">
            <v>0</v>
          </cell>
          <cell r="G5442">
            <v>0</v>
          </cell>
        </row>
        <row r="5443">
          <cell r="A5443" t="str">
            <v>55-01-39-0010</v>
          </cell>
          <cell r="B5443">
            <v>0</v>
          </cell>
          <cell r="C5443" t="str">
            <v xml:space="preserve">  AMANAT ALI</v>
          </cell>
          <cell r="D5443">
            <v>0</v>
          </cell>
          <cell r="E5443">
            <v>0</v>
          </cell>
          <cell r="F5443">
            <v>0</v>
          </cell>
          <cell r="G5443">
            <v>0</v>
          </cell>
        </row>
        <row r="5444">
          <cell r="A5444" t="str">
            <v>55-01-39-0011</v>
          </cell>
          <cell r="B5444">
            <v>0</v>
          </cell>
          <cell r="C5444" t="str">
            <v xml:space="preserve">  TARIQ SHAH</v>
          </cell>
          <cell r="D5444">
            <v>0</v>
          </cell>
          <cell r="E5444">
            <v>0</v>
          </cell>
          <cell r="F5444">
            <v>0</v>
          </cell>
          <cell r="G5444">
            <v>0</v>
          </cell>
        </row>
        <row r="5445">
          <cell r="A5445" t="str">
            <v>55-01-39-0012</v>
          </cell>
          <cell r="B5445">
            <v>0</v>
          </cell>
          <cell r="C5445" t="str">
            <v xml:space="preserve">  SULTAN AHMED</v>
          </cell>
          <cell r="D5445">
            <v>0</v>
          </cell>
          <cell r="E5445">
            <v>0</v>
          </cell>
          <cell r="F5445">
            <v>0</v>
          </cell>
          <cell r="G5445">
            <v>0</v>
          </cell>
        </row>
        <row r="5446">
          <cell r="A5446" t="str">
            <v>55-01-39-0013</v>
          </cell>
          <cell r="B5446">
            <v>0</v>
          </cell>
          <cell r="C5446" t="str">
            <v xml:space="preserve">  SHAKIL AHMED</v>
          </cell>
          <cell r="D5446">
            <v>0</v>
          </cell>
          <cell r="E5446">
            <v>0</v>
          </cell>
          <cell r="F5446">
            <v>0</v>
          </cell>
          <cell r="G5446">
            <v>0</v>
          </cell>
        </row>
        <row r="5447">
          <cell r="A5447" t="str">
            <v>55-01-39-0014</v>
          </cell>
          <cell r="B5447">
            <v>0</v>
          </cell>
          <cell r="C5447" t="str">
            <v xml:space="preserve">  SHAH ALAM</v>
          </cell>
          <cell r="D5447">
            <v>0</v>
          </cell>
          <cell r="E5447">
            <v>0</v>
          </cell>
          <cell r="F5447">
            <v>0</v>
          </cell>
          <cell r="G5447">
            <v>0</v>
          </cell>
        </row>
        <row r="5448">
          <cell r="A5448" t="str">
            <v>55-01-39-0015</v>
          </cell>
          <cell r="B5448">
            <v>0</v>
          </cell>
          <cell r="C5448" t="str">
            <v xml:space="preserve">  GHULAM HUSSAIN</v>
          </cell>
          <cell r="D5448">
            <v>0</v>
          </cell>
          <cell r="E5448">
            <v>0</v>
          </cell>
          <cell r="F5448">
            <v>0</v>
          </cell>
          <cell r="G5448">
            <v>0</v>
          </cell>
        </row>
        <row r="5449">
          <cell r="A5449" t="str">
            <v>55-01-39-0016</v>
          </cell>
          <cell r="B5449">
            <v>0</v>
          </cell>
          <cell r="C5449" t="str">
            <v xml:space="preserve">  WASEEM GUL</v>
          </cell>
          <cell r="D5449">
            <v>0</v>
          </cell>
          <cell r="E5449">
            <v>0</v>
          </cell>
          <cell r="F5449">
            <v>0</v>
          </cell>
          <cell r="G5449">
            <v>0</v>
          </cell>
        </row>
        <row r="5450">
          <cell r="A5450" t="str">
            <v>55-01-39-0017</v>
          </cell>
          <cell r="B5450">
            <v>0</v>
          </cell>
          <cell r="C5450" t="str">
            <v xml:space="preserve">  ASHFAQ AHMED.</v>
          </cell>
          <cell r="D5450">
            <v>0</v>
          </cell>
          <cell r="E5450">
            <v>0</v>
          </cell>
          <cell r="F5450">
            <v>0</v>
          </cell>
          <cell r="G5450">
            <v>0</v>
          </cell>
        </row>
        <row r="5451">
          <cell r="A5451" t="str">
            <v>55-01-39-0018</v>
          </cell>
          <cell r="B5451">
            <v>0</v>
          </cell>
          <cell r="C5451" t="str">
            <v xml:space="preserve">  HAJI SHAIKH NOOR DIN AND SONS</v>
          </cell>
          <cell r="D5451">
            <v>0</v>
          </cell>
          <cell r="E5451">
            <v>0</v>
          </cell>
          <cell r="F5451">
            <v>0</v>
          </cell>
          <cell r="G5451">
            <v>0</v>
          </cell>
        </row>
        <row r="5452">
          <cell r="A5452" t="str">
            <v>55-01-39-0019</v>
          </cell>
          <cell r="B5452">
            <v>0</v>
          </cell>
          <cell r="C5452" t="str">
            <v xml:space="preserve">  NOVEL APPARELS</v>
          </cell>
          <cell r="D5452">
            <v>0</v>
          </cell>
          <cell r="E5452">
            <v>0</v>
          </cell>
          <cell r="F5452">
            <v>0</v>
          </cell>
          <cell r="G5452">
            <v>0</v>
          </cell>
        </row>
        <row r="5453">
          <cell r="A5453" t="str">
            <v>55-01-39-0020</v>
          </cell>
          <cell r="B5453">
            <v>0</v>
          </cell>
          <cell r="C5453" t="str">
            <v xml:space="preserve">  ELEGANZE (PVT) LIMITED</v>
          </cell>
          <cell r="D5453">
            <v>0</v>
          </cell>
          <cell r="E5453">
            <v>0</v>
          </cell>
          <cell r="F5453">
            <v>0</v>
          </cell>
          <cell r="G5453">
            <v>0</v>
          </cell>
        </row>
        <row r="5454">
          <cell r="A5454" t="str">
            <v>55-01-39-0021</v>
          </cell>
          <cell r="B5454">
            <v>0</v>
          </cell>
          <cell r="C5454" t="str">
            <v xml:space="preserve">  NOVAL APPARELS</v>
          </cell>
          <cell r="D5454">
            <v>0</v>
          </cell>
          <cell r="E5454">
            <v>0</v>
          </cell>
          <cell r="F5454">
            <v>0</v>
          </cell>
          <cell r="G5454">
            <v>0</v>
          </cell>
        </row>
        <row r="5455">
          <cell r="A5455" t="str">
            <v>55-01-39-0022</v>
          </cell>
          <cell r="B5455">
            <v>0</v>
          </cell>
          <cell r="C5455" t="str">
            <v xml:space="preserve">  NOVAL APPAREL</v>
          </cell>
          <cell r="D5455">
            <v>0</v>
          </cell>
          <cell r="E5455">
            <v>0</v>
          </cell>
          <cell r="F5455">
            <v>0</v>
          </cell>
          <cell r="G5455">
            <v>0</v>
          </cell>
        </row>
        <row r="5456">
          <cell r="A5456" t="str">
            <v>55-01-39-0023</v>
          </cell>
          <cell r="B5456">
            <v>0</v>
          </cell>
          <cell r="C5456" t="str">
            <v xml:space="preserve">  WAHAB TEXTILE</v>
          </cell>
          <cell r="D5456">
            <v>0</v>
          </cell>
          <cell r="E5456">
            <v>0</v>
          </cell>
          <cell r="F5456">
            <v>0</v>
          </cell>
          <cell r="G5456">
            <v>0</v>
          </cell>
        </row>
        <row r="5457">
          <cell r="A5457" t="str">
            <v>55-01-39-0024</v>
          </cell>
          <cell r="B5457">
            <v>0</v>
          </cell>
          <cell r="C5457" t="str">
            <v xml:space="preserve">  DECO GARS</v>
          </cell>
          <cell r="D5457">
            <v>0</v>
          </cell>
          <cell r="E5457">
            <v>0</v>
          </cell>
          <cell r="F5457">
            <v>0</v>
          </cell>
          <cell r="G5457">
            <v>0</v>
          </cell>
        </row>
        <row r="5458">
          <cell r="A5458" t="str">
            <v>55-01-39-0025</v>
          </cell>
          <cell r="B5458">
            <v>0</v>
          </cell>
          <cell r="C5458" t="str">
            <v xml:space="preserve">  ROOMI INTERNATIONAL</v>
          </cell>
          <cell r="D5458">
            <v>0</v>
          </cell>
          <cell r="E5458">
            <v>0</v>
          </cell>
          <cell r="F5458">
            <v>0</v>
          </cell>
          <cell r="G5458">
            <v>0</v>
          </cell>
        </row>
        <row r="5459">
          <cell r="A5459" t="str">
            <v>55-01-39-0026</v>
          </cell>
          <cell r="B5459">
            <v>0</v>
          </cell>
          <cell r="C5459" t="str">
            <v xml:space="preserve">  I.F.C. ENTERPRISES</v>
          </cell>
          <cell r="D5459">
            <v>0</v>
          </cell>
          <cell r="E5459">
            <v>0</v>
          </cell>
          <cell r="F5459">
            <v>0</v>
          </cell>
          <cell r="G5459">
            <v>0</v>
          </cell>
        </row>
        <row r="5460">
          <cell r="A5460" t="str">
            <v>55-01-39-0027</v>
          </cell>
          <cell r="B5460">
            <v>0</v>
          </cell>
          <cell r="C5460" t="str">
            <v xml:space="preserve">  AUGUST TEXTILE COMMUNION</v>
          </cell>
          <cell r="D5460">
            <v>0</v>
          </cell>
          <cell r="E5460">
            <v>0</v>
          </cell>
          <cell r="F5460">
            <v>0</v>
          </cell>
          <cell r="G5460">
            <v>0</v>
          </cell>
        </row>
        <row r="5461">
          <cell r="A5461" t="str">
            <v>55-01-39-0028</v>
          </cell>
          <cell r="B5461">
            <v>0</v>
          </cell>
          <cell r="C5461" t="str">
            <v xml:space="preserve">  PARVEEN FABRICS</v>
          </cell>
          <cell r="D5461">
            <v>0</v>
          </cell>
          <cell r="E5461">
            <v>0</v>
          </cell>
          <cell r="F5461">
            <v>0</v>
          </cell>
          <cell r="G5461">
            <v>0</v>
          </cell>
        </row>
        <row r="5462">
          <cell r="A5462" t="str">
            <v>55-01-40</v>
          </cell>
          <cell r="B5462">
            <v>0</v>
          </cell>
          <cell r="C5462" t="str">
            <v>***ARSHAD AMJAD</v>
          </cell>
          <cell r="D5462">
            <v>0</v>
          </cell>
          <cell r="E5462">
            <v>0</v>
          </cell>
          <cell r="F5462">
            <v>0</v>
          </cell>
          <cell r="G5462">
            <v>0</v>
          </cell>
        </row>
        <row r="5463">
          <cell r="A5463" t="str">
            <v>55-01-40-0001</v>
          </cell>
          <cell r="B5463">
            <v>0</v>
          </cell>
          <cell r="C5463" t="str">
            <v xml:space="preserve">  SHERPAK (PVT) LIMITED.</v>
          </cell>
          <cell r="D5463">
            <v>0</v>
          </cell>
          <cell r="E5463">
            <v>0</v>
          </cell>
          <cell r="F5463">
            <v>0</v>
          </cell>
          <cell r="G5463">
            <v>0</v>
          </cell>
        </row>
        <row r="5464">
          <cell r="A5464" t="str">
            <v>55-01-40-0002</v>
          </cell>
          <cell r="B5464">
            <v>0</v>
          </cell>
          <cell r="C5464" t="str">
            <v xml:space="preserve">  WEAVE AND KNIT (PVT) LTD.</v>
          </cell>
          <cell r="D5464">
            <v>0</v>
          </cell>
          <cell r="E5464">
            <v>0</v>
          </cell>
          <cell r="F5464">
            <v>0</v>
          </cell>
          <cell r="G5464">
            <v>0</v>
          </cell>
        </row>
        <row r="5465">
          <cell r="A5465" t="str">
            <v>55-01-40-0003</v>
          </cell>
          <cell r="B5465">
            <v>0</v>
          </cell>
          <cell r="C5465" t="str">
            <v xml:space="preserve">  WAJID ALI FAISALABAD</v>
          </cell>
          <cell r="D5465">
            <v>0</v>
          </cell>
          <cell r="E5465">
            <v>0</v>
          </cell>
          <cell r="F5465">
            <v>0</v>
          </cell>
          <cell r="G5465">
            <v>0</v>
          </cell>
        </row>
        <row r="5466">
          <cell r="A5466" t="str">
            <v>55-01-42</v>
          </cell>
          <cell r="B5466">
            <v>0</v>
          </cell>
          <cell r="C5466" t="str">
            <v>***SHAIKH AMIN.</v>
          </cell>
          <cell r="D5466">
            <v>0</v>
          </cell>
          <cell r="E5466">
            <v>0</v>
          </cell>
          <cell r="F5466">
            <v>0</v>
          </cell>
          <cell r="G5466">
            <v>0</v>
          </cell>
        </row>
        <row r="5467">
          <cell r="A5467" t="str">
            <v>55-01-42-0001</v>
          </cell>
          <cell r="B5467">
            <v>0</v>
          </cell>
          <cell r="C5467" t="str">
            <v xml:space="preserve">  SULTAN TRADING HOUSE</v>
          </cell>
          <cell r="D5467">
            <v>0</v>
          </cell>
          <cell r="E5467">
            <v>0</v>
          </cell>
          <cell r="F5467">
            <v>0</v>
          </cell>
          <cell r="G5467">
            <v>0</v>
          </cell>
        </row>
        <row r="5468">
          <cell r="A5468" t="str">
            <v>55-01-43</v>
          </cell>
          <cell r="B5468">
            <v>0</v>
          </cell>
          <cell r="C5468" t="str">
            <v>***ELASTA AMTEX INDUSTRIES (PVT) LIMITED</v>
          </cell>
          <cell r="D5468">
            <v>0</v>
          </cell>
          <cell r="E5468">
            <v>0</v>
          </cell>
          <cell r="F5468">
            <v>0</v>
          </cell>
          <cell r="G5468">
            <v>0</v>
          </cell>
        </row>
        <row r="5469">
          <cell r="A5469" t="str">
            <v>55-01-43-0001</v>
          </cell>
          <cell r="B5469">
            <v>0</v>
          </cell>
          <cell r="C5469" t="str">
            <v xml:space="preserve">  ELASTA AMTEX INDUSTRIES (PVT) LIMITED.</v>
          </cell>
          <cell r="D5469">
            <v>0</v>
          </cell>
          <cell r="E5469">
            <v>0</v>
          </cell>
          <cell r="F5469">
            <v>0</v>
          </cell>
          <cell r="G5469">
            <v>0</v>
          </cell>
        </row>
        <row r="5470">
          <cell r="A5470" t="str">
            <v>55-01-44</v>
          </cell>
          <cell r="B5470">
            <v>0</v>
          </cell>
          <cell r="C5470" t="str">
            <v>***AIMS APPARELS</v>
          </cell>
          <cell r="D5470">
            <v>0</v>
          </cell>
          <cell r="E5470">
            <v>0</v>
          </cell>
          <cell r="F5470">
            <v>0</v>
          </cell>
          <cell r="G5470">
            <v>0</v>
          </cell>
        </row>
        <row r="5471">
          <cell r="A5471" t="str">
            <v>55-01-44-0001</v>
          </cell>
          <cell r="B5471">
            <v>0</v>
          </cell>
          <cell r="C5471" t="str">
            <v xml:space="preserve">  AIMS APPARELS</v>
          </cell>
          <cell r="D5471">
            <v>0</v>
          </cell>
          <cell r="E5471">
            <v>0</v>
          </cell>
          <cell r="F5471">
            <v>0</v>
          </cell>
          <cell r="G5471">
            <v>0</v>
          </cell>
        </row>
        <row r="5472">
          <cell r="A5472" t="str">
            <v>55-01-46</v>
          </cell>
          <cell r="B5472">
            <v>0</v>
          </cell>
          <cell r="C5472" t="str">
            <v>***UNIVERSAL TEXTILE IMPEX</v>
          </cell>
          <cell r="D5472">
            <v>2156020</v>
          </cell>
          <cell r="E5472">
            <v>0</v>
          </cell>
          <cell r="F5472">
            <v>2156020</v>
          </cell>
          <cell r="G5472">
            <v>0</v>
          </cell>
        </row>
        <row r="5473">
          <cell r="A5473" t="str">
            <v>55-01-46-0001</v>
          </cell>
          <cell r="B5473">
            <v>0</v>
          </cell>
          <cell r="C5473" t="str">
            <v xml:space="preserve">  UNIVERSAL TEXTILE IMPEX</v>
          </cell>
          <cell r="D5473">
            <v>0</v>
          </cell>
          <cell r="E5473">
            <v>0</v>
          </cell>
          <cell r="F5473">
            <v>0</v>
          </cell>
          <cell r="G5473">
            <v>0</v>
          </cell>
        </row>
        <row r="5474">
          <cell r="A5474" t="str">
            <v>55-01-46-0002</v>
          </cell>
          <cell r="B5474">
            <v>0</v>
          </cell>
          <cell r="C5474" t="str">
            <v xml:space="preserve">  FEROZE TEXTILE INDUSTRIES</v>
          </cell>
          <cell r="D5474">
            <v>2156020</v>
          </cell>
          <cell r="E5474">
            <v>0</v>
          </cell>
          <cell r="F5474">
            <v>0</v>
          </cell>
          <cell r="G5474">
            <v>0</v>
          </cell>
        </row>
        <row r="5475">
          <cell r="A5475" t="str">
            <v>55-01-46-0003</v>
          </cell>
          <cell r="B5475">
            <v>0</v>
          </cell>
          <cell r="C5475" t="str">
            <v xml:space="preserve">  DILAWAR LUCKY TOWELS</v>
          </cell>
          <cell r="D5475">
            <v>0</v>
          </cell>
          <cell r="E5475">
            <v>0</v>
          </cell>
          <cell r="F5475">
            <v>0</v>
          </cell>
          <cell r="G5475">
            <v>0</v>
          </cell>
        </row>
        <row r="5476">
          <cell r="A5476" t="str">
            <v>55-01-46-0004</v>
          </cell>
          <cell r="B5476">
            <v>0</v>
          </cell>
          <cell r="C5476" t="str">
            <v xml:space="preserve">  FRIENDSHIP TEXTILE MILLS (PVT) LIMITED</v>
          </cell>
          <cell r="D5476">
            <v>0</v>
          </cell>
          <cell r="E5476">
            <v>0</v>
          </cell>
          <cell r="F5476">
            <v>0</v>
          </cell>
          <cell r="G5476">
            <v>0</v>
          </cell>
        </row>
        <row r="5477">
          <cell r="A5477" t="str">
            <v>55-01-46-0005</v>
          </cell>
          <cell r="B5477">
            <v>0</v>
          </cell>
          <cell r="C5477" t="str">
            <v xml:space="preserve">  FAISAL FABRICS</v>
          </cell>
          <cell r="D5477">
            <v>0</v>
          </cell>
          <cell r="E5477">
            <v>0</v>
          </cell>
          <cell r="F5477">
            <v>0</v>
          </cell>
          <cell r="G5477">
            <v>0</v>
          </cell>
        </row>
        <row r="5478">
          <cell r="A5478" t="str">
            <v>55-01-54</v>
          </cell>
          <cell r="B5478">
            <v>0</v>
          </cell>
          <cell r="C5478" t="str">
            <v>***MUHAMMED ISMAIL MUNDIA</v>
          </cell>
          <cell r="D5478">
            <v>0</v>
          </cell>
          <cell r="E5478">
            <v>0</v>
          </cell>
          <cell r="F5478">
            <v>0</v>
          </cell>
          <cell r="G5478">
            <v>0</v>
          </cell>
        </row>
        <row r="5479">
          <cell r="A5479" t="str">
            <v>55-01-54-0001</v>
          </cell>
          <cell r="B5479">
            <v>0</v>
          </cell>
          <cell r="C5479" t="str">
            <v xml:space="preserve">  SAJID HUSSAIN.</v>
          </cell>
          <cell r="D5479">
            <v>0</v>
          </cell>
          <cell r="E5479">
            <v>0</v>
          </cell>
          <cell r="F5479">
            <v>0</v>
          </cell>
          <cell r="G5479">
            <v>0</v>
          </cell>
        </row>
        <row r="5480">
          <cell r="A5480" t="str">
            <v>55-01-54-0002</v>
          </cell>
          <cell r="B5480">
            <v>0</v>
          </cell>
          <cell r="C5480" t="str">
            <v xml:space="preserve">  AMJAD ALI</v>
          </cell>
          <cell r="D5480">
            <v>0</v>
          </cell>
          <cell r="E5480">
            <v>0</v>
          </cell>
          <cell r="F5480">
            <v>0</v>
          </cell>
          <cell r="G5480">
            <v>0</v>
          </cell>
        </row>
        <row r="5481">
          <cell r="A5481" t="str">
            <v>55-01-54-0003</v>
          </cell>
          <cell r="B5481">
            <v>0</v>
          </cell>
          <cell r="C5481" t="str">
            <v xml:space="preserve">  NOOR MUHAMMED</v>
          </cell>
          <cell r="D5481">
            <v>0</v>
          </cell>
          <cell r="E5481">
            <v>0</v>
          </cell>
          <cell r="F5481">
            <v>0</v>
          </cell>
          <cell r="G5481">
            <v>0</v>
          </cell>
        </row>
        <row r="5482">
          <cell r="A5482" t="str">
            <v>55-01-54-0004</v>
          </cell>
          <cell r="B5482">
            <v>0</v>
          </cell>
          <cell r="C5482" t="str">
            <v xml:space="preserve">  ANWAR SHAH</v>
          </cell>
          <cell r="D5482">
            <v>0</v>
          </cell>
          <cell r="E5482">
            <v>0</v>
          </cell>
          <cell r="F5482">
            <v>0</v>
          </cell>
          <cell r="G5482">
            <v>0</v>
          </cell>
        </row>
        <row r="5483">
          <cell r="A5483" t="str">
            <v>55-01-54-0005</v>
          </cell>
          <cell r="B5483">
            <v>0</v>
          </cell>
          <cell r="C5483" t="str">
            <v xml:space="preserve">  SULTAN AHMED</v>
          </cell>
          <cell r="D5483">
            <v>0</v>
          </cell>
          <cell r="E5483">
            <v>0</v>
          </cell>
          <cell r="F5483">
            <v>0</v>
          </cell>
          <cell r="G5483">
            <v>0</v>
          </cell>
        </row>
        <row r="5484">
          <cell r="A5484" t="str">
            <v>55-01-54-0006</v>
          </cell>
          <cell r="B5484">
            <v>0</v>
          </cell>
          <cell r="C5484" t="str">
            <v xml:space="preserve">  ABDUL HAMEED</v>
          </cell>
          <cell r="D5484">
            <v>0</v>
          </cell>
          <cell r="E5484">
            <v>0</v>
          </cell>
          <cell r="F5484">
            <v>0</v>
          </cell>
          <cell r="G5484">
            <v>0</v>
          </cell>
        </row>
        <row r="5485">
          <cell r="A5485" t="str">
            <v>55-01-54-0007</v>
          </cell>
          <cell r="B5485">
            <v>0</v>
          </cell>
          <cell r="C5485" t="str">
            <v xml:space="preserve">  NASIR KHAN</v>
          </cell>
          <cell r="D5485">
            <v>0</v>
          </cell>
          <cell r="E5485">
            <v>0</v>
          </cell>
          <cell r="F5485">
            <v>0</v>
          </cell>
          <cell r="G5485">
            <v>0</v>
          </cell>
        </row>
        <row r="5486">
          <cell r="A5486" t="str">
            <v>55-01-54-0008</v>
          </cell>
          <cell r="B5486">
            <v>0</v>
          </cell>
          <cell r="C5486" t="str">
            <v xml:space="preserve">  RASHID ALI</v>
          </cell>
          <cell r="D5486">
            <v>0</v>
          </cell>
          <cell r="E5486">
            <v>0</v>
          </cell>
          <cell r="F5486">
            <v>0</v>
          </cell>
          <cell r="G5486">
            <v>0</v>
          </cell>
        </row>
        <row r="5487">
          <cell r="A5487" t="str">
            <v>55-01-54-0009</v>
          </cell>
          <cell r="B5487">
            <v>0</v>
          </cell>
          <cell r="C5487" t="str">
            <v xml:space="preserve">  MUHAMMAD HAFEEZ</v>
          </cell>
          <cell r="D5487">
            <v>0</v>
          </cell>
          <cell r="E5487">
            <v>0</v>
          </cell>
          <cell r="F5487">
            <v>0</v>
          </cell>
          <cell r="G5487">
            <v>0</v>
          </cell>
        </row>
        <row r="5488">
          <cell r="A5488" t="str">
            <v>55-01-54-0010</v>
          </cell>
          <cell r="B5488">
            <v>0</v>
          </cell>
          <cell r="C5488" t="str">
            <v xml:space="preserve">  NAEEM KHAN</v>
          </cell>
          <cell r="D5488">
            <v>0</v>
          </cell>
          <cell r="E5488">
            <v>0</v>
          </cell>
          <cell r="F5488">
            <v>0</v>
          </cell>
          <cell r="G5488">
            <v>0</v>
          </cell>
        </row>
        <row r="5489">
          <cell r="A5489" t="str">
            <v>55-01-54-0011</v>
          </cell>
          <cell r="B5489">
            <v>0</v>
          </cell>
          <cell r="C5489" t="str">
            <v xml:space="preserve">  IHSANULLAH</v>
          </cell>
          <cell r="D5489">
            <v>0</v>
          </cell>
          <cell r="E5489">
            <v>0</v>
          </cell>
          <cell r="F5489">
            <v>0</v>
          </cell>
          <cell r="G5489">
            <v>0</v>
          </cell>
        </row>
        <row r="5490">
          <cell r="A5490" t="str">
            <v>55-01-54-0012</v>
          </cell>
          <cell r="B5490">
            <v>0</v>
          </cell>
          <cell r="C5490" t="str">
            <v xml:space="preserve">  AKHTAR ALI</v>
          </cell>
          <cell r="D5490">
            <v>0</v>
          </cell>
          <cell r="E5490">
            <v>0</v>
          </cell>
          <cell r="F5490">
            <v>0</v>
          </cell>
          <cell r="G5490">
            <v>0</v>
          </cell>
        </row>
        <row r="5491">
          <cell r="A5491" t="str">
            <v>55-01-54-0013</v>
          </cell>
          <cell r="B5491">
            <v>0</v>
          </cell>
          <cell r="C5491" t="str">
            <v xml:space="preserve">  WAJID ALI</v>
          </cell>
          <cell r="D5491">
            <v>0</v>
          </cell>
          <cell r="E5491">
            <v>0</v>
          </cell>
          <cell r="F5491">
            <v>0</v>
          </cell>
          <cell r="G5491">
            <v>0</v>
          </cell>
        </row>
        <row r="5492">
          <cell r="A5492" t="str">
            <v>55-01-54-0014</v>
          </cell>
          <cell r="B5492">
            <v>0</v>
          </cell>
          <cell r="C5492" t="str">
            <v xml:space="preserve">  SADIQ HUSSAIN</v>
          </cell>
          <cell r="D5492">
            <v>0</v>
          </cell>
          <cell r="E5492">
            <v>0</v>
          </cell>
          <cell r="F5492">
            <v>0</v>
          </cell>
          <cell r="G5492">
            <v>0</v>
          </cell>
        </row>
        <row r="5493">
          <cell r="A5493" t="str">
            <v>55-01-54-0015</v>
          </cell>
          <cell r="B5493">
            <v>0</v>
          </cell>
          <cell r="C5493" t="str">
            <v xml:space="preserve">  ASIF MEHMOOD</v>
          </cell>
          <cell r="D5493">
            <v>0</v>
          </cell>
          <cell r="E5493">
            <v>0</v>
          </cell>
          <cell r="F5493">
            <v>0</v>
          </cell>
          <cell r="G5493">
            <v>0</v>
          </cell>
        </row>
        <row r="5494">
          <cell r="A5494" t="str">
            <v>55-01-54-0016</v>
          </cell>
          <cell r="B5494">
            <v>0</v>
          </cell>
          <cell r="C5494" t="str">
            <v xml:space="preserve">  NAVEED ALAM</v>
          </cell>
          <cell r="D5494">
            <v>0</v>
          </cell>
          <cell r="E5494">
            <v>0</v>
          </cell>
          <cell r="F5494">
            <v>0</v>
          </cell>
          <cell r="G5494">
            <v>0</v>
          </cell>
        </row>
        <row r="5495">
          <cell r="A5495" t="str">
            <v>55-01-54-0017</v>
          </cell>
          <cell r="B5495">
            <v>0</v>
          </cell>
          <cell r="C5495" t="str">
            <v xml:space="preserve">  QAISER KHAN</v>
          </cell>
          <cell r="D5495">
            <v>0</v>
          </cell>
          <cell r="E5495">
            <v>0</v>
          </cell>
          <cell r="F5495">
            <v>0</v>
          </cell>
          <cell r="G5495">
            <v>0</v>
          </cell>
        </row>
        <row r="5496">
          <cell r="A5496" t="str">
            <v>55-01-54-0018</v>
          </cell>
          <cell r="B5496">
            <v>0</v>
          </cell>
          <cell r="C5496" t="str">
            <v xml:space="preserve">  NOMAN ALI</v>
          </cell>
          <cell r="D5496">
            <v>0</v>
          </cell>
          <cell r="E5496">
            <v>0</v>
          </cell>
          <cell r="F5496">
            <v>0</v>
          </cell>
          <cell r="G5496">
            <v>0</v>
          </cell>
        </row>
        <row r="5497">
          <cell r="A5497" t="str">
            <v>55-01-54-0019</v>
          </cell>
          <cell r="B5497">
            <v>0</v>
          </cell>
          <cell r="C5497" t="str">
            <v xml:space="preserve">  JAMIL AHMED</v>
          </cell>
          <cell r="D5497">
            <v>0</v>
          </cell>
          <cell r="E5497">
            <v>0</v>
          </cell>
          <cell r="F5497">
            <v>0</v>
          </cell>
          <cell r="G5497">
            <v>0</v>
          </cell>
        </row>
        <row r="5498">
          <cell r="A5498" t="str">
            <v>55-01-54-0020</v>
          </cell>
          <cell r="B5498">
            <v>0</v>
          </cell>
          <cell r="C5498" t="str">
            <v xml:space="preserve">  SIKANDAR KHAN</v>
          </cell>
          <cell r="D5498">
            <v>0</v>
          </cell>
          <cell r="E5498">
            <v>0</v>
          </cell>
          <cell r="F5498">
            <v>0</v>
          </cell>
          <cell r="G5498">
            <v>0</v>
          </cell>
        </row>
        <row r="5499">
          <cell r="A5499" t="str">
            <v>55-01-54-0021</v>
          </cell>
          <cell r="B5499">
            <v>0</v>
          </cell>
          <cell r="C5499" t="str">
            <v xml:space="preserve">  MUHAMMED IMRAN</v>
          </cell>
          <cell r="D5499">
            <v>0</v>
          </cell>
          <cell r="E5499">
            <v>0</v>
          </cell>
          <cell r="F5499">
            <v>0</v>
          </cell>
          <cell r="G5499">
            <v>0</v>
          </cell>
        </row>
        <row r="5500">
          <cell r="A5500" t="str">
            <v>55-01-54-0022</v>
          </cell>
          <cell r="B5500">
            <v>0</v>
          </cell>
          <cell r="C5500" t="str">
            <v xml:space="preserve">  HAJI SHAIKH NOOR DIN &amp; SONS (PVT)LIMIT</v>
          </cell>
          <cell r="D5500">
            <v>0</v>
          </cell>
          <cell r="E5500">
            <v>0</v>
          </cell>
          <cell r="F5500">
            <v>0</v>
          </cell>
          <cell r="G5500">
            <v>0</v>
          </cell>
        </row>
        <row r="5501">
          <cell r="A5501" t="str">
            <v>55-01-54-0023</v>
          </cell>
          <cell r="B5501">
            <v>0</v>
          </cell>
          <cell r="C5501" t="str">
            <v xml:space="preserve">  SAJID MEHMOOD</v>
          </cell>
          <cell r="D5501">
            <v>0</v>
          </cell>
          <cell r="E5501">
            <v>0</v>
          </cell>
          <cell r="F5501">
            <v>0</v>
          </cell>
          <cell r="G5501">
            <v>0</v>
          </cell>
        </row>
        <row r="5502">
          <cell r="A5502" t="str">
            <v>55-01-54-0024</v>
          </cell>
          <cell r="B5502">
            <v>0</v>
          </cell>
          <cell r="C5502" t="str">
            <v xml:space="preserve">  AL-MUZILL COTTON</v>
          </cell>
          <cell r="D5502">
            <v>0</v>
          </cell>
          <cell r="E5502">
            <v>0</v>
          </cell>
          <cell r="F5502">
            <v>0</v>
          </cell>
          <cell r="G5502">
            <v>0</v>
          </cell>
        </row>
        <row r="5503">
          <cell r="A5503" t="str">
            <v>55-01-55</v>
          </cell>
          <cell r="B5503">
            <v>0</v>
          </cell>
          <cell r="C5503" t="str">
            <v>***VIGOR IMPEX</v>
          </cell>
          <cell r="D5503">
            <v>5147650</v>
          </cell>
          <cell r="E5503">
            <v>0</v>
          </cell>
          <cell r="F5503">
            <v>5147650</v>
          </cell>
          <cell r="G5503">
            <v>0</v>
          </cell>
        </row>
        <row r="5504">
          <cell r="A5504" t="str">
            <v>55-01-55-0001</v>
          </cell>
          <cell r="B5504">
            <v>0</v>
          </cell>
          <cell r="C5504" t="str">
            <v xml:space="preserve">  IDEAL INTERNATIONAL</v>
          </cell>
          <cell r="D5504">
            <v>5147650</v>
          </cell>
          <cell r="E5504">
            <v>0</v>
          </cell>
          <cell r="F5504">
            <v>0</v>
          </cell>
          <cell r="G5504">
            <v>0</v>
          </cell>
        </row>
        <row r="5505">
          <cell r="A5505" t="str">
            <v>55-01-57</v>
          </cell>
          <cell r="B5505">
            <v>0</v>
          </cell>
          <cell r="C5505" t="str">
            <v>***IMRAN AGAR</v>
          </cell>
          <cell r="D5505">
            <v>0</v>
          </cell>
          <cell r="E5505">
            <v>0</v>
          </cell>
          <cell r="F5505">
            <v>0</v>
          </cell>
          <cell r="G5505">
            <v>0</v>
          </cell>
        </row>
        <row r="5506">
          <cell r="A5506" t="str">
            <v>55-01-57-0001</v>
          </cell>
          <cell r="B5506">
            <v>0</v>
          </cell>
          <cell r="C5506" t="str">
            <v xml:space="preserve">  SONIJA ENTERPRISES</v>
          </cell>
          <cell r="D5506">
            <v>0</v>
          </cell>
          <cell r="E5506">
            <v>0</v>
          </cell>
          <cell r="F5506">
            <v>0</v>
          </cell>
          <cell r="G5506">
            <v>0</v>
          </cell>
        </row>
        <row r="5507">
          <cell r="A5507" t="str">
            <v>55-01-57-0002</v>
          </cell>
          <cell r="B5507">
            <v>0</v>
          </cell>
          <cell r="C5507" t="str">
            <v xml:space="preserve">  SIKANDAR KHAN</v>
          </cell>
          <cell r="D5507">
            <v>0</v>
          </cell>
          <cell r="E5507">
            <v>0</v>
          </cell>
          <cell r="F5507">
            <v>0</v>
          </cell>
          <cell r="G5507">
            <v>0</v>
          </cell>
        </row>
        <row r="5508">
          <cell r="A5508" t="str">
            <v>55-01-57-0003</v>
          </cell>
          <cell r="B5508">
            <v>0</v>
          </cell>
          <cell r="C5508" t="str">
            <v xml:space="preserve">  INTERNATIONAL EXPORT CORPORATION</v>
          </cell>
          <cell r="D5508">
            <v>0</v>
          </cell>
          <cell r="E5508">
            <v>0</v>
          </cell>
          <cell r="F5508">
            <v>0</v>
          </cell>
          <cell r="G5508">
            <v>0</v>
          </cell>
        </row>
        <row r="5509">
          <cell r="A5509" t="str">
            <v>55-01-57-0004</v>
          </cell>
          <cell r="B5509">
            <v>0</v>
          </cell>
          <cell r="C5509" t="str">
            <v xml:space="preserve">  SHAKIL AHMED</v>
          </cell>
          <cell r="D5509">
            <v>0</v>
          </cell>
          <cell r="E5509">
            <v>0</v>
          </cell>
          <cell r="F5509">
            <v>0</v>
          </cell>
          <cell r="G5509">
            <v>0</v>
          </cell>
        </row>
        <row r="5510">
          <cell r="A5510" t="str">
            <v>55-01-57-0005</v>
          </cell>
          <cell r="B5510">
            <v>0</v>
          </cell>
          <cell r="C5510" t="str">
            <v xml:space="preserve">  H.A.GHAFFAR &amp; CO.</v>
          </cell>
          <cell r="D5510">
            <v>0</v>
          </cell>
          <cell r="E5510">
            <v>0</v>
          </cell>
          <cell r="F5510">
            <v>0</v>
          </cell>
          <cell r="G5510">
            <v>0</v>
          </cell>
        </row>
        <row r="5511">
          <cell r="A5511" t="str">
            <v>55-01-57-0006</v>
          </cell>
          <cell r="B5511">
            <v>0</v>
          </cell>
          <cell r="C5511" t="str">
            <v xml:space="preserve">  SOMIA TEXTILE</v>
          </cell>
          <cell r="D5511">
            <v>0</v>
          </cell>
          <cell r="E5511">
            <v>0</v>
          </cell>
          <cell r="F5511">
            <v>0</v>
          </cell>
          <cell r="G5511">
            <v>0</v>
          </cell>
        </row>
        <row r="5512">
          <cell r="A5512" t="str">
            <v>55-01-57-0007</v>
          </cell>
          <cell r="B5512">
            <v>0</v>
          </cell>
          <cell r="C5512" t="str">
            <v xml:space="preserve">  KHAN ENTERPRISES</v>
          </cell>
          <cell r="D5512">
            <v>0</v>
          </cell>
          <cell r="E5512">
            <v>0</v>
          </cell>
          <cell r="F5512">
            <v>0</v>
          </cell>
          <cell r="G5512">
            <v>0</v>
          </cell>
        </row>
        <row r="5513">
          <cell r="A5513" t="str">
            <v>55-01-57-0008</v>
          </cell>
          <cell r="B5513">
            <v>0</v>
          </cell>
          <cell r="C5513" t="str">
            <v xml:space="preserve">  AUGUST TEXTILE COMMUNION</v>
          </cell>
          <cell r="D5513">
            <v>0</v>
          </cell>
          <cell r="E5513">
            <v>0</v>
          </cell>
          <cell r="F5513">
            <v>0</v>
          </cell>
          <cell r="G5513">
            <v>0</v>
          </cell>
        </row>
        <row r="5514">
          <cell r="A5514" t="str">
            <v>55-01-57-0009</v>
          </cell>
          <cell r="B5514">
            <v>0</v>
          </cell>
          <cell r="C5514" t="str">
            <v xml:space="preserve">  EXPORT TRADE CORPORATION</v>
          </cell>
          <cell r="D5514">
            <v>0</v>
          </cell>
          <cell r="E5514">
            <v>0</v>
          </cell>
          <cell r="F5514">
            <v>0</v>
          </cell>
          <cell r="G5514">
            <v>0</v>
          </cell>
        </row>
        <row r="5515">
          <cell r="A5515" t="str">
            <v>55-01-57-0010</v>
          </cell>
          <cell r="B5515">
            <v>0</v>
          </cell>
          <cell r="C5515" t="str">
            <v xml:space="preserve">  ADNAN TEXTILE</v>
          </cell>
          <cell r="D5515">
            <v>0</v>
          </cell>
          <cell r="E5515">
            <v>0</v>
          </cell>
          <cell r="F5515">
            <v>0</v>
          </cell>
          <cell r="G5515">
            <v>0</v>
          </cell>
        </row>
        <row r="5516">
          <cell r="A5516" t="str">
            <v>55-01-57-0011</v>
          </cell>
          <cell r="B5516">
            <v>0</v>
          </cell>
          <cell r="C5516" t="str">
            <v xml:space="preserve">  SHAIKH NOOR-UD-DIN &amp; SONS (PVT) LTD</v>
          </cell>
          <cell r="D5516">
            <v>0</v>
          </cell>
          <cell r="E5516">
            <v>0</v>
          </cell>
          <cell r="F5516">
            <v>0</v>
          </cell>
          <cell r="G5516">
            <v>0</v>
          </cell>
        </row>
        <row r="5517">
          <cell r="A5517" t="str">
            <v>55-01-60</v>
          </cell>
          <cell r="B5517">
            <v>0</v>
          </cell>
          <cell r="C5517" t="str">
            <v>***IQBAL GOGAN</v>
          </cell>
          <cell r="D5517">
            <v>0</v>
          </cell>
          <cell r="E5517">
            <v>0</v>
          </cell>
          <cell r="F5517">
            <v>0</v>
          </cell>
          <cell r="G5517">
            <v>0</v>
          </cell>
        </row>
        <row r="5518">
          <cell r="A5518" t="str">
            <v>55-01-60-0001</v>
          </cell>
          <cell r="B5518">
            <v>0</v>
          </cell>
          <cell r="C5518" t="str">
            <v xml:space="preserve">  ARIF KHAN.</v>
          </cell>
          <cell r="D5518">
            <v>0</v>
          </cell>
          <cell r="E5518">
            <v>0</v>
          </cell>
          <cell r="F5518">
            <v>0</v>
          </cell>
          <cell r="G5518">
            <v>0</v>
          </cell>
        </row>
        <row r="5519">
          <cell r="A5519" t="str">
            <v>55-01-63</v>
          </cell>
          <cell r="B5519">
            <v>0</v>
          </cell>
          <cell r="C5519" t="str">
            <v>***DALAL INDUSTRIES  (PVT) LTD.</v>
          </cell>
          <cell r="D5519">
            <v>448125</v>
          </cell>
          <cell r="E5519">
            <v>0</v>
          </cell>
          <cell r="F5519">
            <v>448125</v>
          </cell>
          <cell r="G5519">
            <v>0</v>
          </cell>
        </row>
        <row r="5520">
          <cell r="A5520" t="str">
            <v>55-01-63-0001</v>
          </cell>
          <cell r="B5520">
            <v>0</v>
          </cell>
          <cell r="C5520" t="str">
            <v xml:space="preserve">  DALAL INDUSTRIES  (PVT) LTD.</v>
          </cell>
          <cell r="D5520">
            <v>448125</v>
          </cell>
          <cell r="E5520">
            <v>0</v>
          </cell>
          <cell r="F5520">
            <v>0</v>
          </cell>
          <cell r="G5520">
            <v>0</v>
          </cell>
        </row>
        <row r="5521">
          <cell r="A5521" t="str">
            <v>55-01-63-0002</v>
          </cell>
          <cell r="B5521">
            <v>0</v>
          </cell>
          <cell r="C5521" t="str">
            <v xml:space="preserve">  SYNCOTEX AGENCIES</v>
          </cell>
          <cell r="D5521">
            <v>0</v>
          </cell>
          <cell r="E5521">
            <v>0</v>
          </cell>
          <cell r="F5521">
            <v>0</v>
          </cell>
          <cell r="G5521">
            <v>0</v>
          </cell>
        </row>
        <row r="5522">
          <cell r="A5522" t="str">
            <v>55-01-66</v>
          </cell>
          <cell r="B5522">
            <v>0</v>
          </cell>
          <cell r="C5522" t="str">
            <v>***MUHAMMAD IRFAN MUHAMMAD SIDDIQUE</v>
          </cell>
          <cell r="D5522">
            <v>0</v>
          </cell>
          <cell r="E5522">
            <v>140850</v>
          </cell>
          <cell r="F5522">
            <v>0</v>
          </cell>
          <cell r="G5522">
            <v>140850</v>
          </cell>
        </row>
        <row r="5523">
          <cell r="A5523" t="str">
            <v>55-01-66-0001</v>
          </cell>
          <cell r="B5523">
            <v>140850</v>
          </cell>
          <cell r="C5523" t="str">
            <v xml:space="preserve">  MUHAMMAD AFZAL</v>
          </cell>
          <cell r="D5523">
            <v>0</v>
          </cell>
          <cell r="E5523">
            <v>140850</v>
          </cell>
          <cell r="F5523">
            <v>0</v>
          </cell>
          <cell r="G5523">
            <v>0</v>
          </cell>
        </row>
        <row r="5524">
          <cell r="A5524" t="str">
            <v>55-01-66-0002</v>
          </cell>
          <cell r="B5524">
            <v>0</v>
          </cell>
          <cell r="C5524" t="str">
            <v xml:space="preserve">  SAJID MEHMOOD</v>
          </cell>
          <cell r="D5524">
            <v>0</v>
          </cell>
          <cell r="E5524">
            <v>0</v>
          </cell>
          <cell r="F5524">
            <v>0</v>
          </cell>
          <cell r="G5524">
            <v>0</v>
          </cell>
        </row>
        <row r="5525">
          <cell r="A5525" t="str">
            <v>55-01-67</v>
          </cell>
          <cell r="B5525">
            <v>0</v>
          </cell>
          <cell r="C5525" t="str">
            <v>***AMJAD AZIZ</v>
          </cell>
          <cell r="D5525">
            <v>0</v>
          </cell>
          <cell r="E5525">
            <v>0</v>
          </cell>
          <cell r="F5525">
            <v>0</v>
          </cell>
          <cell r="G5525">
            <v>0</v>
          </cell>
        </row>
        <row r="5526">
          <cell r="A5526" t="str">
            <v>55-01-67-0001</v>
          </cell>
          <cell r="B5526">
            <v>0</v>
          </cell>
          <cell r="C5526" t="str">
            <v xml:space="preserve">  WEAVE AND KNITS (PVT) LTD</v>
          </cell>
          <cell r="D5526">
            <v>0</v>
          </cell>
          <cell r="E5526">
            <v>0</v>
          </cell>
          <cell r="F5526">
            <v>0</v>
          </cell>
          <cell r="G5526">
            <v>0</v>
          </cell>
        </row>
        <row r="5527">
          <cell r="A5527" t="str">
            <v>55-01-69</v>
          </cell>
          <cell r="B5527">
            <v>0</v>
          </cell>
          <cell r="C5527" t="str">
            <v>***STAR TEXTILE MILLS LTD.</v>
          </cell>
          <cell r="D5527">
            <v>0</v>
          </cell>
          <cell r="E5527">
            <v>0</v>
          </cell>
          <cell r="F5527">
            <v>0</v>
          </cell>
          <cell r="G5527">
            <v>0</v>
          </cell>
        </row>
        <row r="5528">
          <cell r="A5528" t="str">
            <v>55-01-69-0001</v>
          </cell>
          <cell r="B5528">
            <v>0</v>
          </cell>
          <cell r="C5528" t="str">
            <v xml:space="preserve">  STAR TEXTILE MILLS LTD.</v>
          </cell>
          <cell r="D5528">
            <v>0</v>
          </cell>
          <cell r="E5528">
            <v>0</v>
          </cell>
          <cell r="F5528">
            <v>0</v>
          </cell>
          <cell r="G5528">
            <v>0</v>
          </cell>
        </row>
        <row r="5529">
          <cell r="A5529" t="str">
            <v>55-01-70</v>
          </cell>
          <cell r="B5529">
            <v>0</v>
          </cell>
          <cell r="C5529" t="str">
            <v>***NAVEED YOUSAF</v>
          </cell>
          <cell r="D5529">
            <v>0</v>
          </cell>
          <cell r="E5529">
            <v>0</v>
          </cell>
          <cell r="F5529">
            <v>0</v>
          </cell>
          <cell r="G5529">
            <v>0</v>
          </cell>
        </row>
        <row r="5530">
          <cell r="A5530" t="str">
            <v>55-01-70-0001</v>
          </cell>
          <cell r="B5530">
            <v>0</v>
          </cell>
          <cell r="C5530" t="str">
            <v xml:space="preserve">  SHER ALAM SITE KARACHI.</v>
          </cell>
          <cell r="D5530">
            <v>0</v>
          </cell>
          <cell r="E5530">
            <v>0</v>
          </cell>
          <cell r="F5530">
            <v>0</v>
          </cell>
          <cell r="G5530">
            <v>0</v>
          </cell>
        </row>
        <row r="5531">
          <cell r="A5531" t="str">
            <v>55-01-70-0002</v>
          </cell>
          <cell r="B5531">
            <v>0</v>
          </cell>
          <cell r="C5531" t="str">
            <v xml:space="preserve">  MUHAMMAD IQBAL</v>
          </cell>
          <cell r="D5531">
            <v>0</v>
          </cell>
          <cell r="E5531">
            <v>0</v>
          </cell>
          <cell r="F5531">
            <v>0</v>
          </cell>
          <cell r="G5531">
            <v>0</v>
          </cell>
        </row>
        <row r="5532">
          <cell r="A5532" t="str">
            <v>55-01-70-0003</v>
          </cell>
          <cell r="B5532">
            <v>0</v>
          </cell>
          <cell r="C5532" t="str">
            <v xml:space="preserve">  SAJID ALI  FAISALABAD</v>
          </cell>
          <cell r="D5532">
            <v>0</v>
          </cell>
          <cell r="E5532">
            <v>0</v>
          </cell>
          <cell r="F5532">
            <v>0</v>
          </cell>
          <cell r="G5532">
            <v>0</v>
          </cell>
        </row>
        <row r="5533">
          <cell r="A5533" t="str">
            <v>55-01-70-0004</v>
          </cell>
          <cell r="B5533">
            <v>0</v>
          </cell>
          <cell r="C5533" t="str">
            <v xml:space="preserve">  SAJID MEHMOOD FAISALABAD</v>
          </cell>
          <cell r="D5533">
            <v>0</v>
          </cell>
          <cell r="E5533">
            <v>0</v>
          </cell>
          <cell r="F5533">
            <v>0</v>
          </cell>
          <cell r="G5533">
            <v>0</v>
          </cell>
        </row>
        <row r="5534">
          <cell r="A5534" t="str">
            <v>55-01-72</v>
          </cell>
          <cell r="B5534">
            <v>0</v>
          </cell>
          <cell r="C5534" t="str">
            <v>***RAFIQ AYOOB</v>
          </cell>
          <cell r="D5534">
            <v>0</v>
          </cell>
          <cell r="E5534">
            <v>0</v>
          </cell>
          <cell r="F5534">
            <v>0</v>
          </cell>
          <cell r="G5534">
            <v>0</v>
          </cell>
        </row>
        <row r="5535">
          <cell r="A5535" t="str">
            <v>55-01-72-0001</v>
          </cell>
          <cell r="B5535">
            <v>0</v>
          </cell>
          <cell r="C5535" t="str">
            <v xml:space="preserve">  SILVER TEXTILE FACTORY (RAFIQ AYOOB)</v>
          </cell>
          <cell r="D5535">
            <v>0</v>
          </cell>
          <cell r="E5535">
            <v>0</v>
          </cell>
          <cell r="F5535">
            <v>0</v>
          </cell>
          <cell r="G5535">
            <v>0</v>
          </cell>
        </row>
        <row r="5536">
          <cell r="A5536" t="str">
            <v>55-01-72-0002</v>
          </cell>
          <cell r="B5536">
            <v>0</v>
          </cell>
          <cell r="C5536" t="str">
            <v xml:space="preserve">  SARA CORPORATION</v>
          </cell>
          <cell r="D5536">
            <v>0</v>
          </cell>
          <cell r="E5536">
            <v>0</v>
          </cell>
          <cell r="F5536">
            <v>0</v>
          </cell>
          <cell r="G5536">
            <v>0</v>
          </cell>
        </row>
        <row r="5537">
          <cell r="A5537" t="str">
            <v>55-01-72-0003</v>
          </cell>
          <cell r="B5537">
            <v>0</v>
          </cell>
          <cell r="C5537" t="str">
            <v xml:space="preserve">  H.O.TOWEL</v>
          </cell>
          <cell r="D5537">
            <v>0</v>
          </cell>
          <cell r="E5537">
            <v>0</v>
          </cell>
          <cell r="F5537">
            <v>0</v>
          </cell>
          <cell r="G5537">
            <v>0</v>
          </cell>
        </row>
        <row r="5538">
          <cell r="A5538" t="str">
            <v>55-01-72-0004</v>
          </cell>
          <cell r="B5538">
            <v>0</v>
          </cell>
          <cell r="C5538" t="str">
            <v xml:space="preserve">  DE ONE TEXTILE</v>
          </cell>
          <cell r="D5538">
            <v>0</v>
          </cell>
          <cell r="E5538">
            <v>0</v>
          </cell>
          <cell r="F5538">
            <v>0</v>
          </cell>
          <cell r="G5538">
            <v>0</v>
          </cell>
        </row>
        <row r="5539">
          <cell r="A5539" t="str">
            <v>55-01-72-0005</v>
          </cell>
          <cell r="B5539">
            <v>0</v>
          </cell>
          <cell r="C5539" t="str">
            <v xml:space="preserve">  JILANI TEXTILE CORPORATION</v>
          </cell>
          <cell r="D5539">
            <v>0</v>
          </cell>
          <cell r="E5539">
            <v>0</v>
          </cell>
          <cell r="F5539">
            <v>0</v>
          </cell>
          <cell r="G5539">
            <v>0</v>
          </cell>
        </row>
        <row r="5540">
          <cell r="A5540" t="str">
            <v>55-01-72-0006</v>
          </cell>
          <cell r="B5540">
            <v>0</v>
          </cell>
          <cell r="C5540" t="str">
            <v xml:space="preserve">  SAJID MEHMOOD</v>
          </cell>
          <cell r="D5540">
            <v>0</v>
          </cell>
          <cell r="E5540">
            <v>0</v>
          </cell>
          <cell r="F5540">
            <v>0</v>
          </cell>
          <cell r="G5540">
            <v>0</v>
          </cell>
        </row>
        <row r="5541">
          <cell r="A5541" t="str">
            <v>55-01-72-0007</v>
          </cell>
          <cell r="B5541">
            <v>0</v>
          </cell>
          <cell r="C5541" t="str">
            <v xml:space="preserve">  MUHAMMAD RAFIQ</v>
          </cell>
          <cell r="D5541">
            <v>0</v>
          </cell>
          <cell r="E5541">
            <v>0</v>
          </cell>
          <cell r="F5541">
            <v>0</v>
          </cell>
          <cell r="G5541">
            <v>0</v>
          </cell>
        </row>
        <row r="5542">
          <cell r="A5542" t="str">
            <v>55-01-72-0008</v>
          </cell>
          <cell r="B5542">
            <v>0</v>
          </cell>
          <cell r="C5542" t="str">
            <v xml:space="preserve">  METROPOLITAN TRADERS</v>
          </cell>
          <cell r="D5542">
            <v>0</v>
          </cell>
          <cell r="E5542">
            <v>0</v>
          </cell>
          <cell r="F5542">
            <v>0</v>
          </cell>
          <cell r="G5542">
            <v>0</v>
          </cell>
        </row>
        <row r="5543">
          <cell r="A5543" t="str">
            <v>55-01-78</v>
          </cell>
          <cell r="B5543">
            <v>0</v>
          </cell>
          <cell r="C5543" t="str">
            <v>***HAROON NAGARIA</v>
          </cell>
          <cell r="D5543">
            <v>0</v>
          </cell>
          <cell r="E5543">
            <v>0</v>
          </cell>
          <cell r="F5543">
            <v>0</v>
          </cell>
          <cell r="G5543">
            <v>0</v>
          </cell>
        </row>
        <row r="5544">
          <cell r="A5544" t="str">
            <v>55-01-78-0001</v>
          </cell>
          <cell r="B5544">
            <v>0</v>
          </cell>
          <cell r="C5544" t="str">
            <v xml:space="preserve">  ESQUIRE GARMENTS</v>
          </cell>
          <cell r="D5544">
            <v>0</v>
          </cell>
          <cell r="E5544">
            <v>0</v>
          </cell>
          <cell r="F5544">
            <v>0</v>
          </cell>
          <cell r="G5544">
            <v>0</v>
          </cell>
        </row>
        <row r="5545">
          <cell r="A5545" t="str">
            <v>55-01-78-0002</v>
          </cell>
          <cell r="B5545">
            <v>0</v>
          </cell>
          <cell r="C5545" t="str">
            <v xml:space="preserve">  PEARL FABRICS COMPANY</v>
          </cell>
          <cell r="D5545">
            <v>0</v>
          </cell>
          <cell r="E5545">
            <v>0</v>
          </cell>
          <cell r="F5545">
            <v>0</v>
          </cell>
          <cell r="G5545">
            <v>0</v>
          </cell>
        </row>
        <row r="5546">
          <cell r="A5546" t="str">
            <v>55-01-78-0003</v>
          </cell>
          <cell r="B5546">
            <v>0</v>
          </cell>
          <cell r="C5546" t="str">
            <v xml:space="preserve">  AFROZ TEXTILE INDUSTRIES (PVT) LTD.</v>
          </cell>
          <cell r="D5546">
            <v>0</v>
          </cell>
          <cell r="E5546">
            <v>0</v>
          </cell>
          <cell r="F5546">
            <v>0</v>
          </cell>
          <cell r="G5546">
            <v>0</v>
          </cell>
        </row>
        <row r="5547">
          <cell r="A5547" t="str">
            <v>55-01-78-0004</v>
          </cell>
          <cell r="B5547">
            <v>0</v>
          </cell>
          <cell r="C5547" t="str">
            <v xml:space="preserve">  SAYA WEAVING MILLS PVT LTD.</v>
          </cell>
          <cell r="D5547">
            <v>0</v>
          </cell>
          <cell r="E5547">
            <v>0</v>
          </cell>
          <cell r="F5547">
            <v>0</v>
          </cell>
          <cell r="G5547">
            <v>0</v>
          </cell>
        </row>
        <row r="5548">
          <cell r="A5548" t="str">
            <v>55-01-78-0005</v>
          </cell>
          <cell r="B5548">
            <v>0</v>
          </cell>
          <cell r="C5548" t="str">
            <v xml:space="preserve">  SHAHI TEXTILE</v>
          </cell>
          <cell r="D5548">
            <v>0</v>
          </cell>
          <cell r="E5548">
            <v>0</v>
          </cell>
          <cell r="F5548">
            <v>0</v>
          </cell>
          <cell r="G5548">
            <v>0</v>
          </cell>
        </row>
        <row r="5549">
          <cell r="A5549" t="str">
            <v>55-01-78-0006</v>
          </cell>
          <cell r="B5549">
            <v>0</v>
          </cell>
          <cell r="C5549" t="str">
            <v xml:space="preserve">  AL-HARAM TRADERS</v>
          </cell>
          <cell r="D5549">
            <v>0</v>
          </cell>
          <cell r="E5549">
            <v>0</v>
          </cell>
          <cell r="F5549">
            <v>0</v>
          </cell>
          <cell r="G5549">
            <v>0</v>
          </cell>
        </row>
        <row r="5550">
          <cell r="A5550" t="str">
            <v>55-01-78-0007</v>
          </cell>
          <cell r="B5550">
            <v>0</v>
          </cell>
          <cell r="C5550" t="str">
            <v xml:space="preserve">  SILVER TEXTILE</v>
          </cell>
          <cell r="D5550">
            <v>0</v>
          </cell>
          <cell r="E5550">
            <v>0</v>
          </cell>
          <cell r="F5550">
            <v>0</v>
          </cell>
          <cell r="G5550">
            <v>0</v>
          </cell>
        </row>
        <row r="5551">
          <cell r="A5551" t="str">
            <v>55-01-78-0008</v>
          </cell>
          <cell r="B5551">
            <v>0</v>
          </cell>
          <cell r="C5551" t="str">
            <v xml:space="preserve">  MILLINIUM TEXTILE</v>
          </cell>
          <cell r="D5551">
            <v>0</v>
          </cell>
          <cell r="E5551">
            <v>0</v>
          </cell>
          <cell r="F5551">
            <v>0</v>
          </cell>
          <cell r="G5551">
            <v>0</v>
          </cell>
        </row>
        <row r="5552">
          <cell r="A5552" t="str">
            <v>55-01-78-0009</v>
          </cell>
          <cell r="B5552">
            <v>0</v>
          </cell>
          <cell r="C5552" t="str">
            <v xml:space="preserve">  HAROON NAGARIA</v>
          </cell>
          <cell r="D5552">
            <v>0</v>
          </cell>
          <cell r="E5552">
            <v>0</v>
          </cell>
          <cell r="F5552">
            <v>0</v>
          </cell>
          <cell r="G5552">
            <v>0</v>
          </cell>
        </row>
        <row r="5553">
          <cell r="A5553" t="str">
            <v>55-01-79</v>
          </cell>
          <cell r="B5553">
            <v>0</v>
          </cell>
          <cell r="C5553" t="str">
            <v>***ABDUL WAHID OOMER &amp; CO.</v>
          </cell>
          <cell r="D5553">
            <v>0</v>
          </cell>
          <cell r="E5553">
            <v>0</v>
          </cell>
          <cell r="F5553">
            <v>0</v>
          </cell>
          <cell r="G5553">
            <v>0</v>
          </cell>
        </row>
        <row r="5554">
          <cell r="A5554" t="str">
            <v>55-01-79-0001</v>
          </cell>
          <cell r="B5554">
            <v>0</v>
          </cell>
          <cell r="C5554" t="str">
            <v xml:space="preserve">  ABDUL WAHID OOMER &amp; CO.</v>
          </cell>
          <cell r="D5554">
            <v>0</v>
          </cell>
          <cell r="E5554">
            <v>0</v>
          </cell>
          <cell r="F5554">
            <v>0</v>
          </cell>
          <cell r="G5554">
            <v>0</v>
          </cell>
        </row>
        <row r="5555">
          <cell r="A5555" t="str">
            <v>55-01-80</v>
          </cell>
          <cell r="B5555">
            <v>0</v>
          </cell>
          <cell r="C5555" t="str">
            <v>***PREMIUM KNITS</v>
          </cell>
          <cell r="D5555">
            <v>0</v>
          </cell>
          <cell r="E5555">
            <v>0</v>
          </cell>
          <cell r="F5555">
            <v>0</v>
          </cell>
          <cell r="G5555">
            <v>0</v>
          </cell>
        </row>
        <row r="5556">
          <cell r="A5556" t="str">
            <v>55-01-80-0001</v>
          </cell>
          <cell r="B5556">
            <v>0</v>
          </cell>
          <cell r="C5556" t="str">
            <v xml:space="preserve">  PREMIUM KNITS</v>
          </cell>
          <cell r="D5556">
            <v>0</v>
          </cell>
          <cell r="E5556">
            <v>0</v>
          </cell>
          <cell r="F5556">
            <v>0</v>
          </cell>
          <cell r="G5556">
            <v>0</v>
          </cell>
        </row>
        <row r="5557">
          <cell r="A5557" t="str">
            <v>55-01-81</v>
          </cell>
          <cell r="B5557">
            <v>0</v>
          </cell>
          <cell r="C5557" t="str">
            <v>***UNI PAK</v>
          </cell>
          <cell r="D5557">
            <v>4127021</v>
          </cell>
          <cell r="E5557">
            <v>0</v>
          </cell>
          <cell r="F5557">
            <v>4127021</v>
          </cell>
          <cell r="G5557">
            <v>0</v>
          </cell>
        </row>
        <row r="5558">
          <cell r="A5558" t="str">
            <v>55-01-81-0001</v>
          </cell>
          <cell r="B5558">
            <v>0</v>
          </cell>
          <cell r="C5558" t="str">
            <v xml:space="preserve">  UNI PAK</v>
          </cell>
          <cell r="D5558">
            <v>0</v>
          </cell>
          <cell r="E5558">
            <v>0</v>
          </cell>
          <cell r="F5558">
            <v>0</v>
          </cell>
          <cell r="G5558">
            <v>0</v>
          </cell>
        </row>
        <row r="5559">
          <cell r="A5559" t="str">
            <v>55-01-81-0002</v>
          </cell>
          <cell r="B5559">
            <v>0</v>
          </cell>
          <cell r="C5559" t="str">
            <v xml:space="preserve">  FAITH INTERNATIONAL</v>
          </cell>
          <cell r="D5559">
            <v>4127021</v>
          </cell>
          <cell r="E5559">
            <v>0</v>
          </cell>
          <cell r="F5559">
            <v>0</v>
          </cell>
          <cell r="G5559">
            <v>0</v>
          </cell>
        </row>
        <row r="5560">
          <cell r="A5560" t="str">
            <v>55-01-81-0003</v>
          </cell>
          <cell r="B5560">
            <v>0</v>
          </cell>
          <cell r="C5560" t="str">
            <v xml:space="preserve">  FAISAL SPINNING MILLS LIMITED</v>
          </cell>
          <cell r="D5560">
            <v>0</v>
          </cell>
          <cell r="E5560">
            <v>0</v>
          </cell>
          <cell r="F5560">
            <v>0</v>
          </cell>
          <cell r="G5560">
            <v>0</v>
          </cell>
        </row>
        <row r="5561">
          <cell r="A5561" t="str">
            <v>55-01-81-0004</v>
          </cell>
          <cell r="B5561">
            <v>0</v>
          </cell>
          <cell r="C5561" t="str">
            <v xml:space="preserve">  TWO BROTHERS</v>
          </cell>
          <cell r="D5561">
            <v>0</v>
          </cell>
          <cell r="E5561">
            <v>0</v>
          </cell>
          <cell r="F5561">
            <v>0</v>
          </cell>
          <cell r="G5561">
            <v>0</v>
          </cell>
        </row>
        <row r="5562">
          <cell r="A5562" t="str">
            <v>55-01-82</v>
          </cell>
          <cell r="B5562">
            <v>0</v>
          </cell>
          <cell r="C5562" t="str">
            <v>***MISC DEBTOR (KARACHI PARTIES)</v>
          </cell>
          <cell r="D5562">
            <v>0</v>
          </cell>
          <cell r="E5562">
            <v>0</v>
          </cell>
          <cell r="F5562">
            <v>0</v>
          </cell>
          <cell r="G5562">
            <v>0</v>
          </cell>
        </row>
        <row r="5563">
          <cell r="A5563" t="str">
            <v>55-01-82-0001</v>
          </cell>
          <cell r="B5563">
            <v>0</v>
          </cell>
          <cell r="C5563" t="str">
            <v xml:space="preserve">  MEHRAN ENTERPRISES</v>
          </cell>
          <cell r="D5563">
            <v>0</v>
          </cell>
          <cell r="E5563">
            <v>0</v>
          </cell>
          <cell r="F5563">
            <v>0</v>
          </cell>
          <cell r="G5563">
            <v>0</v>
          </cell>
        </row>
        <row r="5564">
          <cell r="A5564" t="str">
            <v>55-01-89</v>
          </cell>
          <cell r="B5564">
            <v>0</v>
          </cell>
          <cell r="C5564" t="str">
            <v>***TAHIR/SALIM MOTON</v>
          </cell>
          <cell r="D5564">
            <v>0</v>
          </cell>
          <cell r="E5564">
            <v>0</v>
          </cell>
          <cell r="F5564">
            <v>0</v>
          </cell>
          <cell r="G5564">
            <v>0</v>
          </cell>
        </row>
        <row r="5565">
          <cell r="A5565" t="str">
            <v>55-01-89-0001</v>
          </cell>
          <cell r="B5565">
            <v>0</v>
          </cell>
          <cell r="C5565" t="str">
            <v xml:space="preserve">  S.T. AGENCIES</v>
          </cell>
          <cell r="D5565">
            <v>0</v>
          </cell>
          <cell r="E5565">
            <v>0</v>
          </cell>
          <cell r="F5565">
            <v>0</v>
          </cell>
          <cell r="G5565">
            <v>0</v>
          </cell>
        </row>
        <row r="5566">
          <cell r="A5566" t="str">
            <v>55-01-90</v>
          </cell>
          <cell r="B5566">
            <v>0</v>
          </cell>
          <cell r="C5566" t="str">
            <v>***MISC DEBTOR (KARACHI PARTY)</v>
          </cell>
          <cell r="D5566">
            <v>0</v>
          </cell>
          <cell r="E5566">
            <v>0</v>
          </cell>
          <cell r="F5566">
            <v>0</v>
          </cell>
          <cell r="G5566">
            <v>0</v>
          </cell>
        </row>
        <row r="5567">
          <cell r="A5567" t="str">
            <v>55-01-90-0001</v>
          </cell>
          <cell r="B5567">
            <v>0</v>
          </cell>
          <cell r="C5567" t="str">
            <v xml:space="preserve">  SHER ALAM</v>
          </cell>
          <cell r="D5567">
            <v>0</v>
          </cell>
          <cell r="E5567">
            <v>0</v>
          </cell>
          <cell r="F5567">
            <v>0</v>
          </cell>
          <cell r="G5567">
            <v>0</v>
          </cell>
        </row>
        <row r="5568">
          <cell r="A5568" t="str">
            <v>55-01-90-0002</v>
          </cell>
          <cell r="B5568">
            <v>0</v>
          </cell>
          <cell r="C5568" t="str">
            <v xml:space="preserve">  MUHAMMAD IQBAL</v>
          </cell>
          <cell r="D5568">
            <v>0</v>
          </cell>
          <cell r="E5568">
            <v>0</v>
          </cell>
          <cell r="F5568">
            <v>0</v>
          </cell>
          <cell r="G5568">
            <v>0</v>
          </cell>
        </row>
        <row r="5569">
          <cell r="A5569" t="str">
            <v>55-01-90-0003</v>
          </cell>
          <cell r="B5569">
            <v>0</v>
          </cell>
          <cell r="C5569" t="str">
            <v xml:space="preserve">  J.A.KHAN TRADERS</v>
          </cell>
          <cell r="D5569">
            <v>0</v>
          </cell>
          <cell r="E5569">
            <v>0</v>
          </cell>
          <cell r="F5569">
            <v>0</v>
          </cell>
          <cell r="G5569">
            <v>0</v>
          </cell>
        </row>
        <row r="5570">
          <cell r="A5570" t="str">
            <v>55-01-91</v>
          </cell>
          <cell r="B5570">
            <v>0</v>
          </cell>
          <cell r="C5570" t="str">
            <v>***MOUNT FUJI TEXTILE LTS</v>
          </cell>
          <cell r="D5570">
            <v>0</v>
          </cell>
          <cell r="E5570">
            <v>0</v>
          </cell>
          <cell r="F5570">
            <v>0</v>
          </cell>
          <cell r="G5570">
            <v>0</v>
          </cell>
        </row>
        <row r="5571">
          <cell r="A5571" t="str">
            <v>55-01-91-0001</v>
          </cell>
          <cell r="B5571">
            <v>0</v>
          </cell>
          <cell r="C5571" t="str">
            <v xml:space="preserve">  MOUNT FUJI TEXTILE LTD</v>
          </cell>
          <cell r="D5571">
            <v>0</v>
          </cell>
          <cell r="E5571">
            <v>0</v>
          </cell>
          <cell r="F5571">
            <v>0</v>
          </cell>
          <cell r="G5571">
            <v>0</v>
          </cell>
        </row>
        <row r="5572">
          <cell r="A5572" t="str">
            <v>55-01-92</v>
          </cell>
          <cell r="B5572">
            <v>0</v>
          </cell>
          <cell r="C5572" t="str">
            <v>***KHURRAM SALMAN</v>
          </cell>
          <cell r="D5572">
            <v>0</v>
          </cell>
          <cell r="E5572">
            <v>0</v>
          </cell>
          <cell r="F5572">
            <v>0</v>
          </cell>
          <cell r="G5572">
            <v>0</v>
          </cell>
        </row>
        <row r="5573">
          <cell r="A5573" t="str">
            <v>55-01-92-0001</v>
          </cell>
          <cell r="B5573">
            <v>0</v>
          </cell>
          <cell r="C5573" t="str">
            <v xml:space="preserve">  TEXTILE MARKETING CORPORATION</v>
          </cell>
          <cell r="D5573">
            <v>0</v>
          </cell>
          <cell r="E5573">
            <v>0</v>
          </cell>
          <cell r="F5573">
            <v>0</v>
          </cell>
          <cell r="G5573">
            <v>0</v>
          </cell>
        </row>
        <row r="5574">
          <cell r="A5574" t="str">
            <v>55-01-93</v>
          </cell>
          <cell r="B5574">
            <v>0</v>
          </cell>
          <cell r="C5574" t="str">
            <v>***** HARIS DEDHI</v>
          </cell>
          <cell r="D5574">
            <v>0</v>
          </cell>
          <cell r="E5574">
            <v>0</v>
          </cell>
          <cell r="F5574">
            <v>0</v>
          </cell>
          <cell r="G5574">
            <v>0</v>
          </cell>
        </row>
        <row r="5575">
          <cell r="A5575" t="str">
            <v>55-01-93-0001</v>
          </cell>
          <cell r="B5575">
            <v>0</v>
          </cell>
          <cell r="C5575" t="str">
            <v xml:space="preserve">  AL RAHIM TEXTILE INDUSTRIES</v>
          </cell>
          <cell r="D5575">
            <v>0</v>
          </cell>
          <cell r="E5575">
            <v>0</v>
          </cell>
          <cell r="F5575">
            <v>0</v>
          </cell>
          <cell r="G5575">
            <v>0</v>
          </cell>
        </row>
        <row r="5576">
          <cell r="A5576" t="str">
            <v>55-01-93-0002</v>
          </cell>
          <cell r="B5576">
            <v>0</v>
          </cell>
          <cell r="C5576" t="str">
            <v xml:space="preserve">  HARIS DHEDHI {COMMISION ON BROKERAGE}</v>
          </cell>
          <cell r="D5576">
            <v>0</v>
          </cell>
          <cell r="E5576">
            <v>0</v>
          </cell>
          <cell r="F5576">
            <v>0</v>
          </cell>
          <cell r="G5576">
            <v>0</v>
          </cell>
        </row>
        <row r="5577">
          <cell r="A5577" t="str">
            <v>55-01-94</v>
          </cell>
          <cell r="B5577">
            <v>0</v>
          </cell>
          <cell r="C5577" t="str">
            <v>*** **  UNICON INTERNATIONAL (PVT) LTD</v>
          </cell>
          <cell r="D5577">
            <v>0</v>
          </cell>
          <cell r="E5577">
            <v>0</v>
          </cell>
          <cell r="F5577">
            <v>0</v>
          </cell>
          <cell r="G5577">
            <v>0</v>
          </cell>
        </row>
        <row r="5578">
          <cell r="A5578" t="str">
            <v>55-01-94-0001</v>
          </cell>
          <cell r="B5578">
            <v>0</v>
          </cell>
          <cell r="C5578" t="str">
            <v xml:space="preserve">  UNICON INTERNATIONAL (PVT) LTD</v>
          </cell>
          <cell r="D5578">
            <v>0</v>
          </cell>
          <cell r="E5578">
            <v>0</v>
          </cell>
          <cell r="F5578">
            <v>0</v>
          </cell>
          <cell r="G5578">
            <v>0</v>
          </cell>
        </row>
        <row r="5579">
          <cell r="A5579" t="str">
            <v>55-01-95</v>
          </cell>
          <cell r="B5579">
            <v>0</v>
          </cell>
          <cell r="C5579" t="str">
            <v>***SHOAIB MOTON</v>
          </cell>
          <cell r="D5579">
            <v>0</v>
          </cell>
          <cell r="E5579">
            <v>0</v>
          </cell>
          <cell r="F5579">
            <v>0</v>
          </cell>
          <cell r="G5579">
            <v>0</v>
          </cell>
        </row>
        <row r="5580">
          <cell r="A5580" t="str">
            <v>55-01-95-0001</v>
          </cell>
          <cell r="B5580">
            <v>0</v>
          </cell>
          <cell r="C5580" t="str">
            <v xml:space="preserve">  SHOAIB MOTON</v>
          </cell>
          <cell r="D5580">
            <v>0</v>
          </cell>
          <cell r="E5580">
            <v>0</v>
          </cell>
          <cell r="F5580">
            <v>0</v>
          </cell>
          <cell r="G5580">
            <v>0</v>
          </cell>
        </row>
        <row r="5581">
          <cell r="A5581" t="str">
            <v>55-01-95-0002</v>
          </cell>
          <cell r="B5581">
            <v>0</v>
          </cell>
          <cell r="C5581" t="str">
            <v xml:space="preserve">  HAMSONS INDUSTRIES</v>
          </cell>
          <cell r="D5581">
            <v>0</v>
          </cell>
          <cell r="E5581">
            <v>0</v>
          </cell>
          <cell r="F5581">
            <v>0</v>
          </cell>
          <cell r="G5581">
            <v>0</v>
          </cell>
        </row>
        <row r="5582">
          <cell r="A5582" t="str">
            <v>55-01-96</v>
          </cell>
          <cell r="B5582">
            <v>0</v>
          </cell>
          <cell r="C5582" t="str">
            <v>***ALTAF IBRAHIM</v>
          </cell>
          <cell r="D5582">
            <v>0</v>
          </cell>
          <cell r="E5582">
            <v>0</v>
          </cell>
          <cell r="F5582">
            <v>0</v>
          </cell>
          <cell r="G5582">
            <v>0</v>
          </cell>
        </row>
        <row r="5583">
          <cell r="A5583" t="str">
            <v>55-01-96-0001</v>
          </cell>
          <cell r="B5583">
            <v>0</v>
          </cell>
          <cell r="C5583" t="str">
            <v xml:space="preserve">  ALTAF IBRAHIM</v>
          </cell>
          <cell r="D5583">
            <v>0</v>
          </cell>
          <cell r="E5583">
            <v>0</v>
          </cell>
          <cell r="F5583">
            <v>0</v>
          </cell>
          <cell r="G5583">
            <v>0</v>
          </cell>
        </row>
        <row r="5584">
          <cell r="A5584" t="str">
            <v>55-01-96-0002</v>
          </cell>
          <cell r="B5584">
            <v>0</v>
          </cell>
          <cell r="C5584" t="str">
            <v xml:space="preserve">  INTERASIA TEXTILE</v>
          </cell>
          <cell r="D5584">
            <v>0</v>
          </cell>
          <cell r="E5584">
            <v>0</v>
          </cell>
          <cell r="F5584">
            <v>0</v>
          </cell>
          <cell r="G5584">
            <v>0</v>
          </cell>
        </row>
        <row r="5585">
          <cell r="A5585" t="str">
            <v>55-01-97</v>
          </cell>
          <cell r="B5585">
            <v>0</v>
          </cell>
          <cell r="C5585" t="str">
            <v>***NISAR (TEXTILES) CORPORATION</v>
          </cell>
          <cell r="D5585">
            <v>0</v>
          </cell>
          <cell r="E5585">
            <v>0</v>
          </cell>
          <cell r="F5585">
            <v>0</v>
          </cell>
          <cell r="G5585">
            <v>0</v>
          </cell>
        </row>
        <row r="5586">
          <cell r="A5586" t="str">
            <v>55-01-97-0001</v>
          </cell>
          <cell r="B5586">
            <v>0</v>
          </cell>
          <cell r="C5586" t="str">
            <v xml:space="preserve">  NISAR (TEXTILES) CORPORATION</v>
          </cell>
          <cell r="D5586">
            <v>0</v>
          </cell>
          <cell r="E5586">
            <v>0</v>
          </cell>
          <cell r="F5586">
            <v>0</v>
          </cell>
          <cell r="G5586">
            <v>0</v>
          </cell>
        </row>
        <row r="5587">
          <cell r="A5587" t="str">
            <v>55-01-98</v>
          </cell>
          <cell r="B5587">
            <v>0</v>
          </cell>
          <cell r="C5587" t="str">
            <v>***RIAZ KALUDI</v>
          </cell>
          <cell r="D5587">
            <v>0</v>
          </cell>
          <cell r="E5587">
            <v>0</v>
          </cell>
          <cell r="F5587">
            <v>0</v>
          </cell>
          <cell r="G5587">
            <v>0</v>
          </cell>
        </row>
        <row r="5588">
          <cell r="A5588" t="str">
            <v>55-01-98-0001</v>
          </cell>
          <cell r="B5588">
            <v>0</v>
          </cell>
          <cell r="C5588" t="str">
            <v xml:space="preserve">  RIAZ KALUDI</v>
          </cell>
          <cell r="D5588">
            <v>0</v>
          </cell>
          <cell r="E5588">
            <v>0</v>
          </cell>
          <cell r="F5588">
            <v>0</v>
          </cell>
          <cell r="G5588">
            <v>0</v>
          </cell>
        </row>
        <row r="5589">
          <cell r="A5589" t="str">
            <v>55-01-98-0002</v>
          </cell>
          <cell r="B5589">
            <v>0</v>
          </cell>
          <cell r="C5589" t="str">
            <v xml:space="preserve">  STYLE TEXTLE CORPORATION</v>
          </cell>
          <cell r="D5589">
            <v>0</v>
          </cell>
          <cell r="E5589">
            <v>0</v>
          </cell>
          <cell r="F5589">
            <v>0</v>
          </cell>
          <cell r="G5589">
            <v>0</v>
          </cell>
        </row>
        <row r="5590">
          <cell r="A5590" t="str">
            <v>55-01-99</v>
          </cell>
          <cell r="B5590">
            <v>0</v>
          </cell>
          <cell r="C5590" t="str">
            <v>***SANGHEET</v>
          </cell>
          <cell r="D5590">
            <v>0</v>
          </cell>
          <cell r="E5590">
            <v>0</v>
          </cell>
          <cell r="F5590">
            <v>0</v>
          </cell>
          <cell r="G5590">
            <v>0</v>
          </cell>
        </row>
        <row r="5591">
          <cell r="A5591" t="str">
            <v>55-01-99-0001</v>
          </cell>
          <cell r="B5591">
            <v>0</v>
          </cell>
          <cell r="C5591" t="str">
            <v xml:space="preserve">  SANGHEET</v>
          </cell>
          <cell r="D5591">
            <v>0</v>
          </cell>
          <cell r="E5591">
            <v>0</v>
          </cell>
          <cell r="F5591">
            <v>0</v>
          </cell>
          <cell r="G5591">
            <v>0</v>
          </cell>
        </row>
        <row r="5592">
          <cell r="A5592" t="str">
            <v>55-01-99-0002</v>
          </cell>
          <cell r="B5592">
            <v>0</v>
          </cell>
          <cell r="C5592" t="str">
            <v xml:space="preserve">  YARN LINK</v>
          </cell>
          <cell r="D5592">
            <v>0</v>
          </cell>
          <cell r="E5592">
            <v>0</v>
          </cell>
          <cell r="F5592">
            <v>0</v>
          </cell>
          <cell r="G5592">
            <v>0</v>
          </cell>
        </row>
        <row r="5593">
          <cell r="A5593" t="str">
            <v>55-01-99-0003</v>
          </cell>
          <cell r="B5593">
            <v>0</v>
          </cell>
          <cell r="C5593" t="str">
            <v xml:space="preserve">  M.YAHYA M. YOUSAF BARI</v>
          </cell>
          <cell r="D5593">
            <v>0</v>
          </cell>
          <cell r="E5593">
            <v>0</v>
          </cell>
          <cell r="F5593">
            <v>0</v>
          </cell>
          <cell r="G5593">
            <v>0</v>
          </cell>
        </row>
        <row r="5594">
          <cell r="A5594" t="str">
            <v>55-02</v>
          </cell>
          <cell r="B5594">
            <v>0</v>
          </cell>
          <cell r="C5594" t="str">
            <v>**TRADE DEBTOR-YARN (FAISALABAD PARTY)</v>
          </cell>
          <cell r="D5594">
            <v>221655</v>
          </cell>
          <cell r="E5594">
            <v>0</v>
          </cell>
          <cell r="F5594">
            <v>221921</v>
          </cell>
          <cell r="G5594">
            <v>266</v>
          </cell>
        </row>
        <row r="5595">
          <cell r="A5595" t="str">
            <v>55-02-05</v>
          </cell>
          <cell r="B5595">
            <v>266</v>
          </cell>
          <cell r="C5595" t="str">
            <v>***CHIRAGH (PVT) LTD.</v>
          </cell>
          <cell r="D5595">
            <v>0</v>
          </cell>
          <cell r="E5595">
            <v>0</v>
          </cell>
          <cell r="F5595">
            <v>0</v>
          </cell>
          <cell r="G5595">
            <v>0</v>
          </cell>
        </row>
        <row r="5596">
          <cell r="A5596" t="str">
            <v>55-02-05-0001</v>
          </cell>
          <cell r="B5596">
            <v>0</v>
          </cell>
          <cell r="C5596" t="str">
            <v xml:space="preserve">  CHIRAGH (PVT) LTD.</v>
          </cell>
          <cell r="D5596">
            <v>0</v>
          </cell>
          <cell r="E5596">
            <v>0</v>
          </cell>
          <cell r="F5596">
            <v>0</v>
          </cell>
          <cell r="G5596">
            <v>0</v>
          </cell>
        </row>
        <row r="5597">
          <cell r="A5597" t="str">
            <v>55-02-05-0002</v>
          </cell>
          <cell r="B5597">
            <v>0</v>
          </cell>
          <cell r="C5597" t="str">
            <v xml:space="preserve">  ABU BAKAR PALAYDAR</v>
          </cell>
          <cell r="D5597">
            <v>0</v>
          </cell>
          <cell r="E5597">
            <v>0</v>
          </cell>
          <cell r="F5597">
            <v>0</v>
          </cell>
          <cell r="G5597">
            <v>0</v>
          </cell>
        </row>
        <row r="5598">
          <cell r="A5598" t="str">
            <v>55-02-05-0003</v>
          </cell>
          <cell r="B5598">
            <v>0</v>
          </cell>
          <cell r="C5598" t="str">
            <v xml:space="preserve">  KHAN MUHAMMAD</v>
          </cell>
          <cell r="D5598">
            <v>0</v>
          </cell>
          <cell r="E5598">
            <v>0</v>
          </cell>
          <cell r="F5598">
            <v>0</v>
          </cell>
          <cell r="G5598">
            <v>0</v>
          </cell>
        </row>
        <row r="5599">
          <cell r="A5599" t="str">
            <v>55-02-05-0004</v>
          </cell>
          <cell r="B5599">
            <v>0</v>
          </cell>
          <cell r="C5599" t="str">
            <v xml:space="preserve">  NASIR MEHMOOD</v>
          </cell>
          <cell r="D5599">
            <v>0</v>
          </cell>
          <cell r="E5599">
            <v>0</v>
          </cell>
          <cell r="F5599">
            <v>0</v>
          </cell>
          <cell r="G5599">
            <v>0</v>
          </cell>
        </row>
        <row r="5600">
          <cell r="A5600" t="str">
            <v>55-02-05-0005</v>
          </cell>
          <cell r="B5600">
            <v>0</v>
          </cell>
          <cell r="C5600" t="str">
            <v xml:space="preserve">  ZAHID KHAN</v>
          </cell>
          <cell r="D5600">
            <v>0</v>
          </cell>
          <cell r="E5600">
            <v>0</v>
          </cell>
          <cell r="F5600">
            <v>0</v>
          </cell>
          <cell r="G5600">
            <v>0</v>
          </cell>
        </row>
        <row r="5601">
          <cell r="A5601" t="str">
            <v>55-02-05-0006</v>
          </cell>
          <cell r="B5601">
            <v>0</v>
          </cell>
          <cell r="C5601" t="str">
            <v xml:space="preserve">  NASIR ALI</v>
          </cell>
          <cell r="D5601">
            <v>0</v>
          </cell>
          <cell r="E5601">
            <v>0</v>
          </cell>
          <cell r="F5601">
            <v>0</v>
          </cell>
          <cell r="G5601">
            <v>0</v>
          </cell>
        </row>
        <row r="5602">
          <cell r="A5602" t="str">
            <v>55-02-05-0007</v>
          </cell>
          <cell r="B5602">
            <v>0</v>
          </cell>
          <cell r="C5602" t="str">
            <v xml:space="preserve">  MUHAMMAD AMIN</v>
          </cell>
          <cell r="D5602">
            <v>0</v>
          </cell>
          <cell r="E5602">
            <v>0</v>
          </cell>
          <cell r="F5602">
            <v>0</v>
          </cell>
          <cell r="G5602">
            <v>0</v>
          </cell>
        </row>
        <row r="5603">
          <cell r="A5603" t="str">
            <v>55-02-05-0008</v>
          </cell>
          <cell r="B5603">
            <v>0</v>
          </cell>
          <cell r="C5603" t="str">
            <v xml:space="preserve">  RASHEED PALAYDAR</v>
          </cell>
          <cell r="D5603">
            <v>0</v>
          </cell>
          <cell r="E5603">
            <v>0</v>
          </cell>
          <cell r="F5603">
            <v>0</v>
          </cell>
          <cell r="G5603">
            <v>0</v>
          </cell>
        </row>
        <row r="5604">
          <cell r="A5604" t="str">
            <v>55-02-05-0009</v>
          </cell>
          <cell r="B5604">
            <v>0</v>
          </cell>
          <cell r="C5604" t="str">
            <v xml:space="preserve">  ABDUL HAMEED</v>
          </cell>
          <cell r="D5604">
            <v>0</v>
          </cell>
          <cell r="E5604">
            <v>0</v>
          </cell>
          <cell r="F5604">
            <v>0</v>
          </cell>
          <cell r="G5604">
            <v>0</v>
          </cell>
        </row>
        <row r="5605">
          <cell r="A5605" t="str">
            <v>55-02-05-0010</v>
          </cell>
          <cell r="B5605">
            <v>0</v>
          </cell>
          <cell r="C5605" t="str">
            <v xml:space="preserve">  MUHAMMAD ILYAS DIN</v>
          </cell>
          <cell r="D5605">
            <v>0</v>
          </cell>
          <cell r="E5605">
            <v>0</v>
          </cell>
          <cell r="F5605">
            <v>0</v>
          </cell>
          <cell r="G5605">
            <v>0</v>
          </cell>
        </row>
        <row r="5606">
          <cell r="A5606" t="str">
            <v>55-02-05-0011</v>
          </cell>
          <cell r="B5606">
            <v>0</v>
          </cell>
          <cell r="C5606" t="str">
            <v xml:space="preserve">  MUHAMMAD JAMIL</v>
          </cell>
          <cell r="D5606">
            <v>0</v>
          </cell>
          <cell r="E5606">
            <v>0</v>
          </cell>
          <cell r="F5606">
            <v>0</v>
          </cell>
          <cell r="G5606">
            <v>0</v>
          </cell>
        </row>
        <row r="5607">
          <cell r="A5607" t="str">
            <v>55-02-05-0012</v>
          </cell>
          <cell r="B5607">
            <v>0</v>
          </cell>
          <cell r="C5607" t="str">
            <v xml:space="preserve">  MUHAMMAD ANWAR</v>
          </cell>
          <cell r="D5607">
            <v>0</v>
          </cell>
          <cell r="E5607">
            <v>0</v>
          </cell>
          <cell r="F5607">
            <v>0</v>
          </cell>
          <cell r="G5607">
            <v>0</v>
          </cell>
        </row>
        <row r="5608">
          <cell r="A5608" t="str">
            <v>55-02-05-0013</v>
          </cell>
          <cell r="B5608">
            <v>0</v>
          </cell>
          <cell r="C5608" t="str">
            <v xml:space="preserve">  TARIQ ALI</v>
          </cell>
          <cell r="D5608">
            <v>0</v>
          </cell>
          <cell r="E5608">
            <v>0</v>
          </cell>
          <cell r="F5608">
            <v>0</v>
          </cell>
          <cell r="G5608">
            <v>0</v>
          </cell>
        </row>
        <row r="5609">
          <cell r="A5609" t="str">
            <v>55-02-05-0014</v>
          </cell>
          <cell r="B5609">
            <v>0</v>
          </cell>
          <cell r="C5609" t="str">
            <v xml:space="preserve">  SHEIKH MUHAMMAD YOUSUF</v>
          </cell>
          <cell r="D5609">
            <v>0</v>
          </cell>
          <cell r="E5609">
            <v>0</v>
          </cell>
          <cell r="F5609">
            <v>0</v>
          </cell>
          <cell r="G5609">
            <v>0</v>
          </cell>
        </row>
        <row r="5610">
          <cell r="A5610" t="str">
            <v>55-02-05-0015</v>
          </cell>
          <cell r="B5610">
            <v>0</v>
          </cell>
          <cell r="C5610" t="str">
            <v xml:space="preserve">  ABID ALI</v>
          </cell>
          <cell r="D5610">
            <v>0</v>
          </cell>
          <cell r="E5610">
            <v>0</v>
          </cell>
          <cell r="F5610">
            <v>0</v>
          </cell>
          <cell r="G5610">
            <v>0</v>
          </cell>
        </row>
        <row r="5611">
          <cell r="A5611" t="str">
            <v>55-02-05-0016</v>
          </cell>
          <cell r="B5611">
            <v>0</v>
          </cell>
          <cell r="C5611" t="str">
            <v xml:space="preserve">  MR. KAMRAN</v>
          </cell>
          <cell r="D5611">
            <v>0</v>
          </cell>
          <cell r="E5611">
            <v>0</v>
          </cell>
          <cell r="F5611">
            <v>0</v>
          </cell>
          <cell r="G5611">
            <v>0</v>
          </cell>
        </row>
        <row r="5612">
          <cell r="A5612" t="str">
            <v>55-02-05-0017</v>
          </cell>
          <cell r="B5612">
            <v>0</v>
          </cell>
          <cell r="C5612" t="str">
            <v xml:space="preserve">  NAZIR AHMED</v>
          </cell>
          <cell r="D5612">
            <v>0</v>
          </cell>
          <cell r="E5612">
            <v>0</v>
          </cell>
          <cell r="F5612">
            <v>0</v>
          </cell>
          <cell r="G5612">
            <v>0</v>
          </cell>
        </row>
        <row r="5613">
          <cell r="A5613" t="str">
            <v>55-02-05-0018</v>
          </cell>
          <cell r="B5613">
            <v>0</v>
          </cell>
          <cell r="C5613" t="str">
            <v xml:space="preserve">  NAEEM AHMED</v>
          </cell>
          <cell r="D5613">
            <v>0</v>
          </cell>
          <cell r="E5613">
            <v>0</v>
          </cell>
          <cell r="F5613">
            <v>0</v>
          </cell>
          <cell r="G5613">
            <v>0</v>
          </cell>
        </row>
        <row r="5614">
          <cell r="A5614" t="str">
            <v>55-02-05-0019</v>
          </cell>
          <cell r="B5614">
            <v>0</v>
          </cell>
          <cell r="C5614" t="str">
            <v xml:space="preserve">  AL-NASIR SIZING</v>
          </cell>
          <cell r="D5614">
            <v>0</v>
          </cell>
          <cell r="E5614">
            <v>0</v>
          </cell>
          <cell r="F5614">
            <v>0</v>
          </cell>
          <cell r="G5614">
            <v>0</v>
          </cell>
        </row>
        <row r="5615">
          <cell r="A5615" t="str">
            <v>55-02-05-0020</v>
          </cell>
          <cell r="B5615">
            <v>0</v>
          </cell>
          <cell r="C5615" t="str">
            <v xml:space="preserve">  HUMA SIZING</v>
          </cell>
          <cell r="D5615">
            <v>0</v>
          </cell>
          <cell r="E5615">
            <v>0</v>
          </cell>
          <cell r="F5615">
            <v>0</v>
          </cell>
          <cell r="G5615">
            <v>0</v>
          </cell>
        </row>
        <row r="5616">
          <cell r="A5616" t="str">
            <v>55-02-05-0021</v>
          </cell>
          <cell r="B5616">
            <v>0</v>
          </cell>
          <cell r="C5616" t="str">
            <v xml:space="preserve">  WASEEM GUL</v>
          </cell>
          <cell r="D5616">
            <v>0</v>
          </cell>
          <cell r="E5616">
            <v>0</v>
          </cell>
          <cell r="F5616">
            <v>0</v>
          </cell>
          <cell r="G5616">
            <v>0</v>
          </cell>
        </row>
        <row r="5617">
          <cell r="A5617" t="str">
            <v>55-02-05-0022</v>
          </cell>
          <cell r="B5617">
            <v>0</v>
          </cell>
          <cell r="C5617" t="str">
            <v xml:space="preserve">  KAMAL AHMED</v>
          </cell>
          <cell r="D5617">
            <v>0</v>
          </cell>
          <cell r="E5617">
            <v>0</v>
          </cell>
          <cell r="F5617">
            <v>0</v>
          </cell>
          <cell r="G5617">
            <v>0</v>
          </cell>
        </row>
        <row r="5618">
          <cell r="A5618" t="str">
            <v>55-02-05-0023</v>
          </cell>
          <cell r="B5618">
            <v>0</v>
          </cell>
          <cell r="C5618" t="str">
            <v xml:space="preserve">  MUHAMMAD ASGHAR</v>
          </cell>
          <cell r="D5618">
            <v>0</v>
          </cell>
          <cell r="E5618">
            <v>0</v>
          </cell>
          <cell r="F5618">
            <v>0</v>
          </cell>
          <cell r="G5618">
            <v>0</v>
          </cell>
        </row>
        <row r="5619">
          <cell r="A5619" t="str">
            <v>55-02-05-0024</v>
          </cell>
          <cell r="B5619">
            <v>0</v>
          </cell>
          <cell r="C5619" t="str">
            <v xml:space="preserve">  DOST MUHAMMAD</v>
          </cell>
          <cell r="D5619">
            <v>0</v>
          </cell>
          <cell r="E5619">
            <v>0</v>
          </cell>
          <cell r="F5619">
            <v>0</v>
          </cell>
          <cell r="G5619">
            <v>0</v>
          </cell>
        </row>
        <row r="5620">
          <cell r="A5620" t="str">
            <v>55-02-05-0025</v>
          </cell>
          <cell r="B5620">
            <v>0</v>
          </cell>
          <cell r="C5620" t="str">
            <v xml:space="preserve">  RAFIQUE PALAYDAR</v>
          </cell>
          <cell r="D5620">
            <v>0</v>
          </cell>
          <cell r="E5620">
            <v>0</v>
          </cell>
          <cell r="F5620">
            <v>0</v>
          </cell>
          <cell r="G5620">
            <v>0</v>
          </cell>
        </row>
        <row r="5621">
          <cell r="A5621" t="str">
            <v>55-02-05-0026</v>
          </cell>
          <cell r="B5621">
            <v>0</v>
          </cell>
          <cell r="C5621" t="str">
            <v xml:space="preserve">  SAJID ALI</v>
          </cell>
          <cell r="D5621">
            <v>0</v>
          </cell>
          <cell r="E5621">
            <v>0</v>
          </cell>
          <cell r="F5621">
            <v>0</v>
          </cell>
          <cell r="G5621">
            <v>0</v>
          </cell>
        </row>
        <row r="5622">
          <cell r="A5622" t="str">
            <v>55-02-05-0027</v>
          </cell>
          <cell r="B5622">
            <v>0</v>
          </cell>
          <cell r="C5622" t="str">
            <v xml:space="preserve">  SATTAR GUL</v>
          </cell>
          <cell r="D5622">
            <v>0</v>
          </cell>
          <cell r="E5622">
            <v>0</v>
          </cell>
          <cell r="F5622">
            <v>0</v>
          </cell>
          <cell r="G5622">
            <v>0</v>
          </cell>
        </row>
        <row r="5623">
          <cell r="A5623" t="str">
            <v>55-02-05-0028</v>
          </cell>
          <cell r="B5623">
            <v>0</v>
          </cell>
          <cell r="C5623" t="str">
            <v xml:space="preserve">  NASEEM GUL</v>
          </cell>
          <cell r="D5623">
            <v>0</v>
          </cell>
          <cell r="E5623">
            <v>0</v>
          </cell>
          <cell r="F5623">
            <v>0</v>
          </cell>
          <cell r="G5623">
            <v>0</v>
          </cell>
        </row>
        <row r="5624">
          <cell r="A5624" t="str">
            <v>55-02-05-0029</v>
          </cell>
          <cell r="B5624">
            <v>0</v>
          </cell>
          <cell r="C5624" t="str">
            <v xml:space="preserve">  MR. DILSHAD</v>
          </cell>
          <cell r="D5624">
            <v>0</v>
          </cell>
          <cell r="E5624">
            <v>0</v>
          </cell>
          <cell r="F5624">
            <v>0</v>
          </cell>
          <cell r="G5624">
            <v>0</v>
          </cell>
        </row>
        <row r="5625">
          <cell r="A5625" t="str">
            <v>55-02-05-0030</v>
          </cell>
          <cell r="B5625">
            <v>0</v>
          </cell>
          <cell r="C5625" t="str">
            <v xml:space="preserve">  SULTAN AHMED</v>
          </cell>
          <cell r="D5625">
            <v>0</v>
          </cell>
          <cell r="E5625">
            <v>0</v>
          </cell>
          <cell r="F5625">
            <v>0</v>
          </cell>
          <cell r="G5625">
            <v>0</v>
          </cell>
        </row>
        <row r="5626">
          <cell r="A5626" t="str">
            <v>55-02-05-0031</v>
          </cell>
          <cell r="B5626">
            <v>0</v>
          </cell>
          <cell r="C5626" t="str">
            <v xml:space="preserve">  MUHAMMAD AZIZ</v>
          </cell>
          <cell r="D5626">
            <v>0</v>
          </cell>
          <cell r="E5626">
            <v>0</v>
          </cell>
          <cell r="F5626">
            <v>0</v>
          </cell>
          <cell r="G5626">
            <v>0</v>
          </cell>
        </row>
        <row r="5627">
          <cell r="A5627" t="str">
            <v>55-02-05-0032</v>
          </cell>
          <cell r="B5627">
            <v>0</v>
          </cell>
          <cell r="C5627" t="str">
            <v xml:space="preserve">  MUHAMMAD HANIF</v>
          </cell>
          <cell r="D5627">
            <v>0</v>
          </cell>
          <cell r="E5627">
            <v>0</v>
          </cell>
          <cell r="F5627">
            <v>0</v>
          </cell>
          <cell r="G5627">
            <v>0</v>
          </cell>
        </row>
        <row r="5628">
          <cell r="A5628" t="str">
            <v>55-02-05-0033</v>
          </cell>
          <cell r="B5628">
            <v>0</v>
          </cell>
          <cell r="C5628" t="str">
            <v xml:space="preserve">  MAQSOOD AHMED</v>
          </cell>
          <cell r="D5628">
            <v>0</v>
          </cell>
          <cell r="E5628">
            <v>0</v>
          </cell>
          <cell r="F5628">
            <v>0</v>
          </cell>
          <cell r="G5628">
            <v>0</v>
          </cell>
        </row>
        <row r="5629">
          <cell r="A5629" t="str">
            <v>55-02-05-0034</v>
          </cell>
          <cell r="B5629">
            <v>0</v>
          </cell>
          <cell r="C5629" t="str">
            <v xml:space="preserve">  MUHAMMAD NAWAZ</v>
          </cell>
          <cell r="D5629">
            <v>0</v>
          </cell>
          <cell r="E5629">
            <v>0</v>
          </cell>
          <cell r="F5629">
            <v>0</v>
          </cell>
          <cell r="G5629">
            <v>0</v>
          </cell>
        </row>
        <row r="5630">
          <cell r="A5630" t="str">
            <v>55-02-05-0035</v>
          </cell>
          <cell r="B5630">
            <v>0</v>
          </cell>
          <cell r="C5630" t="str">
            <v xml:space="preserve">  MUHAMMAD ALAM</v>
          </cell>
          <cell r="D5630">
            <v>0</v>
          </cell>
          <cell r="E5630">
            <v>0</v>
          </cell>
          <cell r="F5630">
            <v>0</v>
          </cell>
          <cell r="G5630">
            <v>0</v>
          </cell>
        </row>
        <row r="5631">
          <cell r="A5631" t="str">
            <v>55-02-05-0036</v>
          </cell>
          <cell r="B5631">
            <v>0</v>
          </cell>
          <cell r="C5631" t="str">
            <v xml:space="preserve">  BAOO MUHAMMAD RAFIQUE</v>
          </cell>
          <cell r="D5631">
            <v>0</v>
          </cell>
          <cell r="E5631">
            <v>0</v>
          </cell>
          <cell r="F5631">
            <v>0</v>
          </cell>
          <cell r="G5631">
            <v>0</v>
          </cell>
        </row>
        <row r="5632">
          <cell r="A5632" t="str">
            <v>55-02-05-0037</v>
          </cell>
          <cell r="B5632">
            <v>0</v>
          </cell>
          <cell r="C5632" t="str">
            <v xml:space="preserve">  RAHIM GUL</v>
          </cell>
          <cell r="D5632">
            <v>0</v>
          </cell>
          <cell r="E5632">
            <v>0</v>
          </cell>
          <cell r="F5632">
            <v>0</v>
          </cell>
          <cell r="G5632">
            <v>0</v>
          </cell>
        </row>
        <row r="5633">
          <cell r="A5633" t="str">
            <v>55-02-05-0038</v>
          </cell>
          <cell r="B5633">
            <v>0</v>
          </cell>
          <cell r="C5633" t="str">
            <v xml:space="preserve">  EJAZ MUBARIB</v>
          </cell>
          <cell r="D5633">
            <v>0</v>
          </cell>
          <cell r="E5633">
            <v>0</v>
          </cell>
          <cell r="F5633">
            <v>0</v>
          </cell>
          <cell r="G5633">
            <v>0</v>
          </cell>
        </row>
        <row r="5634">
          <cell r="A5634" t="str">
            <v>55-02-05-0039</v>
          </cell>
          <cell r="B5634">
            <v>0</v>
          </cell>
          <cell r="C5634" t="str">
            <v xml:space="preserve">  AHMED ALI</v>
          </cell>
          <cell r="D5634">
            <v>0</v>
          </cell>
          <cell r="E5634">
            <v>0</v>
          </cell>
          <cell r="F5634">
            <v>0</v>
          </cell>
          <cell r="G5634">
            <v>0</v>
          </cell>
        </row>
        <row r="5635">
          <cell r="A5635" t="str">
            <v>55-02-05-0040</v>
          </cell>
          <cell r="B5635">
            <v>0</v>
          </cell>
          <cell r="C5635" t="str">
            <v xml:space="preserve">  HAMEED GUL</v>
          </cell>
          <cell r="D5635">
            <v>0</v>
          </cell>
          <cell r="E5635">
            <v>0</v>
          </cell>
          <cell r="F5635">
            <v>0</v>
          </cell>
          <cell r="G5635">
            <v>0</v>
          </cell>
        </row>
        <row r="5636">
          <cell r="A5636" t="str">
            <v>55-02-05-0041</v>
          </cell>
          <cell r="B5636">
            <v>0</v>
          </cell>
          <cell r="C5636" t="str">
            <v xml:space="preserve">  MUHAMMAD ARIF</v>
          </cell>
          <cell r="D5636">
            <v>0</v>
          </cell>
          <cell r="E5636">
            <v>0</v>
          </cell>
          <cell r="F5636">
            <v>0</v>
          </cell>
          <cell r="G5636">
            <v>0</v>
          </cell>
        </row>
        <row r="5637">
          <cell r="A5637" t="str">
            <v>55-02-05-0042</v>
          </cell>
          <cell r="B5637">
            <v>0</v>
          </cell>
          <cell r="C5637" t="str">
            <v xml:space="preserve">  ABDUL HAQ</v>
          </cell>
          <cell r="D5637">
            <v>0</v>
          </cell>
          <cell r="E5637">
            <v>0</v>
          </cell>
          <cell r="F5637">
            <v>0</v>
          </cell>
          <cell r="G5637">
            <v>0</v>
          </cell>
        </row>
        <row r="5638">
          <cell r="A5638" t="str">
            <v>55-02-05-0043</v>
          </cell>
          <cell r="B5638">
            <v>0</v>
          </cell>
          <cell r="C5638" t="str">
            <v xml:space="preserve">  UMER FAROOQ CH</v>
          </cell>
          <cell r="D5638">
            <v>0</v>
          </cell>
          <cell r="E5638">
            <v>0</v>
          </cell>
          <cell r="F5638">
            <v>0</v>
          </cell>
          <cell r="G5638">
            <v>0</v>
          </cell>
        </row>
        <row r="5639">
          <cell r="A5639" t="str">
            <v>55-02-05-0044</v>
          </cell>
          <cell r="B5639">
            <v>0</v>
          </cell>
          <cell r="C5639" t="str">
            <v xml:space="preserve">  AKBER KHAN</v>
          </cell>
          <cell r="D5639">
            <v>0</v>
          </cell>
          <cell r="E5639">
            <v>0</v>
          </cell>
          <cell r="F5639">
            <v>0</v>
          </cell>
          <cell r="G5639">
            <v>0</v>
          </cell>
        </row>
        <row r="5640">
          <cell r="A5640" t="str">
            <v>55-02-05-0045</v>
          </cell>
          <cell r="B5640">
            <v>0</v>
          </cell>
          <cell r="C5640" t="str">
            <v xml:space="preserve">  SHAH WALI</v>
          </cell>
          <cell r="D5640">
            <v>0</v>
          </cell>
          <cell r="E5640">
            <v>0</v>
          </cell>
          <cell r="F5640">
            <v>0</v>
          </cell>
          <cell r="G5640">
            <v>0</v>
          </cell>
        </row>
        <row r="5641">
          <cell r="A5641" t="str">
            <v>55-02-05-0046</v>
          </cell>
          <cell r="B5641">
            <v>0</v>
          </cell>
          <cell r="C5641" t="str">
            <v xml:space="preserve">  ZAMAN SHER</v>
          </cell>
          <cell r="D5641">
            <v>0</v>
          </cell>
          <cell r="E5641">
            <v>0</v>
          </cell>
          <cell r="F5641">
            <v>0</v>
          </cell>
          <cell r="G5641">
            <v>0</v>
          </cell>
        </row>
        <row r="5642">
          <cell r="A5642" t="str">
            <v>55-02-05-0047</v>
          </cell>
          <cell r="B5642">
            <v>0</v>
          </cell>
          <cell r="C5642" t="str">
            <v xml:space="preserve">  MUHAMMAD ALI</v>
          </cell>
          <cell r="D5642">
            <v>0</v>
          </cell>
          <cell r="E5642">
            <v>0</v>
          </cell>
          <cell r="F5642">
            <v>0</v>
          </cell>
          <cell r="G5642">
            <v>0</v>
          </cell>
        </row>
        <row r="5643">
          <cell r="A5643" t="str">
            <v>55-02-05-0048</v>
          </cell>
          <cell r="B5643">
            <v>0</v>
          </cell>
          <cell r="C5643" t="str">
            <v xml:space="preserve">  GHULAM MUSTAFA</v>
          </cell>
          <cell r="D5643">
            <v>0</v>
          </cell>
          <cell r="E5643">
            <v>0</v>
          </cell>
          <cell r="F5643">
            <v>0</v>
          </cell>
          <cell r="G5643">
            <v>0</v>
          </cell>
        </row>
        <row r="5644">
          <cell r="A5644" t="str">
            <v>55-02-05-0049</v>
          </cell>
          <cell r="B5644">
            <v>0</v>
          </cell>
          <cell r="C5644" t="str">
            <v xml:space="preserve">  QURBAN ALI</v>
          </cell>
          <cell r="D5644">
            <v>0</v>
          </cell>
          <cell r="E5644">
            <v>0</v>
          </cell>
          <cell r="F5644">
            <v>0</v>
          </cell>
          <cell r="G5644">
            <v>0</v>
          </cell>
        </row>
        <row r="5645">
          <cell r="A5645" t="str">
            <v>55-02-05-0050</v>
          </cell>
          <cell r="B5645">
            <v>0</v>
          </cell>
          <cell r="C5645" t="str">
            <v xml:space="preserve">  MUHAMMAD FAROOQ</v>
          </cell>
          <cell r="D5645">
            <v>0</v>
          </cell>
          <cell r="E5645">
            <v>0</v>
          </cell>
          <cell r="F5645">
            <v>0</v>
          </cell>
          <cell r="G5645">
            <v>0</v>
          </cell>
        </row>
        <row r="5646">
          <cell r="A5646" t="str">
            <v>55-02-05-0051</v>
          </cell>
          <cell r="B5646">
            <v>0</v>
          </cell>
          <cell r="C5646" t="str">
            <v xml:space="preserve">  TARIQ SHAH.</v>
          </cell>
          <cell r="D5646">
            <v>0</v>
          </cell>
          <cell r="E5646">
            <v>0</v>
          </cell>
          <cell r="F5646">
            <v>0</v>
          </cell>
          <cell r="G5646">
            <v>0</v>
          </cell>
        </row>
        <row r="5647">
          <cell r="A5647" t="str">
            <v>55-02-05-0052</v>
          </cell>
          <cell r="B5647">
            <v>0</v>
          </cell>
          <cell r="C5647" t="str">
            <v xml:space="preserve">  SHAHID MAHMOOD.</v>
          </cell>
          <cell r="D5647">
            <v>0</v>
          </cell>
          <cell r="E5647">
            <v>0</v>
          </cell>
          <cell r="F5647">
            <v>0</v>
          </cell>
          <cell r="G5647">
            <v>0</v>
          </cell>
        </row>
        <row r="5648">
          <cell r="A5648" t="str">
            <v>55-02-05-0053</v>
          </cell>
          <cell r="B5648">
            <v>0</v>
          </cell>
          <cell r="C5648" t="str">
            <v xml:space="preserve">  MUHAMMED HAFIZ</v>
          </cell>
          <cell r="D5648">
            <v>0</v>
          </cell>
          <cell r="E5648">
            <v>0</v>
          </cell>
          <cell r="F5648">
            <v>0</v>
          </cell>
          <cell r="G5648">
            <v>0</v>
          </cell>
        </row>
        <row r="5649">
          <cell r="A5649" t="str">
            <v>55-02-05-0054</v>
          </cell>
          <cell r="B5649">
            <v>0</v>
          </cell>
          <cell r="C5649" t="str">
            <v xml:space="preserve">  INTIZAR HUSSAIN.</v>
          </cell>
          <cell r="D5649">
            <v>0</v>
          </cell>
          <cell r="E5649">
            <v>0</v>
          </cell>
          <cell r="F5649">
            <v>0</v>
          </cell>
          <cell r="G5649">
            <v>0</v>
          </cell>
        </row>
        <row r="5650">
          <cell r="A5650" t="str">
            <v>55-02-05-0055</v>
          </cell>
          <cell r="B5650">
            <v>0</v>
          </cell>
          <cell r="C5650" t="str">
            <v xml:space="preserve">  MUHAMMED IKRAM</v>
          </cell>
          <cell r="D5650">
            <v>0</v>
          </cell>
          <cell r="E5650">
            <v>0</v>
          </cell>
          <cell r="F5650">
            <v>0</v>
          </cell>
          <cell r="G5650">
            <v>0</v>
          </cell>
        </row>
        <row r="5651">
          <cell r="A5651" t="str">
            <v>55-02-05-0056</v>
          </cell>
          <cell r="B5651">
            <v>0</v>
          </cell>
          <cell r="C5651" t="str">
            <v xml:space="preserve">  MOHAMMAD SHABIR</v>
          </cell>
          <cell r="D5651">
            <v>0</v>
          </cell>
          <cell r="E5651">
            <v>0</v>
          </cell>
          <cell r="F5651">
            <v>0</v>
          </cell>
          <cell r="G5651">
            <v>0</v>
          </cell>
        </row>
        <row r="5652">
          <cell r="A5652" t="str">
            <v>55-02-05-0057</v>
          </cell>
          <cell r="B5652">
            <v>0</v>
          </cell>
          <cell r="C5652" t="str">
            <v xml:space="preserve">  MUHAMMED TANVIR</v>
          </cell>
          <cell r="D5652">
            <v>0</v>
          </cell>
          <cell r="E5652">
            <v>0</v>
          </cell>
          <cell r="F5652">
            <v>0</v>
          </cell>
          <cell r="G5652">
            <v>0</v>
          </cell>
        </row>
        <row r="5653">
          <cell r="A5653" t="str">
            <v>55-02-05-0058</v>
          </cell>
          <cell r="B5653">
            <v>0</v>
          </cell>
          <cell r="C5653" t="str">
            <v xml:space="preserve">  MUHAMMED BASHIR.</v>
          </cell>
          <cell r="D5653">
            <v>0</v>
          </cell>
          <cell r="E5653">
            <v>0</v>
          </cell>
          <cell r="F5653">
            <v>0</v>
          </cell>
          <cell r="G5653">
            <v>0</v>
          </cell>
        </row>
        <row r="5654">
          <cell r="A5654" t="str">
            <v>55-02-05-0059</v>
          </cell>
          <cell r="B5654">
            <v>0</v>
          </cell>
          <cell r="C5654" t="str">
            <v xml:space="preserve">  SHER ALAM</v>
          </cell>
          <cell r="D5654">
            <v>0</v>
          </cell>
          <cell r="E5654">
            <v>0</v>
          </cell>
          <cell r="F5654">
            <v>0</v>
          </cell>
          <cell r="G5654">
            <v>0</v>
          </cell>
        </row>
        <row r="5655">
          <cell r="A5655" t="str">
            <v>55-02-05-0060</v>
          </cell>
          <cell r="B5655">
            <v>0</v>
          </cell>
          <cell r="C5655" t="str">
            <v xml:space="preserve">  GUL BADSHAH</v>
          </cell>
          <cell r="D5655">
            <v>0</v>
          </cell>
          <cell r="E5655">
            <v>0</v>
          </cell>
          <cell r="F5655">
            <v>0</v>
          </cell>
          <cell r="G5655">
            <v>0</v>
          </cell>
        </row>
        <row r="5656">
          <cell r="A5656" t="str">
            <v>55-02-05-0061</v>
          </cell>
          <cell r="B5656">
            <v>0</v>
          </cell>
          <cell r="C5656" t="str">
            <v xml:space="preserve">  NOOR ALAM</v>
          </cell>
          <cell r="D5656">
            <v>0</v>
          </cell>
          <cell r="E5656">
            <v>0</v>
          </cell>
          <cell r="F5656">
            <v>0</v>
          </cell>
          <cell r="G5656">
            <v>0</v>
          </cell>
        </row>
        <row r="5657">
          <cell r="A5657" t="str">
            <v>55-02-05-0062</v>
          </cell>
          <cell r="B5657">
            <v>0</v>
          </cell>
          <cell r="C5657" t="str">
            <v xml:space="preserve">  SALEEM AHMED</v>
          </cell>
          <cell r="D5657">
            <v>0</v>
          </cell>
          <cell r="E5657">
            <v>0</v>
          </cell>
          <cell r="F5657">
            <v>0</v>
          </cell>
          <cell r="G5657">
            <v>0</v>
          </cell>
        </row>
        <row r="5658">
          <cell r="A5658" t="str">
            <v>55-02-05-0063</v>
          </cell>
          <cell r="B5658">
            <v>0</v>
          </cell>
          <cell r="C5658" t="str">
            <v xml:space="preserve">  BAOO PALAYDAR</v>
          </cell>
          <cell r="D5658">
            <v>0</v>
          </cell>
          <cell r="E5658">
            <v>0</v>
          </cell>
          <cell r="F5658">
            <v>0</v>
          </cell>
          <cell r="G5658">
            <v>0</v>
          </cell>
        </row>
        <row r="5659">
          <cell r="A5659" t="str">
            <v>55-02-05-0064</v>
          </cell>
          <cell r="B5659">
            <v>0</v>
          </cell>
          <cell r="C5659" t="str">
            <v xml:space="preserve">  MUHAMMED LATIF.</v>
          </cell>
          <cell r="D5659">
            <v>0</v>
          </cell>
          <cell r="E5659">
            <v>0</v>
          </cell>
          <cell r="F5659">
            <v>0</v>
          </cell>
          <cell r="G5659">
            <v>0</v>
          </cell>
        </row>
        <row r="5660">
          <cell r="A5660" t="str">
            <v>55-02-05-0065</v>
          </cell>
          <cell r="B5660">
            <v>0</v>
          </cell>
          <cell r="C5660" t="str">
            <v xml:space="preserve">  EJAZ MUBARAK</v>
          </cell>
          <cell r="D5660">
            <v>0</v>
          </cell>
          <cell r="E5660">
            <v>0</v>
          </cell>
          <cell r="F5660">
            <v>0</v>
          </cell>
          <cell r="G5660">
            <v>0</v>
          </cell>
        </row>
        <row r="5661">
          <cell r="A5661" t="str">
            <v>55-02-05-0066</v>
          </cell>
          <cell r="B5661">
            <v>0</v>
          </cell>
          <cell r="C5661" t="str">
            <v xml:space="preserve">  NOMAN ALI</v>
          </cell>
          <cell r="D5661">
            <v>0</v>
          </cell>
          <cell r="E5661">
            <v>0</v>
          </cell>
          <cell r="F5661">
            <v>0</v>
          </cell>
          <cell r="G5661">
            <v>0</v>
          </cell>
        </row>
        <row r="5662">
          <cell r="A5662" t="str">
            <v>55-02-05-0067</v>
          </cell>
          <cell r="B5662">
            <v>0</v>
          </cell>
          <cell r="C5662" t="str">
            <v xml:space="preserve">  AKHTAR SHAH.</v>
          </cell>
          <cell r="D5662">
            <v>0</v>
          </cell>
          <cell r="E5662">
            <v>0</v>
          </cell>
          <cell r="F5662">
            <v>0</v>
          </cell>
          <cell r="G5662">
            <v>0</v>
          </cell>
        </row>
        <row r="5663">
          <cell r="A5663" t="str">
            <v>55-02-05-0068</v>
          </cell>
          <cell r="B5663">
            <v>0</v>
          </cell>
          <cell r="C5663" t="str">
            <v xml:space="preserve">  MUHAMMED JAMIL HUMA SIZING.</v>
          </cell>
          <cell r="D5663">
            <v>0</v>
          </cell>
          <cell r="E5663">
            <v>0</v>
          </cell>
          <cell r="F5663">
            <v>0</v>
          </cell>
          <cell r="G5663">
            <v>0</v>
          </cell>
        </row>
        <row r="5664">
          <cell r="A5664" t="str">
            <v>55-02-05-0069</v>
          </cell>
          <cell r="B5664">
            <v>0</v>
          </cell>
          <cell r="C5664" t="str">
            <v xml:space="preserve">  TARIQ SHAH.</v>
          </cell>
          <cell r="D5664">
            <v>0</v>
          </cell>
          <cell r="E5664">
            <v>0</v>
          </cell>
          <cell r="F5664">
            <v>0</v>
          </cell>
          <cell r="G5664">
            <v>0</v>
          </cell>
        </row>
        <row r="5665">
          <cell r="A5665" t="str">
            <v>55-02-05-0070</v>
          </cell>
          <cell r="B5665">
            <v>0</v>
          </cell>
          <cell r="C5665" t="str">
            <v xml:space="preserve">  MIAN AKBAR TRADING COMPANY.</v>
          </cell>
          <cell r="D5665">
            <v>0</v>
          </cell>
          <cell r="E5665">
            <v>0</v>
          </cell>
          <cell r="F5665">
            <v>0</v>
          </cell>
          <cell r="G5665">
            <v>0</v>
          </cell>
        </row>
        <row r="5666">
          <cell r="A5666" t="str">
            <v>55-02-05-0071</v>
          </cell>
          <cell r="B5666">
            <v>0</v>
          </cell>
          <cell r="C5666" t="str">
            <v xml:space="preserve">  MUHAMMED BILAL</v>
          </cell>
          <cell r="D5666">
            <v>0</v>
          </cell>
          <cell r="E5666">
            <v>0</v>
          </cell>
          <cell r="F5666">
            <v>0</v>
          </cell>
          <cell r="G5666">
            <v>0</v>
          </cell>
        </row>
        <row r="5667">
          <cell r="A5667" t="str">
            <v>55-02-05-0072</v>
          </cell>
          <cell r="B5667">
            <v>0</v>
          </cell>
          <cell r="C5667" t="str">
            <v xml:space="preserve">  KAMAL SPINNING MILLS</v>
          </cell>
          <cell r="D5667">
            <v>0</v>
          </cell>
          <cell r="E5667">
            <v>0</v>
          </cell>
          <cell r="F5667">
            <v>0</v>
          </cell>
          <cell r="G5667">
            <v>0</v>
          </cell>
        </row>
        <row r="5668">
          <cell r="A5668" t="str">
            <v>55-02-05-0073</v>
          </cell>
          <cell r="B5668">
            <v>0</v>
          </cell>
          <cell r="C5668" t="str">
            <v xml:space="preserve">  M.J EXPORT (PVT) LIMITED.</v>
          </cell>
          <cell r="D5668">
            <v>0</v>
          </cell>
          <cell r="E5668">
            <v>0</v>
          </cell>
          <cell r="F5668">
            <v>0</v>
          </cell>
          <cell r="G5668">
            <v>0</v>
          </cell>
        </row>
        <row r="5669">
          <cell r="A5669" t="str">
            <v>55-02-05-0074</v>
          </cell>
          <cell r="B5669">
            <v>0</v>
          </cell>
          <cell r="C5669" t="str">
            <v xml:space="preserve">  KAMRAN TEXTILE</v>
          </cell>
          <cell r="D5669">
            <v>0</v>
          </cell>
          <cell r="E5669">
            <v>0</v>
          </cell>
          <cell r="F5669">
            <v>0</v>
          </cell>
          <cell r="G5669">
            <v>0</v>
          </cell>
        </row>
        <row r="5670">
          <cell r="A5670" t="str">
            <v>55-02-05-0075</v>
          </cell>
          <cell r="B5670">
            <v>0</v>
          </cell>
          <cell r="C5670" t="str">
            <v xml:space="preserve">  J.K. SONS (PVT) LIMITED.</v>
          </cell>
          <cell r="D5670">
            <v>0</v>
          </cell>
          <cell r="E5670">
            <v>0</v>
          </cell>
          <cell r="F5670">
            <v>0</v>
          </cell>
          <cell r="G5670">
            <v>0</v>
          </cell>
        </row>
        <row r="5671">
          <cell r="A5671" t="str">
            <v>55-02-05-0076</v>
          </cell>
          <cell r="B5671">
            <v>0</v>
          </cell>
          <cell r="C5671" t="str">
            <v xml:space="preserve">  AMTEX (PRIVATE) LTD.</v>
          </cell>
          <cell r="D5671">
            <v>0</v>
          </cell>
          <cell r="E5671">
            <v>0</v>
          </cell>
          <cell r="F5671">
            <v>0</v>
          </cell>
          <cell r="G5671">
            <v>0</v>
          </cell>
        </row>
        <row r="5672">
          <cell r="A5672" t="str">
            <v>55-02-05-0077</v>
          </cell>
          <cell r="B5672">
            <v>0</v>
          </cell>
          <cell r="C5672" t="str">
            <v xml:space="preserve">  SITARA TEXTILE INDUSTRIES. (CH)</v>
          </cell>
          <cell r="D5672">
            <v>0</v>
          </cell>
          <cell r="E5672">
            <v>0</v>
          </cell>
          <cell r="F5672">
            <v>0</v>
          </cell>
          <cell r="G5672">
            <v>0</v>
          </cell>
        </row>
        <row r="5673">
          <cell r="A5673" t="str">
            <v>55-02-05-0078</v>
          </cell>
          <cell r="B5673">
            <v>0</v>
          </cell>
          <cell r="C5673" t="str">
            <v xml:space="preserve">  IMRAN TEXTILE.</v>
          </cell>
          <cell r="D5673">
            <v>0</v>
          </cell>
          <cell r="E5673">
            <v>0</v>
          </cell>
          <cell r="F5673">
            <v>0</v>
          </cell>
          <cell r="G5673">
            <v>0</v>
          </cell>
        </row>
        <row r="5674">
          <cell r="A5674" t="str">
            <v>55-02-05-0079</v>
          </cell>
          <cell r="B5674">
            <v>0</v>
          </cell>
          <cell r="C5674" t="str">
            <v xml:space="preserve">  SYNCO TEXTILE AGENCIES</v>
          </cell>
          <cell r="D5674">
            <v>0</v>
          </cell>
          <cell r="E5674">
            <v>0</v>
          </cell>
          <cell r="F5674">
            <v>0</v>
          </cell>
          <cell r="G5674">
            <v>0</v>
          </cell>
        </row>
        <row r="5675">
          <cell r="A5675" t="str">
            <v>55-02-05-0080</v>
          </cell>
          <cell r="B5675">
            <v>0</v>
          </cell>
          <cell r="C5675" t="str">
            <v xml:space="preserve">  BISMILLAH TEXTILES (PVT) LIMITED.</v>
          </cell>
          <cell r="D5675">
            <v>0</v>
          </cell>
          <cell r="E5675">
            <v>0</v>
          </cell>
          <cell r="F5675">
            <v>0</v>
          </cell>
          <cell r="G5675">
            <v>0</v>
          </cell>
        </row>
        <row r="5676">
          <cell r="A5676" t="str">
            <v>55-02-05-0081</v>
          </cell>
          <cell r="B5676">
            <v>0</v>
          </cell>
          <cell r="C5676" t="str">
            <v xml:space="preserve">  BEST EXPORTS (PVT) LIMITED.</v>
          </cell>
          <cell r="D5676">
            <v>0</v>
          </cell>
          <cell r="E5676">
            <v>0</v>
          </cell>
          <cell r="F5676">
            <v>0</v>
          </cell>
          <cell r="G5676">
            <v>0</v>
          </cell>
        </row>
        <row r="5677">
          <cell r="A5677" t="str">
            <v>55-02-05-0082</v>
          </cell>
          <cell r="B5677">
            <v>0</v>
          </cell>
          <cell r="C5677" t="str">
            <v xml:space="preserve">  IHSAN YOUSAF TEXTILE (PVT) LIMITED.</v>
          </cell>
          <cell r="D5677">
            <v>0</v>
          </cell>
          <cell r="E5677">
            <v>0</v>
          </cell>
          <cell r="F5677">
            <v>0</v>
          </cell>
          <cell r="G5677">
            <v>0</v>
          </cell>
        </row>
        <row r="5678">
          <cell r="A5678" t="str">
            <v>55-02-05-0083</v>
          </cell>
          <cell r="B5678">
            <v>0</v>
          </cell>
          <cell r="C5678" t="str">
            <v xml:space="preserve">  SHAMA EXPORTS (PVT) LIMITED</v>
          </cell>
          <cell r="D5678">
            <v>0</v>
          </cell>
          <cell r="E5678">
            <v>0</v>
          </cell>
          <cell r="F5678">
            <v>0</v>
          </cell>
          <cell r="G5678">
            <v>0</v>
          </cell>
        </row>
        <row r="5679">
          <cell r="A5679" t="str">
            <v>55-02-05-0084</v>
          </cell>
          <cell r="B5679">
            <v>0</v>
          </cell>
          <cell r="C5679" t="str">
            <v xml:space="preserve">  H.A.INDUSTRIES (PVT) LIMITED</v>
          </cell>
          <cell r="D5679">
            <v>0</v>
          </cell>
          <cell r="E5679">
            <v>0</v>
          </cell>
          <cell r="F5679">
            <v>0</v>
          </cell>
          <cell r="G5679">
            <v>0</v>
          </cell>
        </row>
        <row r="5680">
          <cell r="A5680" t="str">
            <v>55-02-05-0085</v>
          </cell>
          <cell r="B5680">
            <v>0</v>
          </cell>
          <cell r="C5680" t="str">
            <v xml:space="preserve">  PAK FABRICS (PVT) LIMITED</v>
          </cell>
          <cell r="D5680">
            <v>0</v>
          </cell>
          <cell r="E5680">
            <v>0</v>
          </cell>
          <cell r="F5680">
            <v>0</v>
          </cell>
          <cell r="G5680">
            <v>0</v>
          </cell>
        </row>
        <row r="5681">
          <cell r="A5681" t="str">
            <v>55-02-05-0086</v>
          </cell>
          <cell r="B5681">
            <v>0</v>
          </cell>
          <cell r="C5681" t="str">
            <v xml:space="preserve">  UNITED TEXTILE PRINTING INDUSTRIES.</v>
          </cell>
          <cell r="D5681">
            <v>0</v>
          </cell>
          <cell r="E5681">
            <v>0</v>
          </cell>
          <cell r="F5681">
            <v>0</v>
          </cell>
          <cell r="G5681">
            <v>0</v>
          </cell>
        </row>
        <row r="5682">
          <cell r="A5682" t="str">
            <v>55-02-05-0087</v>
          </cell>
          <cell r="B5682">
            <v>0</v>
          </cell>
          <cell r="C5682" t="str">
            <v xml:space="preserve">  ALVERA ENTERPRISES (PVT) LIMITED</v>
          </cell>
          <cell r="D5682">
            <v>0</v>
          </cell>
          <cell r="E5682">
            <v>0</v>
          </cell>
          <cell r="F5682">
            <v>0</v>
          </cell>
          <cell r="G5682">
            <v>0</v>
          </cell>
        </row>
        <row r="5683">
          <cell r="A5683" t="str">
            <v>55-02-05-0088</v>
          </cell>
          <cell r="B5683">
            <v>0</v>
          </cell>
          <cell r="C5683" t="str">
            <v xml:space="preserve">  DILKHUSH HOSIERY MILLS (PVT) LIMITED.</v>
          </cell>
          <cell r="D5683">
            <v>0</v>
          </cell>
          <cell r="E5683">
            <v>0</v>
          </cell>
          <cell r="F5683">
            <v>0</v>
          </cell>
          <cell r="G5683">
            <v>0</v>
          </cell>
        </row>
        <row r="5684">
          <cell r="A5684" t="str">
            <v>55-02-05-0089</v>
          </cell>
          <cell r="B5684">
            <v>0</v>
          </cell>
          <cell r="C5684" t="str">
            <v xml:space="preserve">  DAWOOD EXPORTS (PVT) LIMITED.</v>
          </cell>
          <cell r="D5684">
            <v>0</v>
          </cell>
          <cell r="E5684">
            <v>0</v>
          </cell>
          <cell r="F5684">
            <v>0</v>
          </cell>
          <cell r="G5684">
            <v>0</v>
          </cell>
        </row>
        <row r="5685">
          <cell r="A5685" t="str">
            <v>55-02-05-0090</v>
          </cell>
          <cell r="B5685">
            <v>0</v>
          </cell>
          <cell r="C5685" t="str">
            <v xml:space="preserve">  EUROTEX INTERNATIONAL (PVT) LIMITED.</v>
          </cell>
          <cell r="D5685">
            <v>0</v>
          </cell>
          <cell r="E5685">
            <v>0</v>
          </cell>
          <cell r="F5685">
            <v>0</v>
          </cell>
          <cell r="G5685">
            <v>0</v>
          </cell>
        </row>
        <row r="5686">
          <cell r="A5686" t="str">
            <v>55-02-05-0091</v>
          </cell>
          <cell r="B5686">
            <v>0</v>
          </cell>
          <cell r="C5686" t="str">
            <v xml:space="preserve">  NOVELTY FABRICS</v>
          </cell>
          <cell r="D5686">
            <v>0</v>
          </cell>
          <cell r="E5686">
            <v>0</v>
          </cell>
          <cell r="F5686">
            <v>0</v>
          </cell>
          <cell r="G5686">
            <v>0</v>
          </cell>
        </row>
        <row r="5687">
          <cell r="A5687" t="str">
            <v>55-02-05-0092</v>
          </cell>
          <cell r="B5687">
            <v>0</v>
          </cell>
          <cell r="C5687" t="str">
            <v xml:space="preserve">  SAQIB FABRICS</v>
          </cell>
          <cell r="D5687">
            <v>0</v>
          </cell>
          <cell r="E5687">
            <v>0</v>
          </cell>
          <cell r="F5687">
            <v>0</v>
          </cell>
          <cell r="G5687">
            <v>0</v>
          </cell>
        </row>
        <row r="5688">
          <cell r="A5688" t="str">
            <v>55-02-05-0093</v>
          </cell>
          <cell r="B5688">
            <v>0</v>
          </cell>
          <cell r="C5688" t="str">
            <v xml:space="preserve">  HUSNAIN INTERNATIONAL (PVT) LIMITED</v>
          </cell>
          <cell r="D5688">
            <v>0</v>
          </cell>
          <cell r="E5688">
            <v>0</v>
          </cell>
          <cell r="F5688">
            <v>0</v>
          </cell>
          <cell r="G5688">
            <v>0</v>
          </cell>
        </row>
        <row r="5689">
          <cell r="A5689" t="str">
            <v>55-02-05-0094</v>
          </cell>
          <cell r="B5689">
            <v>0</v>
          </cell>
          <cell r="C5689" t="str">
            <v xml:space="preserve">  SARBAZ GENERAL TRADING</v>
          </cell>
          <cell r="D5689">
            <v>0</v>
          </cell>
          <cell r="E5689">
            <v>0</v>
          </cell>
          <cell r="F5689">
            <v>0</v>
          </cell>
          <cell r="G5689">
            <v>0</v>
          </cell>
        </row>
        <row r="5690">
          <cell r="A5690" t="str">
            <v>55-02-05-0095</v>
          </cell>
          <cell r="B5690">
            <v>0</v>
          </cell>
          <cell r="C5690" t="str">
            <v xml:space="preserve">  RIAZ ENTERPRISES (PVT) LIMITED.</v>
          </cell>
          <cell r="D5690">
            <v>0</v>
          </cell>
          <cell r="E5690">
            <v>0</v>
          </cell>
          <cell r="F5690">
            <v>0</v>
          </cell>
          <cell r="G5690">
            <v>0</v>
          </cell>
        </row>
        <row r="5691">
          <cell r="A5691" t="str">
            <v>55-02-05-0096</v>
          </cell>
          <cell r="B5691">
            <v>0</v>
          </cell>
          <cell r="C5691" t="str">
            <v xml:space="preserve">  S N S INTERNATIONAL</v>
          </cell>
          <cell r="D5691">
            <v>0</v>
          </cell>
          <cell r="E5691">
            <v>0</v>
          </cell>
          <cell r="F5691">
            <v>0</v>
          </cell>
          <cell r="G5691">
            <v>0</v>
          </cell>
        </row>
        <row r="5692">
          <cell r="A5692" t="str">
            <v>55-02-05-0097</v>
          </cell>
          <cell r="B5692">
            <v>0</v>
          </cell>
          <cell r="C5692" t="str">
            <v xml:space="preserve">  LEATHERS TEX GLOVING (PVT) LIMITED</v>
          </cell>
          <cell r="D5692">
            <v>0</v>
          </cell>
          <cell r="E5692">
            <v>0</v>
          </cell>
          <cell r="F5692">
            <v>0</v>
          </cell>
          <cell r="G5692">
            <v>0</v>
          </cell>
        </row>
        <row r="5693">
          <cell r="A5693" t="str">
            <v>55-02-05-0098</v>
          </cell>
          <cell r="B5693">
            <v>0</v>
          </cell>
          <cell r="C5693" t="str">
            <v xml:space="preserve">  TEE TEX CO.</v>
          </cell>
          <cell r="D5693">
            <v>0</v>
          </cell>
          <cell r="E5693">
            <v>0</v>
          </cell>
          <cell r="F5693">
            <v>0</v>
          </cell>
          <cell r="G5693">
            <v>0</v>
          </cell>
        </row>
        <row r="5694">
          <cell r="A5694" t="str">
            <v>55-02-05-0099</v>
          </cell>
          <cell r="B5694">
            <v>0</v>
          </cell>
          <cell r="C5694" t="str">
            <v xml:space="preserve">  ZEB TEX CORPORATION</v>
          </cell>
          <cell r="D5694">
            <v>0</v>
          </cell>
          <cell r="E5694">
            <v>0</v>
          </cell>
          <cell r="F5694">
            <v>0</v>
          </cell>
          <cell r="G5694">
            <v>0</v>
          </cell>
        </row>
        <row r="5695">
          <cell r="A5695" t="str">
            <v>55-02-05-0100</v>
          </cell>
          <cell r="B5695">
            <v>0</v>
          </cell>
          <cell r="C5695" t="str">
            <v xml:space="preserve">  BLUE HOUSE ENTERPRISES</v>
          </cell>
          <cell r="D5695">
            <v>0</v>
          </cell>
          <cell r="E5695">
            <v>0</v>
          </cell>
          <cell r="F5695">
            <v>0</v>
          </cell>
          <cell r="G5695">
            <v>0</v>
          </cell>
        </row>
        <row r="5696">
          <cell r="A5696" t="str">
            <v>55-02-05-0101</v>
          </cell>
          <cell r="B5696">
            <v>0</v>
          </cell>
          <cell r="C5696" t="str">
            <v xml:space="preserve">  SADIQ SONS TEXTILES (PVT) LIMITED.</v>
          </cell>
          <cell r="D5696">
            <v>0</v>
          </cell>
          <cell r="E5696">
            <v>0</v>
          </cell>
          <cell r="F5696">
            <v>0</v>
          </cell>
          <cell r="G5696">
            <v>0</v>
          </cell>
        </row>
        <row r="5697">
          <cell r="A5697" t="str">
            <v>55-02-05-0102</v>
          </cell>
          <cell r="B5697">
            <v>0</v>
          </cell>
          <cell r="C5697" t="str">
            <v xml:space="preserve">  S.B.HOSIERY FACTORY (PVT) LIMITED</v>
          </cell>
          <cell r="D5697">
            <v>0</v>
          </cell>
          <cell r="E5697">
            <v>0</v>
          </cell>
          <cell r="F5697">
            <v>0</v>
          </cell>
          <cell r="G5697">
            <v>0</v>
          </cell>
        </row>
        <row r="5698">
          <cell r="A5698" t="str">
            <v>55-02-05-0103</v>
          </cell>
          <cell r="B5698">
            <v>0</v>
          </cell>
          <cell r="C5698" t="str">
            <v xml:space="preserve">  RAJA TRADERS</v>
          </cell>
          <cell r="D5698">
            <v>0</v>
          </cell>
          <cell r="E5698">
            <v>0</v>
          </cell>
          <cell r="F5698">
            <v>0</v>
          </cell>
          <cell r="G5698">
            <v>0</v>
          </cell>
        </row>
        <row r="5699">
          <cell r="A5699" t="str">
            <v>55-02-05-0104</v>
          </cell>
          <cell r="B5699">
            <v>0</v>
          </cell>
          <cell r="C5699" t="str">
            <v xml:space="preserve">  MUHAMMED USMAN</v>
          </cell>
          <cell r="D5699">
            <v>0</v>
          </cell>
          <cell r="E5699">
            <v>0</v>
          </cell>
          <cell r="F5699">
            <v>0</v>
          </cell>
          <cell r="G5699">
            <v>0</v>
          </cell>
        </row>
        <row r="5700">
          <cell r="A5700" t="str">
            <v>55-02-05-0105</v>
          </cell>
          <cell r="B5700">
            <v>0</v>
          </cell>
          <cell r="C5700" t="str">
            <v xml:space="preserve">  MUHAMMED ALI</v>
          </cell>
          <cell r="D5700">
            <v>0</v>
          </cell>
          <cell r="E5700">
            <v>0</v>
          </cell>
          <cell r="F5700">
            <v>0</v>
          </cell>
          <cell r="G5700">
            <v>0</v>
          </cell>
        </row>
        <row r="5701">
          <cell r="A5701" t="str">
            <v>55-02-05-0106</v>
          </cell>
          <cell r="B5701">
            <v>0</v>
          </cell>
          <cell r="C5701" t="str">
            <v xml:space="preserve">  NAVEED ALAM</v>
          </cell>
          <cell r="D5701">
            <v>0</v>
          </cell>
          <cell r="E5701">
            <v>0</v>
          </cell>
          <cell r="F5701">
            <v>0</v>
          </cell>
          <cell r="G5701">
            <v>0</v>
          </cell>
        </row>
        <row r="5702">
          <cell r="A5702" t="str">
            <v>55-02-05-0107</v>
          </cell>
          <cell r="B5702">
            <v>0</v>
          </cell>
          <cell r="C5702" t="str">
            <v xml:space="preserve">  FAIR DEAL TXTILES (PVT) LIMITED.</v>
          </cell>
          <cell r="D5702">
            <v>0</v>
          </cell>
          <cell r="E5702">
            <v>0</v>
          </cell>
          <cell r="F5702">
            <v>0</v>
          </cell>
          <cell r="G5702">
            <v>0</v>
          </cell>
        </row>
        <row r="5703">
          <cell r="A5703" t="str">
            <v>55-02-05-0108</v>
          </cell>
          <cell r="B5703">
            <v>0</v>
          </cell>
          <cell r="C5703" t="str">
            <v xml:space="preserve">  ASHRAF PALAYDAR.</v>
          </cell>
          <cell r="D5703">
            <v>0</v>
          </cell>
          <cell r="E5703">
            <v>0</v>
          </cell>
          <cell r="F5703">
            <v>0</v>
          </cell>
          <cell r="G5703">
            <v>0</v>
          </cell>
        </row>
        <row r="5704">
          <cell r="A5704" t="str">
            <v>55-02-05-0109</v>
          </cell>
          <cell r="B5704">
            <v>0</v>
          </cell>
          <cell r="C5704" t="str">
            <v xml:space="preserve">  ALI HYDER</v>
          </cell>
          <cell r="D5704">
            <v>0</v>
          </cell>
          <cell r="E5704">
            <v>0</v>
          </cell>
          <cell r="F5704">
            <v>0</v>
          </cell>
          <cell r="G5704">
            <v>0</v>
          </cell>
        </row>
        <row r="5705">
          <cell r="A5705" t="str">
            <v>55-02-05-0110</v>
          </cell>
          <cell r="B5705">
            <v>0</v>
          </cell>
          <cell r="C5705" t="str">
            <v xml:space="preserve">  AHMAD TEX</v>
          </cell>
          <cell r="D5705">
            <v>0</v>
          </cell>
          <cell r="E5705">
            <v>0</v>
          </cell>
          <cell r="F5705">
            <v>0</v>
          </cell>
          <cell r="G5705">
            <v>0</v>
          </cell>
        </row>
        <row r="5706">
          <cell r="A5706" t="str">
            <v>55-02-05-0111</v>
          </cell>
          <cell r="B5706">
            <v>0</v>
          </cell>
          <cell r="C5706" t="str">
            <v xml:space="preserve">  MUHAMMAD IMRAN</v>
          </cell>
          <cell r="D5706">
            <v>0</v>
          </cell>
          <cell r="E5706">
            <v>0</v>
          </cell>
          <cell r="F5706">
            <v>0</v>
          </cell>
          <cell r="G5706">
            <v>0</v>
          </cell>
        </row>
        <row r="5707">
          <cell r="A5707" t="str">
            <v>55-02-05-0112</v>
          </cell>
          <cell r="B5707">
            <v>0</v>
          </cell>
          <cell r="C5707" t="str">
            <v xml:space="preserve">  MASTER GARMENTS</v>
          </cell>
          <cell r="D5707">
            <v>0</v>
          </cell>
          <cell r="E5707">
            <v>0</v>
          </cell>
          <cell r="F5707">
            <v>0</v>
          </cell>
          <cell r="G5707">
            <v>0</v>
          </cell>
        </row>
        <row r="5708">
          <cell r="A5708" t="str">
            <v>55-02-05-0113</v>
          </cell>
          <cell r="B5708">
            <v>0</v>
          </cell>
          <cell r="C5708" t="str">
            <v xml:space="preserve">  MOON ENTERPRISES</v>
          </cell>
          <cell r="D5708">
            <v>0</v>
          </cell>
          <cell r="E5708">
            <v>0</v>
          </cell>
          <cell r="F5708">
            <v>0</v>
          </cell>
          <cell r="G5708">
            <v>0</v>
          </cell>
        </row>
        <row r="5709">
          <cell r="A5709" t="str">
            <v>55-02-05-0114</v>
          </cell>
          <cell r="B5709">
            <v>0</v>
          </cell>
          <cell r="C5709" t="str">
            <v xml:space="preserve">  RAZA BROTHERS</v>
          </cell>
          <cell r="D5709">
            <v>0</v>
          </cell>
          <cell r="E5709">
            <v>0</v>
          </cell>
          <cell r="F5709">
            <v>0</v>
          </cell>
          <cell r="G5709">
            <v>0</v>
          </cell>
        </row>
        <row r="5710">
          <cell r="A5710" t="str">
            <v>55-02-05-0115</v>
          </cell>
          <cell r="B5710">
            <v>0</v>
          </cell>
          <cell r="C5710" t="str">
            <v xml:space="preserve">  HAJI SHAIKH NOOR DIN AND SONS</v>
          </cell>
          <cell r="D5710">
            <v>0</v>
          </cell>
          <cell r="E5710">
            <v>0</v>
          </cell>
          <cell r="F5710">
            <v>0</v>
          </cell>
          <cell r="G5710">
            <v>0</v>
          </cell>
        </row>
        <row r="5711">
          <cell r="A5711" t="str">
            <v>55-02-05-0116</v>
          </cell>
          <cell r="B5711">
            <v>0</v>
          </cell>
          <cell r="C5711" t="str">
            <v xml:space="preserve">  ANWAR PALAYDAR</v>
          </cell>
          <cell r="D5711">
            <v>0</v>
          </cell>
          <cell r="E5711">
            <v>0</v>
          </cell>
          <cell r="F5711">
            <v>0</v>
          </cell>
          <cell r="G5711">
            <v>0</v>
          </cell>
        </row>
        <row r="5712">
          <cell r="A5712" t="str">
            <v>55-02-05-0117</v>
          </cell>
          <cell r="B5712">
            <v>0</v>
          </cell>
          <cell r="C5712" t="str">
            <v xml:space="preserve">  SOHAIL AHMED</v>
          </cell>
          <cell r="D5712">
            <v>0</v>
          </cell>
          <cell r="E5712">
            <v>0</v>
          </cell>
          <cell r="F5712">
            <v>0</v>
          </cell>
          <cell r="G5712">
            <v>0</v>
          </cell>
        </row>
        <row r="5713">
          <cell r="A5713" t="str">
            <v>55-02-05-0118</v>
          </cell>
          <cell r="B5713">
            <v>0</v>
          </cell>
          <cell r="C5713" t="str">
            <v xml:space="preserve">  ARSHAD ALI</v>
          </cell>
          <cell r="D5713">
            <v>0</v>
          </cell>
          <cell r="E5713">
            <v>0</v>
          </cell>
          <cell r="F5713">
            <v>0</v>
          </cell>
          <cell r="G5713">
            <v>0</v>
          </cell>
        </row>
        <row r="5714">
          <cell r="A5714" t="str">
            <v>55-02-05-0119</v>
          </cell>
          <cell r="B5714">
            <v>0</v>
          </cell>
          <cell r="C5714" t="str">
            <v xml:space="preserve">  SAJID ALI</v>
          </cell>
          <cell r="D5714">
            <v>0</v>
          </cell>
          <cell r="E5714">
            <v>0</v>
          </cell>
          <cell r="F5714">
            <v>0</v>
          </cell>
          <cell r="G5714">
            <v>0</v>
          </cell>
        </row>
        <row r="5715">
          <cell r="A5715" t="str">
            <v>55-02-05-0120</v>
          </cell>
          <cell r="B5715">
            <v>0</v>
          </cell>
          <cell r="C5715" t="str">
            <v xml:space="preserve">  QASIM PALAYDAR.</v>
          </cell>
          <cell r="D5715">
            <v>0</v>
          </cell>
          <cell r="E5715">
            <v>0</v>
          </cell>
          <cell r="F5715">
            <v>0</v>
          </cell>
          <cell r="G5715">
            <v>0</v>
          </cell>
        </row>
        <row r="5716">
          <cell r="A5716" t="str">
            <v>55-02-05-0121</v>
          </cell>
          <cell r="B5716">
            <v>0</v>
          </cell>
          <cell r="C5716" t="str">
            <v xml:space="preserve">  AFZAL KHAN</v>
          </cell>
          <cell r="D5716">
            <v>0</v>
          </cell>
          <cell r="E5716">
            <v>0</v>
          </cell>
          <cell r="F5716">
            <v>0</v>
          </cell>
          <cell r="G5716">
            <v>0</v>
          </cell>
        </row>
        <row r="5717">
          <cell r="A5717" t="str">
            <v>55-02-05-0122</v>
          </cell>
          <cell r="B5717">
            <v>0</v>
          </cell>
          <cell r="C5717" t="str">
            <v xml:space="preserve">  NASIR KHAN.</v>
          </cell>
          <cell r="D5717">
            <v>0</v>
          </cell>
          <cell r="E5717">
            <v>0</v>
          </cell>
          <cell r="F5717">
            <v>0</v>
          </cell>
          <cell r="G5717">
            <v>0</v>
          </cell>
        </row>
        <row r="5718">
          <cell r="A5718" t="str">
            <v>55-02-05-0123</v>
          </cell>
          <cell r="B5718">
            <v>0</v>
          </cell>
          <cell r="C5718" t="str">
            <v xml:space="preserve">  IMRAN KHAN</v>
          </cell>
          <cell r="D5718">
            <v>0</v>
          </cell>
          <cell r="E5718">
            <v>0</v>
          </cell>
          <cell r="F5718">
            <v>0</v>
          </cell>
          <cell r="G5718">
            <v>0</v>
          </cell>
        </row>
        <row r="5719">
          <cell r="A5719" t="str">
            <v>55-02-05-0124</v>
          </cell>
          <cell r="B5719">
            <v>0</v>
          </cell>
          <cell r="C5719" t="str">
            <v xml:space="preserve">  QAISER KHAN</v>
          </cell>
          <cell r="D5719">
            <v>0</v>
          </cell>
          <cell r="E5719">
            <v>0</v>
          </cell>
          <cell r="F5719">
            <v>0</v>
          </cell>
          <cell r="G5719">
            <v>0</v>
          </cell>
        </row>
        <row r="5720">
          <cell r="A5720" t="str">
            <v>55-02-05-0125</v>
          </cell>
          <cell r="B5720">
            <v>0</v>
          </cell>
          <cell r="C5720" t="str">
            <v xml:space="preserve">  MUHAMMAD AJMAL</v>
          </cell>
          <cell r="D5720">
            <v>0</v>
          </cell>
          <cell r="E5720">
            <v>0</v>
          </cell>
          <cell r="F5720">
            <v>0</v>
          </cell>
          <cell r="G5720">
            <v>0</v>
          </cell>
        </row>
        <row r="5721">
          <cell r="A5721" t="str">
            <v>55-02-05-0126</v>
          </cell>
          <cell r="B5721">
            <v>0</v>
          </cell>
          <cell r="C5721" t="str">
            <v xml:space="preserve">  JAVED SHAH.</v>
          </cell>
          <cell r="D5721">
            <v>0</v>
          </cell>
          <cell r="E5721">
            <v>0</v>
          </cell>
          <cell r="F5721">
            <v>0</v>
          </cell>
          <cell r="G5721">
            <v>0</v>
          </cell>
        </row>
        <row r="5722">
          <cell r="A5722" t="str">
            <v>55-02-05-0127</v>
          </cell>
          <cell r="B5722">
            <v>0</v>
          </cell>
          <cell r="C5722" t="str">
            <v xml:space="preserve">  MUHAMMAD IFZAL</v>
          </cell>
          <cell r="D5722">
            <v>0</v>
          </cell>
          <cell r="E5722">
            <v>0</v>
          </cell>
          <cell r="F5722">
            <v>0</v>
          </cell>
          <cell r="G5722">
            <v>0</v>
          </cell>
        </row>
        <row r="5723">
          <cell r="A5723" t="str">
            <v>55-02-05-0128</v>
          </cell>
          <cell r="B5723">
            <v>0</v>
          </cell>
          <cell r="C5723" t="str">
            <v xml:space="preserve">  TANVEER PALAYDAR</v>
          </cell>
          <cell r="D5723">
            <v>0</v>
          </cell>
          <cell r="E5723">
            <v>0</v>
          </cell>
          <cell r="F5723">
            <v>0</v>
          </cell>
          <cell r="G5723">
            <v>0</v>
          </cell>
        </row>
        <row r="5724">
          <cell r="A5724" t="str">
            <v>55-02-05-0129</v>
          </cell>
          <cell r="B5724">
            <v>0</v>
          </cell>
          <cell r="C5724" t="str">
            <v xml:space="preserve">  MUHAMMAD IQBAL</v>
          </cell>
          <cell r="D5724">
            <v>0</v>
          </cell>
          <cell r="E5724">
            <v>0</v>
          </cell>
          <cell r="F5724">
            <v>0</v>
          </cell>
          <cell r="G5724">
            <v>0</v>
          </cell>
        </row>
        <row r="5725">
          <cell r="A5725" t="str">
            <v>55-02-05-0130</v>
          </cell>
          <cell r="B5725">
            <v>0</v>
          </cell>
          <cell r="C5725" t="str">
            <v xml:space="preserve">  IRSHAD JAMAL</v>
          </cell>
          <cell r="D5725">
            <v>0</v>
          </cell>
          <cell r="E5725">
            <v>0</v>
          </cell>
          <cell r="F5725">
            <v>0</v>
          </cell>
          <cell r="G5725">
            <v>0</v>
          </cell>
        </row>
        <row r="5726">
          <cell r="A5726" t="str">
            <v>55-02-05-0131</v>
          </cell>
          <cell r="B5726">
            <v>0</v>
          </cell>
          <cell r="C5726" t="str">
            <v xml:space="preserve">  ANWAR KHAN</v>
          </cell>
          <cell r="D5726">
            <v>0</v>
          </cell>
          <cell r="E5726">
            <v>0</v>
          </cell>
          <cell r="F5726">
            <v>0</v>
          </cell>
          <cell r="G5726">
            <v>0</v>
          </cell>
        </row>
        <row r="5727">
          <cell r="A5727" t="str">
            <v>55-02-05-0132</v>
          </cell>
          <cell r="B5727">
            <v>0</v>
          </cell>
          <cell r="C5727" t="str">
            <v xml:space="preserve">  NAVEED AHMED</v>
          </cell>
          <cell r="D5727">
            <v>0</v>
          </cell>
          <cell r="E5727">
            <v>0</v>
          </cell>
          <cell r="F5727">
            <v>0</v>
          </cell>
          <cell r="G5727">
            <v>0</v>
          </cell>
        </row>
        <row r="5728">
          <cell r="A5728" t="str">
            <v>55-02-05-0133</v>
          </cell>
          <cell r="B5728">
            <v>0</v>
          </cell>
          <cell r="C5728" t="str">
            <v xml:space="preserve">  SHER KHAN</v>
          </cell>
          <cell r="D5728">
            <v>0</v>
          </cell>
          <cell r="E5728">
            <v>0</v>
          </cell>
          <cell r="F5728">
            <v>0</v>
          </cell>
          <cell r="G5728">
            <v>0</v>
          </cell>
        </row>
        <row r="5729">
          <cell r="A5729" t="str">
            <v>55-02-05-0134</v>
          </cell>
          <cell r="B5729">
            <v>0</v>
          </cell>
          <cell r="C5729" t="str">
            <v xml:space="preserve">  SHAKEEL AHMED</v>
          </cell>
          <cell r="D5729">
            <v>0</v>
          </cell>
          <cell r="E5729">
            <v>0</v>
          </cell>
          <cell r="F5729">
            <v>0</v>
          </cell>
          <cell r="G5729">
            <v>0</v>
          </cell>
        </row>
        <row r="5730">
          <cell r="A5730" t="str">
            <v>55-02-05-0135</v>
          </cell>
          <cell r="B5730">
            <v>0</v>
          </cell>
          <cell r="C5730" t="str">
            <v xml:space="preserve">  AMJAD ALI</v>
          </cell>
          <cell r="D5730">
            <v>0</v>
          </cell>
          <cell r="E5730">
            <v>0</v>
          </cell>
          <cell r="F5730">
            <v>0</v>
          </cell>
          <cell r="G5730">
            <v>0</v>
          </cell>
        </row>
        <row r="5731">
          <cell r="A5731" t="str">
            <v>55-02-05-0136</v>
          </cell>
          <cell r="B5731">
            <v>0</v>
          </cell>
          <cell r="C5731" t="str">
            <v xml:space="preserve">  TARIQ MEHMOOD.</v>
          </cell>
          <cell r="D5731">
            <v>0</v>
          </cell>
          <cell r="E5731">
            <v>0</v>
          </cell>
          <cell r="F5731">
            <v>0</v>
          </cell>
          <cell r="G5731">
            <v>0</v>
          </cell>
        </row>
        <row r="5732">
          <cell r="A5732" t="str">
            <v>55-02-05-0137</v>
          </cell>
          <cell r="B5732">
            <v>0</v>
          </cell>
          <cell r="C5732" t="str">
            <v xml:space="preserve">  NADEEM AKBAR</v>
          </cell>
          <cell r="D5732">
            <v>0</v>
          </cell>
          <cell r="E5732">
            <v>0</v>
          </cell>
          <cell r="F5732">
            <v>0</v>
          </cell>
          <cell r="G5732">
            <v>0</v>
          </cell>
        </row>
        <row r="5733">
          <cell r="A5733" t="str">
            <v>55-02-05-0138</v>
          </cell>
          <cell r="B5733">
            <v>0</v>
          </cell>
          <cell r="C5733" t="str">
            <v xml:space="preserve">  SAJID MEHMOOD</v>
          </cell>
          <cell r="D5733">
            <v>0</v>
          </cell>
          <cell r="E5733">
            <v>0</v>
          </cell>
          <cell r="F5733">
            <v>0</v>
          </cell>
          <cell r="G5733">
            <v>0</v>
          </cell>
        </row>
        <row r="5734">
          <cell r="A5734" t="str">
            <v>55-02-05-0139</v>
          </cell>
          <cell r="B5734">
            <v>0</v>
          </cell>
          <cell r="C5734" t="str">
            <v xml:space="preserve">  SALIM SHAHID</v>
          </cell>
          <cell r="D5734">
            <v>0</v>
          </cell>
          <cell r="E5734">
            <v>0</v>
          </cell>
          <cell r="F5734">
            <v>0</v>
          </cell>
          <cell r="G5734">
            <v>0</v>
          </cell>
        </row>
        <row r="5735">
          <cell r="A5735" t="str">
            <v>55-02-05-0140</v>
          </cell>
          <cell r="B5735">
            <v>0</v>
          </cell>
          <cell r="C5735" t="str">
            <v xml:space="preserve">  SARWAR SHAH</v>
          </cell>
          <cell r="D5735">
            <v>0</v>
          </cell>
          <cell r="E5735">
            <v>0</v>
          </cell>
          <cell r="F5735">
            <v>0</v>
          </cell>
          <cell r="G5735">
            <v>0</v>
          </cell>
        </row>
        <row r="5736">
          <cell r="A5736" t="str">
            <v>55-02-05-0141</v>
          </cell>
          <cell r="B5736">
            <v>0</v>
          </cell>
          <cell r="C5736" t="str">
            <v xml:space="preserve">  WAJID SHAH</v>
          </cell>
          <cell r="D5736">
            <v>0</v>
          </cell>
          <cell r="E5736">
            <v>0</v>
          </cell>
          <cell r="F5736">
            <v>0</v>
          </cell>
          <cell r="G5736">
            <v>0</v>
          </cell>
        </row>
        <row r="5737">
          <cell r="A5737" t="str">
            <v>55-02-05-0142</v>
          </cell>
          <cell r="B5737">
            <v>0</v>
          </cell>
          <cell r="C5737" t="str">
            <v xml:space="preserve">  ARSHAD KHAN</v>
          </cell>
          <cell r="D5737">
            <v>0</v>
          </cell>
          <cell r="E5737">
            <v>0</v>
          </cell>
          <cell r="F5737">
            <v>0</v>
          </cell>
          <cell r="G5737">
            <v>0</v>
          </cell>
        </row>
        <row r="5738">
          <cell r="A5738" t="str">
            <v>55-02-05-0143</v>
          </cell>
          <cell r="B5738">
            <v>0</v>
          </cell>
          <cell r="C5738" t="str">
            <v xml:space="preserve">  RIZWANULLAH</v>
          </cell>
          <cell r="D5738">
            <v>0</v>
          </cell>
          <cell r="E5738">
            <v>0</v>
          </cell>
          <cell r="F5738">
            <v>0</v>
          </cell>
          <cell r="G5738">
            <v>0</v>
          </cell>
        </row>
        <row r="5739">
          <cell r="A5739" t="str">
            <v>55-02-05-0144</v>
          </cell>
          <cell r="B5739">
            <v>0</v>
          </cell>
          <cell r="C5739" t="str">
            <v xml:space="preserve">  GOHAR ZAMAN</v>
          </cell>
          <cell r="D5739">
            <v>0</v>
          </cell>
          <cell r="E5739">
            <v>0</v>
          </cell>
          <cell r="F5739">
            <v>0</v>
          </cell>
          <cell r="G5739">
            <v>0</v>
          </cell>
        </row>
        <row r="5740">
          <cell r="A5740" t="str">
            <v>55-02-05-0145</v>
          </cell>
          <cell r="B5740">
            <v>0</v>
          </cell>
          <cell r="C5740" t="str">
            <v xml:space="preserve">  SHAH ALAM</v>
          </cell>
          <cell r="D5740">
            <v>0</v>
          </cell>
          <cell r="E5740">
            <v>0</v>
          </cell>
          <cell r="F5740">
            <v>0</v>
          </cell>
          <cell r="G5740">
            <v>0</v>
          </cell>
        </row>
        <row r="5741">
          <cell r="A5741" t="str">
            <v>55-02-05-0146</v>
          </cell>
          <cell r="B5741">
            <v>0</v>
          </cell>
          <cell r="C5741" t="str">
            <v xml:space="preserve">  MUNIR SHAH</v>
          </cell>
          <cell r="D5741">
            <v>0</v>
          </cell>
          <cell r="E5741">
            <v>0</v>
          </cell>
          <cell r="F5741">
            <v>0</v>
          </cell>
          <cell r="G5741">
            <v>0</v>
          </cell>
        </row>
        <row r="5742">
          <cell r="A5742" t="str">
            <v>55-02-05-0147</v>
          </cell>
          <cell r="B5742">
            <v>0</v>
          </cell>
          <cell r="C5742" t="str">
            <v xml:space="preserve">  ASGHAR KHAN</v>
          </cell>
          <cell r="D5742">
            <v>0</v>
          </cell>
          <cell r="E5742">
            <v>0</v>
          </cell>
          <cell r="F5742">
            <v>0</v>
          </cell>
          <cell r="G5742">
            <v>0</v>
          </cell>
        </row>
        <row r="5743">
          <cell r="A5743" t="str">
            <v>55-02-05-0148</v>
          </cell>
          <cell r="B5743">
            <v>0</v>
          </cell>
          <cell r="C5743" t="str">
            <v xml:space="preserve">  ALI KHAN</v>
          </cell>
          <cell r="D5743">
            <v>0</v>
          </cell>
          <cell r="E5743">
            <v>0</v>
          </cell>
          <cell r="F5743">
            <v>0</v>
          </cell>
          <cell r="G5743">
            <v>0</v>
          </cell>
        </row>
        <row r="5744">
          <cell r="A5744" t="str">
            <v>55-02-05-0149</v>
          </cell>
          <cell r="B5744">
            <v>0</v>
          </cell>
          <cell r="C5744" t="str">
            <v xml:space="preserve">  MUHAMMAD NAVEED</v>
          </cell>
          <cell r="D5744">
            <v>0</v>
          </cell>
          <cell r="E5744">
            <v>0</v>
          </cell>
          <cell r="F5744">
            <v>0</v>
          </cell>
          <cell r="G5744">
            <v>0</v>
          </cell>
        </row>
        <row r="5745">
          <cell r="A5745" t="str">
            <v>55-02-05-0150</v>
          </cell>
          <cell r="B5745">
            <v>0</v>
          </cell>
          <cell r="C5745" t="str">
            <v xml:space="preserve">  SHAH NAWAZ</v>
          </cell>
          <cell r="D5745">
            <v>0</v>
          </cell>
          <cell r="E5745">
            <v>0</v>
          </cell>
          <cell r="F5745">
            <v>0</v>
          </cell>
          <cell r="G5745">
            <v>0</v>
          </cell>
        </row>
        <row r="5746">
          <cell r="A5746" t="str">
            <v>55-02-05-0151</v>
          </cell>
          <cell r="B5746">
            <v>0</v>
          </cell>
          <cell r="C5746" t="str">
            <v xml:space="preserve">  QAISER MEHMOOD</v>
          </cell>
          <cell r="D5746">
            <v>0</v>
          </cell>
          <cell r="E5746">
            <v>0</v>
          </cell>
          <cell r="F5746">
            <v>0</v>
          </cell>
          <cell r="G5746">
            <v>0</v>
          </cell>
        </row>
        <row r="5747">
          <cell r="A5747" t="str">
            <v>55-02-05-0152</v>
          </cell>
          <cell r="B5747">
            <v>0</v>
          </cell>
          <cell r="C5747" t="str">
            <v xml:space="preserve">  FAROOQ ALI</v>
          </cell>
          <cell r="D5747">
            <v>0</v>
          </cell>
          <cell r="E5747">
            <v>0</v>
          </cell>
          <cell r="F5747">
            <v>0</v>
          </cell>
          <cell r="G5747">
            <v>0</v>
          </cell>
        </row>
        <row r="5748">
          <cell r="A5748" t="str">
            <v>55-02-05-0153</v>
          </cell>
          <cell r="B5748">
            <v>0</v>
          </cell>
          <cell r="C5748" t="str">
            <v xml:space="preserve">  MUHAMMAD IRFAN</v>
          </cell>
          <cell r="D5748">
            <v>0</v>
          </cell>
          <cell r="E5748">
            <v>0</v>
          </cell>
          <cell r="F5748">
            <v>0</v>
          </cell>
          <cell r="G5748">
            <v>0</v>
          </cell>
        </row>
        <row r="5749">
          <cell r="A5749" t="str">
            <v>55-02-05-0154</v>
          </cell>
          <cell r="B5749">
            <v>0</v>
          </cell>
          <cell r="C5749" t="str">
            <v xml:space="preserve">  NOOR DAD</v>
          </cell>
          <cell r="D5749">
            <v>0</v>
          </cell>
          <cell r="E5749">
            <v>0</v>
          </cell>
          <cell r="F5749">
            <v>0</v>
          </cell>
          <cell r="G5749">
            <v>0</v>
          </cell>
        </row>
        <row r="5750">
          <cell r="A5750" t="str">
            <v>55-02-05-0155</v>
          </cell>
          <cell r="B5750">
            <v>0</v>
          </cell>
          <cell r="C5750" t="str">
            <v xml:space="preserve">  QADIR KHAN</v>
          </cell>
          <cell r="D5750">
            <v>0</v>
          </cell>
          <cell r="E5750">
            <v>0</v>
          </cell>
          <cell r="F5750">
            <v>0</v>
          </cell>
          <cell r="G5750">
            <v>0</v>
          </cell>
        </row>
        <row r="5751">
          <cell r="A5751" t="str">
            <v>55-02-05-0156</v>
          </cell>
          <cell r="B5751">
            <v>0</v>
          </cell>
          <cell r="C5751" t="str">
            <v xml:space="preserve">  NAWAZ KHAN</v>
          </cell>
          <cell r="D5751">
            <v>0</v>
          </cell>
          <cell r="E5751">
            <v>0</v>
          </cell>
          <cell r="F5751">
            <v>0</v>
          </cell>
          <cell r="G5751">
            <v>0</v>
          </cell>
        </row>
        <row r="5752">
          <cell r="A5752" t="str">
            <v>55-02-05-0157</v>
          </cell>
          <cell r="B5752">
            <v>0</v>
          </cell>
          <cell r="C5752" t="str">
            <v xml:space="preserve">  AYAZ KHAN</v>
          </cell>
          <cell r="D5752">
            <v>0</v>
          </cell>
          <cell r="E5752">
            <v>0</v>
          </cell>
          <cell r="F5752">
            <v>0</v>
          </cell>
          <cell r="G5752">
            <v>0</v>
          </cell>
        </row>
        <row r="5753">
          <cell r="A5753" t="str">
            <v>55-02-05-0158</v>
          </cell>
          <cell r="B5753">
            <v>0</v>
          </cell>
          <cell r="C5753" t="str">
            <v xml:space="preserve">  ZAMAN KHAN</v>
          </cell>
          <cell r="D5753">
            <v>0</v>
          </cell>
          <cell r="E5753">
            <v>0</v>
          </cell>
          <cell r="F5753">
            <v>0</v>
          </cell>
          <cell r="G5753">
            <v>0</v>
          </cell>
        </row>
        <row r="5754">
          <cell r="A5754" t="str">
            <v>55-02-05-0159</v>
          </cell>
          <cell r="B5754">
            <v>0</v>
          </cell>
          <cell r="C5754" t="str">
            <v xml:space="preserve">  ASLAM KHAN</v>
          </cell>
          <cell r="D5754">
            <v>0</v>
          </cell>
          <cell r="E5754">
            <v>0</v>
          </cell>
          <cell r="F5754">
            <v>0</v>
          </cell>
          <cell r="G5754">
            <v>0</v>
          </cell>
        </row>
        <row r="5755">
          <cell r="A5755" t="str">
            <v>55-02-05-0160</v>
          </cell>
          <cell r="B5755">
            <v>0</v>
          </cell>
          <cell r="C5755" t="str">
            <v xml:space="preserve">  LATIF SHAH</v>
          </cell>
          <cell r="D5755">
            <v>0</v>
          </cell>
          <cell r="E5755">
            <v>0</v>
          </cell>
          <cell r="F5755">
            <v>0</v>
          </cell>
          <cell r="G5755">
            <v>0</v>
          </cell>
        </row>
        <row r="5756">
          <cell r="A5756" t="str">
            <v>55-02-05-0161</v>
          </cell>
          <cell r="B5756">
            <v>0</v>
          </cell>
          <cell r="C5756" t="str">
            <v xml:space="preserve">  JAMAL SHAH</v>
          </cell>
          <cell r="D5756">
            <v>0</v>
          </cell>
          <cell r="E5756">
            <v>0</v>
          </cell>
          <cell r="F5756">
            <v>0</v>
          </cell>
          <cell r="G5756">
            <v>0</v>
          </cell>
        </row>
        <row r="5757">
          <cell r="A5757" t="str">
            <v>55-02-05-0162</v>
          </cell>
          <cell r="B5757">
            <v>0</v>
          </cell>
          <cell r="C5757" t="str">
            <v xml:space="preserve">  NADIR SHAH</v>
          </cell>
          <cell r="D5757">
            <v>0</v>
          </cell>
          <cell r="E5757">
            <v>0</v>
          </cell>
          <cell r="F5757">
            <v>0</v>
          </cell>
          <cell r="G5757">
            <v>0</v>
          </cell>
        </row>
        <row r="5758">
          <cell r="A5758" t="str">
            <v>55-02-05-0163</v>
          </cell>
          <cell r="B5758">
            <v>0</v>
          </cell>
          <cell r="C5758" t="str">
            <v xml:space="preserve">  MUNIR AHMED</v>
          </cell>
          <cell r="D5758">
            <v>0</v>
          </cell>
          <cell r="E5758">
            <v>0</v>
          </cell>
          <cell r="F5758">
            <v>0</v>
          </cell>
          <cell r="G5758">
            <v>0</v>
          </cell>
        </row>
        <row r="5759">
          <cell r="A5759" t="str">
            <v>55-02-05-0164</v>
          </cell>
          <cell r="B5759">
            <v>0</v>
          </cell>
          <cell r="C5759" t="str">
            <v xml:space="preserve">  ASIF KHAN</v>
          </cell>
          <cell r="D5759">
            <v>0</v>
          </cell>
          <cell r="E5759">
            <v>0</v>
          </cell>
          <cell r="F5759">
            <v>0</v>
          </cell>
          <cell r="G5759">
            <v>0</v>
          </cell>
        </row>
        <row r="5760">
          <cell r="A5760" t="str">
            <v>55-02-05-0165</v>
          </cell>
          <cell r="B5760">
            <v>0</v>
          </cell>
          <cell r="C5760" t="str">
            <v xml:space="preserve">  AHMED KHAN</v>
          </cell>
          <cell r="D5760">
            <v>0</v>
          </cell>
          <cell r="E5760">
            <v>0</v>
          </cell>
          <cell r="F5760">
            <v>0</v>
          </cell>
          <cell r="G5760">
            <v>0</v>
          </cell>
        </row>
        <row r="5761">
          <cell r="A5761" t="str">
            <v>55-02-05-0166</v>
          </cell>
          <cell r="B5761">
            <v>0</v>
          </cell>
          <cell r="C5761" t="str">
            <v xml:space="preserve">  GHULAM HUSSAIN</v>
          </cell>
          <cell r="D5761">
            <v>0</v>
          </cell>
          <cell r="E5761">
            <v>0</v>
          </cell>
          <cell r="F5761">
            <v>0</v>
          </cell>
          <cell r="G5761">
            <v>0</v>
          </cell>
        </row>
        <row r="5762">
          <cell r="A5762" t="str">
            <v>55-02-05-0167</v>
          </cell>
          <cell r="B5762">
            <v>0</v>
          </cell>
          <cell r="C5762" t="str">
            <v xml:space="preserve">  NADIA TEXTILE INTERNATIONAL (PVT) LTD.</v>
          </cell>
          <cell r="D5762">
            <v>0</v>
          </cell>
          <cell r="E5762">
            <v>0</v>
          </cell>
          <cell r="F5762">
            <v>0</v>
          </cell>
          <cell r="G5762">
            <v>0</v>
          </cell>
        </row>
        <row r="5763">
          <cell r="A5763" t="str">
            <v>55-02-05-0168</v>
          </cell>
          <cell r="B5763">
            <v>0</v>
          </cell>
          <cell r="C5763" t="str">
            <v xml:space="preserve">  HYDER ALI</v>
          </cell>
          <cell r="D5763">
            <v>0</v>
          </cell>
          <cell r="E5763">
            <v>0</v>
          </cell>
          <cell r="F5763">
            <v>0</v>
          </cell>
          <cell r="G5763">
            <v>0</v>
          </cell>
        </row>
        <row r="5764">
          <cell r="A5764" t="str">
            <v>55-02-05-0169</v>
          </cell>
          <cell r="B5764">
            <v>0</v>
          </cell>
          <cell r="C5764" t="str">
            <v xml:space="preserve">  SHABBIR ASSOCIATES</v>
          </cell>
          <cell r="D5764">
            <v>0</v>
          </cell>
          <cell r="E5764">
            <v>0</v>
          </cell>
          <cell r="F5764">
            <v>0</v>
          </cell>
          <cell r="G5764">
            <v>0</v>
          </cell>
        </row>
        <row r="5765">
          <cell r="A5765" t="str">
            <v>55-02-05-0170</v>
          </cell>
          <cell r="B5765">
            <v>0</v>
          </cell>
          <cell r="C5765" t="str">
            <v xml:space="preserve">  AMANA TEXTILE</v>
          </cell>
          <cell r="D5765">
            <v>0</v>
          </cell>
          <cell r="E5765">
            <v>0</v>
          </cell>
          <cell r="F5765">
            <v>0</v>
          </cell>
          <cell r="G5765">
            <v>0</v>
          </cell>
        </row>
        <row r="5766">
          <cell r="A5766" t="str">
            <v>55-02-05-0171</v>
          </cell>
          <cell r="B5766">
            <v>0</v>
          </cell>
          <cell r="C5766" t="str">
            <v xml:space="preserve">  SHAHRAJ FEBRICS (PVT) LIMITED</v>
          </cell>
          <cell r="D5766">
            <v>0</v>
          </cell>
          <cell r="E5766">
            <v>0</v>
          </cell>
          <cell r="F5766">
            <v>0</v>
          </cell>
          <cell r="G5766">
            <v>0</v>
          </cell>
        </row>
        <row r="5767">
          <cell r="A5767" t="str">
            <v>55-02-05-0172</v>
          </cell>
          <cell r="B5767">
            <v>0</v>
          </cell>
          <cell r="C5767" t="str">
            <v xml:space="preserve">  HAJI SHAIKH NAWAB DIN &amp; SONS</v>
          </cell>
          <cell r="D5767">
            <v>0</v>
          </cell>
          <cell r="E5767">
            <v>0</v>
          </cell>
          <cell r="F5767">
            <v>0</v>
          </cell>
          <cell r="G5767">
            <v>0</v>
          </cell>
        </row>
        <row r="5768">
          <cell r="A5768" t="str">
            <v>55-02-05-0173</v>
          </cell>
          <cell r="B5768">
            <v>0</v>
          </cell>
          <cell r="C5768" t="str">
            <v xml:space="preserve">  ATARA TARPOLINE AND TEXTILE INDSUSTRIE</v>
          </cell>
          <cell r="D5768">
            <v>0</v>
          </cell>
          <cell r="E5768">
            <v>0</v>
          </cell>
          <cell r="F5768">
            <v>0</v>
          </cell>
          <cell r="G5768">
            <v>0</v>
          </cell>
        </row>
        <row r="5769">
          <cell r="A5769" t="str">
            <v>55-02-05-0174</v>
          </cell>
          <cell r="B5769">
            <v>0</v>
          </cell>
          <cell r="C5769" t="str">
            <v xml:space="preserve">  J K BROTHERS PAKISTAN (PVT) LIMITED</v>
          </cell>
          <cell r="D5769">
            <v>0</v>
          </cell>
          <cell r="E5769">
            <v>0</v>
          </cell>
          <cell r="F5769">
            <v>0</v>
          </cell>
          <cell r="G5769">
            <v>0</v>
          </cell>
        </row>
        <row r="5770">
          <cell r="A5770" t="str">
            <v>55-02-05-0175</v>
          </cell>
          <cell r="B5770">
            <v>0</v>
          </cell>
          <cell r="C5770" t="str">
            <v xml:space="preserve">  Z.N TEXTILES (PVT) LIMITED</v>
          </cell>
          <cell r="D5770">
            <v>0</v>
          </cell>
          <cell r="E5770">
            <v>0</v>
          </cell>
          <cell r="F5770">
            <v>0</v>
          </cell>
          <cell r="G5770">
            <v>0</v>
          </cell>
        </row>
        <row r="5771">
          <cell r="A5771" t="str">
            <v>55-02-05-0176</v>
          </cell>
          <cell r="B5771">
            <v>0</v>
          </cell>
          <cell r="C5771" t="str">
            <v xml:space="preserve">  WHITE HORIZON (PVT) LIMITED</v>
          </cell>
          <cell r="D5771">
            <v>0</v>
          </cell>
          <cell r="E5771">
            <v>0</v>
          </cell>
          <cell r="F5771">
            <v>0</v>
          </cell>
          <cell r="G5771">
            <v>0</v>
          </cell>
        </row>
        <row r="5772">
          <cell r="A5772" t="str">
            <v>55-02-05-0177</v>
          </cell>
          <cell r="B5772">
            <v>0</v>
          </cell>
          <cell r="C5772" t="str">
            <v xml:space="preserve">  NOVA TAX GLOVES INDUSTRIES</v>
          </cell>
          <cell r="D5772">
            <v>0</v>
          </cell>
          <cell r="E5772">
            <v>0</v>
          </cell>
          <cell r="F5772">
            <v>0</v>
          </cell>
          <cell r="G5772">
            <v>0</v>
          </cell>
        </row>
        <row r="5773">
          <cell r="A5773" t="str">
            <v>55-02-05-0178</v>
          </cell>
          <cell r="B5773">
            <v>0</v>
          </cell>
          <cell r="C5773" t="str">
            <v xml:space="preserve">  YASIR ENTERPRISES</v>
          </cell>
          <cell r="D5773">
            <v>0</v>
          </cell>
          <cell r="E5773">
            <v>0</v>
          </cell>
          <cell r="F5773">
            <v>0</v>
          </cell>
          <cell r="G5773">
            <v>0</v>
          </cell>
        </row>
        <row r="5774">
          <cell r="A5774" t="str">
            <v>55-02-05-0179</v>
          </cell>
          <cell r="B5774">
            <v>0</v>
          </cell>
          <cell r="C5774" t="str">
            <v xml:space="preserve">  SHEHZAD SIDDIQUE (PVT) LIMITED.</v>
          </cell>
          <cell r="D5774">
            <v>0</v>
          </cell>
          <cell r="E5774">
            <v>0</v>
          </cell>
          <cell r="F5774">
            <v>0</v>
          </cell>
          <cell r="G5774">
            <v>0</v>
          </cell>
        </row>
        <row r="5775">
          <cell r="A5775" t="str">
            <v>55-02-05-0180</v>
          </cell>
          <cell r="B5775">
            <v>0</v>
          </cell>
          <cell r="C5775" t="str">
            <v xml:space="preserve">  FATTAH TEXTILE</v>
          </cell>
          <cell r="D5775">
            <v>0</v>
          </cell>
          <cell r="E5775">
            <v>0</v>
          </cell>
          <cell r="F5775">
            <v>0</v>
          </cell>
          <cell r="G5775">
            <v>0</v>
          </cell>
        </row>
        <row r="5776">
          <cell r="A5776" t="str">
            <v>55-02-05-0181</v>
          </cell>
          <cell r="B5776">
            <v>0</v>
          </cell>
          <cell r="C5776" t="str">
            <v xml:space="preserve">  MUHAMMED KHAN</v>
          </cell>
          <cell r="D5776">
            <v>0</v>
          </cell>
          <cell r="E5776">
            <v>0</v>
          </cell>
          <cell r="F5776">
            <v>0</v>
          </cell>
          <cell r="G5776">
            <v>0</v>
          </cell>
        </row>
        <row r="5777">
          <cell r="A5777" t="str">
            <v>55-02-05-0182</v>
          </cell>
          <cell r="B5777">
            <v>0</v>
          </cell>
          <cell r="C5777" t="str">
            <v xml:space="preserve">  KHAN MUHAMMED</v>
          </cell>
          <cell r="D5777">
            <v>0</v>
          </cell>
          <cell r="E5777">
            <v>0</v>
          </cell>
          <cell r="F5777">
            <v>0</v>
          </cell>
          <cell r="G5777">
            <v>0</v>
          </cell>
        </row>
        <row r="5778">
          <cell r="A5778" t="str">
            <v>55-02-05-0183</v>
          </cell>
          <cell r="B5778">
            <v>0</v>
          </cell>
          <cell r="C5778" t="str">
            <v xml:space="preserve">  USMAN ALI</v>
          </cell>
          <cell r="D5778">
            <v>0</v>
          </cell>
          <cell r="E5778">
            <v>0</v>
          </cell>
          <cell r="F5778">
            <v>0</v>
          </cell>
          <cell r="G5778">
            <v>0</v>
          </cell>
        </row>
        <row r="5779">
          <cell r="A5779" t="str">
            <v>55-02-05-0184</v>
          </cell>
          <cell r="B5779">
            <v>0</v>
          </cell>
          <cell r="C5779" t="str">
            <v xml:space="preserve">  HASHIM KHAN</v>
          </cell>
          <cell r="D5779">
            <v>0</v>
          </cell>
          <cell r="E5779">
            <v>0</v>
          </cell>
          <cell r="F5779">
            <v>0</v>
          </cell>
          <cell r="G5779">
            <v>0</v>
          </cell>
        </row>
        <row r="5780">
          <cell r="A5780" t="str">
            <v>55-02-05-0185</v>
          </cell>
          <cell r="B5780">
            <v>0</v>
          </cell>
          <cell r="C5780" t="str">
            <v xml:space="preserve">  WAJID ALI</v>
          </cell>
          <cell r="D5780">
            <v>0</v>
          </cell>
          <cell r="E5780">
            <v>0</v>
          </cell>
          <cell r="F5780">
            <v>0</v>
          </cell>
          <cell r="G5780">
            <v>0</v>
          </cell>
        </row>
        <row r="5781">
          <cell r="A5781" t="str">
            <v>55-02-05-0186</v>
          </cell>
          <cell r="B5781">
            <v>0</v>
          </cell>
          <cell r="C5781" t="str">
            <v xml:space="preserve">  ASIF MEHMOOD.</v>
          </cell>
          <cell r="D5781">
            <v>0</v>
          </cell>
          <cell r="E5781">
            <v>0</v>
          </cell>
          <cell r="F5781">
            <v>0</v>
          </cell>
          <cell r="G5781">
            <v>0</v>
          </cell>
        </row>
        <row r="5782">
          <cell r="A5782" t="str">
            <v>55-02-05-0187</v>
          </cell>
          <cell r="B5782">
            <v>0</v>
          </cell>
          <cell r="C5782" t="str">
            <v xml:space="preserve">  HIFTON (PVT) LIMITED.</v>
          </cell>
          <cell r="D5782">
            <v>0</v>
          </cell>
          <cell r="E5782">
            <v>0</v>
          </cell>
          <cell r="F5782">
            <v>0</v>
          </cell>
          <cell r="G5782">
            <v>0</v>
          </cell>
        </row>
        <row r="5783">
          <cell r="A5783" t="str">
            <v>55-02-05-0188</v>
          </cell>
          <cell r="B5783">
            <v>0</v>
          </cell>
          <cell r="C5783" t="str">
            <v xml:space="preserve">  NAVEED SHAH</v>
          </cell>
          <cell r="D5783">
            <v>0</v>
          </cell>
          <cell r="E5783">
            <v>0</v>
          </cell>
          <cell r="F5783">
            <v>0</v>
          </cell>
          <cell r="G5783">
            <v>0</v>
          </cell>
        </row>
        <row r="5784">
          <cell r="A5784" t="str">
            <v>55-02-05-0189</v>
          </cell>
          <cell r="B5784">
            <v>0</v>
          </cell>
          <cell r="C5784" t="str">
            <v xml:space="preserve">  SARWAR KHAN</v>
          </cell>
          <cell r="D5784">
            <v>0</v>
          </cell>
          <cell r="E5784">
            <v>0</v>
          </cell>
          <cell r="F5784">
            <v>0</v>
          </cell>
          <cell r="G5784">
            <v>0</v>
          </cell>
        </row>
        <row r="5785">
          <cell r="A5785" t="str">
            <v>55-02-05-0190</v>
          </cell>
          <cell r="B5785">
            <v>0</v>
          </cell>
          <cell r="C5785" t="str">
            <v xml:space="preserve">  MUHAMMED ASIF</v>
          </cell>
          <cell r="D5785">
            <v>0</v>
          </cell>
          <cell r="E5785">
            <v>0</v>
          </cell>
          <cell r="F5785">
            <v>0</v>
          </cell>
          <cell r="G5785">
            <v>0</v>
          </cell>
        </row>
        <row r="5786">
          <cell r="A5786" t="str">
            <v>55-02-05-0191</v>
          </cell>
          <cell r="B5786">
            <v>0</v>
          </cell>
          <cell r="C5786" t="str">
            <v xml:space="preserve">  ABID HUSSAIN</v>
          </cell>
          <cell r="D5786">
            <v>0</v>
          </cell>
          <cell r="E5786">
            <v>0</v>
          </cell>
          <cell r="F5786">
            <v>0</v>
          </cell>
          <cell r="G5786">
            <v>0</v>
          </cell>
        </row>
        <row r="5787">
          <cell r="A5787" t="str">
            <v>55-02-05-0192</v>
          </cell>
          <cell r="B5787">
            <v>0</v>
          </cell>
          <cell r="C5787" t="str">
            <v xml:space="preserve">  KASHIF MEHMOOD</v>
          </cell>
          <cell r="D5787">
            <v>0</v>
          </cell>
          <cell r="E5787">
            <v>0</v>
          </cell>
          <cell r="F5787">
            <v>0</v>
          </cell>
          <cell r="G5787">
            <v>0</v>
          </cell>
        </row>
        <row r="5788">
          <cell r="A5788" t="str">
            <v>55-02-05-0193</v>
          </cell>
          <cell r="B5788">
            <v>0</v>
          </cell>
          <cell r="C5788" t="str">
            <v xml:space="preserve">  ABDUL REHMAN.</v>
          </cell>
          <cell r="D5788">
            <v>0</v>
          </cell>
          <cell r="E5788">
            <v>0</v>
          </cell>
          <cell r="F5788">
            <v>0</v>
          </cell>
          <cell r="G5788">
            <v>0</v>
          </cell>
        </row>
        <row r="5789">
          <cell r="A5789" t="str">
            <v>55-02-05-0194</v>
          </cell>
          <cell r="B5789">
            <v>0</v>
          </cell>
          <cell r="C5789" t="str">
            <v xml:space="preserve">  GUL SHER</v>
          </cell>
          <cell r="D5789">
            <v>0</v>
          </cell>
          <cell r="E5789">
            <v>0</v>
          </cell>
          <cell r="F5789">
            <v>0</v>
          </cell>
          <cell r="G5789">
            <v>0</v>
          </cell>
        </row>
        <row r="5790">
          <cell r="A5790" t="str">
            <v>55-02-05-0195</v>
          </cell>
          <cell r="B5790">
            <v>0</v>
          </cell>
          <cell r="C5790" t="str">
            <v xml:space="preserve">  NISAR AHMED</v>
          </cell>
          <cell r="D5790">
            <v>0</v>
          </cell>
          <cell r="E5790">
            <v>0</v>
          </cell>
          <cell r="F5790">
            <v>0</v>
          </cell>
          <cell r="G5790">
            <v>0</v>
          </cell>
        </row>
        <row r="5791">
          <cell r="A5791" t="str">
            <v>55-02-05-0196</v>
          </cell>
          <cell r="B5791">
            <v>0</v>
          </cell>
          <cell r="C5791" t="str">
            <v xml:space="preserve">  MUHAMMAD ISHFAQ</v>
          </cell>
          <cell r="D5791">
            <v>0</v>
          </cell>
          <cell r="E5791">
            <v>0</v>
          </cell>
          <cell r="F5791">
            <v>0</v>
          </cell>
          <cell r="G5791">
            <v>0</v>
          </cell>
        </row>
        <row r="5792">
          <cell r="A5792" t="str">
            <v>55-02-05-0197</v>
          </cell>
          <cell r="B5792">
            <v>0</v>
          </cell>
          <cell r="C5792" t="str">
            <v xml:space="preserve">  ASJAD ALI</v>
          </cell>
          <cell r="D5792">
            <v>0</v>
          </cell>
          <cell r="E5792">
            <v>0</v>
          </cell>
          <cell r="F5792">
            <v>0</v>
          </cell>
          <cell r="G5792">
            <v>0</v>
          </cell>
        </row>
        <row r="5793">
          <cell r="A5793" t="str">
            <v>55-02-05-0198</v>
          </cell>
          <cell r="B5793">
            <v>0</v>
          </cell>
          <cell r="C5793" t="str">
            <v xml:space="preserve">  AMANAT ALI</v>
          </cell>
          <cell r="D5793">
            <v>0</v>
          </cell>
          <cell r="E5793">
            <v>0</v>
          </cell>
          <cell r="F5793">
            <v>0</v>
          </cell>
          <cell r="G5793">
            <v>0</v>
          </cell>
        </row>
        <row r="5794">
          <cell r="A5794" t="str">
            <v>55-02-05-0199</v>
          </cell>
          <cell r="B5794">
            <v>0</v>
          </cell>
          <cell r="C5794" t="str">
            <v xml:space="preserve">  KHALID MEHMOOD</v>
          </cell>
          <cell r="D5794">
            <v>0</v>
          </cell>
          <cell r="E5794">
            <v>0</v>
          </cell>
          <cell r="F5794">
            <v>0</v>
          </cell>
          <cell r="G5794">
            <v>0</v>
          </cell>
        </row>
        <row r="5795">
          <cell r="A5795" t="str">
            <v>55-02-05-0200</v>
          </cell>
          <cell r="B5795">
            <v>0</v>
          </cell>
          <cell r="C5795" t="str">
            <v xml:space="preserve">  ASIF JAVED</v>
          </cell>
          <cell r="D5795">
            <v>0</v>
          </cell>
          <cell r="E5795">
            <v>0</v>
          </cell>
          <cell r="F5795">
            <v>0</v>
          </cell>
          <cell r="G5795">
            <v>0</v>
          </cell>
        </row>
        <row r="5796">
          <cell r="A5796" t="str">
            <v>55-02-05-0201</v>
          </cell>
          <cell r="B5796">
            <v>0</v>
          </cell>
          <cell r="C5796" t="str">
            <v xml:space="preserve">  SAFDAR MEHMOOD</v>
          </cell>
          <cell r="D5796">
            <v>0</v>
          </cell>
          <cell r="E5796">
            <v>0</v>
          </cell>
          <cell r="F5796">
            <v>0</v>
          </cell>
          <cell r="G5796">
            <v>0</v>
          </cell>
        </row>
        <row r="5797">
          <cell r="A5797" t="str">
            <v>55-02-05-0202</v>
          </cell>
          <cell r="B5797">
            <v>0</v>
          </cell>
          <cell r="C5797" t="str">
            <v xml:space="preserve">  MAZHAR SHAH</v>
          </cell>
          <cell r="D5797">
            <v>0</v>
          </cell>
          <cell r="E5797">
            <v>0</v>
          </cell>
          <cell r="F5797">
            <v>0</v>
          </cell>
          <cell r="G5797">
            <v>0</v>
          </cell>
        </row>
        <row r="5798">
          <cell r="A5798" t="str">
            <v>55-02-05-0203</v>
          </cell>
          <cell r="B5798">
            <v>0</v>
          </cell>
          <cell r="C5798" t="str">
            <v xml:space="preserve">  TANVIR AHMED</v>
          </cell>
          <cell r="D5798">
            <v>0</v>
          </cell>
          <cell r="E5798">
            <v>0</v>
          </cell>
          <cell r="F5798">
            <v>0</v>
          </cell>
          <cell r="G5798">
            <v>0</v>
          </cell>
        </row>
        <row r="5799">
          <cell r="A5799" t="str">
            <v>55-02-05-0204</v>
          </cell>
          <cell r="B5799">
            <v>0</v>
          </cell>
          <cell r="C5799" t="str">
            <v xml:space="preserve">  RASHID PALYDAR</v>
          </cell>
          <cell r="D5799">
            <v>0</v>
          </cell>
          <cell r="E5799">
            <v>0</v>
          </cell>
          <cell r="F5799">
            <v>0</v>
          </cell>
          <cell r="G5799">
            <v>0</v>
          </cell>
        </row>
        <row r="5800">
          <cell r="A5800" t="str">
            <v>55-02-05-0205</v>
          </cell>
          <cell r="B5800">
            <v>0</v>
          </cell>
          <cell r="C5800" t="str">
            <v xml:space="preserve">  MUHAMMAD ARSHAD</v>
          </cell>
          <cell r="D5800">
            <v>0</v>
          </cell>
          <cell r="E5800">
            <v>0</v>
          </cell>
          <cell r="F5800">
            <v>0</v>
          </cell>
          <cell r="G5800">
            <v>0</v>
          </cell>
        </row>
        <row r="5801">
          <cell r="A5801" t="str">
            <v>55-02-05-0206</v>
          </cell>
          <cell r="B5801">
            <v>0</v>
          </cell>
          <cell r="C5801" t="str">
            <v xml:space="preserve">  KAMAL KHAN</v>
          </cell>
          <cell r="D5801">
            <v>0</v>
          </cell>
          <cell r="E5801">
            <v>0</v>
          </cell>
          <cell r="F5801">
            <v>0</v>
          </cell>
          <cell r="G5801">
            <v>0</v>
          </cell>
        </row>
        <row r="5802">
          <cell r="A5802" t="str">
            <v>55-02-05-0207</v>
          </cell>
          <cell r="B5802">
            <v>0</v>
          </cell>
          <cell r="C5802" t="str">
            <v xml:space="preserve">  QAISER KHAN</v>
          </cell>
          <cell r="D5802">
            <v>0</v>
          </cell>
          <cell r="E5802">
            <v>0</v>
          </cell>
          <cell r="F5802">
            <v>0</v>
          </cell>
          <cell r="G5802">
            <v>0</v>
          </cell>
        </row>
        <row r="5803">
          <cell r="A5803" t="str">
            <v>55-02-05-0208</v>
          </cell>
          <cell r="B5803">
            <v>0</v>
          </cell>
          <cell r="C5803" t="str">
            <v xml:space="preserve">  MUHAMMAD JAMAL</v>
          </cell>
          <cell r="D5803">
            <v>0</v>
          </cell>
          <cell r="E5803">
            <v>0</v>
          </cell>
          <cell r="F5803">
            <v>0</v>
          </cell>
          <cell r="G5803">
            <v>0</v>
          </cell>
        </row>
        <row r="5804">
          <cell r="A5804" t="str">
            <v>55-02-05-0209</v>
          </cell>
          <cell r="B5804">
            <v>0</v>
          </cell>
          <cell r="C5804" t="str">
            <v xml:space="preserve">  ASHFAQ AHMED</v>
          </cell>
          <cell r="D5804">
            <v>0</v>
          </cell>
          <cell r="E5804">
            <v>0</v>
          </cell>
          <cell r="F5804">
            <v>0</v>
          </cell>
          <cell r="G5804">
            <v>0</v>
          </cell>
        </row>
        <row r="5805">
          <cell r="A5805" t="str">
            <v>55-02-05-0210</v>
          </cell>
          <cell r="B5805">
            <v>0</v>
          </cell>
          <cell r="C5805" t="str">
            <v xml:space="preserve">  ANWAR SHAH</v>
          </cell>
          <cell r="D5805">
            <v>0</v>
          </cell>
          <cell r="E5805">
            <v>0</v>
          </cell>
          <cell r="F5805">
            <v>0</v>
          </cell>
          <cell r="G5805">
            <v>0</v>
          </cell>
        </row>
        <row r="5806">
          <cell r="A5806" t="str">
            <v>55-02-05-0211</v>
          </cell>
          <cell r="B5806">
            <v>0</v>
          </cell>
          <cell r="C5806" t="str">
            <v xml:space="preserve">  FAHIM PALAYDAR</v>
          </cell>
          <cell r="D5806">
            <v>0</v>
          </cell>
          <cell r="E5806">
            <v>0</v>
          </cell>
          <cell r="F5806">
            <v>0</v>
          </cell>
          <cell r="G5806">
            <v>0</v>
          </cell>
        </row>
        <row r="5807">
          <cell r="A5807" t="str">
            <v>55-02-05-0212</v>
          </cell>
          <cell r="B5807">
            <v>0</v>
          </cell>
          <cell r="C5807" t="str">
            <v xml:space="preserve">  QASIM KHAN</v>
          </cell>
          <cell r="D5807">
            <v>0</v>
          </cell>
          <cell r="E5807">
            <v>0</v>
          </cell>
          <cell r="F5807">
            <v>0</v>
          </cell>
          <cell r="G5807">
            <v>0</v>
          </cell>
        </row>
        <row r="5808">
          <cell r="A5808" t="str">
            <v>55-02-05-0213</v>
          </cell>
          <cell r="B5808">
            <v>0</v>
          </cell>
          <cell r="C5808" t="str">
            <v xml:space="preserve">  YASIR AKHTAR</v>
          </cell>
          <cell r="D5808">
            <v>0</v>
          </cell>
          <cell r="E5808">
            <v>0</v>
          </cell>
          <cell r="F5808">
            <v>0</v>
          </cell>
          <cell r="G5808">
            <v>0</v>
          </cell>
        </row>
        <row r="5809">
          <cell r="A5809" t="str">
            <v>55-02-05-0214</v>
          </cell>
          <cell r="B5809">
            <v>0</v>
          </cell>
          <cell r="C5809" t="str">
            <v xml:space="preserve">  ANWAR SAJJAD</v>
          </cell>
          <cell r="D5809">
            <v>0</v>
          </cell>
          <cell r="E5809">
            <v>0</v>
          </cell>
          <cell r="F5809">
            <v>0</v>
          </cell>
          <cell r="G5809">
            <v>0</v>
          </cell>
        </row>
        <row r="5810">
          <cell r="A5810" t="str">
            <v>55-02-05-0215</v>
          </cell>
          <cell r="B5810">
            <v>0</v>
          </cell>
          <cell r="C5810" t="str">
            <v xml:space="preserve">  M.N.H.TEXTILE</v>
          </cell>
          <cell r="D5810">
            <v>0</v>
          </cell>
          <cell r="E5810">
            <v>0</v>
          </cell>
          <cell r="F5810">
            <v>0</v>
          </cell>
          <cell r="G5810">
            <v>0</v>
          </cell>
        </row>
        <row r="5811">
          <cell r="A5811" t="str">
            <v>55-02-05-0216</v>
          </cell>
          <cell r="B5811">
            <v>0</v>
          </cell>
          <cell r="C5811" t="str">
            <v xml:space="preserve">  ZAINCO TEX</v>
          </cell>
          <cell r="D5811">
            <v>0</v>
          </cell>
          <cell r="E5811">
            <v>0</v>
          </cell>
          <cell r="F5811">
            <v>0</v>
          </cell>
          <cell r="G5811">
            <v>0</v>
          </cell>
        </row>
        <row r="5812">
          <cell r="A5812" t="str">
            <v>55-02-05-0217</v>
          </cell>
          <cell r="B5812">
            <v>0</v>
          </cell>
          <cell r="C5812" t="str">
            <v xml:space="preserve">  ALAM ZEB</v>
          </cell>
          <cell r="D5812">
            <v>0</v>
          </cell>
          <cell r="E5812">
            <v>0</v>
          </cell>
          <cell r="F5812">
            <v>0</v>
          </cell>
          <cell r="G5812">
            <v>0</v>
          </cell>
        </row>
        <row r="5813">
          <cell r="A5813" t="str">
            <v>55-02-05-0218</v>
          </cell>
          <cell r="B5813">
            <v>0</v>
          </cell>
          <cell r="C5813" t="str">
            <v xml:space="preserve">  RAUF TEXTILE</v>
          </cell>
          <cell r="D5813">
            <v>0</v>
          </cell>
          <cell r="E5813">
            <v>0</v>
          </cell>
          <cell r="F5813">
            <v>0</v>
          </cell>
          <cell r="G5813">
            <v>0</v>
          </cell>
        </row>
        <row r="5814">
          <cell r="A5814" t="str">
            <v>55-02-05-0219</v>
          </cell>
          <cell r="B5814">
            <v>0</v>
          </cell>
          <cell r="C5814" t="str">
            <v xml:space="preserve">  SHE GARMENTS</v>
          </cell>
          <cell r="D5814">
            <v>0</v>
          </cell>
          <cell r="E5814">
            <v>0</v>
          </cell>
          <cell r="F5814">
            <v>0</v>
          </cell>
          <cell r="G5814">
            <v>0</v>
          </cell>
        </row>
        <row r="5815">
          <cell r="A5815" t="str">
            <v>55-02-05-0220</v>
          </cell>
          <cell r="B5815">
            <v>0</v>
          </cell>
          <cell r="C5815" t="str">
            <v xml:space="preserve">  SPLENDED TEXTILE (PVT) LIMITED</v>
          </cell>
          <cell r="D5815">
            <v>0</v>
          </cell>
          <cell r="E5815">
            <v>0</v>
          </cell>
          <cell r="F5815">
            <v>0</v>
          </cell>
          <cell r="G5815">
            <v>0</v>
          </cell>
        </row>
        <row r="5816">
          <cell r="A5816" t="str">
            <v>55-02-05-0221</v>
          </cell>
          <cell r="B5816">
            <v>0</v>
          </cell>
          <cell r="C5816" t="str">
            <v xml:space="preserve">  NAEEM KHAN</v>
          </cell>
          <cell r="D5816">
            <v>0</v>
          </cell>
          <cell r="E5816">
            <v>0</v>
          </cell>
          <cell r="F5816">
            <v>0</v>
          </cell>
          <cell r="G5816">
            <v>0</v>
          </cell>
        </row>
        <row r="5817">
          <cell r="A5817" t="str">
            <v>55-02-05-0222</v>
          </cell>
          <cell r="B5817">
            <v>0</v>
          </cell>
          <cell r="C5817" t="str">
            <v xml:space="preserve">  MUHAMMAD SARWAR</v>
          </cell>
          <cell r="D5817">
            <v>0</v>
          </cell>
          <cell r="E5817">
            <v>0</v>
          </cell>
          <cell r="F5817">
            <v>0</v>
          </cell>
          <cell r="G5817">
            <v>0</v>
          </cell>
        </row>
        <row r="5818">
          <cell r="A5818" t="str">
            <v>55-02-05-0223</v>
          </cell>
          <cell r="B5818">
            <v>0</v>
          </cell>
          <cell r="C5818" t="str">
            <v xml:space="preserve">  KAMRAN AHMED</v>
          </cell>
          <cell r="D5818">
            <v>0</v>
          </cell>
          <cell r="E5818">
            <v>0</v>
          </cell>
          <cell r="F5818">
            <v>0</v>
          </cell>
          <cell r="G5818">
            <v>0</v>
          </cell>
        </row>
        <row r="5819">
          <cell r="A5819" t="str">
            <v>55-02-05-0224</v>
          </cell>
          <cell r="B5819">
            <v>0</v>
          </cell>
          <cell r="C5819" t="str">
            <v xml:space="preserve">  AL-MUZILL COTTON</v>
          </cell>
          <cell r="D5819">
            <v>0</v>
          </cell>
          <cell r="E5819">
            <v>0</v>
          </cell>
          <cell r="F5819">
            <v>0</v>
          </cell>
          <cell r="G5819">
            <v>0</v>
          </cell>
        </row>
        <row r="5820">
          <cell r="A5820" t="str">
            <v>55-02-05-0225</v>
          </cell>
          <cell r="B5820">
            <v>0</v>
          </cell>
          <cell r="C5820" t="str">
            <v xml:space="preserve">  STAR APPARELS INTERNATIONAL</v>
          </cell>
          <cell r="D5820">
            <v>0</v>
          </cell>
          <cell r="E5820">
            <v>0</v>
          </cell>
          <cell r="F5820">
            <v>0</v>
          </cell>
          <cell r="G5820">
            <v>0</v>
          </cell>
        </row>
        <row r="5821">
          <cell r="A5821" t="str">
            <v>55-02-05-0226</v>
          </cell>
          <cell r="B5821">
            <v>0</v>
          </cell>
          <cell r="C5821" t="str">
            <v xml:space="preserve">  ZAIDI INTERNATIONAL</v>
          </cell>
          <cell r="D5821">
            <v>0</v>
          </cell>
          <cell r="E5821">
            <v>0</v>
          </cell>
          <cell r="F5821">
            <v>0</v>
          </cell>
          <cell r="G5821">
            <v>0</v>
          </cell>
        </row>
        <row r="5822">
          <cell r="A5822" t="str">
            <v>55-02-05-0227</v>
          </cell>
          <cell r="B5822">
            <v>0</v>
          </cell>
          <cell r="C5822" t="str">
            <v xml:space="preserve">  SADIQ FABRIC</v>
          </cell>
          <cell r="D5822">
            <v>0</v>
          </cell>
          <cell r="E5822">
            <v>0</v>
          </cell>
          <cell r="F5822">
            <v>0</v>
          </cell>
          <cell r="G5822">
            <v>0</v>
          </cell>
        </row>
        <row r="5823">
          <cell r="A5823" t="str">
            <v>55-02-05-0228</v>
          </cell>
          <cell r="B5823">
            <v>0</v>
          </cell>
          <cell r="C5823" t="str">
            <v xml:space="preserve">  ELEGANZE (PVT) LIMITED</v>
          </cell>
          <cell r="D5823">
            <v>0</v>
          </cell>
          <cell r="E5823">
            <v>0</v>
          </cell>
          <cell r="F5823">
            <v>0</v>
          </cell>
          <cell r="G5823">
            <v>0</v>
          </cell>
        </row>
        <row r="5824">
          <cell r="A5824" t="str">
            <v>55-02-05-0229</v>
          </cell>
          <cell r="B5824">
            <v>0</v>
          </cell>
          <cell r="C5824" t="str">
            <v xml:space="preserve">  DECO GARS</v>
          </cell>
          <cell r="D5824">
            <v>0</v>
          </cell>
          <cell r="E5824">
            <v>0</v>
          </cell>
          <cell r="F5824">
            <v>0</v>
          </cell>
          <cell r="G5824">
            <v>0</v>
          </cell>
        </row>
        <row r="5825">
          <cell r="A5825" t="str">
            <v>55-02-05-0230</v>
          </cell>
          <cell r="B5825">
            <v>0</v>
          </cell>
          <cell r="C5825" t="str">
            <v xml:space="preserve">  MEHAK TEXTILE (PVT) LIMITED</v>
          </cell>
          <cell r="D5825">
            <v>0</v>
          </cell>
          <cell r="E5825">
            <v>0</v>
          </cell>
          <cell r="F5825">
            <v>0</v>
          </cell>
          <cell r="G5825">
            <v>0</v>
          </cell>
        </row>
        <row r="5826">
          <cell r="A5826" t="str">
            <v>55-02-05-0231</v>
          </cell>
          <cell r="B5826">
            <v>0</v>
          </cell>
          <cell r="C5826" t="str">
            <v xml:space="preserve">  WAHDAT TEXTILE (PVT) LIMITED</v>
          </cell>
          <cell r="D5826">
            <v>0</v>
          </cell>
          <cell r="E5826">
            <v>0</v>
          </cell>
          <cell r="F5826">
            <v>0</v>
          </cell>
          <cell r="G5826">
            <v>0</v>
          </cell>
        </row>
        <row r="5827">
          <cell r="A5827" t="str">
            <v>55-02-05-0232</v>
          </cell>
          <cell r="B5827">
            <v>0</v>
          </cell>
          <cell r="C5827" t="str">
            <v xml:space="preserve">  TRADE &amp; TRENDS</v>
          </cell>
          <cell r="D5827">
            <v>0</v>
          </cell>
          <cell r="E5827">
            <v>0</v>
          </cell>
          <cell r="F5827">
            <v>0</v>
          </cell>
          <cell r="G5827">
            <v>0</v>
          </cell>
        </row>
        <row r="5828">
          <cell r="A5828" t="str">
            <v>55-02-05-0233</v>
          </cell>
          <cell r="B5828">
            <v>0</v>
          </cell>
          <cell r="C5828" t="str">
            <v xml:space="preserve">  VGA CLOTHINGS</v>
          </cell>
          <cell r="D5828">
            <v>0</v>
          </cell>
          <cell r="E5828">
            <v>0</v>
          </cell>
          <cell r="F5828">
            <v>0</v>
          </cell>
          <cell r="G5828">
            <v>0</v>
          </cell>
        </row>
        <row r="5829">
          <cell r="A5829" t="str">
            <v>55-02-05-0234</v>
          </cell>
          <cell r="B5829">
            <v>0</v>
          </cell>
          <cell r="C5829" t="str">
            <v xml:space="preserve">  NOVAL APPARELS</v>
          </cell>
          <cell r="D5829">
            <v>0</v>
          </cell>
          <cell r="E5829">
            <v>0</v>
          </cell>
          <cell r="F5829">
            <v>0</v>
          </cell>
          <cell r="G5829">
            <v>0</v>
          </cell>
        </row>
        <row r="5830">
          <cell r="A5830" t="str">
            <v>55-02-05-0235</v>
          </cell>
          <cell r="B5830">
            <v>0</v>
          </cell>
          <cell r="C5830" t="str">
            <v xml:space="preserve">  TANVEER INTERNATIONAL</v>
          </cell>
          <cell r="D5830">
            <v>0</v>
          </cell>
          <cell r="E5830">
            <v>0</v>
          </cell>
          <cell r="F5830">
            <v>0</v>
          </cell>
          <cell r="G5830">
            <v>0</v>
          </cell>
        </row>
        <row r="5831">
          <cell r="A5831" t="str">
            <v>55-02-05-0236</v>
          </cell>
          <cell r="B5831">
            <v>0</v>
          </cell>
          <cell r="C5831" t="str">
            <v xml:space="preserve">  WAHAB TEXTILE</v>
          </cell>
          <cell r="D5831">
            <v>0</v>
          </cell>
          <cell r="E5831">
            <v>0</v>
          </cell>
          <cell r="F5831">
            <v>0</v>
          </cell>
          <cell r="G5831">
            <v>0</v>
          </cell>
        </row>
        <row r="5832">
          <cell r="A5832" t="str">
            <v>55-02-05-0237</v>
          </cell>
          <cell r="B5832">
            <v>0</v>
          </cell>
          <cell r="C5832" t="str">
            <v xml:space="preserve">  SANA ENTERPRISES</v>
          </cell>
          <cell r="D5832">
            <v>0</v>
          </cell>
          <cell r="E5832">
            <v>0</v>
          </cell>
          <cell r="F5832">
            <v>0</v>
          </cell>
          <cell r="G5832">
            <v>0</v>
          </cell>
        </row>
        <row r="5833">
          <cell r="A5833" t="str">
            <v>55-02-05-0238</v>
          </cell>
          <cell r="B5833">
            <v>0</v>
          </cell>
          <cell r="C5833" t="str">
            <v xml:space="preserve">  H.M.S.TENT TEXTILE</v>
          </cell>
          <cell r="D5833">
            <v>0</v>
          </cell>
          <cell r="E5833">
            <v>0</v>
          </cell>
          <cell r="F5833">
            <v>0</v>
          </cell>
          <cell r="G5833">
            <v>0</v>
          </cell>
        </row>
        <row r="5834">
          <cell r="A5834" t="str">
            <v>55-02-05-0239</v>
          </cell>
          <cell r="B5834">
            <v>0</v>
          </cell>
          <cell r="C5834" t="str">
            <v xml:space="preserve">  LINKS ENTERPRISES</v>
          </cell>
          <cell r="D5834">
            <v>0</v>
          </cell>
          <cell r="E5834">
            <v>0</v>
          </cell>
          <cell r="F5834">
            <v>0</v>
          </cell>
          <cell r="G5834">
            <v>0</v>
          </cell>
        </row>
        <row r="5835">
          <cell r="A5835" t="str">
            <v>55-02-05-0240</v>
          </cell>
          <cell r="B5835">
            <v>0</v>
          </cell>
          <cell r="C5835" t="str">
            <v xml:space="preserve">  GEMINI GARMENTS</v>
          </cell>
          <cell r="D5835">
            <v>0</v>
          </cell>
          <cell r="E5835">
            <v>0</v>
          </cell>
          <cell r="F5835">
            <v>0</v>
          </cell>
          <cell r="G5835">
            <v>0</v>
          </cell>
        </row>
        <row r="5836">
          <cell r="A5836" t="str">
            <v>55-02-05-0241</v>
          </cell>
          <cell r="B5836">
            <v>0</v>
          </cell>
          <cell r="C5836" t="str">
            <v xml:space="preserve">  WEAVE TEX INTERNATIONAL</v>
          </cell>
          <cell r="D5836">
            <v>0</v>
          </cell>
          <cell r="E5836">
            <v>0</v>
          </cell>
          <cell r="F5836">
            <v>0</v>
          </cell>
          <cell r="G5836">
            <v>0</v>
          </cell>
        </row>
        <row r="5837">
          <cell r="A5837" t="str">
            <v>55-02-05-0242</v>
          </cell>
          <cell r="B5837">
            <v>0</v>
          </cell>
          <cell r="C5837" t="str">
            <v xml:space="preserve">  AUGUST TEXTILE COMMUNION</v>
          </cell>
          <cell r="D5837">
            <v>0</v>
          </cell>
          <cell r="E5837">
            <v>0</v>
          </cell>
          <cell r="F5837">
            <v>0</v>
          </cell>
          <cell r="G5837">
            <v>0</v>
          </cell>
        </row>
        <row r="5838">
          <cell r="A5838" t="str">
            <v>55-02-05-0243</v>
          </cell>
          <cell r="B5838">
            <v>0</v>
          </cell>
          <cell r="C5838" t="str">
            <v xml:space="preserve">  NOON TEXTILE</v>
          </cell>
          <cell r="D5838">
            <v>0</v>
          </cell>
          <cell r="E5838">
            <v>0</v>
          </cell>
          <cell r="F5838">
            <v>0</v>
          </cell>
          <cell r="G5838">
            <v>0</v>
          </cell>
        </row>
        <row r="5839">
          <cell r="A5839" t="str">
            <v>55-02-05-0244</v>
          </cell>
          <cell r="B5839">
            <v>0</v>
          </cell>
          <cell r="C5839" t="str">
            <v xml:space="preserve">  SARDAR ENTERPRISES</v>
          </cell>
          <cell r="D5839">
            <v>0</v>
          </cell>
          <cell r="E5839">
            <v>0</v>
          </cell>
          <cell r="F5839">
            <v>0</v>
          </cell>
          <cell r="G5839">
            <v>0</v>
          </cell>
        </row>
        <row r="5840">
          <cell r="A5840" t="str">
            <v>55-02-05-0245</v>
          </cell>
          <cell r="B5840">
            <v>0</v>
          </cell>
          <cell r="C5840" t="str">
            <v xml:space="preserve">  KAUSAR GARMENTS</v>
          </cell>
          <cell r="D5840">
            <v>0</v>
          </cell>
          <cell r="E5840">
            <v>0</v>
          </cell>
          <cell r="F5840">
            <v>0</v>
          </cell>
          <cell r="G5840">
            <v>0</v>
          </cell>
        </row>
        <row r="5841">
          <cell r="A5841" t="str">
            <v>55-02-05-0246</v>
          </cell>
          <cell r="B5841">
            <v>0</v>
          </cell>
          <cell r="C5841" t="str">
            <v xml:space="preserve">  AKBAR KHAN &amp; COMPANY</v>
          </cell>
          <cell r="D5841">
            <v>0</v>
          </cell>
          <cell r="E5841">
            <v>0</v>
          </cell>
          <cell r="F5841">
            <v>0</v>
          </cell>
          <cell r="G5841">
            <v>0</v>
          </cell>
        </row>
        <row r="5842">
          <cell r="A5842" t="str">
            <v>55-02-05-0247</v>
          </cell>
          <cell r="B5842">
            <v>0</v>
          </cell>
          <cell r="C5842" t="str">
            <v xml:space="preserve">  R.A.TEX</v>
          </cell>
          <cell r="D5842">
            <v>0</v>
          </cell>
          <cell r="E5842">
            <v>0</v>
          </cell>
          <cell r="F5842">
            <v>0</v>
          </cell>
          <cell r="G5842">
            <v>0</v>
          </cell>
        </row>
        <row r="5843">
          <cell r="A5843" t="str">
            <v>55-02-05-0248</v>
          </cell>
          <cell r="B5843">
            <v>0</v>
          </cell>
          <cell r="C5843" t="str">
            <v xml:space="preserve">  MEHAR TEXTILE</v>
          </cell>
          <cell r="D5843">
            <v>0</v>
          </cell>
          <cell r="E5843">
            <v>0</v>
          </cell>
          <cell r="F5843">
            <v>0</v>
          </cell>
          <cell r="G5843">
            <v>0</v>
          </cell>
        </row>
        <row r="5844">
          <cell r="A5844" t="str">
            <v>55-02-05-0249</v>
          </cell>
          <cell r="B5844">
            <v>0</v>
          </cell>
          <cell r="C5844" t="str">
            <v xml:space="preserve">  K.M.ENTERPRISES</v>
          </cell>
          <cell r="D5844">
            <v>0</v>
          </cell>
          <cell r="E5844">
            <v>0</v>
          </cell>
          <cell r="F5844">
            <v>0</v>
          </cell>
          <cell r="G5844">
            <v>0</v>
          </cell>
        </row>
        <row r="5845">
          <cell r="A5845" t="str">
            <v>55-02-05-0250</v>
          </cell>
          <cell r="B5845">
            <v>0</v>
          </cell>
          <cell r="C5845" t="str">
            <v xml:space="preserve">  KAMRAN INTERNATIONAL CORPORATION</v>
          </cell>
          <cell r="D5845">
            <v>0</v>
          </cell>
          <cell r="E5845">
            <v>0</v>
          </cell>
          <cell r="F5845">
            <v>0</v>
          </cell>
          <cell r="G5845">
            <v>0</v>
          </cell>
        </row>
        <row r="5846">
          <cell r="A5846" t="str">
            <v>55-02-05-0251</v>
          </cell>
          <cell r="B5846">
            <v>0</v>
          </cell>
          <cell r="C5846" t="str">
            <v xml:space="preserve">  MUSKZAR KNITWEAR (PVT) LTD.</v>
          </cell>
          <cell r="D5846">
            <v>0</v>
          </cell>
          <cell r="E5846">
            <v>0</v>
          </cell>
          <cell r="F5846">
            <v>0</v>
          </cell>
          <cell r="G5846">
            <v>0</v>
          </cell>
        </row>
        <row r="5847">
          <cell r="A5847" t="str">
            <v>55-02-05-0252</v>
          </cell>
          <cell r="B5847">
            <v>0</v>
          </cell>
          <cell r="C5847" t="str">
            <v xml:space="preserve">  SAPHHIRE KNITWEAR (PVT) LTD.</v>
          </cell>
          <cell r="D5847">
            <v>0</v>
          </cell>
          <cell r="E5847">
            <v>0</v>
          </cell>
          <cell r="F5847">
            <v>0</v>
          </cell>
          <cell r="G5847">
            <v>0</v>
          </cell>
        </row>
        <row r="5848">
          <cell r="A5848" t="str">
            <v>55-02-05-0253</v>
          </cell>
          <cell r="B5848">
            <v>0</v>
          </cell>
          <cell r="C5848" t="str">
            <v xml:space="preserve">  NAFEES APPARELS INTERNATIONAL</v>
          </cell>
          <cell r="D5848">
            <v>0</v>
          </cell>
          <cell r="E5848">
            <v>0</v>
          </cell>
          <cell r="F5848">
            <v>0</v>
          </cell>
          <cell r="G5848">
            <v>0</v>
          </cell>
        </row>
        <row r="5849">
          <cell r="A5849" t="str">
            <v>55-02-05-0254</v>
          </cell>
          <cell r="B5849">
            <v>0</v>
          </cell>
          <cell r="C5849" t="str">
            <v xml:space="preserve">  GRACE FABRICS</v>
          </cell>
          <cell r="D5849">
            <v>0</v>
          </cell>
          <cell r="E5849">
            <v>0</v>
          </cell>
          <cell r="F5849">
            <v>0</v>
          </cell>
          <cell r="G5849">
            <v>0</v>
          </cell>
        </row>
        <row r="5850">
          <cell r="A5850" t="str">
            <v>55-02-05-0255</v>
          </cell>
          <cell r="B5850">
            <v>0</v>
          </cell>
          <cell r="C5850" t="str">
            <v xml:space="preserve">  PREMIEER CLOTHING</v>
          </cell>
          <cell r="D5850">
            <v>0</v>
          </cell>
          <cell r="E5850">
            <v>0</v>
          </cell>
          <cell r="F5850">
            <v>0</v>
          </cell>
          <cell r="G5850">
            <v>0</v>
          </cell>
        </row>
        <row r="5851">
          <cell r="A5851" t="str">
            <v>55-02-05-0256</v>
          </cell>
          <cell r="B5851">
            <v>0</v>
          </cell>
          <cell r="C5851" t="str">
            <v xml:space="preserve">  SALEEM FABRICS</v>
          </cell>
          <cell r="D5851">
            <v>0</v>
          </cell>
          <cell r="E5851">
            <v>0</v>
          </cell>
          <cell r="F5851">
            <v>0</v>
          </cell>
          <cell r="G5851">
            <v>0</v>
          </cell>
        </row>
        <row r="5852">
          <cell r="A5852" t="str">
            <v>55-02-05-0257</v>
          </cell>
          <cell r="B5852">
            <v>0</v>
          </cell>
          <cell r="C5852" t="str">
            <v xml:space="preserve">  OSOLO INTERNATIONAL</v>
          </cell>
          <cell r="D5852">
            <v>0</v>
          </cell>
          <cell r="E5852">
            <v>0</v>
          </cell>
          <cell r="F5852">
            <v>0</v>
          </cell>
          <cell r="G5852">
            <v>0</v>
          </cell>
        </row>
        <row r="5853">
          <cell r="A5853" t="str">
            <v>55-02-05-0258</v>
          </cell>
          <cell r="B5853">
            <v>0</v>
          </cell>
          <cell r="C5853" t="str">
            <v xml:space="preserve">  NICE TRADERS</v>
          </cell>
          <cell r="D5853">
            <v>0</v>
          </cell>
          <cell r="E5853">
            <v>0</v>
          </cell>
          <cell r="F5853">
            <v>0</v>
          </cell>
          <cell r="G5853">
            <v>0</v>
          </cell>
        </row>
        <row r="5854">
          <cell r="A5854" t="str">
            <v>55-02-05-0259</v>
          </cell>
          <cell r="B5854">
            <v>0</v>
          </cell>
          <cell r="C5854" t="str">
            <v xml:space="preserve">  RAFIQ TRADERS INTERNATIONAL</v>
          </cell>
          <cell r="D5854">
            <v>0</v>
          </cell>
          <cell r="E5854">
            <v>0</v>
          </cell>
          <cell r="F5854">
            <v>0</v>
          </cell>
          <cell r="G5854">
            <v>0</v>
          </cell>
        </row>
        <row r="5855">
          <cell r="A5855" t="str">
            <v>55-02-05-0260</v>
          </cell>
          <cell r="B5855">
            <v>0</v>
          </cell>
          <cell r="C5855" t="str">
            <v xml:space="preserve">  AL-NOOR TEXTILE INDUSTRIES</v>
          </cell>
          <cell r="D5855">
            <v>0</v>
          </cell>
          <cell r="E5855">
            <v>0</v>
          </cell>
          <cell r="F5855">
            <v>0</v>
          </cell>
          <cell r="G5855">
            <v>0</v>
          </cell>
        </row>
        <row r="5856">
          <cell r="A5856" t="str">
            <v>55-02-05-0261</v>
          </cell>
          <cell r="B5856">
            <v>0</v>
          </cell>
          <cell r="C5856" t="str">
            <v xml:space="preserve">  JILANI WEAVING MILLS (PVT) LIMITED</v>
          </cell>
          <cell r="D5856">
            <v>0</v>
          </cell>
          <cell r="E5856">
            <v>0</v>
          </cell>
          <cell r="F5856">
            <v>0</v>
          </cell>
          <cell r="G5856">
            <v>0</v>
          </cell>
        </row>
        <row r="5857">
          <cell r="A5857" t="str">
            <v>55-02-05-0262</v>
          </cell>
          <cell r="B5857">
            <v>0</v>
          </cell>
          <cell r="C5857" t="str">
            <v xml:space="preserve">  RIAZ FABRICS INDUSTRIES</v>
          </cell>
          <cell r="D5857">
            <v>0</v>
          </cell>
          <cell r="E5857">
            <v>0</v>
          </cell>
          <cell r="F5857">
            <v>0</v>
          </cell>
          <cell r="G5857">
            <v>0</v>
          </cell>
        </row>
        <row r="5858">
          <cell r="A5858" t="str">
            <v>55-02-05-0263</v>
          </cell>
          <cell r="B5858">
            <v>0</v>
          </cell>
          <cell r="C5858" t="str">
            <v xml:space="preserve">  FABRINO TEXTILE MILLS (PVT) LIMITED</v>
          </cell>
          <cell r="D5858">
            <v>0</v>
          </cell>
          <cell r="E5858">
            <v>0</v>
          </cell>
          <cell r="F5858">
            <v>0</v>
          </cell>
          <cell r="G5858">
            <v>0</v>
          </cell>
        </row>
        <row r="5859">
          <cell r="A5859" t="str">
            <v>55-02-05-0264</v>
          </cell>
          <cell r="B5859">
            <v>0</v>
          </cell>
          <cell r="C5859" t="str">
            <v xml:space="preserve">  AMAAD TEXTILE MILLS (PVT) LTD</v>
          </cell>
          <cell r="D5859">
            <v>0</v>
          </cell>
          <cell r="E5859">
            <v>0</v>
          </cell>
          <cell r="F5859">
            <v>0</v>
          </cell>
          <cell r="G5859">
            <v>0</v>
          </cell>
        </row>
        <row r="5860">
          <cell r="A5860" t="str">
            <v>55-02-05-0265</v>
          </cell>
          <cell r="B5860">
            <v>0</v>
          </cell>
          <cell r="C5860" t="str">
            <v xml:space="preserve">  KINGS TEXTILE</v>
          </cell>
          <cell r="D5860">
            <v>0</v>
          </cell>
          <cell r="E5860">
            <v>0</v>
          </cell>
          <cell r="F5860">
            <v>0</v>
          </cell>
          <cell r="G5860">
            <v>0</v>
          </cell>
        </row>
        <row r="5861">
          <cell r="A5861" t="str">
            <v>55-02-05-0266</v>
          </cell>
          <cell r="B5861">
            <v>0</v>
          </cell>
          <cell r="C5861" t="str">
            <v xml:space="preserve">  SPINTEX ZAINAB</v>
          </cell>
          <cell r="D5861">
            <v>0</v>
          </cell>
          <cell r="E5861">
            <v>0</v>
          </cell>
          <cell r="F5861">
            <v>0</v>
          </cell>
          <cell r="G5861">
            <v>0</v>
          </cell>
        </row>
        <row r="5862">
          <cell r="A5862" t="str">
            <v>55-02-05-0267</v>
          </cell>
          <cell r="B5862">
            <v>0</v>
          </cell>
          <cell r="C5862" t="str">
            <v xml:space="preserve">  CREATIVE LOOMS INDSUTRIES</v>
          </cell>
          <cell r="D5862">
            <v>0</v>
          </cell>
          <cell r="E5862">
            <v>0</v>
          </cell>
          <cell r="F5862">
            <v>0</v>
          </cell>
          <cell r="G5862">
            <v>0</v>
          </cell>
        </row>
        <row r="5863">
          <cell r="A5863" t="str">
            <v>55-02-05-0268</v>
          </cell>
          <cell r="B5863">
            <v>0</v>
          </cell>
          <cell r="C5863" t="str">
            <v xml:space="preserve">  SUBLINE TEXTILE</v>
          </cell>
          <cell r="D5863">
            <v>0</v>
          </cell>
          <cell r="E5863">
            <v>0</v>
          </cell>
          <cell r="F5863">
            <v>0</v>
          </cell>
          <cell r="G5863">
            <v>0</v>
          </cell>
        </row>
        <row r="5864">
          <cell r="A5864" t="str">
            <v>55-02-05-0269</v>
          </cell>
          <cell r="B5864">
            <v>0</v>
          </cell>
          <cell r="C5864" t="str">
            <v xml:space="preserve">  MUHAMMAD FIAZ</v>
          </cell>
          <cell r="D5864">
            <v>0</v>
          </cell>
          <cell r="E5864">
            <v>0</v>
          </cell>
          <cell r="F5864">
            <v>0</v>
          </cell>
          <cell r="G5864">
            <v>0</v>
          </cell>
        </row>
        <row r="5865">
          <cell r="A5865" t="str">
            <v>55-02-05-0270</v>
          </cell>
          <cell r="B5865">
            <v>0</v>
          </cell>
          <cell r="C5865" t="str">
            <v xml:space="preserve">  MUHAMMAD SADIQ</v>
          </cell>
          <cell r="D5865">
            <v>0</v>
          </cell>
          <cell r="E5865">
            <v>0</v>
          </cell>
          <cell r="F5865">
            <v>0</v>
          </cell>
          <cell r="G5865">
            <v>0</v>
          </cell>
        </row>
        <row r="5866">
          <cell r="A5866" t="str">
            <v>55-02-05-0271</v>
          </cell>
          <cell r="B5866">
            <v>0</v>
          </cell>
          <cell r="C5866" t="str">
            <v xml:space="preserve">  MAQBOOL AHMED</v>
          </cell>
          <cell r="D5866">
            <v>0</v>
          </cell>
          <cell r="E5866">
            <v>0</v>
          </cell>
          <cell r="F5866">
            <v>0</v>
          </cell>
          <cell r="G5866">
            <v>0</v>
          </cell>
        </row>
        <row r="5867">
          <cell r="A5867" t="str">
            <v>55-02-05-0272</v>
          </cell>
          <cell r="B5867">
            <v>0</v>
          </cell>
          <cell r="C5867" t="str">
            <v xml:space="preserve">  AHMED HASAN</v>
          </cell>
          <cell r="D5867">
            <v>0</v>
          </cell>
          <cell r="E5867">
            <v>0</v>
          </cell>
          <cell r="F5867">
            <v>0</v>
          </cell>
          <cell r="G5867">
            <v>0</v>
          </cell>
        </row>
        <row r="5868">
          <cell r="A5868" t="str">
            <v>55-02-05-0273</v>
          </cell>
          <cell r="B5868">
            <v>0</v>
          </cell>
          <cell r="C5868" t="str">
            <v xml:space="preserve">  COTLINKS INTERNATIONAL</v>
          </cell>
          <cell r="D5868">
            <v>0</v>
          </cell>
          <cell r="E5868">
            <v>0</v>
          </cell>
          <cell r="F5868">
            <v>0</v>
          </cell>
          <cell r="G5868">
            <v>0</v>
          </cell>
        </row>
        <row r="5869">
          <cell r="A5869" t="str">
            <v>55-02-05-0274</v>
          </cell>
          <cell r="B5869">
            <v>0</v>
          </cell>
          <cell r="C5869" t="str">
            <v xml:space="preserve">  ESCOT COTTON FIBER</v>
          </cell>
          <cell r="D5869">
            <v>0</v>
          </cell>
          <cell r="E5869">
            <v>0</v>
          </cell>
          <cell r="F5869">
            <v>0</v>
          </cell>
          <cell r="G5869">
            <v>0</v>
          </cell>
        </row>
        <row r="5870">
          <cell r="A5870" t="str">
            <v>55-02-05-0275</v>
          </cell>
          <cell r="B5870">
            <v>0</v>
          </cell>
          <cell r="C5870" t="str">
            <v xml:space="preserve">  I.M TEXTILE</v>
          </cell>
          <cell r="D5870">
            <v>0</v>
          </cell>
          <cell r="E5870">
            <v>0</v>
          </cell>
          <cell r="F5870">
            <v>0</v>
          </cell>
          <cell r="G5870">
            <v>0</v>
          </cell>
        </row>
        <row r="5871">
          <cell r="A5871" t="str">
            <v>55-02-05-0276</v>
          </cell>
          <cell r="B5871">
            <v>0</v>
          </cell>
          <cell r="C5871" t="str">
            <v xml:space="preserve">  NOBLE TEXTILE MILLS LTD</v>
          </cell>
          <cell r="D5871">
            <v>0</v>
          </cell>
          <cell r="E5871">
            <v>0</v>
          </cell>
          <cell r="F5871">
            <v>0</v>
          </cell>
          <cell r="G5871">
            <v>0</v>
          </cell>
        </row>
        <row r="5872">
          <cell r="A5872" t="str">
            <v>55-02-05-0277</v>
          </cell>
          <cell r="B5872">
            <v>0</v>
          </cell>
          <cell r="C5872" t="str">
            <v xml:space="preserve">  I.M.TEXTILE</v>
          </cell>
          <cell r="D5872">
            <v>0</v>
          </cell>
          <cell r="E5872">
            <v>0</v>
          </cell>
          <cell r="F5872">
            <v>0</v>
          </cell>
          <cell r="G5872">
            <v>0</v>
          </cell>
        </row>
        <row r="5873">
          <cell r="A5873" t="str">
            <v>55-02-05-0278</v>
          </cell>
          <cell r="B5873">
            <v>0</v>
          </cell>
          <cell r="C5873" t="str">
            <v xml:space="preserve">  RAFAHI TEXTILE</v>
          </cell>
          <cell r="D5873">
            <v>0</v>
          </cell>
          <cell r="E5873">
            <v>0</v>
          </cell>
          <cell r="F5873">
            <v>0</v>
          </cell>
          <cell r="G5873">
            <v>0</v>
          </cell>
        </row>
        <row r="5874">
          <cell r="A5874" t="str">
            <v>55-02-05-0279</v>
          </cell>
          <cell r="B5874">
            <v>0</v>
          </cell>
          <cell r="C5874" t="str">
            <v xml:space="preserve">  FIBER TEX</v>
          </cell>
          <cell r="D5874">
            <v>0</v>
          </cell>
          <cell r="E5874">
            <v>0</v>
          </cell>
          <cell r="F5874">
            <v>0</v>
          </cell>
          <cell r="G5874">
            <v>0</v>
          </cell>
        </row>
        <row r="5875">
          <cell r="A5875" t="str">
            <v>55-02-05-0280</v>
          </cell>
          <cell r="B5875">
            <v>0</v>
          </cell>
          <cell r="C5875" t="str">
            <v xml:space="preserve">  RAJ TEXTILE</v>
          </cell>
          <cell r="D5875">
            <v>0</v>
          </cell>
          <cell r="E5875">
            <v>0</v>
          </cell>
          <cell r="F5875">
            <v>0</v>
          </cell>
          <cell r="G5875">
            <v>0</v>
          </cell>
        </row>
        <row r="5876">
          <cell r="A5876" t="str">
            <v>55-02-05-0281</v>
          </cell>
          <cell r="B5876">
            <v>0</v>
          </cell>
          <cell r="C5876" t="str">
            <v xml:space="preserve">  WALEED TEXTILE</v>
          </cell>
          <cell r="D5876">
            <v>0</v>
          </cell>
          <cell r="E5876">
            <v>0</v>
          </cell>
          <cell r="F5876">
            <v>0</v>
          </cell>
          <cell r="G5876">
            <v>0</v>
          </cell>
        </row>
        <row r="5877">
          <cell r="A5877" t="str">
            <v>55-02-05-0282</v>
          </cell>
          <cell r="B5877">
            <v>0</v>
          </cell>
          <cell r="C5877" t="str">
            <v xml:space="preserve">  NEELAM TEXTILE</v>
          </cell>
          <cell r="D5877">
            <v>0</v>
          </cell>
          <cell r="E5877">
            <v>0</v>
          </cell>
          <cell r="F5877">
            <v>0</v>
          </cell>
          <cell r="G5877">
            <v>0</v>
          </cell>
        </row>
        <row r="5878">
          <cell r="A5878" t="str">
            <v>55-02-05-0283</v>
          </cell>
          <cell r="B5878">
            <v>0</v>
          </cell>
          <cell r="C5878" t="str">
            <v xml:space="preserve">  K.T.TEXTILE</v>
          </cell>
          <cell r="D5878">
            <v>0</v>
          </cell>
          <cell r="E5878">
            <v>0</v>
          </cell>
          <cell r="F5878">
            <v>0</v>
          </cell>
          <cell r="G5878">
            <v>0</v>
          </cell>
        </row>
        <row r="5879">
          <cell r="A5879" t="str">
            <v>55-02-05-0284</v>
          </cell>
          <cell r="B5879">
            <v>0</v>
          </cell>
          <cell r="C5879" t="str">
            <v xml:space="preserve">  DECO TEXTILE</v>
          </cell>
          <cell r="D5879">
            <v>0</v>
          </cell>
          <cell r="E5879">
            <v>0</v>
          </cell>
          <cell r="F5879">
            <v>0</v>
          </cell>
          <cell r="G5879">
            <v>0</v>
          </cell>
        </row>
        <row r="5880">
          <cell r="A5880" t="str">
            <v>55-02-05-0285</v>
          </cell>
          <cell r="B5880">
            <v>0</v>
          </cell>
          <cell r="C5880" t="str">
            <v xml:space="preserve">  NAIHA FABRICS</v>
          </cell>
          <cell r="D5880">
            <v>0</v>
          </cell>
          <cell r="E5880">
            <v>0</v>
          </cell>
          <cell r="F5880">
            <v>0</v>
          </cell>
          <cell r="G5880">
            <v>0</v>
          </cell>
        </row>
        <row r="5881">
          <cell r="A5881" t="str">
            <v>55-02-05-0286</v>
          </cell>
          <cell r="B5881">
            <v>0</v>
          </cell>
          <cell r="C5881" t="str">
            <v xml:space="preserve">  CHEENAR TEXTILES</v>
          </cell>
          <cell r="D5881">
            <v>0</v>
          </cell>
          <cell r="E5881">
            <v>0</v>
          </cell>
          <cell r="F5881">
            <v>0</v>
          </cell>
          <cell r="G5881">
            <v>0</v>
          </cell>
        </row>
        <row r="5882">
          <cell r="A5882" t="str">
            <v>55-02-05-0287</v>
          </cell>
          <cell r="B5882">
            <v>0</v>
          </cell>
          <cell r="C5882" t="str">
            <v xml:space="preserve">  CALDERON TEXTILES</v>
          </cell>
          <cell r="D5882">
            <v>0</v>
          </cell>
          <cell r="E5882">
            <v>0</v>
          </cell>
          <cell r="F5882">
            <v>0</v>
          </cell>
          <cell r="G5882">
            <v>0</v>
          </cell>
        </row>
        <row r="5883">
          <cell r="A5883" t="str">
            <v>55-02-05-0288</v>
          </cell>
          <cell r="B5883">
            <v>0</v>
          </cell>
          <cell r="C5883" t="str">
            <v xml:space="preserve">  DYNAMIC ENTERPRISE</v>
          </cell>
          <cell r="D5883">
            <v>0</v>
          </cell>
          <cell r="E5883">
            <v>0</v>
          </cell>
          <cell r="F5883">
            <v>0</v>
          </cell>
          <cell r="G5883">
            <v>0</v>
          </cell>
        </row>
        <row r="5884">
          <cell r="A5884" t="str">
            <v>55-02-05-0289</v>
          </cell>
          <cell r="B5884">
            <v>0</v>
          </cell>
          <cell r="C5884" t="str">
            <v xml:space="preserve">  FATIMA TEXTILE</v>
          </cell>
          <cell r="D5884">
            <v>0</v>
          </cell>
          <cell r="E5884">
            <v>0</v>
          </cell>
          <cell r="F5884">
            <v>0</v>
          </cell>
          <cell r="G5884">
            <v>0</v>
          </cell>
        </row>
        <row r="5885">
          <cell r="A5885" t="str">
            <v>55-02-05-0290</v>
          </cell>
          <cell r="B5885">
            <v>0</v>
          </cell>
          <cell r="C5885" t="str">
            <v xml:space="preserve">  PARVEEN FABRICS</v>
          </cell>
          <cell r="D5885">
            <v>0</v>
          </cell>
          <cell r="E5885">
            <v>0</v>
          </cell>
          <cell r="F5885">
            <v>0</v>
          </cell>
          <cell r="G5885">
            <v>0</v>
          </cell>
        </row>
        <row r="5886">
          <cell r="A5886" t="str">
            <v>55-02-05-0291</v>
          </cell>
          <cell r="B5886">
            <v>0</v>
          </cell>
          <cell r="C5886" t="str">
            <v xml:space="preserve">  IQRAR FABRICS</v>
          </cell>
          <cell r="D5886">
            <v>0</v>
          </cell>
          <cell r="E5886">
            <v>0</v>
          </cell>
          <cell r="F5886">
            <v>0</v>
          </cell>
          <cell r="G5886">
            <v>0</v>
          </cell>
        </row>
        <row r="5887">
          <cell r="A5887" t="str">
            <v>55-02-05-0292</v>
          </cell>
          <cell r="B5887">
            <v>0</v>
          </cell>
          <cell r="C5887" t="str">
            <v xml:space="preserve">  FATEH TEXTILE MILLS LIMITED</v>
          </cell>
          <cell r="D5887">
            <v>0</v>
          </cell>
          <cell r="E5887">
            <v>0</v>
          </cell>
          <cell r="F5887">
            <v>0</v>
          </cell>
          <cell r="G5887">
            <v>0</v>
          </cell>
        </row>
        <row r="5888">
          <cell r="A5888" t="str">
            <v>55-02-05-0293</v>
          </cell>
          <cell r="B5888">
            <v>0</v>
          </cell>
          <cell r="C5888" t="str">
            <v xml:space="preserve">  A.T.FIBERS</v>
          </cell>
          <cell r="D5888">
            <v>0</v>
          </cell>
          <cell r="E5888">
            <v>0</v>
          </cell>
          <cell r="F5888">
            <v>0</v>
          </cell>
          <cell r="G5888">
            <v>0</v>
          </cell>
        </row>
        <row r="5889">
          <cell r="A5889" t="str">
            <v>55-02-05-0294</v>
          </cell>
          <cell r="B5889">
            <v>0</v>
          </cell>
          <cell r="C5889" t="str">
            <v xml:space="preserve">  HUSSAIN TEXTILE</v>
          </cell>
          <cell r="D5889">
            <v>0</v>
          </cell>
          <cell r="E5889">
            <v>0</v>
          </cell>
          <cell r="F5889">
            <v>0</v>
          </cell>
          <cell r="G5889">
            <v>0</v>
          </cell>
        </row>
        <row r="5890">
          <cell r="A5890" t="str">
            <v>55-02-05-0295</v>
          </cell>
          <cell r="B5890">
            <v>0</v>
          </cell>
          <cell r="C5890" t="str">
            <v xml:space="preserve">  ROY ENTERPRISES</v>
          </cell>
          <cell r="D5890">
            <v>0</v>
          </cell>
          <cell r="E5890">
            <v>0</v>
          </cell>
          <cell r="F5890">
            <v>0</v>
          </cell>
          <cell r="G5890">
            <v>0</v>
          </cell>
        </row>
        <row r="5891">
          <cell r="A5891" t="str">
            <v>55-02-05-0296</v>
          </cell>
          <cell r="B5891">
            <v>0</v>
          </cell>
          <cell r="C5891" t="str">
            <v xml:space="preserve">  FATEH GROUP</v>
          </cell>
          <cell r="D5891">
            <v>0</v>
          </cell>
          <cell r="E5891">
            <v>0</v>
          </cell>
          <cell r="F5891">
            <v>0</v>
          </cell>
          <cell r="G5891">
            <v>0</v>
          </cell>
        </row>
        <row r="5892">
          <cell r="A5892" t="str">
            <v>55-02-05-0297</v>
          </cell>
          <cell r="B5892">
            <v>0</v>
          </cell>
          <cell r="C5892" t="str">
            <v xml:space="preserve">  PEARL TRADERS</v>
          </cell>
          <cell r="D5892">
            <v>0</v>
          </cell>
          <cell r="E5892">
            <v>0</v>
          </cell>
          <cell r="F5892">
            <v>0</v>
          </cell>
          <cell r="G5892">
            <v>0</v>
          </cell>
        </row>
        <row r="5893">
          <cell r="A5893" t="str">
            <v>55-02-05-0298</v>
          </cell>
          <cell r="B5893">
            <v>0</v>
          </cell>
          <cell r="C5893" t="str">
            <v xml:space="preserve">  AJAR TEXTILE</v>
          </cell>
          <cell r="D5893">
            <v>0</v>
          </cell>
          <cell r="E5893">
            <v>0</v>
          </cell>
          <cell r="F5893">
            <v>0</v>
          </cell>
          <cell r="G5893">
            <v>0</v>
          </cell>
        </row>
        <row r="5894">
          <cell r="A5894" t="str">
            <v>55-02-05-0299</v>
          </cell>
          <cell r="B5894">
            <v>0</v>
          </cell>
          <cell r="C5894" t="str">
            <v xml:space="preserve">  HUNBUL TRADERS</v>
          </cell>
          <cell r="D5894">
            <v>0</v>
          </cell>
          <cell r="E5894">
            <v>0</v>
          </cell>
          <cell r="F5894">
            <v>0</v>
          </cell>
          <cell r="G5894">
            <v>0</v>
          </cell>
        </row>
        <row r="5895">
          <cell r="A5895" t="str">
            <v>55-02-05-0300</v>
          </cell>
          <cell r="B5895">
            <v>0</v>
          </cell>
          <cell r="C5895" t="str">
            <v xml:space="preserve">  XEBEC ASSOCIATES</v>
          </cell>
          <cell r="D5895">
            <v>0</v>
          </cell>
          <cell r="E5895">
            <v>0</v>
          </cell>
          <cell r="F5895">
            <v>0</v>
          </cell>
          <cell r="G5895">
            <v>0</v>
          </cell>
        </row>
        <row r="5896">
          <cell r="A5896" t="str">
            <v>55-02-05-0301</v>
          </cell>
          <cell r="B5896">
            <v>0</v>
          </cell>
          <cell r="C5896" t="str">
            <v xml:space="preserve">  PAK TEXTILE</v>
          </cell>
          <cell r="D5896">
            <v>0</v>
          </cell>
          <cell r="E5896">
            <v>0</v>
          </cell>
          <cell r="F5896">
            <v>0</v>
          </cell>
          <cell r="G5896">
            <v>0</v>
          </cell>
        </row>
        <row r="5897">
          <cell r="A5897" t="str">
            <v>55-02-05-0302</v>
          </cell>
          <cell r="B5897">
            <v>0</v>
          </cell>
          <cell r="C5897" t="str">
            <v xml:space="preserve">  MUHAMMAD UMER</v>
          </cell>
          <cell r="D5897">
            <v>0</v>
          </cell>
          <cell r="E5897">
            <v>0</v>
          </cell>
          <cell r="F5897">
            <v>0</v>
          </cell>
          <cell r="G5897">
            <v>0</v>
          </cell>
        </row>
        <row r="5898">
          <cell r="A5898" t="str">
            <v>55-02-05-0303</v>
          </cell>
          <cell r="B5898">
            <v>0</v>
          </cell>
          <cell r="C5898" t="str">
            <v xml:space="preserve">  MUHAMMAD SAEED</v>
          </cell>
          <cell r="D5898">
            <v>0</v>
          </cell>
          <cell r="E5898">
            <v>0</v>
          </cell>
          <cell r="F5898">
            <v>0</v>
          </cell>
          <cell r="G5898">
            <v>0</v>
          </cell>
        </row>
        <row r="5899">
          <cell r="A5899" t="str">
            <v>55-02-05-0304</v>
          </cell>
          <cell r="B5899">
            <v>0</v>
          </cell>
          <cell r="C5899" t="str">
            <v xml:space="preserve">  HASEEB TEXTLE CORPORATION</v>
          </cell>
          <cell r="D5899">
            <v>0</v>
          </cell>
          <cell r="E5899">
            <v>0</v>
          </cell>
          <cell r="F5899">
            <v>0</v>
          </cell>
          <cell r="G5899">
            <v>0</v>
          </cell>
        </row>
        <row r="5900">
          <cell r="A5900" t="str">
            <v>55-02-05-0305</v>
          </cell>
          <cell r="B5900">
            <v>0</v>
          </cell>
          <cell r="C5900" t="str">
            <v xml:space="preserve">  MUHAMMAD AKRAM</v>
          </cell>
          <cell r="D5900">
            <v>0</v>
          </cell>
          <cell r="E5900">
            <v>0</v>
          </cell>
          <cell r="F5900">
            <v>0</v>
          </cell>
          <cell r="G5900">
            <v>0</v>
          </cell>
        </row>
        <row r="5901">
          <cell r="A5901" t="str">
            <v>55-02-05-0306</v>
          </cell>
          <cell r="B5901">
            <v>0</v>
          </cell>
          <cell r="C5901" t="str">
            <v xml:space="preserve">  LAKHANY SILK MILLS (PVT) LTD</v>
          </cell>
          <cell r="D5901">
            <v>0</v>
          </cell>
          <cell r="E5901">
            <v>0</v>
          </cell>
          <cell r="F5901">
            <v>0</v>
          </cell>
          <cell r="G5901">
            <v>0</v>
          </cell>
        </row>
        <row r="5902">
          <cell r="A5902" t="str">
            <v>55-02-05-0307</v>
          </cell>
          <cell r="B5902">
            <v>0</v>
          </cell>
          <cell r="C5902" t="str">
            <v xml:space="preserve">  MUHAMMAD AFZAL</v>
          </cell>
          <cell r="D5902">
            <v>0</v>
          </cell>
          <cell r="E5902">
            <v>0</v>
          </cell>
          <cell r="F5902">
            <v>0</v>
          </cell>
          <cell r="G5902">
            <v>0</v>
          </cell>
        </row>
        <row r="5903">
          <cell r="A5903" t="str">
            <v>55-02-05-0308</v>
          </cell>
          <cell r="B5903">
            <v>0</v>
          </cell>
          <cell r="C5903" t="str">
            <v xml:space="preserve">  ASPEN TRADE INT.</v>
          </cell>
          <cell r="D5903">
            <v>0</v>
          </cell>
          <cell r="E5903">
            <v>0</v>
          </cell>
          <cell r="F5903">
            <v>0</v>
          </cell>
          <cell r="G5903">
            <v>0</v>
          </cell>
        </row>
        <row r="5904">
          <cell r="A5904" t="str">
            <v>55-02-05-0309</v>
          </cell>
          <cell r="B5904">
            <v>0</v>
          </cell>
          <cell r="C5904" t="str">
            <v xml:space="preserve">  ARZOO TEXTILE MILLS LTD</v>
          </cell>
          <cell r="D5904">
            <v>0</v>
          </cell>
          <cell r="E5904">
            <v>0</v>
          </cell>
          <cell r="F5904">
            <v>0</v>
          </cell>
          <cell r="G5904">
            <v>0</v>
          </cell>
        </row>
        <row r="5905">
          <cell r="A5905" t="str">
            <v>55-02-06</v>
          </cell>
          <cell r="B5905">
            <v>0</v>
          </cell>
          <cell r="C5905" t="str">
            <v>***BUX ELAHI</v>
          </cell>
          <cell r="D5905">
            <v>175755</v>
          </cell>
          <cell r="E5905">
            <v>0</v>
          </cell>
          <cell r="F5905">
            <v>176021</v>
          </cell>
          <cell r="G5905">
            <v>266</v>
          </cell>
        </row>
        <row r="5906">
          <cell r="A5906" t="str">
            <v>55-02-06-0001</v>
          </cell>
          <cell r="B5906">
            <v>266</v>
          </cell>
          <cell r="C5906" t="str">
            <v xml:space="preserve">  AISHA BIBI (PVT) LIMITED</v>
          </cell>
          <cell r="D5906">
            <v>0</v>
          </cell>
          <cell r="E5906">
            <v>0</v>
          </cell>
          <cell r="F5906">
            <v>0</v>
          </cell>
          <cell r="G5906">
            <v>0</v>
          </cell>
        </row>
        <row r="5907">
          <cell r="A5907" t="str">
            <v>55-02-06-0002</v>
          </cell>
          <cell r="B5907">
            <v>0</v>
          </cell>
          <cell r="C5907" t="str">
            <v xml:space="preserve">  MUHAMMAD ANWAR</v>
          </cell>
          <cell r="D5907">
            <v>0</v>
          </cell>
          <cell r="E5907">
            <v>0</v>
          </cell>
          <cell r="F5907">
            <v>0</v>
          </cell>
          <cell r="G5907">
            <v>0</v>
          </cell>
        </row>
        <row r="5908">
          <cell r="A5908" t="str">
            <v>55-02-06-0003</v>
          </cell>
          <cell r="B5908">
            <v>0</v>
          </cell>
          <cell r="C5908" t="str">
            <v xml:space="preserve">  ASHFAQ AHMED</v>
          </cell>
          <cell r="D5908">
            <v>0</v>
          </cell>
          <cell r="E5908">
            <v>0</v>
          </cell>
          <cell r="F5908">
            <v>0</v>
          </cell>
          <cell r="G5908">
            <v>0</v>
          </cell>
        </row>
        <row r="5909">
          <cell r="A5909" t="str">
            <v>55-02-06-0004</v>
          </cell>
          <cell r="B5909">
            <v>0</v>
          </cell>
          <cell r="C5909" t="str">
            <v xml:space="preserve">  AMANULLAH KHAN</v>
          </cell>
          <cell r="D5909">
            <v>0</v>
          </cell>
          <cell r="E5909">
            <v>0</v>
          </cell>
          <cell r="F5909">
            <v>0</v>
          </cell>
          <cell r="G5909">
            <v>0</v>
          </cell>
        </row>
        <row r="5910">
          <cell r="A5910" t="str">
            <v>55-02-06-0005</v>
          </cell>
          <cell r="B5910">
            <v>0</v>
          </cell>
          <cell r="C5910" t="str">
            <v xml:space="preserve">  MUHAMMAD SHAFIQ</v>
          </cell>
          <cell r="D5910">
            <v>0</v>
          </cell>
          <cell r="E5910">
            <v>0</v>
          </cell>
          <cell r="F5910">
            <v>0</v>
          </cell>
          <cell r="G5910">
            <v>0</v>
          </cell>
        </row>
        <row r="5911">
          <cell r="A5911" t="str">
            <v>55-02-06-0006</v>
          </cell>
          <cell r="B5911">
            <v>0</v>
          </cell>
          <cell r="C5911" t="str">
            <v xml:space="preserve">  QAYYUM GHULAM</v>
          </cell>
          <cell r="D5911">
            <v>0</v>
          </cell>
          <cell r="E5911">
            <v>0</v>
          </cell>
          <cell r="F5911">
            <v>0</v>
          </cell>
          <cell r="G5911">
            <v>0</v>
          </cell>
        </row>
        <row r="5912">
          <cell r="A5912" t="str">
            <v>55-02-06-0007</v>
          </cell>
          <cell r="B5912">
            <v>0</v>
          </cell>
          <cell r="C5912" t="str">
            <v xml:space="preserve">  MUHAMMAD AMIN</v>
          </cell>
          <cell r="D5912">
            <v>0</v>
          </cell>
          <cell r="E5912">
            <v>0</v>
          </cell>
          <cell r="F5912">
            <v>0</v>
          </cell>
          <cell r="G5912">
            <v>0</v>
          </cell>
        </row>
        <row r="5913">
          <cell r="A5913" t="str">
            <v>55-02-06-0008</v>
          </cell>
          <cell r="B5913">
            <v>0</v>
          </cell>
          <cell r="C5913" t="str">
            <v xml:space="preserve">  MUHAMMAD SAEED</v>
          </cell>
          <cell r="D5913">
            <v>0</v>
          </cell>
          <cell r="E5913">
            <v>0</v>
          </cell>
          <cell r="F5913">
            <v>0</v>
          </cell>
          <cell r="G5913">
            <v>0</v>
          </cell>
        </row>
        <row r="5914">
          <cell r="A5914" t="str">
            <v>55-02-06-0009</v>
          </cell>
          <cell r="B5914">
            <v>0</v>
          </cell>
          <cell r="C5914" t="str">
            <v xml:space="preserve">  LATIFULLAH</v>
          </cell>
          <cell r="D5914">
            <v>0</v>
          </cell>
          <cell r="E5914">
            <v>0</v>
          </cell>
          <cell r="F5914">
            <v>0</v>
          </cell>
          <cell r="G5914">
            <v>0</v>
          </cell>
        </row>
        <row r="5915">
          <cell r="A5915" t="str">
            <v>55-02-06-0010</v>
          </cell>
          <cell r="B5915">
            <v>0</v>
          </cell>
          <cell r="C5915" t="str">
            <v xml:space="preserve">  KHAIRULLAH</v>
          </cell>
          <cell r="D5915">
            <v>0</v>
          </cell>
          <cell r="E5915">
            <v>0</v>
          </cell>
          <cell r="F5915">
            <v>0</v>
          </cell>
          <cell r="G5915">
            <v>0</v>
          </cell>
        </row>
        <row r="5916">
          <cell r="A5916" t="str">
            <v>55-02-06-0011</v>
          </cell>
          <cell r="B5916">
            <v>0</v>
          </cell>
          <cell r="C5916" t="str">
            <v xml:space="preserve">  MUHAMMAD AKRAM</v>
          </cell>
          <cell r="D5916">
            <v>0</v>
          </cell>
          <cell r="E5916">
            <v>0</v>
          </cell>
          <cell r="F5916">
            <v>0</v>
          </cell>
          <cell r="G5916">
            <v>0</v>
          </cell>
        </row>
        <row r="5917">
          <cell r="A5917" t="str">
            <v>55-02-06-0012</v>
          </cell>
          <cell r="B5917">
            <v>0</v>
          </cell>
          <cell r="C5917" t="str">
            <v xml:space="preserve">  NAWAZISH ALI</v>
          </cell>
          <cell r="D5917">
            <v>0</v>
          </cell>
          <cell r="E5917">
            <v>0</v>
          </cell>
          <cell r="F5917">
            <v>0</v>
          </cell>
          <cell r="G5917">
            <v>0</v>
          </cell>
        </row>
        <row r="5918">
          <cell r="A5918" t="str">
            <v>55-02-06-0013</v>
          </cell>
          <cell r="B5918">
            <v>0</v>
          </cell>
          <cell r="C5918" t="str">
            <v xml:space="preserve">  MUHAMMAD HAFEEZ</v>
          </cell>
          <cell r="D5918">
            <v>0</v>
          </cell>
          <cell r="E5918">
            <v>0</v>
          </cell>
          <cell r="F5918">
            <v>0</v>
          </cell>
          <cell r="G5918">
            <v>0</v>
          </cell>
        </row>
        <row r="5919">
          <cell r="A5919" t="str">
            <v>55-02-06-0014</v>
          </cell>
          <cell r="B5919">
            <v>0</v>
          </cell>
          <cell r="C5919" t="str">
            <v xml:space="preserve">  MUHAMMAD AFZAL</v>
          </cell>
          <cell r="D5919">
            <v>0</v>
          </cell>
          <cell r="E5919">
            <v>0</v>
          </cell>
          <cell r="F5919">
            <v>0</v>
          </cell>
          <cell r="G5919">
            <v>0</v>
          </cell>
        </row>
        <row r="5920">
          <cell r="A5920" t="str">
            <v>55-02-06-0015</v>
          </cell>
          <cell r="B5920">
            <v>0</v>
          </cell>
          <cell r="C5920" t="str">
            <v xml:space="preserve">  MUHAMMAD ANWER</v>
          </cell>
          <cell r="D5920">
            <v>0</v>
          </cell>
          <cell r="E5920">
            <v>0</v>
          </cell>
          <cell r="F5920">
            <v>0</v>
          </cell>
          <cell r="G5920">
            <v>0</v>
          </cell>
        </row>
        <row r="5921">
          <cell r="A5921" t="str">
            <v>55-02-06-0016</v>
          </cell>
          <cell r="B5921">
            <v>0</v>
          </cell>
          <cell r="C5921" t="str">
            <v xml:space="preserve">  MUHAMMAD ATIF</v>
          </cell>
          <cell r="D5921">
            <v>0</v>
          </cell>
          <cell r="E5921">
            <v>0</v>
          </cell>
          <cell r="F5921">
            <v>0</v>
          </cell>
          <cell r="G5921">
            <v>0</v>
          </cell>
        </row>
        <row r="5922">
          <cell r="A5922" t="str">
            <v>55-02-06-0017</v>
          </cell>
          <cell r="B5922">
            <v>0</v>
          </cell>
          <cell r="C5922" t="str">
            <v xml:space="preserve">  MUHAMMAD AZAM</v>
          </cell>
          <cell r="D5922">
            <v>0</v>
          </cell>
          <cell r="E5922">
            <v>0</v>
          </cell>
          <cell r="F5922">
            <v>0</v>
          </cell>
          <cell r="G5922">
            <v>0</v>
          </cell>
        </row>
        <row r="5923">
          <cell r="A5923" t="str">
            <v>55-02-06-0018</v>
          </cell>
          <cell r="B5923">
            <v>0</v>
          </cell>
          <cell r="C5923" t="str">
            <v xml:space="preserve">  MUHAMMAD HAFEEZ</v>
          </cell>
          <cell r="D5923">
            <v>0</v>
          </cell>
          <cell r="E5923">
            <v>0</v>
          </cell>
          <cell r="F5923">
            <v>0</v>
          </cell>
          <cell r="G5923">
            <v>0</v>
          </cell>
        </row>
        <row r="5924">
          <cell r="A5924" t="str">
            <v>55-02-06-0019</v>
          </cell>
          <cell r="B5924">
            <v>0</v>
          </cell>
          <cell r="C5924" t="str">
            <v xml:space="preserve">  ABDUL LATEEF</v>
          </cell>
          <cell r="D5924">
            <v>0</v>
          </cell>
          <cell r="E5924">
            <v>0</v>
          </cell>
          <cell r="F5924">
            <v>0</v>
          </cell>
          <cell r="G5924">
            <v>0</v>
          </cell>
        </row>
        <row r="5925">
          <cell r="A5925" t="str">
            <v>55-02-06-0020</v>
          </cell>
          <cell r="B5925">
            <v>0</v>
          </cell>
          <cell r="C5925" t="str">
            <v xml:space="preserve">  MUHAMMAD AAMIR</v>
          </cell>
          <cell r="D5925">
            <v>0</v>
          </cell>
          <cell r="E5925">
            <v>0</v>
          </cell>
          <cell r="F5925">
            <v>0</v>
          </cell>
          <cell r="G5925">
            <v>0</v>
          </cell>
        </row>
        <row r="5926">
          <cell r="A5926" t="str">
            <v>55-02-06-0021</v>
          </cell>
          <cell r="B5926">
            <v>0</v>
          </cell>
          <cell r="C5926" t="str">
            <v xml:space="preserve">  MUHAMMAD NAEEM</v>
          </cell>
          <cell r="D5926">
            <v>0</v>
          </cell>
          <cell r="E5926">
            <v>0</v>
          </cell>
          <cell r="F5926">
            <v>0</v>
          </cell>
          <cell r="G5926">
            <v>0</v>
          </cell>
        </row>
        <row r="5927">
          <cell r="A5927" t="str">
            <v>55-02-06-0022</v>
          </cell>
          <cell r="B5927">
            <v>0</v>
          </cell>
          <cell r="C5927" t="str">
            <v xml:space="preserve">  MUHAMMAD FAISAL</v>
          </cell>
          <cell r="D5927">
            <v>0</v>
          </cell>
          <cell r="E5927">
            <v>0</v>
          </cell>
          <cell r="F5927">
            <v>0</v>
          </cell>
          <cell r="G5927">
            <v>0</v>
          </cell>
        </row>
        <row r="5928">
          <cell r="A5928" t="str">
            <v>55-02-06-0023</v>
          </cell>
          <cell r="B5928">
            <v>0</v>
          </cell>
          <cell r="C5928" t="str">
            <v xml:space="preserve">  MUHAMMAD KHALID</v>
          </cell>
          <cell r="D5928">
            <v>0</v>
          </cell>
          <cell r="E5928">
            <v>0</v>
          </cell>
          <cell r="F5928">
            <v>0</v>
          </cell>
          <cell r="G5928">
            <v>0</v>
          </cell>
        </row>
        <row r="5929">
          <cell r="A5929" t="str">
            <v>55-02-06-0024</v>
          </cell>
          <cell r="B5929">
            <v>0</v>
          </cell>
          <cell r="C5929" t="str">
            <v xml:space="preserve">  MUHAMMAD AZAM</v>
          </cell>
          <cell r="D5929">
            <v>0</v>
          </cell>
          <cell r="E5929">
            <v>0</v>
          </cell>
          <cell r="F5929">
            <v>0</v>
          </cell>
          <cell r="G5929">
            <v>0</v>
          </cell>
        </row>
        <row r="5930">
          <cell r="A5930" t="str">
            <v>55-02-06-0025</v>
          </cell>
          <cell r="B5930">
            <v>0</v>
          </cell>
          <cell r="C5930" t="str">
            <v xml:space="preserve">  KARIM NAWAZ</v>
          </cell>
          <cell r="D5930">
            <v>0</v>
          </cell>
          <cell r="E5930">
            <v>0</v>
          </cell>
          <cell r="F5930">
            <v>0</v>
          </cell>
          <cell r="G5930">
            <v>0</v>
          </cell>
        </row>
        <row r="5931">
          <cell r="A5931" t="str">
            <v>55-02-06-0026</v>
          </cell>
          <cell r="B5931">
            <v>0</v>
          </cell>
          <cell r="C5931" t="str">
            <v xml:space="preserve">  DILDAR HUSSAIN</v>
          </cell>
          <cell r="D5931">
            <v>0</v>
          </cell>
          <cell r="E5931">
            <v>0</v>
          </cell>
          <cell r="F5931">
            <v>0</v>
          </cell>
          <cell r="G5931">
            <v>0</v>
          </cell>
        </row>
        <row r="5932">
          <cell r="A5932" t="str">
            <v>55-02-06-0027</v>
          </cell>
          <cell r="B5932">
            <v>0</v>
          </cell>
          <cell r="C5932" t="str">
            <v xml:space="preserve">  MUHAMMAD AKBER</v>
          </cell>
          <cell r="D5932">
            <v>0</v>
          </cell>
          <cell r="E5932">
            <v>0</v>
          </cell>
          <cell r="F5932">
            <v>0</v>
          </cell>
          <cell r="G5932">
            <v>0</v>
          </cell>
        </row>
        <row r="5933">
          <cell r="A5933" t="str">
            <v>55-02-06-0028</v>
          </cell>
          <cell r="B5933">
            <v>0</v>
          </cell>
          <cell r="C5933" t="str">
            <v xml:space="preserve">  NOOR MUHAMMAD</v>
          </cell>
          <cell r="D5933">
            <v>0</v>
          </cell>
          <cell r="E5933">
            <v>0</v>
          </cell>
          <cell r="F5933">
            <v>0</v>
          </cell>
          <cell r="G5933">
            <v>0</v>
          </cell>
        </row>
        <row r="5934">
          <cell r="A5934" t="str">
            <v>55-02-06-0029</v>
          </cell>
          <cell r="B5934">
            <v>0</v>
          </cell>
          <cell r="C5934" t="str">
            <v xml:space="preserve">  MUHAMMAD SADDIQUE</v>
          </cell>
          <cell r="D5934">
            <v>0</v>
          </cell>
          <cell r="E5934">
            <v>0</v>
          </cell>
          <cell r="F5934">
            <v>0</v>
          </cell>
          <cell r="G5934">
            <v>0</v>
          </cell>
        </row>
        <row r="5935">
          <cell r="A5935" t="str">
            <v>55-02-06-0030</v>
          </cell>
          <cell r="B5935">
            <v>0</v>
          </cell>
          <cell r="C5935" t="str">
            <v xml:space="preserve">  MUHAMMAD RAFIQUE</v>
          </cell>
          <cell r="D5935">
            <v>0</v>
          </cell>
          <cell r="E5935">
            <v>0</v>
          </cell>
          <cell r="F5935">
            <v>0</v>
          </cell>
          <cell r="G5935">
            <v>0</v>
          </cell>
        </row>
        <row r="5936">
          <cell r="A5936" t="str">
            <v>55-02-06-0031</v>
          </cell>
          <cell r="B5936">
            <v>0</v>
          </cell>
          <cell r="C5936" t="str">
            <v xml:space="preserve">  MUHAMMAD IQBAL</v>
          </cell>
          <cell r="D5936">
            <v>0</v>
          </cell>
          <cell r="E5936">
            <v>0</v>
          </cell>
          <cell r="F5936">
            <v>0</v>
          </cell>
          <cell r="G5936">
            <v>0</v>
          </cell>
        </row>
        <row r="5937">
          <cell r="A5937" t="str">
            <v>55-02-06-0032</v>
          </cell>
          <cell r="B5937">
            <v>0</v>
          </cell>
          <cell r="C5937" t="str">
            <v xml:space="preserve">  SHABIR PALAYDAR</v>
          </cell>
          <cell r="D5937">
            <v>0</v>
          </cell>
          <cell r="E5937">
            <v>0</v>
          </cell>
          <cell r="F5937">
            <v>0</v>
          </cell>
          <cell r="G5937">
            <v>0</v>
          </cell>
        </row>
        <row r="5938">
          <cell r="A5938" t="str">
            <v>55-02-06-0033</v>
          </cell>
          <cell r="B5938">
            <v>0</v>
          </cell>
          <cell r="C5938" t="str">
            <v xml:space="preserve">  ALNASIIR SIZING</v>
          </cell>
          <cell r="D5938">
            <v>0</v>
          </cell>
          <cell r="E5938">
            <v>0</v>
          </cell>
          <cell r="F5938">
            <v>0</v>
          </cell>
          <cell r="G5938">
            <v>0</v>
          </cell>
        </row>
        <row r="5939">
          <cell r="A5939" t="str">
            <v>55-02-06-0034</v>
          </cell>
          <cell r="B5939">
            <v>0</v>
          </cell>
          <cell r="C5939" t="str">
            <v xml:space="preserve">  MUHAMMAD SARWAR</v>
          </cell>
          <cell r="D5939">
            <v>0</v>
          </cell>
          <cell r="E5939">
            <v>0</v>
          </cell>
          <cell r="F5939">
            <v>0</v>
          </cell>
          <cell r="G5939">
            <v>0</v>
          </cell>
        </row>
        <row r="5940">
          <cell r="A5940" t="str">
            <v>55-02-06-0035</v>
          </cell>
          <cell r="B5940">
            <v>0</v>
          </cell>
          <cell r="C5940" t="str">
            <v xml:space="preserve">  KARAM DIN PALAYDAR</v>
          </cell>
          <cell r="D5940">
            <v>0</v>
          </cell>
          <cell r="E5940">
            <v>0</v>
          </cell>
          <cell r="F5940">
            <v>0</v>
          </cell>
          <cell r="G5940">
            <v>0</v>
          </cell>
        </row>
        <row r="5941">
          <cell r="A5941" t="str">
            <v>55-02-06-0036</v>
          </cell>
          <cell r="B5941">
            <v>0</v>
          </cell>
          <cell r="C5941" t="str">
            <v xml:space="preserve">  NASIM PALAYDAR</v>
          </cell>
          <cell r="D5941">
            <v>0</v>
          </cell>
          <cell r="E5941">
            <v>0</v>
          </cell>
          <cell r="F5941">
            <v>0</v>
          </cell>
          <cell r="G5941">
            <v>0</v>
          </cell>
        </row>
        <row r="5942">
          <cell r="A5942" t="str">
            <v>55-02-06-0037</v>
          </cell>
          <cell r="B5942">
            <v>0</v>
          </cell>
          <cell r="C5942" t="str">
            <v xml:space="preserve">  YOUNAS PALAYDAR</v>
          </cell>
          <cell r="D5942">
            <v>0</v>
          </cell>
          <cell r="E5942">
            <v>0</v>
          </cell>
          <cell r="F5942">
            <v>0</v>
          </cell>
          <cell r="G5942">
            <v>0</v>
          </cell>
        </row>
        <row r="5943">
          <cell r="A5943" t="str">
            <v>55-02-06-0038</v>
          </cell>
          <cell r="B5943">
            <v>0</v>
          </cell>
          <cell r="C5943" t="str">
            <v xml:space="preserve">  MUHAMMAD ASHRAF</v>
          </cell>
          <cell r="D5943">
            <v>0</v>
          </cell>
          <cell r="E5943">
            <v>0</v>
          </cell>
          <cell r="F5943">
            <v>0</v>
          </cell>
          <cell r="G5943">
            <v>0</v>
          </cell>
        </row>
        <row r="5944">
          <cell r="A5944" t="str">
            <v>55-02-06-0039</v>
          </cell>
          <cell r="B5944">
            <v>0</v>
          </cell>
          <cell r="C5944" t="str">
            <v xml:space="preserve">  ARIF PALAYDAR</v>
          </cell>
          <cell r="D5944">
            <v>0</v>
          </cell>
          <cell r="E5944">
            <v>0</v>
          </cell>
          <cell r="F5944">
            <v>0</v>
          </cell>
          <cell r="G5944">
            <v>0</v>
          </cell>
        </row>
        <row r="5945">
          <cell r="A5945" t="str">
            <v>55-02-06-0040</v>
          </cell>
          <cell r="B5945">
            <v>0</v>
          </cell>
          <cell r="C5945" t="str">
            <v xml:space="preserve">  AMJAD PALAYDAR</v>
          </cell>
          <cell r="D5945">
            <v>0</v>
          </cell>
          <cell r="E5945">
            <v>0</v>
          </cell>
          <cell r="F5945">
            <v>0</v>
          </cell>
          <cell r="G5945">
            <v>0</v>
          </cell>
        </row>
        <row r="5946">
          <cell r="A5946" t="str">
            <v>55-02-06-0041</v>
          </cell>
          <cell r="B5946">
            <v>0</v>
          </cell>
          <cell r="C5946" t="str">
            <v xml:space="preserve">  MUNIR PALAYDAR</v>
          </cell>
          <cell r="D5946">
            <v>0</v>
          </cell>
          <cell r="E5946">
            <v>0</v>
          </cell>
          <cell r="F5946">
            <v>0</v>
          </cell>
          <cell r="G5946">
            <v>0</v>
          </cell>
        </row>
        <row r="5947">
          <cell r="A5947" t="str">
            <v>55-02-06-0042</v>
          </cell>
          <cell r="B5947">
            <v>0</v>
          </cell>
          <cell r="C5947" t="str">
            <v xml:space="preserve">  NAEEM AHMED</v>
          </cell>
          <cell r="D5947">
            <v>0</v>
          </cell>
          <cell r="E5947">
            <v>0</v>
          </cell>
          <cell r="F5947">
            <v>0</v>
          </cell>
          <cell r="G5947">
            <v>0</v>
          </cell>
        </row>
        <row r="5948">
          <cell r="A5948" t="str">
            <v>55-02-06-0043</v>
          </cell>
          <cell r="B5948">
            <v>0</v>
          </cell>
          <cell r="C5948" t="str">
            <v xml:space="preserve">  NADEEM PALAYDAR</v>
          </cell>
          <cell r="D5948">
            <v>0</v>
          </cell>
          <cell r="E5948">
            <v>0</v>
          </cell>
          <cell r="F5948">
            <v>0</v>
          </cell>
          <cell r="G5948">
            <v>0</v>
          </cell>
        </row>
        <row r="5949">
          <cell r="A5949" t="str">
            <v>55-02-06-0044</v>
          </cell>
          <cell r="B5949">
            <v>0</v>
          </cell>
          <cell r="C5949" t="str">
            <v xml:space="preserve">  FIVE STAR SIZING</v>
          </cell>
          <cell r="D5949">
            <v>0</v>
          </cell>
          <cell r="E5949">
            <v>0</v>
          </cell>
          <cell r="F5949">
            <v>0</v>
          </cell>
          <cell r="G5949">
            <v>0</v>
          </cell>
        </row>
        <row r="5950">
          <cell r="A5950" t="str">
            <v>55-02-06-0045</v>
          </cell>
          <cell r="B5950">
            <v>0</v>
          </cell>
          <cell r="C5950" t="str">
            <v xml:space="preserve">  AKRAM PALAYDAR</v>
          </cell>
          <cell r="D5950">
            <v>0</v>
          </cell>
          <cell r="E5950">
            <v>0</v>
          </cell>
          <cell r="F5950">
            <v>0</v>
          </cell>
          <cell r="G5950">
            <v>0</v>
          </cell>
        </row>
        <row r="5951">
          <cell r="A5951" t="str">
            <v>55-02-06-0046</v>
          </cell>
          <cell r="B5951">
            <v>0</v>
          </cell>
          <cell r="C5951" t="str">
            <v xml:space="preserve">  ATIF MEHMOOD</v>
          </cell>
          <cell r="D5951">
            <v>0</v>
          </cell>
          <cell r="E5951">
            <v>0</v>
          </cell>
          <cell r="F5951">
            <v>0</v>
          </cell>
          <cell r="G5951">
            <v>0</v>
          </cell>
        </row>
        <row r="5952">
          <cell r="A5952" t="str">
            <v>55-02-06-0047</v>
          </cell>
          <cell r="B5952">
            <v>0</v>
          </cell>
          <cell r="C5952" t="str">
            <v xml:space="preserve">  HUMA SIZING</v>
          </cell>
          <cell r="D5952">
            <v>0</v>
          </cell>
          <cell r="E5952">
            <v>0</v>
          </cell>
          <cell r="F5952">
            <v>0</v>
          </cell>
          <cell r="G5952">
            <v>0</v>
          </cell>
        </row>
        <row r="5953">
          <cell r="A5953" t="str">
            <v>55-02-06-0048</v>
          </cell>
          <cell r="B5953">
            <v>0</v>
          </cell>
          <cell r="C5953" t="str">
            <v xml:space="preserve">  SHAHID PALAYDAR</v>
          </cell>
          <cell r="D5953">
            <v>0</v>
          </cell>
          <cell r="E5953">
            <v>0</v>
          </cell>
          <cell r="F5953">
            <v>0</v>
          </cell>
          <cell r="G5953">
            <v>0</v>
          </cell>
        </row>
        <row r="5954">
          <cell r="A5954" t="str">
            <v>55-02-06-0049</v>
          </cell>
          <cell r="B5954">
            <v>0</v>
          </cell>
          <cell r="C5954" t="str">
            <v xml:space="preserve">  SHAH WALI</v>
          </cell>
          <cell r="D5954">
            <v>0</v>
          </cell>
          <cell r="E5954">
            <v>0</v>
          </cell>
          <cell r="F5954">
            <v>0</v>
          </cell>
          <cell r="G5954">
            <v>0</v>
          </cell>
        </row>
        <row r="5955">
          <cell r="A5955" t="str">
            <v>55-02-06-0050</v>
          </cell>
          <cell r="B5955">
            <v>0</v>
          </cell>
          <cell r="C5955" t="str">
            <v xml:space="preserve">  ANWAR PALAYDAR</v>
          </cell>
          <cell r="D5955">
            <v>0</v>
          </cell>
          <cell r="E5955">
            <v>0</v>
          </cell>
          <cell r="F5955">
            <v>0</v>
          </cell>
          <cell r="G5955">
            <v>0</v>
          </cell>
        </row>
        <row r="5956">
          <cell r="A5956" t="str">
            <v>55-02-06-0051</v>
          </cell>
          <cell r="B5956">
            <v>0</v>
          </cell>
          <cell r="C5956" t="str">
            <v xml:space="preserve">  KHUDDA BAKHSH</v>
          </cell>
          <cell r="D5956">
            <v>0</v>
          </cell>
          <cell r="E5956">
            <v>0</v>
          </cell>
          <cell r="F5956">
            <v>0</v>
          </cell>
          <cell r="G5956">
            <v>0</v>
          </cell>
        </row>
        <row r="5957">
          <cell r="A5957" t="str">
            <v>55-02-06-0052</v>
          </cell>
          <cell r="B5957">
            <v>0</v>
          </cell>
          <cell r="C5957" t="str">
            <v xml:space="preserve">  NAWAZ PALAYDAR</v>
          </cell>
          <cell r="D5957">
            <v>0</v>
          </cell>
          <cell r="E5957">
            <v>0</v>
          </cell>
          <cell r="F5957">
            <v>0</v>
          </cell>
          <cell r="G5957">
            <v>0</v>
          </cell>
        </row>
        <row r="5958">
          <cell r="A5958" t="str">
            <v>55-02-06-0053</v>
          </cell>
          <cell r="B5958">
            <v>0</v>
          </cell>
          <cell r="C5958" t="str">
            <v xml:space="preserve">  RASHID PALAYDAR</v>
          </cell>
          <cell r="D5958">
            <v>0</v>
          </cell>
          <cell r="E5958">
            <v>0</v>
          </cell>
          <cell r="F5958">
            <v>0</v>
          </cell>
          <cell r="G5958">
            <v>0</v>
          </cell>
        </row>
        <row r="5959">
          <cell r="A5959" t="str">
            <v>55-02-06-0054</v>
          </cell>
          <cell r="B5959">
            <v>0</v>
          </cell>
          <cell r="C5959" t="str">
            <v xml:space="preserve">  JAWEED PALAYDAR</v>
          </cell>
          <cell r="D5959">
            <v>0</v>
          </cell>
          <cell r="E5959">
            <v>0</v>
          </cell>
          <cell r="F5959">
            <v>0</v>
          </cell>
          <cell r="G5959">
            <v>0</v>
          </cell>
        </row>
        <row r="5960">
          <cell r="A5960" t="str">
            <v>55-02-06-0055</v>
          </cell>
          <cell r="B5960">
            <v>0</v>
          </cell>
          <cell r="C5960" t="str">
            <v xml:space="preserve">  AFZAL PALAYDAR</v>
          </cell>
          <cell r="D5960">
            <v>0</v>
          </cell>
          <cell r="E5960">
            <v>0</v>
          </cell>
          <cell r="F5960">
            <v>0</v>
          </cell>
          <cell r="G5960">
            <v>0</v>
          </cell>
        </row>
        <row r="5961">
          <cell r="A5961" t="str">
            <v>55-02-06-0056</v>
          </cell>
          <cell r="B5961">
            <v>0</v>
          </cell>
          <cell r="C5961" t="str">
            <v xml:space="preserve">  ARIF PALAYDAR</v>
          </cell>
          <cell r="D5961">
            <v>0</v>
          </cell>
          <cell r="E5961">
            <v>0</v>
          </cell>
          <cell r="F5961">
            <v>0</v>
          </cell>
          <cell r="G5961">
            <v>0</v>
          </cell>
        </row>
        <row r="5962">
          <cell r="A5962" t="str">
            <v>55-02-06-0057</v>
          </cell>
          <cell r="B5962">
            <v>0</v>
          </cell>
          <cell r="C5962" t="str">
            <v xml:space="preserve">  TAHIR PALAYDAR</v>
          </cell>
          <cell r="D5962">
            <v>0</v>
          </cell>
          <cell r="E5962">
            <v>0</v>
          </cell>
          <cell r="F5962">
            <v>0</v>
          </cell>
          <cell r="G5962">
            <v>0</v>
          </cell>
        </row>
        <row r="5963">
          <cell r="A5963" t="str">
            <v>55-02-06-0058</v>
          </cell>
          <cell r="B5963">
            <v>0</v>
          </cell>
          <cell r="C5963" t="str">
            <v xml:space="preserve">  MUHAMMAD ALTAF PALAYDAR</v>
          </cell>
          <cell r="D5963">
            <v>0</v>
          </cell>
          <cell r="E5963">
            <v>0</v>
          </cell>
          <cell r="F5963">
            <v>0</v>
          </cell>
          <cell r="G5963">
            <v>0</v>
          </cell>
        </row>
        <row r="5964">
          <cell r="A5964" t="str">
            <v>55-02-06-0059</v>
          </cell>
          <cell r="B5964">
            <v>0</v>
          </cell>
          <cell r="C5964" t="str">
            <v xml:space="preserve">  YASIN PALAYDAR</v>
          </cell>
          <cell r="D5964">
            <v>0</v>
          </cell>
          <cell r="E5964">
            <v>0</v>
          </cell>
          <cell r="F5964">
            <v>0</v>
          </cell>
          <cell r="G5964">
            <v>0</v>
          </cell>
        </row>
        <row r="5965">
          <cell r="A5965" t="str">
            <v>55-02-06-0060</v>
          </cell>
          <cell r="B5965">
            <v>0</v>
          </cell>
          <cell r="C5965" t="str">
            <v xml:space="preserve">  SHABBIR PALAYDAR</v>
          </cell>
          <cell r="D5965">
            <v>0</v>
          </cell>
          <cell r="E5965">
            <v>0</v>
          </cell>
          <cell r="F5965">
            <v>0</v>
          </cell>
          <cell r="G5965">
            <v>0</v>
          </cell>
        </row>
        <row r="5966">
          <cell r="A5966" t="str">
            <v>55-02-06-0061</v>
          </cell>
          <cell r="B5966">
            <v>0</v>
          </cell>
          <cell r="C5966" t="str">
            <v xml:space="preserve">  AMJAD PALAYDAR</v>
          </cell>
          <cell r="D5966">
            <v>0</v>
          </cell>
          <cell r="E5966">
            <v>0</v>
          </cell>
          <cell r="F5966">
            <v>0</v>
          </cell>
          <cell r="G5966">
            <v>0</v>
          </cell>
        </row>
        <row r="5967">
          <cell r="A5967" t="str">
            <v>55-02-06-0062</v>
          </cell>
          <cell r="B5967">
            <v>0</v>
          </cell>
          <cell r="C5967" t="str">
            <v xml:space="preserve">  ANWAR PALAYDAR</v>
          </cell>
          <cell r="D5967">
            <v>0</v>
          </cell>
          <cell r="E5967">
            <v>0</v>
          </cell>
          <cell r="F5967">
            <v>0</v>
          </cell>
          <cell r="G5967">
            <v>0</v>
          </cell>
        </row>
        <row r="5968">
          <cell r="A5968" t="str">
            <v>55-02-06-0063</v>
          </cell>
          <cell r="B5968">
            <v>0</v>
          </cell>
          <cell r="C5968" t="str">
            <v xml:space="preserve">  AZHAR PALAYDAR</v>
          </cell>
          <cell r="D5968">
            <v>0</v>
          </cell>
          <cell r="E5968">
            <v>0</v>
          </cell>
          <cell r="F5968">
            <v>0</v>
          </cell>
          <cell r="G5968">
            <v>0</v>
          </cell>
        </row>
        <row r="5969">
          <cell r="A5969" t="str">
            <v>55-02-06-0064</v>
          </cell>
          <cell r="B5969">
            <v>0</v>
          </cell>
          <cell r="C5969" t="str">
            <v xml:space="preserve">  ASGHAR PALAYDAR</v>
          </cell>
          <cell r="D5969">
            <v>0</v>
          </cell>
          <cell r="E5969">
            <v>0</v>
          </cell>
          <cell r="F5969">
            <v>0</v>
          </cell>
          <cell r="G5969">
            <v>0</v>
          </cell>
        </row>
        <row r="5970">
          <cell r="A5970" t="str">
            <v>55-02-06-0065</v>
          </cell>
          <cell r="B5970">
            <v>0</v>
          </cell>
          <cell r="C5970" t="str">
            <v xml:space="preserve">  IMRAN PALAYDAR</v>
          </cell>
          <cell r="D5970">
            <v>0</v>
          </cell>
          <cell r="E5970">
            <v>0</v>
          </cell>
          <cell r="F5970">
            <v>0</v>
          </cell>
          <cell r="G5970">
            <v>0</v>
          </cell>
        </row>
        <row r="5971">
          <cell r="A5971" t="str">
            <v>55-02-06-0066</v>
          </cell>
          <cell r="B5971">
            <v>0</v>
          </cell>
          <cell r="C5971" t="str">
            <v xml:space="preserve">  SHOUKAT PALAYDAR</v>
          </cell>
          <cell r="D5971">
            <v>0</v>
          </cell>
          <cell r="E5971">
            <v>0</v>
          </cell>
          <cell r="F5971">
            <v>0</v>
          </cell>
          <cell r="G5971">
            <v>0</v>
          </cell>
        </row>
        <row r="5972">
          <cell r="A5972" t="str">
            <v>55-02-06-0067</v>
          </cell>
          <cell r="B5972">
            <v>0</v>
          </cell>
          <cell r="C5972" t="str">
            <v xml:space="preserve">  ABBAS PALAYDAR</v>
          </cell>
          <cell r="D5972">
            <v>0</v>
          </cell>
          <cell r="E5972">
            <v>0</v>
          </cell>
          <cell r="F5972">
            <v>0</v>
          </cell>
          <cell r="G5972">
            <v>0</v>
          </cell>
        </row>
        <row r="5973">
          <cell r="A5973" t="str">
            <v>55-02-06-0068</v>
          </cell>
          <cell r="B5973">
            <v>0</v>
          </cell>
          <cell r="C5973" t="str">
            <v xml:space="preserve">  TANVEER PALAYDAR</v>
          </cell>
          <cell r="D5973">
            <v>0</v>
          </cell>
          <cell r="E5973">
            <v>0</v>
          </cell>
          <cell r="F5973">
            <v>0</v>
          </cell>
          <cell r="G5973">
            <v>0</v>
          </cell>
        </row>
        <row r="5974">
          <cell r="A5974" t="str">
            <v>55-02-06-0069</v>
          </cell>
          <cell r="B5974">
            <v>0</v>
          </cell>
          <cell r="C5974" t="str">
            <v xml:space="preserve">  WASEEM PALAYDAR</v>
          </cell>
          <cell r="D5974">
            <v>0</v>
          </cell>
          <cell r="E5974">
            <v>0</v>
          </cell>
          <cell r="F5974">
            <v>0</v>
          </cell>
          <cell r="G5974">
            <v>0</v>
          </cell>
        </row>
        <row r="5975">
          <cell r="A5975" t="str">
            <v>55-02-06-0070</v>
          </cell>
          <cell r="B5975">
            <v>0</v>
          </cell>
          <cell r="C5975" t="str">
            <v xml:space="preserve">  AHSAN PALAYDAR</v>
          </cell>
          <cell r="D5975">
            <v>0</v>
          </cell>
          <cell r="E5975">
            <v>0</v>
          </cell>
          <cell r="F5975">
            <v>0</v>
          </cell>
          <cell r="G5975">
            <v>0</v>
          </cell>
        </row>
        <row r="5976">
          <cell r="A5976" t="str">
            <v>55-02-06-0071</v>
          </cell>
          <cell r="B5976">
            <v>0</v>
          </cell>
          <cell r="C5976" t="str">
            <v xml:space="preserve">  SHAFEEQ PALAYDAR</v>
          </cell>
          <cell r="D5976">
            <v>0</v>
          </cell>
          <cell r="E5976">
            <v>0</v>
          </cell>
          <cell r="F5976">
            <v>0</v>
          </cell>
          <cell r="G5976">
            <v>0</v>
          </cell>
        </row>
        <row r="5977">
          <cell r="A5977" t="str">
            <v>55-02-06-0072</v>
          </cell>
          <cell r="B5977">
            <v>0</v>
          </cell>
          <cell r="C5977" t="str">
            <v xml:space="preserve">  YASIR PALAYDAR</v>
          </cell>
          <cell r="D5977">
            <v>0</v>
          </cell>
          <cell r="E5977">
            <v>0</v>
          </cell>
          <cell r="F5977">
            <v>0</v>
          </cell>
          <cell r="G5977">
            <v>0</v>
          </cell>
        </row>
        <row r="5978">
          <cell r="A5978" t="str">
            <v>55-02-06-0073</v>
          </cell>
          <cell r="B5978">
            <v>0</v>
          </cell>
          <cell r="C5978" t="str">
            <v xml:space="preserve">  SHAHBAZ PALAYDAR</v>
          </cell>
          <cell r="D5978">
            <v>0</v>
          </cell>
          <cell r="E5978">
            <v>0</v>
          </cell>
          <cell r="F5978">
            <v>0</v>
          </cell>
          <cell r="G5978">
            <v>0</v>
          </cell>
        </row>
        <row r="5979">
          <cell r="A5979" t="str">
            <v>55-02-06-0074</v>
          </cell>
          <cell r="B5979">
            <v>0</v>
          </cell>
          <cell r="C5979" t="str">
            <v xml:space="preserve">  RAIZ PALAYDAR</v>
          </cell>
          <cell r="D5979">
            <v>0</v>
          </cell>
          <cell r="E5979">
            <v>0</v>
          </cell>
          <cell r="F5979">
            <v>0</v>
          </cell>
          <cell r="G5979">
            <v>0</v>
          </cell>
        </row>
        <row r="5980">
          <cell r="A5980" t="str">
            <v>55-02-06-0075</v>
          </cell>
          <cell r="B5980">
            <v>0</v>
          </cell>
          <cell r="C5980" t="str">
            <v xml:space="preserve">  AYUB PALAYDAR</v>
          </cell>
          <cell r="D5980">
            <v>0</v>
          </cell>
          <cell r="E5980">
            <v>0</v>
          </cell>
          <cell r="F5980">
            <v>0</v>
          </cell>
          <cell r="G5980">
            <v>0</v>
          </cell>
        </row>
        <row r="5981">
          <cell r="A5981" t="str">
            <v>55-02-06-0076</v>
          </cell>
          <cell r="B5981">
            <v>0</v>
          </cell>
          <cell r="C5981" t="str">
            <v xml:space="preserve">  AAMIR PALAYDAR</v>
          </cell>
          <cell r="D5981">
            <v>0</v>
          </cell>
          <cell r="E5981">
            <v>0</v>
          </cell>
          <cell r="F5981">
            <v>0</v>
          </cell>
          <cell r="G5981">
            <v>0</v>
          </cell>
        </row>
        <row r="5982">
          <cell r="A5982" t="str">
            <v>55-02-06-0077</v>
          </cell>
          <cell r="B5982">
            <v>0</v>
          </cell>
          <cell r="C5982" t="str">
            <v xml:space="preserve">  MUSHTAQ PALAYDAR</v>
          </cell>
          <cell r="D5982">
            <v>0</v>
          </cell>
          <cell r="E5982">
            <v>0</v>
          </cell>
          <cell r="F5982">
            <v>0</v>
          </cell>
          <cell r="G5982">
            <v>0</v>
          </cell>
        </row>
        <row r="5983">
          <cell r="A5983" t="str">
            <v>55-02-06-0078</v>
          </cell>
          <cell r="B5983">
            <v>0</v>
          </cell>
          <cell r="C5983" t="str">
            <v xml:space="preserve">  YAQOOB PALAYDAR</v>
          </cell>
          <cell r="D5983">
            <v>0</v>
          </cell>
          <cell r="E5983">
            <v>0</v>
          </cell>
          <cell r="F5983">
            <v>0</v>
          </cell>
          <cell r="G5983">
            <v>0</v>
          </cell>
        </row>
        <row r="5984">
          <cell r="A5984" t="str">
            <v>55-02-06-0079</v>
          </cell>
          <cell r="B5984">
            <v>0</v>
          </cell>
          <cell r="C5984" t="str">
            <v xml:space="preserve">  NADIR PALAYDAR.</v>
          </cell>
          <cell r="D5984">
            <v>0</v>
          </cell>
          <cell r="E5984">
            <v>0</v>
          </cell>
          <cell r="F5984">
            <v>0</v>
          </cell>
          <cell r="G5984">
            <v>0</v>
          </cell>
        </row>
        <row r="5985">
          <cell r="A5985" t="str">
            <v>55-02-06-0080</v>
          </cell>
          <cell r="B5985">
            <v>0</v>
          </cell>
          <cell r="C5985" t="str">
            <v xml:space="preserve">  WAZIR PALAYDAR.</v>
          </cell>
          <cell r="D5985">
            <v>0</v>
          </cell>
          <cell r="E5985">
            <v>0</v>
          </cell>
          <cell r="F5985">
            <v>0</v>
          </cell>
          <cell r="G5985">
            <v>0</v>
          </cell>
        </row>
        <row r="5986">
          <cell r="A5986" t="str">
            <v>55-02-06-0081</v>
          </cell>
          <cell r="B5986">
            <v>0</v>
          </cell>
          <cell r="C5986" t="str">
            <v xml:space="preserve">  MAJID PALAYDAR.</v>
          </cell>
          <cell r="D5986">
            <v>0</v>
          </cell>
          <cell r="E5986">
            <v>0</v>
          </cell>
          <cell r="F5986">
            <v>0</v>
          </cell>
          <cell r="G5986">
            <v>0</v>
          </cell>
        </row>
        <row r="5987">
          <cell r="A5987" t="str">
            <v>55-02-06-0082</v>
          </cell>
          <cell r="B5987">
            <v>0</v>
          </cell>
          <cell r="C5987" t="str">
            <v xml:space="preserve">  SARWAR PALAYDAR</v>
          </cell>
          <cell r="D5987">
            <v>0</v>
          </cell>
          <cell r="E5987">
            <v>0</v>
          </cell>
          <cell r="F5987">
            <v>0</v>
          </cell>
          <cell r="G5987">
            <v>0</v>
          </cell>
        </row>
        <row r="5988">
          <cell r="A5988" t="str">
            <v>55-02-06-0083</v>
          </cell>
          <cell r="B5988">
            <v>0</v>
          </cell>
          <cell r="C5988" t="str">
            <v xml:space="preserve">  WAJID PALAYDAR</v>
          </cell>
          <cell r="D5988">
            <v>0</v>
          </cell>
          <cell r="E5988">
            <v>0</v>
          </cell>
          <cell r="F5988">
            <v>0</v>
          </cell>
          <cell r="G5988">
            <v>0</v>
          </cell>
        </row>
        <row r="5989">
          <cell r="A5989" t="str">
            <v>55-02-06-0084</v>
          </cell>
          <cell r="B5989">
            <v>0</v>
          </cell>
          <cell r="C5989" t="str">
            <v xml:space="preserve">  TOQIR PALAYDAR</v>
          </cell>
          <cell r="D5989">
            <v>0</v>
          </cell>
          <cell r="E5989">
            <v>0</v>
          </cell>
          <cell r="F5989">
            <v>0</v>
          </cell>
          <cell r="G5989">
            <v>0</v>
          </cell>
        </row>
        <row r="5990">
          <cell r="A5990" t="str">
            <v>55-02-06-0085</v>
          </cell>
          <cell r="B5990">
            <v>0</v>
          </cell>
          <cell r="C5990" t="str">
            <v xml:space="preserve">  FATTEH MUHAMMED</v>
          </cell>
          <cell r="D5990">
            <v>0</v>
          </cell>
          <cell r="E5990">
            <v>0</v>
          </cell>
          <cell r="F5990">
            <v>0</v>
          </cell>
          <cell r="G5990">
            <v>0</v>
          </cell>
        </row>
        <row r="5991">
          <cell r="A5991" t="str">
            <v>55-02-06-0086</v>
          </cell>
          <cell r="B5991">
            <v>0</v>
          </cell>
          <cell r="C5991" t="str">
            <v xml:space="preserve">  FATEH MOHAMMED.</v>
          </cell>
          <cell r="D5991">
            <v>0</v>
          </cell>
          <cell r="E5991">
            <v>0</v>
          </cell>
          <cell r="F5991">
            <v>0</v>
          </cell>
          <cell r="G5991">
            <v>0</v>
          </cell>
        </row>
        <row r="5992">
          <cell r="A5992" t="str">
            <v>55-02-06-0087</v>
          </cell>
          <cell r="B5992">
            <v>0</v>
          </cell>
          <cell r="C5992" t="str">
            <v xml:space="preserve">  UMER PALAYDAR</v>
          </cell>
          <cell r="D5992">
            <v>0</v>
          </cell>
          <cell r="E5992">
            <v>0</v>
          </cell>
          <cell r="F5992">
            <v>0</v>
          </cell>
          <cell r="G5992">
            <v>0</v>
          </cell>
        </row>
        <row r="5993">
          <cell r="A5993" t="str">
            <v>55-02-06-0088</v>
          </cell>
          <cell r="B5993">
            <v>0</v>
          </cell>
          <cell r="C5993" t="str">
            <v xml:space="preserve">  AMANAT PALAYDAR</v>
          </cell>
          <cell r="D5993">
            <v>0</v>
          </cell>
          <cell r="E5993">
            <v>0</v>
          </cell>
          <cell r="F5993">
            <v>0</v>
          </cell>
          <cell r="G5993">
            <v>0</v>
          </cell>
        </row>
        <row r="5994">
          <cell r="A5994" t="str">
            <v>55-02-06-0089</v>
          </cell>
          <cell r="B5994">
            <v>0</v>
          </cell>
          <cell r="C5994" t="str">
            <v xml:space="preserve">  BOOTA PALAYDAR</v>
          </cell>
          <cell r="D5994">
            <v>0</v>
          </cell>
          <cell r="E5994">
            <v>0</v>
          </cell>
          <cell r="F5994">
            <v>0</v>
          </cell>
          <cell r="G5994">
            <v>0</v>
          </cell>
        </row>
        <row r="5995">
          <cell r="A5995" t="str">
            <v>55-02-06-0090</v>
          </cell>
          <cell r="B5995">
            <v>0</v>
          </cell>
          <cell r="C5995" t="str">
            <v xml:space="preserve">  REHAN AHMED PALAYDAR</v>
          </cell>
          <cell r="D5995">
            <v>0</v>
          </cell>
          <cell r="E5995">
            <v>0</v>
          </cell>
          <cell r="F5995">
            <v>0</v>
          </cell>
          <cell r="G5995">
            <v>0</v>
          </cell>
        </row>
        <row r="5996">
          <cell r="A5996" t="str">
            <v>55-02-06-0091</v>
          </cell>
          <cell r="B5996">
            <v>0</v>
          </cell>
          <cell r="C5996" t="str">
            <v xml:space="preserve">  KHAWAR PALAYDAR</v>
          </cell>
          <cell r="D5996">
            <v>0</v>
          </cell>
          <cell r="E5996">
            <v>0</v>
          </cell>
          <cell r="F5996">
            <v>0</v>
          </cell>
          <cell r="G5996">
            <v>0</v>
          </cell>
        </row>
        <row r="5997">
          <cell r="A5997" t="str">
            <v>55-02-06-0092</v>
          </cell>
          <cell r="B5997">
            <v>0</v>
          </cell>
          <cell r="C5997" t="str">
            <v xml:space="preserve">  KASHIF PALAYDAR</v>
          </cell>
          <cell r="D5997">
            <v>0</v>
          </cell>
          <cell r="E5997">
            <v>0</v>
          </cell>
          <cell r="F5997">
            <v>0</v>
          </cell>
          <cell r="G5997">
            <v>0</v>
          </cell>
        </row>
        <row r="5998">
          <cell r="A5998" t="str">
            <v>55-02-06-0093</v>
          </cell>
          <cell r="B5998">
            <v>0</v>
          </cell>
          <cell r="C5998" t="str">
            <v xml:space="preserve">  BASIT ALI PALAYDAR</v>
          </cell>
          <cell r="D5998">
            <v>0</v>
          </cell>
          <cell r="E5998">
            <v>0</v>
          </cell>
          <cell r="F5998">
            <v>0</v>
          </cell>
          <cell r="G5998">
            <v>0</v>
          </cell>
        </row>
        <row r="5999">
          <cell r="A5999" t="str">
            <v>55-02-06-0094</v>
          </cell>
          <cell r="B5999">
            <v>0</v>
          </cell>
          <cell r="C5999" t="str">
            <v xml:space="preserve">  BAOO TUFAIL</v>
          </cell>
          <cell r="D5999">
            <v>0</v>
          </cell>
          <cell r="E5999">
            <v>0</v>
          </cell>
          <cell r="F5999">
            <v>0</v>
          </cell>
          <cell r="G5999">
            <v>0</v>
          </cell>
        </row>
        <row r="6000">
          <cell r="A6000" t="str">
            <v>55-02-06-0095</v>
          </cell>
          <cell r="B6000">
            <v>0</v>
          </cell>
          <cell r="C6000" t="str">
            <v xml:space="preserve">  MUHAMMAD LATIF DAR</v>
          </cell>
          <cell r="D6000">
            <v>0</v>
          </cell>
          <cell r="E6000">
            <v>0</v>
          </cell>
          <cell r="F6000">
            <v>0</v>
          </cell>
          <cell r="G6000">
            <v>0</v>
          </cell>
        </row>
        <row r="6001">
          <cell r="A6001" t="str">
            <v>55-02-06-0096</v>
          </cell>
          <cell r="B6001">
            <v>0</v>
          </cell>
          <cell r="C6001" t="str">
            <v xml:space="preserve">  ATIF PALAYDAR</v>
          </cell>
          <cell r="D6001">
            <v>0</v>
          </cell>
          <cell r="E6001">
            <v>0</v>
          </cell>
          <cell r="F6001">
            <v>0</v>
          </cell>
          <cell r="G6001">
            <v>0</v>
          </cell>
        </row>
        <row r="6002">
          <cell r="A6002" t="str">
            <v>55-02-06-0097</v>
          </cell>
          <cell r="B6002">
            <v>0</v>
          </cell>
          <cell r="C6002" t="str">
            <v xml:space="preserve">  FARID PALAYDAR.</v>
          </cell>
          <cell r="D6002">
            <v>0</v>
          </cell>
          <cell r="E6002">
            <v>0</v>
          </cell>
          <cell r="F6002">
            <v>0</v>
          </cell>
          <cell r="G6002">
            <v>0</v>
          </cell>
        </row>
        <row r="6003">
          <cell r="A6003" t="str">
            <v>55-02-06-0098</v>
          </cell>
          <cell r="B6003">
            <v>0</v>
          </cell>
          <cell r="C6003" t="str">
            <v xml:space="preserve">  HAJI BASHIR AHMED</v>
          </cell>
          <cell r="D6003">
            <v>0</v>
          </cell>
          <cell r="E6003">
            <v>0</v>
          </cell>
          <cell r="F6003">
            <v>0</v>
          </cell>
          <cell r="G6003">
            <v>0</v>
          </cell>
        </row>
        <row r="6004">
          <cell r="A6004" t="str">
            <v>55-02-06-0099</v>
          </cell>
          <cell r="B6004">
            <v>0</v>
          </cell>
          <cell r="C6004" t="str">
            <v xml:space="preserve">  ASIF PALAYDAR</v>
          </cell>
          <cell r="D6004">
            <v>0</v>
          </cell>
          <cell r="E6004">
            <v>0</v>
          </cell>
          <cell r="F6004">
            <v>0</v>
          </cell>
          <cell r="G6004">
            <v>0</v>
          </cell>
        </row>
        <row r="6005">
          <cell r="A6005" t="str">
            <v>55-02-06-0100</v>
          </cell>
          <cell r="B6005">
            <v>0</v>
          </cell>
          <cell r="C6005" t="str">
            <v xml:space="preserve">  ABID ALI PALAYDAR.</v>
          </cell>
          <cell r="D6005">
            <v>0</v>
          </cell>
          <cell r="E6005">
            <v>0</v>
          </cell>
          <cell r="F6005">
            <v>0</v>
          </cell>
          <cell r="G6005">
            <v>0</v>
          </cell>
        </row>
        <row r="6006">
          <cell r="A6006" t="str">
            <v>55-02-06-0101</v>
          </cell>
          <cell r="B6006">
            <v>0</v>
          </cell>
          <cell r="C6006" t="str">
            <v xml:space="preserve">  MAZHAR PALAYDAR.</v>
          </cell>
          <cell r="D6006">
            <v>0</v>
          </cell>
          <cell r="E6006">
            <v>0</v>
          </cell>
          <cell r="F6006">
            <v>0</v>
          </cell>
          <cell r="G6006">
            <v>0</v>
          </cell>
        </row>
        <row r="6007">
          <cell r="A6007" t="str">
            <v>55-02-06-0102</v>
          </cell>
          <cell r="B6007">
            <v>0</v>
          </cell>
          <cell r="C6007" t="str">
            <v xml:space="preserve">  SAGHEER PALAYDAR</v>
          </cell>
          <cell r="D6007">
            <v>0</v>
          </cell>
          <cell r="E6007">
            <v>0</v>
          </cell>
          <cell r="F6007">
            <v>0</v>
          </cell>
          <cell r="G6007">
            <v>0</v>
          </cell>
        </row>
        <row r="6008">
          <cell r="A6008" t="str">
            <v>55-02-06-0103</v>
          </cell>
          <cell r="B6008">
            <v>0</v>
          </cell>
          <cell r="C6008" t="str">
            <v xml:space="preserve">  FAHEEM PALAYDAR.</v>
          </cell>
          <cell r="D6008">
            <v>0</v>
          </cell>
          <cell r="E6008">
            <v>0</v>
          </cell>
          <cell r="F6008">
            <v>0</v>
          </cell>
          <cell r="G6008">
            <v>0</v>
          </cell>
        </row>
        <row r="6009">
          <cell r="A6009" t="str">
            <v>55-02-06-0104</v>
          </cell>
          <cell r="B6009">
            <v>0</v>
          </cell>
          <cell r="C6009" t="str">
            <v xml:space="preserve">  SITARA TEXTILE INDUSTRIES (PVT) LIMITE</v>
          </cell>
          <cell r="D6009">
            <v>0</v>
          </cell>
          <cell r="E6009">
            <v>0</v>
          </cell>
          <cell r="F6009">
            <v>0</v>
          </cell>
          <cell r="G6009">
            <v>0</v>
          </cell>
        </row>
        <row r="6010">
          <cell r="A6010" t="str">
            <v>55-02-06-0105</v>
          </cell>
          <cell r="B6010">
            <v>0</v>
          </cell>
          <cell r="C6010" t="str">
            <v xml:space="preserve">  SHER ALI PALAYDAR</v>
          </cell>
          <cell r="D6010">
            <v>0</v>
          </cell>
          <cell r="E6010">
            <v>0</v>
          </cell>
          <cell r="F6010">
            <v>0</v>
          </cell>
          <cell r="G6010">
            <v>0</v>
          </cell>
        </row>
        <row r="6011">
          <cell r="A6011" t="str">
            <v>55-02-06-0106</v>
          </cell>
          <cell r="B6011">
            <v>0</v>
          </cell>
          <cell r="C6011" t="str">
            <v xml:space="preserve">  ANWAR KHAN</v>
          </cell>
          <cell r="D6011">
            <v>0</v>
          </cell>
          <cell r="E6011">
            <v>0</v>
          </cell>
          <cell r="F6011">
            <v>0</v>
          </cell>
          <cell r="G6011">
            <v>0</v>
          </cell>
        </row>
        <row r="6012">
          <cell r="A6012" t="str">
            <v>55-02-06-0107</v>
          </cell>
          <cell r="B6012">
            <v>0</v>
          </cell>
          <cell r="C6012" t="str">
            <v xml:space="preserve">  AMJAD HUSSAIN.</v>
          </cell>
          <cell r="D6012">
            <v>0</v>
          </cell>
          <cell r="E6012">
            <v>0</v>
          </cell>
          <cell r="F6012">
            <v>0</v>
          </cell>
          <cell r="G6012">
            <v>0</v>
          </cell>
        </row>
        <row r="6013">
          <cell r="A6013" t="str">
            <v>55-02-06-0108</v>
          </cell>
          <cell r="B6013">
            <v>0</v>
          </cell>
          <cell r="C6013" t="str">
            <v xml:space="preserve">  MUHAMMAD JAMIL.</v>
          </cell>
          <cell r="D6013">
            <v>0</v>
          </cell>
          <cell r="E6013">
            <v>0</v>
          </cell>
          <cell r="F6013">
            <v>0</v>
          </cell>
          <cell r="G6013">
            <v>0</v>
          </cell>
        </row>
        <row r="6014">
          <cell r="A6014" t="str">
            <v>55-02-06-0109</v>
          </cell>
          <cell r="B6014">
            <v>0</v>
          </cell>
          <cell r="C6014" t="str">
            <v xml:space="preserve">  CHANAB FABRICS &amp; PRESSING MILLS LTD.</v>
          </cell>
          <cell r="D6014">
            <v>0</v>
          </cell>
          <cell r="E6014">
            <v>0</v>
          </cell>
          <cell r="F6014">
            <v>0</v>
          </cell>
          <cell r="G6014">
            <v>0</v>
          </cell>
        </row>
        <row r="6015">
          <cell r="A6015" t="str">
            <v>55-02-06-0110</v>
          </cell>
          <cell r="B6015">
            <v>0</v>
          </cell>
          <cell r="C6015" t="str">
            <v xml:space="preserve">  MAZHAR ALI</v>
          </cell>
          <cell r="D6015">
            <v>0</v>
          </cell>
          <cell r="E6015">
            <v>0</v>
          </cell>
          <cell r="F6015">
            <v>0</v>
          </cell>
          <cell r="G6015">
            <v>0</v>
          </cell>
        </row>
        <row r="6016">
          <cell r="A6016" t="str">
            <v>55-02-06-0111</v>
          </cell>
          <cell r="B6016">
            <v>0</v>
          </cell>
          <cell r="C6016" t="str">
            <v xml:space="preserve">  MUHAMMAD SHARIF PALAYDAR</v>
          </cell>
          <cell r="D6016">
            <v>0</v>
          </cell>
          <cell r="E6016">
            <v>0</v>
          </cell>
          <cell r="F6016">
            <v>0</v>
          </cell>
          <cell r="G6016">
            <v>0</v>
          </cell>
        </row>
        <row r="6017">
          <cell r="A6017" t="str">
            <v>55-02-06-0112</v>
          </cell>
          <cell r="B6017">
            <v>0</v>
          </cell>
          <cell r="C6017" t="str">
            <v xml:space="preserve">  SHER ALAM (B.E.)</v>
          </cell>
          <cell r="D6017">
            <v>0</v>
          </cell>
          <cell r="E6017">
            <v>0</v>
          </cell>
          <cell r="F6017">
            <v>0</v>
          </cell>
          <cell r="G6017">
            <v>0</v>
          </cell>
        </row>
        <row r="6018">
          <cell r="A6018" t="str">
            <v>55-02-06-0113</v>
          </cell>
          <cell r="B6018">
            <v>0</v>
          </cell>
          <cell r="C6018" t="str">
            <v xml:space="preserve">  AL-NASIR SAZING (B.E.)</v>
          </cell>
          <cell r="D6018">
            <v>0</v>
          </cell>
          <cell r="E6018">
            <v>0</v>
          </cell>
          <cell r="F6018">
            <v>0</v>
          </cell>
          <cell r="G6018">
            <v>0</v>
          </cell>
        </row>
        <row r="6019">
          <cell r="A6019" t="str">
            <v>55-02-06-0114</v>
          </cell>
          <cell r="B6019">
            <v>0</v>
          </cell>
          <cell r="C6019" t="str">
            <v xml:space="preserve">  SHAMA EXPORTS (PVT) LIMITED.</v>
          </cell>
          <cell r="D6019">
            <v>0</v>
          </cell>
          <cell r="E6019">
            <v>0</v>
          </cell>
          <cell r="F6019">
            <v>0</v>
          </cell>
          <cell r="G6019">
            <v>0</v>
          </cell>
        </row>
        <row r="6020">
          <cell r="A6020" t="str">
            <v>55-02-06-0115</v>
          </cell>
          <cell r="B6020">
            <v>0</v>
          </cell>
          <cell r="C6020" t="str">
            <v xml:space="preserve">  HAJI SHAIKH NOOR DIN AND SONS (PVT) LT</v>
          </cell>
          <cell r="D6020">
            <v>0</v>
          </cell>
          <cell r="E6020">
            <v>0</v>
          </cell>
          <cell r="F6020">
            <v>0</v>
          </cell>
          <cell r="G6020">
            <v>0</v>
          </cell>
        </row>
        <row r="6021">
          <cell r="A6021" t="str">
            <v>55-02-06-0116</v>
          </cell>
          <cell r="B6021">
            <v>0</v>
          </cell>
          <cell r="C6021" t="str">
            <v xml:space="preserve">  BISMILLAH TEXTILE (PVT) LIMITED.</v>
          </cell>
          <cell r="D6021">
            <v>0</v>
          </cell>
          <cell r="E6021">
            <v>0</v>
          </cell>
          <cell r="F6021">
            <v>0</v>
          </cell>
          <cell r="G6021">
            <v>0</v>
          </cell>
        </row>
        <row r="6022">
          <cell r="A6022" t="str">
            <v>55-02-06-0117</v>
          </cell>
          <cell r="B6022">
            <v>0</v>
          </cell>
          <cell r="C6022" t="str">
            <v xml:space="preserve">  ABDUR REHMAN CORPORATION.</v>
          </cell>
          <cell r="D6022">
            <v>0</v>
          </cell>
          <cell r="E6022">
            <v>0</v>
          </cell>
          <cell r="F6022">
            <v>0</v>
          </cell>
          <cell r="G6022">
            <v>0</v>
          </cell>
        </row>
        <row r="6023">
          <cell r="A6023" t="str">
            <v>55-02-06-0118</v>
          </cell>
          <cell r="B6023">
            <v>0</v>
          </cell>
          <cell r="C6023" t="str">
            <v xml:space="preserve">  J.K.BROTHERS (PVT) LIMITED</v>
          </cell>
          <cell r="D6023">
            <v>0</v>
          </cell>
          <cell r="E6023">
            <v>0</v>
          </cell>
          <cell r="F6023">
            <v>0</v>
          </cell>
          <cell r="G6023">
            <v>0</v>
          </cell>
        </row>
        <row r="6024">
          <cell r="A6024" t="str">
            <v>55-02-06-0119</v>
          </cell>
          <cell r="B6024">
            <v>0</v>
          </cell>
          <cell r="C6024" t="str">
            <v xml:space="preserve">  ANWAR HAMEED.</v>
          </cell>
          <cell r="D6024">
            <v>0</v>
          </cell>
          <cell r="E6024">
            <v>0</v>
          </cell>
          <cell r="F6024">
            <v>0</v>
          </cell>
          <cell r="G6024">
            <v>0</v>
          </cell>
        </row>
        <row r="6025">
          <cell r="A6025" t="str">
            <v>55-02-06-0120</v>
          </cell>
          <cell r="B6025">
            <v>0</v>
          </cell>
          <cell r="C6025" t="str">
            <v xml:space="preserve">  UNITED TEXTILE PRINTING INDUSTRIES (PV</v>
          </cell>
          <cell r="D6025">
            <v>0</v>
          </cell>
          <cell r="E6025">
            <v>0</v>
          </cell>
          <cell r="F6025">
            <v>0</v>
          </cell>
          <cell r="G6025">
            <v>0</v>
          </cell>
        </row>
        <row r="6026">
          <cell r="A6026" t="str">
            <v>55-02-06-0121</v>
          </cell>
          <cell r="B6026">
            <v>0</v>
          </cell>
          <cell r="C6026" t="str">
            <v xml:space="preserve">  KAUSAR TEXTILE INDUSTRIES (PVT) LIMITE</v>
          </cell>
          <cell r="D6026">
            <v>0</v>
          </cell>
          <cell r="E6026">
            <v>0</v>
          </cell>
          <cell r="F6026">
            <v>0</v>
          </cell>
          <cell r="G6026">
            <v>0</v>
          </cell>
        </row>
        <row r="6027">
          <cell r="A6027" t="str">
            <v>55-02-06-0122</v>
          </cell>
          <cell r="B6027">
            <v>0</v>
          </cell>
          <cell r="C6027" t="str">
            <v xml:space="preserve">  Z.A INTERNATIONAL</v>
          </cell>
          <cell r="D6027">
            <v>0</v>
          </cell>
          <cell r="E6027">
            <v>0</v>
          </cell>
          <cell r="F6027">
            <v>0</v>
          </cell>
          <cell r="G6027">
            <v>0</v>
          </cell>
        </row>
        <row r="6028">
          <cell r="A6028" t="str">
            <v>55-02-06-0123</v>
          </cell>
          <cell r="B6028">
            <v>0</v>
          </cell>
          <cell r="C6028" t="str">
            <v xml:space="preserve">  MUGHANAM (PVT) LIMITED.</v>
          </cell>
          <cell r="D6028">
            <v>0</v>
          </cell>
          <cell r="E6028">
            <v>0</v>
          </cell>
          <cell r="F6028">
            <v>0</v>
          </cell>
          <cell r="G6028">
            <v>0</v>
          </cell>
        </row>
        <row r="6029">
          <cell r="A6029" t="str">
            <v>55-02-06-0124</v>
          </cell>
          <cell r="B6029">
            <v>0</v>
          </cell>
          <cell r="C6029" t="str">
            <v xml:space="preserve">  DAWOOD EXPORTS MILLS</v>
          </cell>
          <cell r="D6029">
            <v>0</v>
          </cell>
          <cell r="E6029">
            <v>0</v>
          </cell>
          <cell r="F6029">
            <v>0</v>
          </cell>
          <cell r="G6029">
            <v>0</v>
          </cell>
        </row>
        <row r="6030">
          <cell r="A6030" t="str">
            <v>55-02-06-0125</v>
          </cell>
          <cell r="B6030">
            <v>0</v>
          </cell>
          <cell r="C6030" t="str">
            <v xml:space="preserve">  IHSAN YOUSAF TEXTILE MILLS (PVT) LIMIT</v>
          </cell>
          <cell r="D6030">
            <v>0</v>
          </cell>
          <cell r="E6030">
            <v>0</v>
          </cell>
          <cell r="F6030">
            <v>0</v>
          </cell>
          <cell r="G6030">
            <v>0</v>
          </cell>
        </row>
        <row r="6031">
          <cell r="A6031" t="str">
            <v>55-02-06-0126</v>
          </cell>
          <cell r="B6031">
            <v>0</v>
          </cell>
          <cell r="C6031" t="str">
            <v xml:space="preserve">  KAMAL SPINNING MILLS.</v>
          </cell>
          <cell r="D6031">
            <v>0</v>
          </cell>
          <cell r="E6031">
            <v>0</v>
          </cell>
          <cell r="F6031">
            <v>0</v>
          </cell>
          <cell r="G6031">
            <v>0</v>
          </cell>
        </row>
        <row r="6032">
          <cell r="A6032" t="str">
            <v>55-02-06-0127</v>
          </cell>
          <cell r="B6032">
            <v>0</v>
          </cell>
          <cell r="C6032" t="str">
            <v xml:space="preserve">  IMRAN TEXTILE</v>
          </cell>
          <cell r="D6032">
            <v>0</v>
          </cell>
          <cell r="E6032">
            <v>0</v>
          </cell>
          <cell r="F6032">
            <v>0</v>
          </cell>
          <cell r="G6032">
            <v>0</v>
          </cell>
        </row>
        <row r="6033">
          <cell r="A6033" t="str">
            <v>55-02-06-0128</v>
          </cell>
          <cell r="B6033">
            <v>0</v>
          </cell>
          <cell r="C6033" t="str">
            <v xml:space="preserve">  M.N.TEXTILE (PVT) LIMITED.</v>
          </cell>
          <cell r="D6033">
            <v>0</v>
          </cell>
          <cell r="E6033">
            <v>0</v>
          </cell>
          <cell r="F6033">
            <v>0</v>
          </cell>
          <cell r="G6033">
            <v>0</v>
          </cell>
        </row>
        <row r="6034">
          <cell r="A6034" t="str">
            <v>55-02-06-0129</v>
          </cell>
          <cell r="B6034">
            <v>0</v>
          </cell>
          <cell r="C6034" t="str">
            <v xml:space="preserve">  SILVER TEXTILE LIMITED</v>
          </cell>
          <cell r="D6034">
            <v>0</v>
          </cell>
          <cell r="E6034">
            <v>0</v>
          </cell>
          <cell r="F6034">
            <v>0</v>
          </cell>
          <cell r="G6034">
            <v>0</v>
          </cell>
        </row>
        <row r="6035">
          <cell r="A6035" t="str">
            <v>55-02-06-0130</v>
          </cell>
          <cell r="B6035">
            <v>0</v>
          </cell>
          <cell r="C6035" t="str">
            <v xml:space="preserve">  AMTEX (PRIVATE) LIMITED.</v>
          </cell>
          <cell r="D6035">
            <v>0</v>
          </cell>
          <cell r="E6035">
            <v>0</v>
          </cell>
          <cell r="F6035">
            <v>0</v>
          </cell>
          <cell r="G6035">
            <v>0</v>
          </cell>
        </row>
        <row r="6036">
          <cell r="A6036" t="str">
            <v>55-02-06-0131</v>
          </cell>
          <cell r="B6036">
            <v>0</v>
          </cell>
          <cell r="C6036" t="str">
            <v xml:space="preserve">  SYNCO TEXTILE AGENCIES.</v>
          </cell>
          <cell r="D6036">
            <v>0</v>
          </cell>
          <cell r="E6036">
            <v>0</v>
          </cell>
          <cell r="F6036">
            <v>0</v>
          </cell>
          <cell r="G6036">
            <v>0</v>
          </cell>
        </row>
        <row r="6037">
          <cell r="A6037" t="str">
            <v>55-02-06-0132</v>
          </cell>
          <cell r="B6037">
            <v>0</v>
          </cell>
          <cell r="C6037" t="str">
            <v xml:space="preserve">  KAMRAN TEXTILE</v>
          </cell>
          <cell r="D6037">
            <v>0</v>
          </cell>
          <cell r="E6037">
            <v>0</v>
          </cell>
          <cell r="F6037">
            <v>0</v>
          </cell>
          <cell r="G6037">
            <v>0</v>
          </cell>
        </row>
        <row r="6038">
          <cell r="A6038" t="str">
            <v>55-02-06-0133</v>
          </cell>
          <cell r="B6038">
            <v>0</v>
          </cell>
          <cell r="C6038" t="str">
            <v xml:space="preserve">  ZAHID JEE BROTHERS (PVT) LIMITED.</v>
          </cell>
          <cell r="D6038">
            <v>0</v>
          </cell>
          <cell r="E6038">
            <v>0</v>
          </cell>
          <cell r="F6038">
            <v>0</v>
          </cell>
          <cell r="G6038">
            <v>0</v>
          </cell>
        </row>
        <row r="6039">
          <cell r="A6039" t="str">
            <v>55-02-06-0134</v>
          </cell>
          <cell r="B6039">
            <v>0</v>
          </cell>
          <cell r="C6039" t="str">
            <v xml:space="preserve">  J.K SONS (PVT) LIMITED</v>
          </cell>
          <cell r="D6039">
            <v>0</v>
          </cell>
          <cell r="E6039">
            <v>0</v>
          </cell>
          <cell r="F6039">
            <v>0</v>
          </cell>
          <cell r="G6039">
            <v>0</v>
          </cell>
        </row>
        <row r="6040">
          <cell r="A6040" t="str">
            <v>55-02-06-0135</v>
          </cell>
          <cell r="B6040">
            <v>0</v>
          </cell>
          <cell r="C6040" t="str">
            <v xml:space="preserve">  SAWAN IMPEX</v>
          </cell>
          <cell r="D6040">
            <v>0</v>
          </cell>
          <cell r="E6040">
            <v>0</v>
          </cell>
          <cell r="F6040">
            <v>0</v>
          </cell>
          <cell r="G6040">
            <v>0</v>
          </cell>
        </row>
        <row r="6041">
          <cell r="A6041" t="str">
            <v>55-02-06-0136</v>
          </cell>
          <cell r="B6041">
            <v>0</v>
          </cell>
          <cell r="C6041" t="str">
            <v xml:space="preserve">  BEST EXPORT (PVT) LIMITED</v>
          </cell>
          <cell r="D6041">
            <v>0</v>
          </cell>
          <cell r="E6041">
            <v>0</v>
          </cell>
          <cell r="F6041">
            <v>0</v>
          </cell>
          <cell r="G6041">
            <v>0</v>
          </cell>
        </row>
        <row r="6042">
          <cell r="A6042" t="str">
            <v>55-02-06-0137</v>
          </cell>
          <cell r="B6042">
            <v>0</v>
          </cell>
          <cell r="C6042" t="str">
            <v xml:space="preserve">  KAUSAR PROCESSING INDUSTRY (PVT) LIMIT</v>
          </cell>
          <cell r="D6042">
            <v>0</v>
          </cell>
          <cell r="E6042">
            <v>0</v>
          </cell>
          <cell r="F6042">
            <v>0</v>
          </cell>
          <cell r="G6042">
            <v>0</v>
          </cell>
        </row>
        <row r="6043">
          <cell r="A6043" t="str">
            <v>55-02-06-0138</v>
          </cell>
          <cell r="B6043">
            <v>0</v>
          </cell>
          <cell r="C6043" t="str">
            <v xml:space="preserve">  SADDAT GARMENTS</v>
          </cell>
          <cell r="D6043">
            <v>0</v>
          </cell>
          <cell r="E6043">
            <v>0</v>
          </cell>
          <cell r="F6043">
            <v>0</v>
          </cell>
          <cell r="G6043">
            <v>0</v>
          </cell>
        </row>
        <row r="6044">
          <cell r="A6044" t="str">
            <v>55-02-06-0139</v>
          </cell>
          <cell r="B6044">
            <v>0</v>
          </cell>
          <cell r="C6044" t="str">
            <v xml:space="preserve">  DILKHUSH HOSIERY MILLS (PVT) LIMITED.</v>
          </cell>
          <cell r="D6044">
            <v>0</v>
          </cell>
          <cell r="E6044">
            <v>0</v>
          </cell>
          <cell r="F6044">
            <v>0</v>
          </cell>
          <cell r="G6044">
            <v>0</v>
          </cell>
        </row>
        <row r="6045">
          <cell r="A6045" t="str">
            <v>55-02-06-0140</v>
          </cell>
          <cell r="B6045">
            <v>0</v>
          </cell>
          <cell r="C6045" t="str">
            <v xml:space="preserve">  ESSA TEX INDUSTRIES</v>
          </cell>
          <cell r="D6045">
            <v>0</v>
          </cell>
          <cell r="E6045">
            <v>0</v>
          </cell>
          <cell r="F6045">
            <v>0</v>
          </cell>
          <cell r="G6045">
            <v>0</v>
          </cell>
        </row>
        <row r="6046">
          <cell r="A6046" t="str">
            <v>55-02-06-0141</v>
          </cell>
          <cell r="B6046">
            <v>0</v>
          </cell>
          <cell r="C6046" t="str">
            <v xml:space="preserve">  AZAD INTERNATIONAL CLOTHING (PVT) LTD.</v>
          </cell>
          <cell r="D6046">
            <v>0</v>
          </cell>
          <cell r="E6046">
            <v>0</v>
          </cell>
          <cell r="F6046">
            <v>0</v>
          </cell>
          <cell r="G6046">
            <v>0</v>
          </cell>
        </row>
        <row r="6047">
          <cell r="A6047" t="str">
            <v>55-02-06-0142</v>
          </cell>
          <cell r="B6047">
            <v>0</v>
          </cell>
          <cell r="C6047" t="str">
            <v xml:space="preserve">  ALPHA KNITTING (PVT) LIMITED</v>
          </cell>
          <cell r="D6047">
            <v>0</v>
          </cell>
          <cell r="E6047">
            <v>0</v>
          </cell>
          <cell r="F6047">
            <v>0</v>
          </cell>
          <cell r="G6047">
            <v>0</v>
          </cell>
        </row>
        <row r="6048">
          <cell r="A6048" t="str">
            <v>55-02-06-0143</v>
          </cell>
          <cell r="B6048">
            <v>0</v>
          </cell>
          <cell r="C6048" t="str">
            <v xml:space="preserve">  I.F.C ENTERPRISES</v>
          </cell>
          <cell r="D6048">
            <v>0</v>
          </cell>
          <cell r="E6048">
            <v>0</v>
          </cell>
          <cell r="F6048">
            <v>0</v>
          </cell>
          <cell r="G6048">
            <v>0</v>
          </cell>
        </row>
        <row r="6049">
          <cell r="A6049" t="str">
            <v>55-02-06-0144</v>
          </cell>
          <cell r="B6049">
            <v>0</v>
          </cell>
          <cell r="C6049" t="str">
            <v xml:space="preserve">  M.A.S TEXTILES (PVT) LIMITED.</v>
          </cell>
          <cell r="D6049">
            <v>0</v>
          </cell>
          <cell r="E6049">
            <v>0</v>
          </cell>
          <cell r="F6049">
            <v>0</v>
          </cell>
          <cell r="G6049">
            <v>0</v>
          </cell>
        </row>
        <row r="6050">
          <cell r="A6050" t="str">
            <v>55-02-06-0145</v>
          </cell>
          <cell r="B6050">
            <v>0</v>
          </cell>
          <cell r="C6050" t="str">
            <v xml:space="preserve">  ALVERA ENTERPRISES (PVT) LIMITED.</v>
          </cell>
          <cell r="D6050">
            <v>0</v>
          </cell>
          <cell r="E6050">
            <v>0</v>
          </cell>
          <cell r="F6050">
            <v>0</v>
          </cell>
          <cell r="G6050">
            <v>0</v>
          </cell>
        </row>
        <row r="6051">
          <cell r="A6051" t="str">
            <v>55-02-06-0146</v>
          </cell>
          <cell r="B6051">
            <v>0</v>
          </cell>
          <cell r="C6051" t="str">
            <v xml:space="preserve">  FIVE STAR TEXTILE INDUSTRIES (PVT) LTD</v>
          </cell>
          <cell r="D6051">
            <v>0</v>
          </cell>
          <cell r="E6051">
            <v>0</v>
          </cell>
          <cell r="F6051">
            <v>0</v>
          </cell>
          <cell r="G6051">
            <v>0</v>
          </cell>
        </row>
        <row r="6052">
          <cell r="A6052" t="str">
            <v>55-02-06-0147</v>
          </cell>
          <cell r="B6052">
            <v>0</v>
          </cell>
          <cell r="C6052" t="str">
            <v xml:space="preserve">  ALI INDUSTRIES (PVT) LIMITED.</v>
          </cell>
          <cell r="D6052">
            <v>0</v>
          </cell>
          <cell r="E6052">
            <v>0</v>
          </cell>
          <cell r="F6052">
            <v>0</v>
          </cell>
          <cell r="G6052">
            <v>0</v>
          </cell>
        </row>
        <row r="6053">
          <cell r="A6053" t="str">
            <v>55-02-06-0148</v>
          </cell>
          <cell r="B6053">
            <v>0</v>
          </cell>
          <cell r="C6053" t="str">
            <v xml:space="preserve">  NAVEENA INDUSTRIES (PVT) LIMITED.</v>
          </cell>
          <cell r="D6053">
            <v>0</v>
          </cell>
          <cell r="E6053">
            <v>0</v>
          </cell>
          <cell r="F6053">
            <v>0</v>
          </cell>
          <cell r="G6053">
            <v>0</v>
          </cell>
        </row>
        <row r="6054">
          <cell r="A6054" t="str">
            <v>55-02-06-0149</v>
          </cell>
          <cell r="B6054">
            <v>0</v>
          </cell>
          <cell r="C6054" t="str">
            <v xml:space="preserve">  ZEBTEX CORPORATION.</v>
          </cell>
          <cell r="D6054">
            <v>0</v>
          </cell>
          <cell r="E6054">
            <v>0</v>
          </cell>
          <cell r="F6054">
            <v>0</v>
          </cell>
          <cell r="G6054">
            <v>0</v>
          </cell>
        </row>
        <row r="6055">
          <cell r="A6055" t="str">
            <v>55-02-06-0150</v>
          </cell>
          <cell r="B6055">
            <v>0</v>
          </cell>
          <cell r="C6055" t="str">
            <v xml:space="preserve">  DAWOOD EXPORTS PVT LIMITED.</v>
          </cell>
          <cell r="D6055">
            <v>0</v>
          </cell>
          <cell r="E6055">
            <v>0</v>
          </cell>
          <cell r="F6055">
            <v>0</v>
          </cell>
          <cell r="G6055">
            <v>0</v>
          </cell>
        </row>
        <row r="6056">
          <cell r="A6056" t="str">
            <v>55-02-06-0151</v>
          </cell>
          <cell r="B6056">
            <v>0</v>
          </cell>
          <cell r="C6056" t="str">
            <v xml:space="preserve">  HAJRA TEXTILES</v>
          </cell>
          <cell r="D6056">
            <v>0</v>
          </cell>
          <cell r="E6056">
            <v>0</v>
          </cell>
          <cell r="F6056">
            <v>0</v>
          </cell>
          <cell r="G6056">
            <v>0</v>
          </cell>
        </row>
        <row r="6057">
          <cell r="A6057" t="str">
            <v>55-02-06-0152</v>
          </cell>
          <cell r="B6057">
            <v>0</v>
          </cell>
          <cell r="C6057" t="str">
            <v xml:space="preserve">  DYER TEXTILE AND PRINTING MILLS (PVT)L</v>
          </cell>
          <cell r="D6057">
            <v>0</v>
          </cell>
          <cell r="E6057">
            <v>0</v>
          </cell>
          <cell r="F6057">
            <v>0</v>
          </cell>
          <cell r="G6057">
            <v>0</v>
          </cell>
        </row>
        <row r="6058">
          <cell r="A6058" t="str">
            <v>55-02-06-0153</v>
          </cell>
          <cell r="B6058">
            <v>0</v>
          </cell>
          <cell r="C6058" t="str">
            <v xml:space="preserve">  NOVENA INDUSTRIES  (PVT) LIMITED</v>
          </cell>
          <cell r="D6058">
            <v>0</v>
          </cell>
          <cell r="E6058">
            <v>0</v>
          </cell>
          <cell r="F6058">
            <v>0</v>
          </cell>
          <cell r="G6058">
            <v>0</v>
          </cell>
        </row>
        <row r="6059">
          <cell r="A6059" t="str">
            <v>55-02-06-0154</v>
          </cell>
          <cell r="B6059">
            <v>0</v>
          </cell>
          <cell r="C6059" t="str">
            <v xml:space="preserve">  PAK FABRICS (PVT) LIMITED.</v>
          </cell>
          <cell r="D6059">
            <v>0</v>
          </cell>
          <cell r="E6059">
            <v>0</v>
          </cell>
          <cell r="F6059">
            <v>0</v>
          </cell>
          <cell r="G6059">
            <v>0</v>
          </cell>
        </row>
        <row r="6060">
          <cell r="A6060" t="str">
            <v>55-02-06-0155</v>
          </cell>
          <cell r="B6060">
            <v>0</v>
          </cell>
          <cell r="C6060" t="str">
            <v xml:space="preserve">  GOHAR INTERNATIONAL</v>
          </cell>
          <cell r="D6060">
            <v>0</v>
          </cell>
          <cell r="E6060">
            <v>0</v>
          </cell>
          <cell r="F6060">
            <v>0</v>
          </cell>
          <cell r="G6060">
            <v>0</v>
          </cell>
        </row>
        <row r="6061">
          <cell r="A6061" t="str">
            <v>55-02-06-0156</v>
          </cell>
          <cell r="B6061">
            <v>0</v>
          </cell>
          <cell r="C6061" t="str">
            <v xml:space="preserve">  SADIQ SONS TEXTILE (PVT) LIMITED</v>
          </cell>
          <cell r="D6061">
            <v>0</v>
          </cell>
          <cell r="E6061">
            <v>0</v>
          </cell>
          <cell r="F6061">
            <v>0</v>
          </cell>
          <cell r="G6061">
            <v>0</v>
          </cell>
        </row>
        <row r="6062">
          <cell r="A6062" t="str">
            <v>55-02-06-0157</v>
          </cell>
          <cell r="B6062">
            <v>0</v>
          </cell>
          <cell r="C6062" t="str">
            <v xml:space="preserve">  H.A.INDUSTRIES (PVT) LIMITED</v>
          </cell>
          <cell r="D6062">
            <v>0</v>
          </cell>
          <cell r="E6062">
            <v>0</v>
          </cell>
          <cell r="F6062">
            <v>0</v>
          </cell>
          <cell r="G6062">
            <v>0</v>
          </cell>
        </row>
        <row r="6063">
          <cell r="A6063" t="str">
            <v>55-02-06-0158</v>
          </cell>
          <cell r="B6063">
            <v>0</v>
          </cell>
          <cell r="C6063" t="str">
            <v xml:space="preserve">  MUSKZAR KNITWEAR (PVT) LIMITED.</v>
          </cell>
          <cell r="D6063">
            <v>0</v>
          </cell>
          <cell r="E6063">
            <v>0</v>
          </cell>
          <cell r="F6063">
            <v>0</v>
          </cell>
          <cell r="G6063">
            <v>0</v>
          </cell>
        </row>
        <row r="6064">
          <cell r="A6064" t="str">
            <v>55-02-06-0159</v>
          </cell>
          <cell r="B6064">
            <v>0</v>
          </cell>
          <cell r="C6064" t="str">
            <v xml:space="preserve">  KHAWAJA COTTON INDUSTRIES</v>
          </cell>
          <cell r="D6064">
            <v>0</v>
          </cell>
          <cell r="E6064">
            <v>0</v>
          </cell>
          <cell r="F6064">
            <v>0</v>
          </cell>
          <cell r="G6064">
            <v>0</v>
          </cell>
        </row>
        <row r="6065">
          <cell r="A6065" t="str">
            <v>55-02-06-0160</v>
          </cell>
          <cell r="B6065">
            <v>0</v>
          </cell>
          <cell r="C6065" t="str">
            <v xml:space="preserve">  MA BATLA</v>
          </cell>
          <cell r="D6065">
            <v>0</v>
          </cell>
          <cell r="E6065">
            <v>0</v>
          </cell>
          <cell r="F6065">
            <v>0</v>
          </cell>
          <cell r="G6065">
            <v>0</v>
          </cell>
        </row>
        <row r="6066">
          <cell r="A6066" t="str">
            <v>55-02-06-0161</v>
          </cell>
          <cell r="B6066">
            <v>0</v>
          </cell>
          <cell r="C6066" t="str">
            <v xml:space="preserve">  SADAQAT TEXTILE MILLS (PVT) LIMITED.</v>
          </cell>
          <cell r="D6066">
            <v>0</v>
          </cell>
          <cell r="E6066">
            <v>0</v>
          </cell>
          <cell r="F6066">
            <v>0</v>
          </cell>
          <cell r="G6066">
            <v>0</v>
          </cell>
        </row>
        <row r="6067">
          <cell r="A6067" t="str">
            <v>55-02-06-0162</v>
          </cell>
          <cell r="B6067">
            <v>0</v>
          </cell>
          <cell r="C6067" t="str">
            <v xml:space="preserve">  BLUE HOUSE ENTERPRISES</v>
          </cell>
          <cell r="D6067">
            <v>0</v>
          </cell>
          <cell r="E6067">
            <v>0</v>
          </cell>
          <cell r="F6067">
            <v>0</v>
          </cell>
          <cell r="G6067">
            <v>0</v>
          </cell>
        </row>
        <row r="6068">
          <cell r="A6068" t="str">
            <v>55-02-06-0163</v>
          </cell>
          <cell r="B6068">
            <v>0</v>
          </cell>
          <cell r="C6068" t="str">
            <v xml:space="preserve">  SHELL HOSIERY</v>
          </cell>
          <cell r="D6068">
            <v>0</v>
          </cell>
          <cell r="E6068">
            <v>0</v>
          </cell>
          <cell r="F6068">
            <v>0</v>
          </cell>
          <cell r="G6068">
            <v>0</v>
          </cell>
        </row>
        <row r="6069">
          <cell r="A6069" t="str">
            <v>55-02-06-0164</v>
          </cell>
          <cell r="B6069">
            <v>0</v>
          </cell>
          <cell r="C6069" t="str">
            <v xml:space="preserve">  RAJA TRADERS</v>
          </cell>
          <cell r="D6069">
            <v>0</v>
          </cell>
          <cell r="E6069">
            <v>0</v>
          </cell>
          <cell r="F6069">
            <v>0</v>
          </cell>
          <cell r="G6069">
            <v>0</v>
          </cell>
        </row>
        <row r="6070">
          <cell r="A6070" t="str">
            <v>55-02-06-0165</v>
          </cell>
          <cell r="B6070">
            <v>0</v>
          </cell>
          <cell r="C6070" t="str">
            <v xml:space="preserve">  K &amp; M PRIVATE LTD.</v>
          </cell>
          <cell r="D6070">
            <v>0</v>
          </cell>
          <cell r="E6070">
            <v>0</v>
          </cell>
          <cell r="F6070">
            <v>0</v>
          </cell>
          <cell r="G6070">
            <v>0</v>
          </cell>
        </row>
        <row r="6071">
          <cell r="A6071" t="str">
            <v>55-02-06-0166</v>
          </cell>
          <cell r="B6071">
            <v>0</v>
          </cell>
          <cell r="C6071" t="str">
            <v xml:space="preserve">  UNITED IMPEX</v>
          </cell>
          <cell r="D6071">
            <v>0</v>
          </cell>
          <cell r="E6071">
            <v>0</v>
          </cell>
          <cell r="F6071">
            <v>0</v>
          </cell>
          <cell r="G6071">
            <v>0</v>
          </cell>
        </row>
        <row r="6072">
          <cell r="A6072" t="str">
            <v>55-02-06-0167</v>
          </cell>
          <cell r="B6072">
            <v>0</v>
          </cell>
          <cell r="C6072" t="str">
            <v xml:space="preserve">  AFINO TEXTILE</v>
          </cell>
          <cell r="D6072">
            <v>0</v>
          </cell>
          <cell r="E6072">
            <v>0</v>
          </cell>
          <cell r="F6072">
            <v>0</v>
          </cell>
          <cell r="G6072">
            <v>0</v>
          </cell>
        </row>
        <row r="6073">
          <cell r="A6073" t="str">
            <v>55-02-06-0168</v>
          </cell>
          <cell r="B6073">
            <v>0</v>
          </cell>
          <cell r="C6073" t="str">
            <v xml:space="preserve">  MEHRAN EXPORTS CORPORATION.</v>
          </cell>
          <cell r="D6073">
            <v>0</v>
          </cell>
          <cell r="E6073">
            <v>0</v>
          </cell>
          <cell r="F6073">
            <v>0</v>
          </cell>
          <cell r="G6073">
            <v>0</v>
          </cell>
        </row>
        <row r="6074">
          <cell r="A6074" t="str">
            <v>55-02-06-0169</v>
          </cell>
          <cell r="B6074">
            <v>0</v>
          </cell>
          <cell r="C6074" t="str">
            <v xml:space="preserve">  NAWAZ ENTERPRISES.</v>
          </cell>
          <cell r="D6074">
            <v>0</v>
          </cell>
          <cell r="E6074">
            <v>0</v>
          </cell>
          <cell r="F6074">
            <v>0</v>
          </cell>
          <cell r="G6074">
            <v>0</v>
          </cell>
        </row>
        <row r="6075">
          <cell r="A6075" t="str">
            <v>55-02-06-0170</v>
          </cell>
          <cell r="B6075">
            <v>0</v>
          </cell>
          <cell r="C6075" t="str">
            <v xml:space="preserve">  FAROOQ ENTERPRISES</v>
          </cell>
          <cell r="D6075">
            <v>0</v>
          </cell>
          <cell r="E6075">
            <v>0</v>
          </cell>
          <cell r="F6075">
            <v>0</v>
          </cell>
          <cell r="G6075">
            <v>0</v>
          </cell>
        </row>
        <row r="6076">
          <cell r="A6076" t="str">
            <v>55-02-06-0171</v>
          </cell>
          <cell r="B6076">
            <v>0</v>
          </cell>
          <cell r="C6076" t="str">
            <v xml:space="preserve">  MASTER GARMENTS</v>
          </cell>
          <cell r="D6076">
            <v>0</v>
          </cell>
          <cell r="E6076">
            <v>0</v>
          </cell>
          <cell r="F6076">
            <v>0</v>
          </cell>
          <cell r="G6076">
            <v>0</v>
          </cell>
        </row>
        <row r="6077">
          <cell r="A6077" t="str">
            <v>55-02-06-0172</v>
          </cell>
          <cell r="B6077">
            <v>0</v>
          </cell>
          <cell r="C6077" t="str">
            <v xml:space="preserve">  RAZA BROTHERS</v>
          </cell>
          <cell r="D6077">
            <v>0</v>
          </cell>
          <cell r="E6077">
            <v>0</v>
          </cell>
          <cell r="F6077">
            <v>0</v>
          </cell>
          <cell r="G6077">
            <v>0</v>
          </cell>
        </row>
        <row r="6078">
          <cell r="A6078" t="str">
            <v>55-02-06-0173</v>
          </cell>
          <cell r="B6078">
            <v>0</v>
          </cell>
          <cell r="C6078" t="str">
            <v xml:space="preserve">  MIAN AKBAR TRADDING CORP.</v>
          </cell>
          <cell r="D6078">
            <v>0</v>
          </cell>
          <cell r="E6078">
            <v>0</v>
          </cell>
          <cell r="F6078">
            <v>0</v>
          </cell>
          <cell r="G6078">
            <v>0</v>
          </cell>
        </row>
        <row r="6079">
          <cell r="A6079" t="str">
            <v>55-02-06-0174</v>
          </cell>
          <cell r="B6079">
            <v>0</v>
          </cell>
          <cell r="C6079" t="str">
            <v xml:space="preserve">  S.B HOSIERY FACTORY (PVT) LIMITED.</v>
          </cell>
          <cell r="D6079">
            <v>0</v>
          </cell>
          <cell r="E6079">
            <v>0</v>
          </cell>
          <cell r="F6079">
            <v>0</v>
          </cell>
          <cell r="G6079">
            <v>0</v>
          </cell>
        </row>
        <row r="6080">
          <cell r="A6080" t="str">
            <v>55-02-06-0175</v>
          </cell>
          <cell r="B6080">
            <v>0</v>
          </cell>
          <cell r="C6080" t="str">
            <v xml:space="preserve">  GHULAM HUSSAIN</v>
          </cell>
          <cell r="D6080">
            <v>0</v>
          </cell>
          <cell r="E6080">
            <v>0</v>
          </cell>
          <cell r="F6080">
            <v>0</v>
          </cell>
          <cell r="G6080">
            <v>0</v>
          </cell>
        </row>
        <row r="6081">
          <cell r="A6081" t="str">
            <v>55-02-06-0176</v>
          </cell>
          <cell r="B6081">
            <v>0</v>
          </cell>
          <cell r="C6081" t="str">
            <v xml:space="preserve">  TOWELLERS LIMITED</v>
          </cell>
          <cell r="D6081">
            <v>0</v>
          </cell>
          <cell r="E6081">
            <v>0</v>
          </cell>
          <cell r="F6081">
            <v>0</v>
          </cell>
          <cell r="G6081">
            <v>0</v>
          </cell>
        </row>
        <row r="6082">
          <cell r="A6082" t="str">
            <v>55-02-06-0177</v>
          </cell>
          <cell r="B6082">
            <v>0</v>
          </cell>
          <cell r="C6082" t="str">
            <v xml:space="preserve">  TRADEX (PVT) LIMITED</v>
          </cell>
          <cell r="D6082">
            <v>0</v>
          </cell>
          <cell r="E6082">
            <v>0</v>
          </cell>
          <cell r="F6082">
            <v>0</v>
          </cell>
          <cell r="G6082">
            <v>0</v>
          </cell>
        </row>
        <row r="6083">
          <cell r="A6083" t="str">
            <v>55-02-06-0178</v>
          </cell>
          <cell r="B6083">
            <v>0</v>
          </cell>
          <cell r="C6083" t="str">
            <v xml:space="preserve">  SHABBIR ASSOCIATES</v>
          </cell>
          <cell r="D6083">
            <v>0</v>
          </cell>
          <cell r="E6083">
            <v>0</v>
          </cell>
          <cell r="F6083">
            <v>0</v>
          </cell>
          <cell r="G6083">
            <v>0</v>
          </cell>
        </row>
        <row r="6084">
          <cell r="A6084" t="str">
            <v>55-02-06-0179</v>
          </cell>
          <cell r="B6084">
            <v>0</v>
          </cell>
          <cell r="C6084" t="str">
            <v xml:space="preserve">  TAJ PROCESSING INDUSTRIES (PVT) LIMITE</v>
          </cell>
          <cell r="D6084">
            <v>0</v>
          </cell>
          <cell r="E6084">
            <v>0</v>
          </cell>
          <cell r="F6084">
            <v>0</v>
          </cell>
          <cell r="G6084">
            <v>0</v>
          </cell>
        </row>
        <row r="6085">
          <cell r="A6085" t="str">
            <v>55-02-06-0180</v>
          </cell>
          <cell r="B6085">
            <v>0</v>
          </cell>
          <cell r="C6085" t="str">
            <v xml:space="preserve">  KAM INTERNATIONAL</v>
          </cell>
          <cell r="D6085">
            <v>0</v>
          </cell>
          <cell r="E6085">
            <v>0</v>
          </cell>
          <cell r="F6085">
            <v>0</v>
          </cell>
          <cell r="G6085">
            <v>0</v>
          </cell>
        </row>
        <row r="6086">
          <cell r="A6086" t="str">
            <v>55-02-06-0181</v>
          </cell>
          <cell r="B6086">
            <v>0</v>
          </cell>
          <cell r="C6086" t="str">
            <v xml:space="preserve">  QAYYUM RASHID TEXTILE (PVT) LIMITED</v>
          </cell>
          <cell r="D6086">
            <v>0</v>
          </cell>
          <cell r="E6086">
            <v>0</v>
          </cell>
          <cell r="F6086">
            <v>0</v>
          </cell>
          <cell r="G6086">
            <v>0</v>
          </cell>
        </row>
        <row r="6087">
          <cell r="A6087" t="str">
            <v>55-02-06-0182</v>
          </cell>
          <cell r="B6087">
            <v>0</v>
          </cell>
          <cell r="C6087" t="str">
            <v xml:space="preserve">  NISAR TEX CORPORATION</v>
          </cell>
          <cell r="D6087">
            <v>0</v>
          </cell>
          <cell r="E6087">
            <v>0</v>
          </cell>
          <cell r="F6087">
            <v>0</v>
          </cell>
          <cell r="G6087">
            <v>0</v>
          </cell>
        </row>
        <row r="6088">
          <cell r="A6088" t="str">
            <v>55-02-06-0183</v>
          </cell>
          <cell r="B6088">
            <v>0</v>
          </cell>
          <cell r="C6088" t="str">
            <v xml:space="preserve">  FALCON TEXTILE</v>
          </cell>
          <cell r="D6088">
            <v>0</v>
          </cell>
          <cell r="E6088">
            <v>0</v>
          </cell>
          <cell r="F6088">
            <v>0</v>
          </cell>
          <cell r="G6088">
            <v>0</v>
          </cell>
        </row>
        <row r="6089">
          <cell r="A6089" t="str">
            <v>55-02-06-0184</v>
          </cell>
          <cell r="B6089">
            <v>0</v>
          </cell>
          <cell r="C6089" t="str">
            <v xml:space="preserve">  M.Y ENTERPRISES</v>
          </cell>
          <cell r="D6089">
            <v>0</v>
          </cell>
          <cell r="E6089">
            <v>0</v>
          </cell>
          <cell r="F6089">
            <v>0</v>
          </cell>
          <cell r="G6089">
            <v>0</v>
          </cell>
        </row>
        <row r="6090">
          <cell r="A6090" t="str">
            <v>55-02-06-0185</v>
          </cell>
          <cell r="B6090">
            <v>0</v>
          </cell>
          <cell r="C6090" t="str">
            <v xml:space="preserve">  USMAN TEXTILES</v>
          </cell>
          <cell r="D6090">
            <v>0</v>
          </cell>
          <cell r="E6090">
            <v>0</v>
          </cell>
          <cell r="F6090">
            <v>0</v>
          </cell>
          <cell r="G6090">
            <v>0</v>
          </cell>
        </row>
        <row r="6091">
          <cell r="A6091" t="str">
            <v>55-02-06-0186</v>
          </cell>
          <cell r="B6091">
            <v>0</v>
          </cell>
          <cell r="C6091" t="str">
            <v xml:space="preserve">  FATEH TEXTILE MILLS LIMITED</v>
          </cell>
          <cell r="D6091">
            <v>0</v>
          </cell>
          <cell r="E6091">
            <v>0</v>
          </cell>
          <cell r="F6091">
            <v>0</v>
          </cell>
          <cell r="G6091">
            <v>0</v>
          </cell>
        </row>
        <row r="6092">
          <cell r="A6092" t="str">
            <v>55-02-06-0187</v>
          </cell>
          <cell r="B6092">
            <v>0</v>
          </cell>
          <cell r="C6092" t="str">
            <v xml:space="preserve">  MILLAT TEX COMPANY</v>
          </cell>
          <cell r="D6092">
            <v>0</v>
          </cell>
          <cell r="E6092">
            <v>0</v>
          </cell>
          <cell r="F6092">
            <v>0</v>
          </cell>
          <cell r="G6092">
            <v>0</v>
          </cell>
        </row>
        <row r="6093">
          <cell r="A6093" t="str">
            <v>55-02-06-0188</v>
          </cell>
          <cell r="B6093">
            <v>0</v>
          </cell>
          <cell r="C6093" t="str">
            <v xml:space="preserve">  SHAN ENTERPRISES</v>
          </cell>
          <cell r="D6093">
            <v>0</v>
          </cell>
          <cell r="E6093">
            <v>0</v>
          </cell>
          <cell r="F6093">
            <v>0</v>
          </cell>
          <cell r="G6093">
            <v>0</v>
          </cell>
        </row>
        <row r="6094">
          <cell r="A6094" t="str">
            <v>55-02-06-0189</v>
          </cell>
          <cell r="B6094">
            <v>0</v>
          </cell>
          <cell r="C6094" t="str">
            <v xml:space="preserve">  TERY TOWELLERS (PVT) LIMITED</v>
          </cell>
          <cell r="D6094">
            <v>0</v>
          </cell>
          <cell r="E6094">
            <v>0</v>
          </cell>
          <cell r="F6094">
            <v>0</v>
          </cell>
          <cell r="G6094">
            <v>0</v>
          </cell>
        </row>
        <row r="6095">
          <cell r="A6095" t="str">
            <v>55-02-06-0190</v>
          </cell>
          <cell r="B6095">
            <v>0</v>
          </cell>
          <cell r="C6095" t="str">
            <v xml:space="preserve">  H.TEX (PVT) LIMITED.</v>
          </cell>
          <cell r="D6095">
            <v>0</v>
          </cell>
          <cell r="E6095">
            <v>0</v>
          </cell>
          <cell r="F6095">
            <v>0</v>
          </cell>
          <cell r="G6095">
            <v>0</v>
          </cell>
        </row>
        <row r="6096">
          <cell r="A6096" t="str">
            <v>55-02-06-0191</v>
          </cell>
          <cell r="B6096">
            <v>0</v>
          </cell>
          <cell r="C6096" t="str">
            <v xml:space="preserve">  LEATHER TEX GLOVING (PVT) LIMITED</v>
          </cell>
          <cell r="D6096">
            <v>0</v>
          </cell>
          <cell r="E6096">
            <v>0</v>
          </cell>
          <cell r="F6096">
            <v>0</v>
          </cell>
          <cell r="G6096">
            <v>0</v>
          </cell>
        </row>
        <row r="6097">
          <cell r="A6097" t="str">
            <v>55-02-06-0192</v>
          </cell>
          <cell r="B6097">
            <v>0</v>
          </cell>
          <cell r="C6097" t="str">
            <v xml:space="preserve">  MOHSIN BROTHERS</v>
          </cell>
          <cell r="D6097">
            <v>0</v>
          </cell>
          <cell r="E6097">
            <v>0</v>
          </cell>
          <cell r="F6097">
            <v>0</v>
          </cell>
          <cell r="G6097">
            <v>0</v>
          </cell>
        </row>
        <row r="6098">
          <cell r="A6098" t="str">
            <v>55-02-06-0193</v>
          </cell>
          <cell r="B6098">
            <v>0</v>
          </cell>
          <cell r="C6098" t="str">
            <v xml:space="preserve">  S &amp; S TEXTILES INTERNATIONAL</v>
          </cell>
          <cell r="D6098">
            <v>0</v>
          </cell>
          <cell r="E6098">
            <v>0</v>
          </cell>
          <cell r="F6098">
            <v>0</v>
          </cell>
          <cell r="G6098">
            <v>0</v>
          </cell>
        </row>
        <row r="6099">
          <cell r="A6099" t="str">
            <v>55-02-06-0194</v>
          </cell>
          <cell r="B6099">
            <v>0</v>
          </cell>
          <cell r="C6099" t="str">
            <v xml:space="preserve">  S.N.A TEXTILES PVT) LIMITED.</v>
          </cell>
          <cell r="D6099">
            <v>0</v>
          </cell>
          <cell r="E6099">
            <v>0</v>
          </cell>
          <cell r="F6099">
            <v>0</v>
          </cell>
          <cell r="G6099">
            <v>0</v>
          </cell>
        </row>
        <row r="6100">
          <cell r="A6100" t="str">
            <v>55-02-06-0195</v>
          </cell>
          <cell r="B6100">
            <v>0</v>
          </cell>
          <cell r="C6100" t="str">
            <v xml:space="preserve">  HAJI SHAIKH NAWAB DIN &amp; BROTHERS.</v>
          </cell>
          <cell r="D6100">
            <v>0</v>
          </cell>
          <cell r="E6100">
            <v>0</v>
          </cell>
          <cell r="F6100">
            <v>0</v>
          </cell>
          <cell r="G6100">
            <v>0</v>
          </cell>
        </row>
        <row r="6101">
          <cell r="A6101" t="str">
            <v>55-02-06-0196</v>
          </cell>
          <cell r="B6101">
            <v>0</v>
          </cell>
          <cell r="C6101" t="str">
            <v xml:space="preserve">  ATARA TARPOLINE &amp; TEXTILE INDUSTRIES</v>
          </cell>
          <cell r="D6101">
            <v>0</v>
          </cell>
          <cell r="E6101">
            <v>0</v>
          </cell>
          <cell r="F6101">
            <v>0</v>
          </cell>
          <cell r="G6101">
            <v>0</v>
          </cell>
        </row>
        <row r="6102">
          <cell r="A6102" t="str">
            <v>55-02-06-0197</v>
          </cell>
          <cell r="B6102">
            <v>0</v>
          </cell>
          <cell r="C6102" t="str">
            <v xml:space="preserve">  TANVEER WEAVING (PVT) LIMITED.</v>
          </cell>
          <cell r="D6102">
            <v>0</v>
          </cell>
          <cell r="E6102">
            <v>0</v>
          </cell>
          <cell r="F6102">
            <v>0</v>
          </cell>
          <cell r="G6102">
            <v>0</v>
          </cell>
        </row>
        <row r="6103">
          <cell r="A6103" t="str">
            <v>55-02-06-0198</v>
          </cell>
          <cell r="B6103">
            <v>0</v>
          </cell>
          <cell r="C6103" t="str">
            <v xml:space="preserve">  R.I.WEAVING</v>
          </cell>
          <cell r="D6103">
            <v>0</v>
          </cell>
          <cell r="E6103">
            <v>0</v>
          </cell>
          <cell r="F6103">
            <v>0</v>
          </cell>
          <cell r="G6103">
            <v>0</v>
          </cell>
        </row>
        <row r="6104">
          <cell r="A6104" t="str">
            <v>55-02-06-0199</v>
          </cell>
          <cell r="B6104">
            <v>0</v>
          </cell>
          <cell r="C6104" t="str">
            <v xml:space="preserve">  FINE GLOVES INDUSTRIES</v>
          </cell>
          <cell r="D6104">
            <v>0</v>
          </cell>
          <cell r="E6104">
            <v>0</v>
          </cell>
          <cell r="F6104">
            <v>0</v>
          </cell>
          <cell r="G6104">
            <v>0</v>
          </cell>
        </row>
        <row r="6105">
          <cell r="A6105" t="str">
            <v>55-02-06-0200</v>
          </cell>
          <cell r="B6105">
            <v>0</v>
          </cell>
          <cell r="C6105" t="str">
            <v xml:space="preserve">  DESENT TEXTILES</v>
          </cell>
          <cell r="D6105">
            <v>0</v>
          </cell>
          <cell r="E6105">
            <v>0</v>
          </cell>
          <cell r="F6105">
            <v>0</v>
          </cell>
          <cell r="G6105">
            <v>0</v>
          </cell>
        </row>
        <row r="6106">
          <cell r="A6106" t="str">
            <v>55-02-06-0201</v>
          </cell>
          <cell r="B6106">
            <v>0</v>
          </cell>
          <cell r="C6106" t="str">
            <v xml:space="preserve">  WHITE HORIZON (PVT) LIMITED</v>
          </cell>
          <cell r="D6106">
            <v>0</v>
          </cell>
          <cell r="E6106">
            <v>0</v>
          </cell>
          <cell r="F6106">
            <v>0</v>
          </cell>
          <cell r="G6106">
            <v>0</v>
          </cell>
        </row>
        <row r="6107">
          <cell r="A6107" t="str">
            <v>55-02-06-0202</v>
          </cell>
          <cell r="B6107">
            <v>0</v>
          </cell>
          <cell r="C6107" t="str">
            <v xml:space="preserve">  TEXTO PRINT MILLS (PVT)LIMITED</v>
          </cell>
          <cell r="D6107">
            <v>0</v>
          </cell>
          <cell r="E6107">
            <v>0</v>
          </cell>
          <cell r="F6107">
            <v>0</v>
          </cell>
          <cell r="G6107">
            <v>0</v>
          </cell>
        </row>
        <row r="6108">
          <cell r="A6108" t="str">
            <v>55-02-06-0203</v>
          </cell>
          <cell r="B6108">
            <v>0</v>
          </cell>
          <cell r="C6108" t="str">
            <v xml:space="preserve">  NOVA TEX GLOVES INDUSTRIES</v>
          </cell>
          <cell r="D6108">
            <v>0</v>
          </cell>
          <cell r="E6108">
            <v>0</v>
          </cell>
          <cell r="F6108">
            <v>0</v>
          </cell>
          <cell r="G6108">
            <v>0</v>
          </cell>
        </row>
        <row r="6109">
          <cell r="A6109" t="str">
            <v>55-02-06-0204</v>
          </cell>
          <cell r="B6109">
            <v>0</v>
          </cell>
          <cell r="C6109" t="str">
            <v xml:space="preserve">  FAIRDEAL TEXTILES (PVT) LIMITED.</v>
          </cell>
          <cell r="D6109">
            <v>0</v>
          </cell>
          <cell r="E6109">
            <v>0</v>
          </cell>
          <cell r="F6109">
            <v>0</v>
          </cell>
          <cell r="G6109">
            <v>0</v>
          </cell>
        </row>
        <row r="6110">
          <cell r="A6110" t="str">
            <v>55-02-06-0205</v>
          </cell>
          <cell r="B6110">
            <v>0</v>
          </cell>
          <cell r="C6110" t="str">
            <v xml:space="preserve">  SAQIB FABRICS</v>
          </cell>
          <cell r="D6110">
            <v>0</v>
          </cell>
          <cell r="E6110">
            <v>0</v>
          </cell>
          <cell r="F6110">
            <v>0</v>
          </cell>
          <cell r="G6110">
            <v>0</v>
          </cell>
        </row>
        <row r="6111">
          <cell r="A6111" t="str">
            <v>55-02-06-0206</v>
          </cell>
          <cell r="B6111">
            <v>0</v>
          </cell>
          <cell r="C6111" t="str">
            <v xml:space="preserve">  ABDUL SATTAR</v>
          </cell>
          <cell r="D6111">
            <v>0</v>
          </cell>
          <cell r="E6111">
            <v>0</v>
          </cell>
          <cell r="F6111">
            <v>0</v>
          </cell>
          <cell r="G6111">
            <v>0</v>
          </cell>
        </row>
        <row r="6112">
          <cell r="A6112" t="str">
            <v>55-02-06-0207</v>
          </cell>
          <cell r="B6112">
            <v>0</v>
          </cell>
          <cell r="C6112" t="str">
            <v xml:space="preserve">  AL-HADI INDUSTRIES (PVT) LIMITED.</v>
          </cell>
          <cell r="D6112">
            <v>0</v>
          </cell>
          <cell r="E6112">
            <v>0</v>
          </cell>
          <cell r="F6112">
            <v>0</v>
          </cell>
          <cell r="G6112">
            <v>0</v>
          </cell>
        </row>
        <row r="6113">
          <cell r="A6113" t="str">
            <v>55-02-06-0208</v>
          </cell>
          <cell r="B6113">
            <v>0</v>
          </cell>
          <cell r="C6113" t="str">
            <v xml:space="preserve">  DILPASAND HOSIERY (PVT) LIMITED.</v>
          </cell>
          <cell r="D6113">
            <v>0</v>
          </cell>
          <cell r="E6113">
            <v>0</v>
          </cell>
          <cell r="F6113">
            <v>0</v>
          </cell>
          <cell r="G6113">
            <v>0</v>
          </cell>
        </row>
        <row r="6114">
          <cell r="A6114" t="str">
            <v>55-02-06-0209</v>
          </cell>
          <cell r="B6114">
            <v>0</v>
          </cell>
          <cell r="C6114" t="str">
            <v xml:space="preserve">  BAAK INDUSTRIES</v>
          </cell>
          <cell r="D6114">
            <v>0</v>
          </cell>
          <cell r="E6114">
            <v>0</v>
          </cell>
          <cell r="F6114">
            <v>0</v>
          </cell>
          <cell r="G6114">
            <v>0</v>
          </cell>
        </row>
        <row r="6115">
          <cell r="A6115" t="str">
            <v>55-02-06-0210</v>
          </cell>
          <cell r="B6115">
            <v>0</v>
          </cell>
          <cell r="C6115" t="str">
            <v xml:space="preserve">  NIAGRA TEXTILE MILLS</v>
          </cell>
          <cell r="D6115">
            <v>0</v>
          </cell>
          <cell r="E6115">
            <v>0</v>
          </cell>
          <cell r="F6115">
            <v>0</v>
          </cell>
          <cell r="G6115">
            <v>0</v>
          </cell>
        </row>
        <row r="6116">
          <cell r="A6116" t="str">
            <v>55-02-06-0211</v>
          </cell>
          <cell r="B6116">
            <v>0</v>
          </cell>
          <cell r="C6116" t="str">
            <v xml:space="preserve">  CHAUDHRY FASHION</v>
          </cell>
          <cell r="D6116">
            <v>0</v>
          </cell>
          <cell r="E6116">
            <v>0</v>
          </cell>
          <cell r="F6116">
            <v>0</v>
          </cell>
          <cell r="G6116">
            <v>0</v>
          </cell>
        </row>
        <row r="6117">
          <cell r="A6117" t="str">
            <v>55-02-06-0212</v>
          </cell>
          <cell r="B6117">
            <v>0</v>
          </cell>
          <cell r="C6117" t="str">
            <v xml:space="preserve">  HINA ENTERPRISES</v>
          </cell>
          <cell r="D6117">
            <v>0</v>
          </cell>
          <cell r="E6117">
            <v>0</v>
          </cell>
          <cell r="F6117">
            <v>0</v>
          </cell>
          <cell r="G6117">
            <v>0</v>
          </cell>
        </row>
        <row r="6118">
          <cell r="A6118" t="str">
            <v>55-02-06-0213</v>
          </cell>
          <cell r="B6118">
            <v>0</v>
          </cell>
          <cell r="C6118" t="str">
            <v xml:space="preserve">  FATTAH TEXTILE</v>
          </cell>
          <cell r="D6118">
            <v>0</v>
          </cell>
          <cell r="E6118">
            <v>0</v>
          </cell>
          <cell r="F6118">
            <v>0</v>
          </cell>
          <cell r="G6118">
            <v>0</v>
          </cell>
        </row>
        <row r="6119">
          <cell r="A6119" t="str">
            <v>55-02-06-0214</v>
          </cell>
          <cell r="B6119">
            <v>0</v>
          </cell>
          <cell r="C6119" t="str">
            <v xml:space="preserve">  ALAMA TRADING COMPANY</v>
          </cell>
          <cell r="D6119">
            <v>0</v>
          </cell>
          <cell r="E6119">
            <v>0</v>
          </cell>
          <cell r="F6119">
            <v>0</v>
          </cell>
          <cell r="G6119">
            <v>0</v>
          </cell>
        </row>
        <row r="6120">
          <cell r="A6120" t="str">
            <v>55-02-06-0215</v>
          </cell>
          <cell r="B6120">
            <v>0</v>
          </cell>
          <cell r="C6120" t="str">
            <v xml:space="preserve">  SHAFA INTERNATIONAL</v>
          </cell>
          <cell r="D6120">
            <v>0</v>
          </cell>
          <cell r="E6120">
            <v>0</v>
          </cell>
          <cell r="F6120">
            <v>0</v>
          </cell>
          <cell r="G6120">
            <v>0</v>
          </cell>
        </row>
        <row r="6121">
          <cell r="A6121" t="str">
            <v>55-02-06-0216</v>
          </cell>
          <cell r="B6121">
            <v>0</v>
          </cell>
          <cell r="C6121" t="str">
            <v xml:space="preserve">  ABDUL REHMAN CORPORATION (PVT) LIMITED</v>
          </cell>
          <cell r="D6121">
            <v>0</v>
          </cell>
          <cell r="E6121">
            <v>0</v>
          </cell>
          <cell r="F6121">
            <v>0</v>
          </cell>
          <cell r="G6121">
            <v>0</v>
          </cell>
        </row>
        <row r="6122">
          <cell r="A6122" t="str">
            <v>55-02-06-0217</v>
          </cell>
          <cell r="B6122">
            <v>0</v>
          </cell>
          <cell r="C6122" t="str">
            <v xml:space="preserve">  H.M.S. TENT TEXTILE INDUSTRY (REGD)</v>
          </cell>
          <cell r="D6122">
            <v>0</v>
          </cell>
          <cell r="E6122">
            <v>0</v>
          </cell>
          <cell r="F6122">
            <v>0</v>
          </cell>
          <cell r="G6122">
            <v>0</v>
          </cell>
        </row>
        <row r="6123">
          <cell r="A6123" t="str">
            <v>55-02-06-0218</v>
          </cell>
          <cell r="B6123">
            <v>0</v>
          </cell>
          <cell r="C6123" t="str">
            <v xml:space="preserve">  HIFTON (PVT) LIMITED.</v>
          </cell>
          <cell r="D6123">
            <v>0</v>
          </cell>
          <cell r="E6123">
            <v>0</v>
          </cell>
          <cell r="F6123">
            <v>0</v>
          </cell>
          <cell r="G6123">
            <v>0</v>
          </cell>
        </row>
        <row r="6124">
          <cell r="A6124" t="str">
            <v>55-02-06-0219</v>
          </cell>
          <cell r="B6124">
            <v>0</v>
          </cell>
          <cell r="C6124" t="str">
            <v xml:space="preserve">  MUHAMMAD HUSSAIN</v>
          </cell>
          <cell r="D6124">
            <v>0</v>
          </cell>
          <cell r="E6124">
            <v>0</v>
          </cell>
          <cell r="F6124">
            <v>0</v>
          </cell>
          <cell r="G6124">
            <v>0</v>
          </cell>
        </row>
        <row r="6125">
          <cell r="A6125" t="str">
            <v>55-02-06-0220</v>
          </cell>
          <cell r="B6125">
            <v>0</v>
          </cell>
          <cell r="C6125" t="str">
            <v xml:space="preserve">  ANWAR SHAH</v>
          </cell>
          <cell r="D6125">
            <v>0</v>
          </cell>
          <cell r="E6125">
            <v>0</v>
          </cell>
          <cell r="F6125">
            <v>0</v>
          </cell>
          <cell r="G6125">
            <v>0</v>
          </cell>
        </row>
        <row r="6126">
          <cell r="A6126" t="str">
            <v>55-02-06-0221</v>
          </cell>
          <cell r="B6126">
            <v>0</v>
          </cell>
          <cell r="C6126" t="str">
            <v xml:space="preserve">  ABID ALI</v>
          </cell>
          <cell r="D6126">
            <v>0</v>
          </cell>
          <cell r="E6126">
            <v>0</v>
          </cell>
          <cell r="F6126">
            <v>0</v>
          </cell>
          <cell r="G6126">
            <v>0</v>
          </cell>
        </row>
        <row r="6127">
          <cell r="A6127" t="str">
            <v>55-02-06-0222</v>
          </cell>
          <cell r="B6127">
            <v>0</v>
          </cell>
          <cell r="C6127" t="str">
            <v xml:space="preserve">  QASIM PALAYDAR</v>
          </cell>
          <cell r="D6127">
            <v>0</v>
          </cell>
          <cell r="E6127">
            <v>0</v>
          </cell>
          <cell r="F6127">
            <v>0</v>
          </cell>
          <cell r="G6127">
            <v>0</v>
          </cell>
        </row>
        <row r="6128">
          <cell r="A6128" t="str">
            <v>55-02-06-0223</v>
          </cell>
          <cell r="B6128">
            <v>0</v>
          </cell>
          <cell r="C6128" t="str">
            <v xml:space="preserve">  AHMED ALI</v>
          </cell>
          <cell r="D6128">
            <v>0</v>
          </cell>
          <cell r="E6128">
            <v>0</v>
          </cell>
          <cell r="F6128">
            <v>0</v>
          </cell>
          <cell r="G6128">
            <v>0</v>
          </cell>
        </row>
        <row r="6129">
          <cell r="A6129" t="str">
            <v>55-02-06-0224</v>
          </cell>
          <cell r="B6129">
            <v>0</v>
          </cell>
          <cell r="C6129" t="str">
            <v xml:space="preserve">  SHAH ALAM</v>
          </cell>
          <cell r="D6129">
            <v>0</v>
          </cell>
          <cell r="E6129">
            <v>0</v>
          </cell>
          <cell r="F6129">
            <v>0</v>
          </cell>
          <cell r="G6129">
            <v>0</v>
          </cell>
        </row>
        <row r="6130">
          <cell r="A6130" t="str">
            <v>55-02-06-0225</v>
          </cell>
          <cell r="B6130">
            <v>0</v>
          </cell>
          <cell r="C6130" t="str">
            <v xml:space="preserve">  SHAH ALAM</v>
          </cell>
          <cell r="D6130">
            <v>0</v>
          </cell>
          <cell r="E6130">
            <v>0</v>
          </cell>
          <cell r="F6130">
            <v>0</v>
          </cell>
          <cell r="G6130">
            <v>0</v>
          </cell>
        </row>
        <row r="6131">
          <cell r="A6131" t="str">
            <v>55-02-06-0226</v>
          </cell>
          <cell r="B6131">
            <v>0</v>
          </cell>
          <cell r="C6131" t="str">
            <v xml:space="preserve">  MOON LITE TRADING</v>
          </cell>
          <cell r="D6131">
            <v>0</v>
          </cell>
          <cell r="E6131">
            <v>0</v>
          </cell>
          <cell r="F6131">
            <v>0</v>
          </cell>
          <cell r="G6131">
            <v>0</v>
          </cell>
        </row>
        <row r="6132">
          <cell r="A6132" t="str">
            <v>55-02-06-0227</v>
          </cell>
          <cell r="B6132">
            <v>0</v>
          </cell>
          <cell r="C6132" t="str">
            <v xml:space="preserve">  A.M.TEXTILE</v>
          </cell>
          <cell r="D6132">
            <v>0</v>
          </cell>
          <cell r="E6132">
            <v>0</v>
          </cell>
          <cell r="F6132">
            <v>0</v>
          </cell>
          <cell r="G6132">
            <v>0</v>
          </cell>
        </row>
        <row r="6133">
          <cell r="A6133" t="str">
            <v>55-02-06-0228</v>
          </cell>
          <cell r="B6133">
            <v>0</v>
          </cell>
          <cell r="C6133" t="str">
            <v xml:space="preserve">  SAJID PALAYDAR</v>
          </cell>
          <cell r="D6133">
            <v>0</v>
          </cell>
          <cell r="E6133">
            <v>0</v>
          </cell>
          <cell r="F6133">
            <v>0</v>
          </cell>
          <cell r="G6133">
            <v>0</v>
          </cell>
        </row>
        <row r="6134">
          <cell r="A6134" t="str">
            <v>55-02-06-0229</v>
          </cell>
          <cell r="B6134">
            <v>0</v>
          </cell>
          <cell r="C6134" t="str">
            <v xml:space="preserve">  USMAN PALAYDAR</v>
          </cell>
          <cell r="D6134">
            <v>0</v>
          </cell>
          <cell r="E6134">
            <v>0</v>
          </cell>
          <cell r="F6134">
            <v>0</v>
          </cell>
          <cell r="G6134">
            <v>0</v>
          </cell>
        </row>
        <row r="6135">
          <cell r="A6135" t="str">
            <v>55-02-06-0230</v>
          </cell>
          <cell r="B6135">
            <v>0</v>
          </cell>
          <cell r="C6135" t="str">
            <v xml:space="preserve">  NAVID PALAYDAR</v>
          </cell>
          <cell r="D6135">
            <v>0</v>
          </cell>
          <cell r="E6135">
            <v>0</v>
          </cell>
          <cell r="F6135">
            <v>0</v>
          </cell>
          <cell r="G6135">
            <v>0</v>
          </cell>
        </row>
        <row r="6136">
          <cell r="A6136" t="str">
            <v>55-02-06-0231</v>
          </cell>
          <cell r="B6136">
            <v>0</v>
          </cell>
          <cell r="C6136" t="str">
            <v xml:space="preserve">  KHALID PALAYDAR.</v>
          </cell>
          <cell r="D6136">
            <v>0</v>
          </cell>
          <cell r="E6136">
            <v>0</v>
          </cell>
          <cell r="F6136">
            <v>0</v>
          </cell>
          <cell r="G6136">
            <v>0</v>
          </cell>
        </row>
        <row r="6137">
          <cell r="A6137" t="str">
            <v>55-02-06-0232</v>
          </cell>
          <cell r="B6137">
            <v>0</v>
          </cell>
          <cell r="C6137" t="str">
            <v xml:space="preserve">  FAISAL PALAYDAR</v>
          </cell>
          <cell r="D6137">
            <v>0</v>
          </cell>
          <cell r="E6137">
            <v>0</v>
          </cell>
          <cell r="F6137">
            <v>0</v>
          </cell>
          <cell r="G6137">
            <v>0</v>
          </cell>
        </row>
        <row r="6138">
          <cell r="A6138" t="str">
            <v>55-02-06-0233</v>
          </cell>
          <cell r="B6138">
            <v>0</v>
          </cell>
          <cell r="C6138" t="str">
            <v xml:space="preserve">  NASIR MEHMOOD</v>
          </cell>
          <cell r="D6138">
            <v>0</v>
          </cell>
          <cell r="E6138">
            <v>0</v>
          </cell>
          <cell r="F6138">
            <v>0</v>
          </cell>
          <cell r="G6138">
            <v>0</v>
          </cell>
        </row>
        <row r="6139">
          <cell r="A6139" t="str">
            <v>55-02-06-0234</v>
          </cell>
          <cell r="B6139">
            <v>0</v>
          </cell>
          <cell r="C6139" t="str">
            <v xml:space="preserve">  ASHRAF PALAYDAR</v>
          </cell>
          <cell r="D6139">
            <v>0</v>
          </cell>
          <cell r="E6139">
            <v>0</v>
          </cell>
          <cell r="F6139">
            <v>0</v>
          </cell>
          <cell r="G6139">
            <v>0</v>
          </cell>
        </row>
        <row r="6140">
          <cell r="A6140" t="str">
            <v>55-02-06-0235</v>
          </cell>
          <cell r="B6140">
            <v>0</v>
          </cell>
          <cell r="C6140" t="str">
            <v xml:space="preserve">  NOMAN PALAYDAR</v>
          </cell>
          <cell r="D6140">
            <v>0</v>
          </cell>
          <cell r="E6140">
            <v>0</v>
          </cell>
          <cell r="F6140">
            <v>0</v>
          </cell>
          <cell r="G6140">
            <v>0</v>
          </cell>
        </row>
        <row r="6141">
          <cell r="A6141" t="str">
            <v>55-02-06-0236</v>
          </cell>
          <cell r="B6141">
            <v>0</v>
          </cell>
          <cell r="C6141" t="str">
            <v xml:space="preserve">  QAISER PALAYDAR</v>
          </cell>
          <cell r="D6141">
            <v>0</v>
          </cell>
          <cell r="E6141">
            <v>0</v>
          </cell>
          <cell r="F6141">
            <v>0</v>
          </cell>
          <cell r="G6141">
            <v>0</v>
          </cell>
        </row>
        <row r="6142">
          <cell r="A6142" t="str">
            <v>55-02-06-0237</v>
          </cell>
          <cell r="B6142">
            <v>0</v>
          </cell>
          <cell r="C6142" t="str">
            <v xml:space="preserve">  HAMEED PALAYDAR</v>
          </cell>
          <cell r="D6142">
            <v>0</v>
          </cell>
          <cell r="E6142">
            <v>0</v>
          </cell>
          <cell r="F6142">
            <v>0</v>
          </cell>
          <cell r="G6142">
            <v>0</v>
          </cell>
        </row>
        <row r="6143">
          <cell r="A6143" t="str">
            <v>55-02-06-0238</v>
          </cell>
          <cell r="B6143">
            <v>0</v>
          </cell>
          <cell r="C6143" t="str">
            <v xml:space="preserve">  ISHAQ PALAYDAR</v>
          </cell>
          <cell r="D6143">
            <v>0</v>
          </cell>
          <cell r="E6143">
            <v>0</v>
          </cell>
          <cell r="F6143">
            <v>0</v>
          </cell>
          <cell r="G6143">
            <v>0</v>
          </cell>
        </row>
        <row r="6144">
          <cell r="A6144" t="str">
            <v>55-02-06-0239</v>
          </cell>
          <cell r="B6144">
            <v>0</v>
          </cell>
          <cell r="C6144" t="str">
            <v xml:space="preserve">  KHAN MUHAMMAD</v>
          </cell>
          <cell r="D6144">
            <v>0</v>
          </cell>
          <cell r="E6144">
            <v>0</v>
          </cell>
          <cell r="F6144">
            <v>0</v>
          </cell>
          <cell r="G6144">
            <v>0</v>
          </cell>
        </row>
        <row r="6145">
          <cell r="A6145" t="str">
            <v>55-02-06-0240</v>
          </cell>
          <cell r="B6145">
            <v>0</v>
          </cell>
          <cell r="C6145" t="str">
            <v xml:space="preserve">  RAHMAT ALI</v>
          </cell>
          <cell r="D6145">
            <v>0</v>
          </cell>
          <cell r="E6145">
            <v>0</v>
          </cell>
          <cell r="F6145">
            <v>0</v>
          </cell>
          <cell r="G6145">
            <v>0</v>
          </cell>
        </row>
        <row r="6146">
          <cell r="A6146" t="str">
            <v>55-02-06-0241</v>
          </cell>
          <cell r="B6146">
            <v>0</v>
          </cell>
          <cell r="C6146" t="str">
            <v xml:space="preserve">  TANVIR AHMED</v>
          </cell>
          <cell r="D6146">
            <v>0</v>
          </cell>
          <cell r="E6146">
            <v>0</v>
          </cell>
          <cell r="F6146">
            <v>0</v>
          </cell>
          <cell r="G6146">
            <v>0</v>
          </cell>
        </row>
        <row r="6147">
          <cell r="A6147" t="str">
            <v>55-02-06-0242</v>
          </cell>
          <cell r="B6147">
            <v>0</v>
          </cell>
          <cell r="C6147" t="str">
            <v xml:space="preserve">  JAVAID PALAYDAR</v>
          </cell>
          <cell r="D6147">
            <v>0</v>
          </cell>
          <cell r="E6147">
            <v>0</v>
          </cell>
          <cell r="F6147">
            <v>0</v>
          </cell>
          <cell r="G6147">
            <v>0</v>
          </cell>
        </row>
        <row r="6148">
          <cell r="A6148" t="str">
            <v>55-02-06-0243</v>
          </cell>
          <cell r="B6148">
            <v>0</v>
          </cell>
          <cell r="C6148" t="str">
            <v xml:space="preserve">  IHSAN PALAYDAR</v>
          </cell>
          <cell r="D6148">
            <v>0</v>
          </cell>
          <cell r="E6148">
            <v>0</v>
          </cell>
          <cell r="F6148">
            <v>0</v>
          </cell>
          <cell r="G6148">
            <v>0</v>
          </cell>
        </row>
        <row r="6149">
          <cell r="A6149" t="str">
            <v>55-02-06-0244</v>
          </cell>
          <cell r="B6149">
            <v>0</v>
          </cell>
          <cell r="C6149" t="str">
            <v xml:space="preserve">  WAJID HUSSAIN PALAYDAR.</v>
          </cell>
          <cell r="D6149">
            <v>0</v>
          </cell>
          <cell r="E6149">
            <v>0</v>
          </cell>
          <cell r="F6149">
            <v>0</v>
          </cell>
          <cell r="G6149">
            <v>0</v>
          </cell>
        </row>
        <row r="6150">
          <cell r="A6150" t="str">
            <v>55-02-06-0245</v>
          </cell>
          <cell r="B6150">
            <v>0</v>
          </cell>
          <cell r="C6150" t="str">
            <v xml:space="preserve">  ARSHAD ALI PALAYDAR</v>
          </cell>
          <cell r="D6150">
            <v>0</v>
          </cell>
          <cell r="E6150">
            <v>0</v>
          </cell>
          <cell r="F6150">
            <v>0</v>
          </cell>
          <cell r="G6150">
            <v>0</v>
          </cell>
        </row>
        <row r="6151">
          <cell r="A6151" t="str">
            <v>55-02-06-0246</v>
          </cell>
          <cell r="B6151">
            <v>0</v>
          </cell>
          <cell r="C6151" t="str">
            <v xml:space="preserve">  SHAFQAT PALAYDAR</v>
          </cell>
          <cell r="D6151">
            <v>0</v>
          </cell>
          <cell r="E6151">
            <v>0</v>
          </cell>
          <cell r="F6151">
            <v>0</v>
          </cell>
          <cell r="G6151">
            <v>0</v>
          </cell>
        </row>
        <row r="6152">
          <cell r="A6152" t="str">
            <v>55-02-06-0247</v>
          </cell>
          <cell r="B6152">
            <v>0</v>
          </cell>
          <cell r="C6152" t="str">
            <v xml:space="preserve">  ASIF MEHMOOD PALAYDAR</v>
          </cell>
          <cell r="D6152">
            <v>0</v>
          </cell>
          <cell r="E6152">
            <v>0</v>
          </cell>
          <cell r="F6152">
            <v>0</v>
          </cell>
          <cell r="G6152">
            <v>0</v>
          </cell>
        </row>
        <row r="6153">
          <cell r="A6153" t="str">
            <v>55-02-06-0248</v>
          </cell>
          <cell r="B6153">
            <v>0</v>
          </cell>
          <cell r="C6153" t="str">
            <v xml:space="preserve">  SONI TEX GLOVES INDUSTRIES</v>
          </cell>
          <cell r="D6153">
            <v>0</v>
          </cell>
          <cell r="E6153">
            <v>0</v>
          </cell>
          <cell r="F6153">
            <v>0</v>
          </cell>
          <cell r="G6153">
            <v>0</v>
          </cell>
        </row>
        <row r="6154">
          <cell r="A6154" t="str">
            <v>55-02-06-0249</v>
          </cell>
          <cell r="B6154">
            <v>0</v>
          </cell>
          <cell r="C6154" t="str">
            <v xml:space="preserve">  MUHAMMED HANIF</v>
          </cell>
          <cell r="D6154">
            <v>0</v>
          </cell>
          <cell r="E6154">
            <v>0</v>
          </cell>
          <cell r="F6154">
            <v>0</v>
          </cell>
          <cell r="G6154">
            <v>0</v>
          </cell>
        </row>
        <row r="6155">
          <cell r="A6155" t="str">
            <v>55-02-06-0250</v>
          </cell>
          <cell r="B6155">
            <v>0</v>
          </cell>
          <cell r="C6155" t="str">
            <v xml:space="preserve">  AMJAD ALI</v>
          </cell>
          <cell r="D6155">
            <v>0</v>
          </cell>
          <cell r="E6155">
            <v>0</v>
          </cell>
          <cell r="F6155">
            <v>0</v>
          </cell>
          <cell r="G6155">
            <v>0</v>
          </cell>
        </row>
        <row r="6156">
          <cell r="A6156" t="str">
            <v>55-02-06-0251</v>
          </cell>
          <cell r="B6156">
            <v>0</v>
          </cell>
          <cell r="C6156" t="str">
            <v xml:space="preserve">  NAVEED ALAM</v>
          </cell>
          <cell r="D6156">
            <v>0</v>
          </cell>
          <cell r="E6156">
            <v>0</v>
          </cell>
          <cell r="F6156">
            <v>0</v>
          </cell>
          <cell r="G6156">
            <v>0</v>
          </cell>
        </row>
        <row r="6157">
          <cell r="A6157" t="str">
            <v>55-02-06-0252</v>
          </cell>
          <cell r="B6157">
            <v>0</v>
          </cell>
          <cell r="C6157" t="str">
            <v xml:space="preserve">  LATIF TEXTILE</v>
          </cell>
          <cell r="D6157">
            <v>0</v>
          </cell>
          <cell r="E6157">
            <v>0</v>
          </cell>
          <cell r="F6157">
            <v>0</v>
          </cell>
          <cell r="G6157">
            <v>0</v>
          </cell>
        </row>
        <row r="6158">
          <cell r="A6158" t="str">
            <v>55-02-06-0254</v>
          </cell>
          <cell r="B6158">
            <v>0</v>
          </cell>
          <cell r="C6158" t="str">
            <v xml:space="preserve">  NASIR KHAN</v>
          </cell>
          <cell r="D6158">
            <v>0</v>
          </cell>
          <cell r="E6158">
            <v>0</v>
          </cell>
          <cell r="F6158">
            <v>0</v>
          </cell>
          <cell r="G6158">
            <v>0</v>
          </cell>
        </row>
        <row r="6159">
          <cell r="A6159" t="str">
            <v>55-02-06-0255</v>
          </cell>
          <cell r="B6159">
            <v>0</v>
          </cell>
          <cell r="C6159" t="str">
            <v xml:space="preserve">  NOOR ALAM</v>
          </cell>
          <cell r="D6159">
            <v>0</v>
          </cell>
          <cell r="E6159">
            <v>0</v>
          </cell>
          <cell r="F6159">
            <v>0</v>
          </cell>
          <cell r="G6159">
            <v>0</v>
          </cell>
        </row>
        <row r="6160">
          <cell r="A6160" t="str">
            <v>55-02-06-0256</v>
          </cell>
          <cell r="B6160">
            <v>0</v>
          </cell>
          <cell r="C6160" t="str">
            <v xml:space="preserve">  ABDUL LATIF</v>
          </cell>
          <cell r="D6160">
            <v>0</v>
          </cell>
          <cell r="E6160">
            <v>0</v>
          </cell>
          <cell r="F6160">
            <v>0</v>
          </cell>
          <cell r="G6160">
            <v>0</v>
          </cell>
        </row>
        <row r="6161">
          <cell r="A6161" t="str">
            <v>55-02-06-0257</v>
          </cell>
          <cell r="B6161">
            <v>0</v>
          </cell>
          <cell r="C6161" t="str">
            <v xml:space="preserve">  AMANAT ALI</v>
          </cell>
          <cell r="D6161">
            <v>0</v>
          </cell>
          <cell r="E6161">
            <v>0</v>
          </cell>
          <cell r="F6161">
            <v>0</v>
          </cell>
          <cell r="G6161">
            <v>0</v>
          </cell>
        </row>
        <row r="6162">
          <cell r="A6162" t="str">
            <v>55-02-06-0258</v>
          </cell>
          <cell r="B6162">
            <v>0</v>
          </cell>
          <cell r="C6162" t="str">
            <v xml:space="preserve">  KAMRAN</v>
          </cell>
          <cell r="D6162">
            <v>0</v>
          </cell>
          <cell r="E6162">
            <v>0</v>
          </cell>
          <cell r="F6162">
            <v>0</v>
          </cell>
          <cell r="G6162">
            <v>0</v>
          </cell>
        </row>
        <row r="6163">
          <cell r="A6163" t="str">
            <v>55-02-06-0259</v>
          </cell>
          <cell r="B6163">
            <v>0</v>
          </cell>
          <cell r="C6163" t="str">
            <v xml:space="preserve">  MANZOOR AHMED</v>
          </cell>
          <cell r="D6163">
            <v>0</v>
          </cell>
          <cell r="E6163">
            <v>0</v>
          </cell>
          <cell r="F6163">
            <v>0</v>
          </cell>
          <cell r="G6163">
            <v>0</v>
          </cell>
        </row>
        <row r="6164">
          <cell r="A6164" t="str">
            <v>55-02-06-0260</v>
          </cell>
          <cell r="B6164">
            <v>0</v>
          </cell>
          <cell r="C6164" t="str">
            <v xml:space="preserve">  UMER FAROOQ</v>
          </cell>
          <cell r="D6164">
            <v>0</v>
          </cell>
          <cell r="E6164">
            <v>0</v>
          </cell>
          <cell r="F6164">
            <v>0</v>
          </cell>
          <cell r="G6164">
            <v>0</v>
          </cell>
        </row>
        <row r="6165">
          <cell r="A6165" t="str">
            <v>55-02-06-0261</v>
          </cell>
          <cell r="B6165">
            <v>0</v>
          </cell>
          <cell r="C6165" t="str">
            <v xml:space="preserve">  ASLAM KHAN</v>
          </cell>
          <cell r="D6165">
            <v>0</v>
          </cell>
          <cell r="E6165">
            <v>0</v>
          </cell>
          <cell r="F6165">
            <v>0</v>
          </cell>
          <cell r="G6165">
            <v>0</v>
          </cell>
        </row>
        <row r="6166">
          <cell r="A6166" t="str">
            <v>55-02-06-0262</v>
          </cell>
          <cell r="B6166">
            <v>0</v>
          </cell>
          <cell r="C6166" t="str">
            <v xml:space="preserve">  NASIM SHAH</v>
          </cell>
          <cell r="D6166">
            <v>0</v>
          </cell>
          <cell r="E6166">
            <v>0</v>
          </cell>
          <cell r="F6166">
            <v>0</v>
          </cell>
          <cell r="G6166">
            <v>0</v>
          </cell>
        </row>
        <row r="6167">
          <cell r="A6167" t="str">
            <v>55-02-06-0263</v>
          </cell>
          <cell r="B6167">
            <v>0</v>
          </cell>
          <cell r="C6167" t="str">
            <v xml:space="preserve">  RAUF TEXTILE</v>
          </cell>
          <cell r="D6167">
            <v>0</v>
          </cell>
          <cell r="E6167">
            <v>0</v>
          </cell>
          <cell r="F6167">
            <v>0</v>
          </cell>
          <cell r="G6167">
            <v>0</v>
          </cell>
        </row>
        <row r="6168">
          <cell r="A6168" t="str">
            <v>55-02-06-0264</v>
          </cell>
          <cell r="B6168">
            <v>0</v>
          </cell>
          <cell r="C6168" t="str">
            <v xml:space="preserve">  NAEEM GUL</v>
          </cell>
          <cell r="D6168">
            <v>0</v>
          </cell>
          <cell r="E6168">
            <v>0</v>
          </cell>
          <cell r="F6168">
            <v>0</v>
          </cell>
          <cell r="G6168">
            <v>0</v>
          </cell>
        </row>
        <row r="6169">
          <cell r="A6169" t="str">
            <v>55-02-06-0265</v>
          </cell>
          <cell r="B6169">
            <v>0</v>
          </cell>
          <cell r="C6169" t="str">
            <v xml:space="preserve">  NADEEM AKBAR</v>
          </cell>
          <cell r="D6169">
            <v>0</v>
          </cell>
          <cell r="E6169">
            <v>0</v>
          </cell>
          <cell r="F6169">
            <v>0</v>
          </cell>
          <cell r="G6169">
            <v>0</v>
          </cell>
        </row>
        <row r="6170">
          <cell r="A6170" t="str">
            <v>55-02-06-0266</v>
          </cell>
          <cell r="B6170">
            <v>0</v>
          </cell>
          <cell r="C6170" t="str">
            <v xml:space="preserve">  ALAM ZEB</v>
          </cell>
          <cell r="D6170">
            <v>0</v>
          </cell>
          <cell r="E6170">
            <v>0</v>
          </cell>
          <cell r="F6170">
            <v>0</v>
          </cell>
          <cell r="G6170">
            <v>0</v>
          </cell>
        </row>
        <row r="6171">
          <cell r="A6171" t="str">
            <v>55-02-06-0267</v>
          </cell>
          <cell r="B6171">
            <v>0</v>
          </cell>
          <cell r="C6171" t="str">
            <v xml:space="preserve">  HI TEC INTERNATIONAL</v>
          </cell>
          <cell r="D6171">
            <v>0</v>
          </cell>
          <cell r="E6171">
            <v>0</v>
          </cell>
          <cell r="F6171">
            <v>0</v>
          </cell>
          <cell r="G6171">
            <v>0</v>
          </cell>
        </row>
        <row r="6172">
          <cell r="A6172" t="str">
            <v>55-02-06-0268</v>
          </cell>
          <cell r="B6172">
            <v>0</v>
          </cell>
          <cell r="C6172" t="str">
            <v xml:space="preserve">  SHABBIR ASSOCIATES</v>
          </cell>
          <cell r="D6172">
            <v>0</v>
          </cell>
          <cell r="E6172">
            <v>0</v>
          </cell>
          <cell r="F6172">
            <v>0</v>
          </cell>
          <cell r="G6172">
            <v>0</v>
          </cell>
        </row>
        <row r="6173">
          <cell r="A6173" t="str">
            <v>55-02-06-0269</v>
          </cell>
          <cell r="B6173">
            <v>0</v>
          </cell>
          <cell r="C6173" t="str">
            <v xml:space="preserve">  JAMIL AHMED</v>
          </cell>
          <cell r="D6173">
            <v>0</v>
          </cell>
          <cell r="E6173">
            <v>0</v>
          </cell>
          <cell r="F6173">
            <v>0</v>
          </cell>
          <cell r="G6173">
            <v>0</v>
          </cell>
        </row>
        <row r="6174">
          <cell r="A6174" t="str">
            <v>55-02-06-0270</v>
          </cell>
          <cell r="B6174">
            <v>0</v>
          </cell>
          <cell r="C6174" t="str">
            <v xml:space="preserve">  QAISER SHAHZAD</v>
          </cell>
          <cell r="D6174">
            <v>0</v>
          </cell>
          <cell r="E6174">
            <v>0</v>
          </cell>
          <cell r="F6174">
            <v>0</v>
          </cell>
          <cell r="G6174">
            <v>0</v>
          </cell>
        </row>
        <row r="6175">
          <cell r="A6175" t="str">
            <v>55-02-06-0271</v>
          </cell>
          <cell r="B6175">
            <v>0</v>
          </cell>
          <cell r="C6175" t="str">
            <v xml:space="preserve">  QAYUM KHAN</v>
          </cell>
          <cell r="D6175">
            <v>0</v>
          </cell>
          <cell r="E6175">
            <v>0</v>
          </cell>
          <cell r="F6175">
            <v>0</v>
          </cell>
          <cell r="G6175">
            <v>0</v>
          </cell>
        </row>
        <row r="6176">
          <cell r="A6176" t="str">
            <v>55-02-06-0272</v>
          </cell>
          <cell r="B6176">
            <v>0</v>
          </cell>
          <cell r="C6176" t="str">
            <v xml:space="preserve">  ARSHAD ALI</v>
          </cell>
          <cell r="D6176">
            <v>0</v>
          </cell>
          <cell r="E6176">
            <v>0</v>
          </cell>
          <cell r="F6176">
            <v>0</v>
          </cell>
          <cell r="G6176">
            <v>0</v>
          </cell>
        </row>
        <row r="6177">
          <cell r="A6177" t="str">
            <v>55-02-06-0273</v>
          </cell>
          <cell r="B6177">
            <v>0</v>
          </cell>
          <cell r="C6177" t="str">
            <v xml:space="preserve">  KAMAL AHMED</v>
          </cell>
          <cell r="D6177">
            <v>0</v>
          </cell>
          <cell r="E6177">
            <v>0</v>
          </cell>
          <cell r="F6177">
            <v>0</v>
          </cell>
          <cell r="G6177">
            <v>0</v>
          </cell>
        </row>
        <row r="6178">
          <cell r="A6178" t="str">
            <v>55-02-06-0274</v>
          </cell>
          <cell r="B6178">
            <v>0</v>
          </cell>
          <cell r="C6178" t="str">
            <v xml:space="preserve">  QASIM KHAN</v>
          </cell>
          <cell r="D6178">
            <v>0</v>
          </cell>
          <cell r="E6178">
            <v>0</v>
          </cell>
          <cell r="F6178">
            <v>0</v>
          </cell>
          <cell r="G6178">
            <v>0</v>
          </cell>
        </row>
        <row r="6179">
          <cell r="A6179" t="str">
            <v>55-02-06-0275</v>
          </cell>
          <cell r="B6179">
            <v>0</v>
          </cell>
          <cell r="C6179" t="str">
            <v xml:space="preserve">  NOMAN ALI.</v>
          </cell>
          <cell r="D6179">
            <v>0</v>
          </cell>
          <cell r="E6179">
            <v>0</v>
          </cell>
          <cell r="F6179">
            <v>0</v>
          </cell>
          <cell r="G6179">
            <v>0</v>
          </cell>
        </row>
        <row r="6180">
          <cell r="A6180" t="str">
            <v>55-02-06-0276</v>
          </cell>
          <cell r="B6180">
            <v>0</v>
          </cell>
          <cell r="C6180" t="str">
            <v xml:space="preserve">  SADIQ HUSSAIN</v>
          </cell>
          <cell r="D6180">
            <v>0</v>
          </cell>
          <cell r="E6180">
            <v>0</v>
          </cell>
          <cell r="F6180">
            <v>0</v>
          </cell>
          <cell r="G6180">
            <v>0</v>
          </cell>
        </row>
        <row r="6181">
          <cell r="A6181" t="str">
            <v>55-02-06-0277</v>
          </cell>
          <cell r="B6181">
            <v>0</v>
          </cell>
          <cell r="C6181" t="str">
            <v xml:space="preserve">  ARSHAD MEHMOOD</v>
          </cell>
          <cell r="D6181">
            <v>0</v>
          </cell>
          <cell r="E6181">
            <v>0</v>
          </cell>
          <cell r="F6181">
            <v>0</v>
          </cell>
          <cell r="G6181">
            <v>0</v>
          </cell>
        </row>
        <row r="6182">
          <cell r="A6182" t="str">
            <v>55-02-06-0278</v>
          </cell>
          <cell r="B6182">
            <v>0</v>
          </cell>
          <cell r="C6182" t="str">
            <v xml:space="preserve">  SAAQIB FEBRICS</v>
          </cell>
          <cell r="D6182">
            <v>0</v>
          </cell>
          <cell r="E6182">
            <v>0</v>
          </cell>
          <cell r="F6182">
            <v>0</v>
          </cell>
          <cell r="G6182">
            <v>0</v>
          </cell>
        </row>
        <row r="6183">
          <cell r="A6183" t="str">
            <v>55-02-06-0279</v>
          </cell>
          <cell r="B6183">
            <v>0</v>
          </cell>
          <cell r="C6183" t="str">
            <v xml:space="preserve">  ZAINCO TEX</v>
          </cell>
          <cell r="D6183">
            <v>0</v>
          </cell>
          <cell r="E6183">
            <v>0</v>
          </cell>
          <cell r="F6183">
            <v>0</v>
          </cell>
          <cell r="G6183">
            <v>0</v>
          </cell>
        </row>
        <row r="6184">
          <cell r="A6184" t="str">
            <v>55-02-06-0280</v>
          </cell>
          <cell r="B6184">
            <v>0</v>
          </cell>
          <cell r="C6184" t="str">
            <v xml:space="preserve">  TERRY WORLD TEXTILE</v>
          </cell>
          <cell r="D6184">
            <v>0</v>
          </cell>
          <cell r="E6184">
            <v>0</v>
          </cell>
          <cell r="F6184">
            <v>0</v>
          </cell>
          <cell r="G6184">
            <v>0</v>
          </cell>
        </row>
        <row r="6185">
          <cell r="A6185" t="str">
            <v>55-02-06-0281</v>
          </cell>
          <cell r="B6185">
            <v>0</v>
          </cell>
          <cell r="C6185" t="str">
            <v xml:space="preserve">  ZAHID SHAH</v>
          </cell>
          <cell r="D6185">
            <v>0</v>
          </cell>
          <cell r="E6185">
            <v>0</v>
          </cell>
          <cell r="F6185">
            <v>0</v>
          </cell>
          <cell r="G6185">
            <v>0</v>
          </cell>
        </row>
        <row r="6186">
          <cell r="A6186" t="str">
            <v>55-02-06-0282</v>
          </cell>
          <cell r="B6186">
            <v>0</v>
          </cell>
          <cell r="C6186" t="str">
            <v xml:space="preserve">  SHE GARMENTS</v>
          </cell>
          <cell r="D6186">
            <v>0</v>
          </cell>
          <cell r="E6186">
            <v>0</v>
          </cell>
          <cell r="F6186">
            <v>0</v>
          </cell>
          <cell r="G6186">
            <v>0</v>
          </cell>
        </row>
        <row r="6187">
          <cell r="A6187" t="str">
            <v>55-02-06-0283</v>
          </cell>
          <cell r="B6187">
            <v>0</v>
          </cell>
          <cell r="C6187" t="str">
            <v xml:space="preserve">  ALI INTERNATIONAL</v>
          </cell>
          <cell r="D6187">
            <v>0</v>
          </cell>
          <cell r="E6187">
            <v>0</v>
          </cell>
          <cell r="F6187">
            <v>0</v>
          </cell>
          <cell r="G6187">
            <v>0</v>
          </cell>
        </row>
        <row r="6188">
          <cell r="A6188" t="str">
            <v>55-02-06-0284</v>
          </cell>
          <cell r="B6188">
            <v>0</v>
          </cell>
          <cell r="C6188" t="str">
            <v xml:space="preserve">  MSC TEXTILES MILLS (PVT) LTD</v>
          </cell>
          <cell r="D6188">
            <v>0</v>
          </cell>
          <cell r="E6188">
            <v>0</v>
          </cell>
          <cell r="F6188">
            <v>0</v>
          </cell>
          <cell r="G6188">
            <v>0</v>
          </cell>
        </row>
        <row r="6189">
          <cell r="A6189" t="str">
            <v>55-02-06-0285</v>
          </cell>
          <cell r="B6189">
            <v>0</v>
          </cell>
          <cell r="C6189" t="str">
            <v xml:space="preserve">  AMJAD BROTHERS</v>
          </cell>
          <cell r="D6189">
            <v>0</v>
          </cell>
          <cell r="E6189">
            <v>0</v>
          </cell>
          <cell r="F6189">
            <v>0</v>
          </cell>
          <cell r="G6189">
            <v>0</v>
          </cell>
        </row>
        <row r="6190">
          <cell r="A6190" t="str">
            <v>55-02-06-0286</v>
          </cell>
          <cell r="B6190">
            <v>0</v>
          </cell>
          <cell r="C6190" t="str">
            <v xml:space="preserve">  NISHAT MILLS LIMITED</v>
          </cell>
          <cell r="D6190">
            <v>0</v>
          </cell>
          <cell r="E6190">
            <v>0</v>
          </cell>
          <cell r="F6190">
            <v>0</v>
          </cell>
          <cell r="G6190">
            <v>0</v>
          </cell>
        </row>
        <row r="6191">
          <cell r="A6191" t="str">
            <v>55-02-06-0287</v>
          </cell>
          <cell r="B6191">
            <v>0</v>
          </cell>
          <cell r="C6191" t="str">
            <v xml:space="preserve">  M.S.C.TEXTILE (PVT) LIMITED</v>
          </cell>
          <cell r="D6191">
            <v>0</v>
          </cell>
          <cell r="E6191">
            <v>0</v>
          </cell>
          <cell r="F6191">
            <v>0</v>
          </cell>
          <cell r="G6191">
            <v>0</v>
          </cell>
        </row>
        <row r="6192">
          <cell r="A6192" t="str">
            <v>55-02-06-0288</v>
          </cell>
          <cell r="B6192">
            <v>0</v>
          </cell>
          <cell r="C6192" t="str">
            <v xml:space="preserve">  AZAD INTERNATIONAL CLOTHING (PVT) LTD</v>
          </cell>
          <cell r="D6192">
            <v>0</v>
          </cell>
          <cell r="E6192">
            <v>0</v>
          </cell>
          <cell r="F6192">
            <v>0</v>
          </cell>
          <cell r="G6192">
            <v>0</v>
          </cell>
        </row>
        <row r="6193">
          <cell r="A6193" t="str">
            <v>55-02-06-0289</v>
          </cell>
          <cell r="B6193">
            <v>0</v>
          </cell>
          <cell r="C6193" t="str">
            <v xml:space="preserve">  LATIF WORSTED SPINNING MILLS (PVT) LTD</v>
          </cell>
          <cell r="D6193">
            <v>0</v>
          </cell>
          <cell r="E6193">
            <v>0</v>
          </cell>
          <cell r="F6193">
            <v>0</v>
          </cell>
          <cell r="G6193">
            <v>0</v>
          </cell>
        </row>
        <row r="6194">
          <cell r="A6194" t="str">
            <v>55-02-06-0290</v>
          </cell>
          <cell r="B6194">
            <v>0</v>
          </cell>
          <cell r="C6194" t="str">
            <v xml:space="preserve">  MUHAMMED IRFAN</v>
          </cell>
          <cell r="D6194">
            <v>0</v>
          </cell>
          <cell r="E6194">
            <v>0</v>
          </cell>
          <cell r="F6194">
            <v>0</v>
          </cell>
          <cell r="G6194">
            <v>0</v>
          </cell>
        </row>
        <row r="6195">
          <cell r="A6195" t="str">
            <v>55-02-06-0291</v>
          </cell>
          <cell r="B6195">
            <v>0</v>
          </cell>
          <cell r="C6195" t="str">
            <v xml:space="preserve">  PAK DUTCH CORPORATION</v>
          </cell>
          <cell r="D6195">
            <v>0</v>
          </cell>
          <cell r="E6195">
            <v>0</v>
          </cell>
          <cell r="F6195">
            <v>0</v>
          </cell>
          <cell r="G6195">
            <v>0</v>
          </cell>
        </row>
        <row r="6196">
          <cell r="A6196" t="str">
            <v>55-02-06-0292</v>
          </cell>
          <cell r="B6196">
            <v>0</v>
          </cell>
          <cell r="C6196" t="str">
            <v xml:space="preserve">  STAR APPARELS INTERNATIONAL</v>
          </cell>
          <cell r="D6196">
            <v>0</v>
          </cell>
          <cell r="E6196">
            <v>0</v>
          </cell>
          <cell r="F6196">
            <v>0</v>
          </cell>
          <cell r="G6196">
            <v>0</v>
          </cell>
        </row>
        <row r="6197">
          <cell r="A6197" t="str">
            <v>55-02-06-0293</v>
          </cell>
          <cell r="B6197">
            <v>0</v>
          </cell>
          <cell r="C6197" t="str">
            <v xml:space="preserve">  DECO GARS</v>
          </cell>
          <cell r="D6197">
            <v>0</v>
          </cell>
          <cell r="E6197">
            <v>0</v>
          </cell>
          <cell r="F6197">
            <v>0</v>
          </cell>
          <cell r="G6197">
            <v>0</v>
          </cell>
        </row>
        <row r="6198">
          <cell r="A6198" t="str">
            <v>55-02-06-0294</v>
          </cell>
          <cell r="B6198">
            <v>0</v>
          </cell>
          <cell r="C6198" t="str">
            <v xml:space="preserve">  MUHAMMED IMRAN</v>
          </cell>
          <cell r="D6198">
            <v>0</v>
          </cell>
          <cell r="E6198">
            <v>0</v>
          </cell>
          <cell r="F6198">
            <v>0</v>
          </cell>
          <cell r="G6198">
            <v>0</v>
          </cell>
        </row>
        <row r="6199">
          <cell r="A6199" t="str">
            <v>55-02-06-0295</v>
          </cell>
          <cell r="B6199">
            <v>0</v>
          </cell>
          <cell r="C6199" t="str">
            <v xml:space="preserve">  SAJID MEHMOOD</v>
          </cell>
          <cell r="D6199">
            <v>0</v>
          </cell>
          <cell r="E6199">
            <v>0</v>
          </cell>
          <cell r="F6199">
            <v>0</v>
          </cell>
          <cell r="G6199">
            <v>0</v>
          </cell>
        </row>
        <row r="6200">
          <cell r="A6200" t="str">
            <v>55-02-06-0296</v>
          </cell>
          <cell r="B6200">
            <v>0</v>
          </cell>
          <cell r="C6200" t="str">
            <v xml:space="preserve">  HAJI SHAIKH NAWAB DIN &amp; SONS</v>
          </cell>
          <cell r="D6200">
            <v>0</v>
          </cell>
          <cell r="E6200">
            <v>0</v>
          </cell>
          <cell r="F6200">
            <v>0</v>
          </cell>
          <cell r="G6200">
            <v>0</v>
          </cell>
        </row>
        <row r="6201">
          <cell r="A6201" t="str">
            <v>55-02-06-0297</v>
          </cell>
          <cell r="B6201">
            <v>0</v>
          </cell>
          <cell r="C6201" t="str">
            <v xml:space="preserve">  SAJID ALI</v>
          </cell>
          <cell r="D6201">
            <v>0</v>
          </cell>
          <cell r="E6201">
            <v>0</v>
          </cell>
          <cell r="F6201">
            <v>0</v>
          </cell>
          <cell r="G6201">
            <v>0</v>
          </cell>
        </row>
        <row r="6202">
          <cell r="A6202" t="str">
            <v>55-02-06-0298</v>
          </cell>
          <cell r="B6202">
            <v>0</v>
          </cell>
          <cell r="C6202" t="str">
            <v xml:space="preserve">  SADIQ FABRIC</v>
          </cell>
          <cell r="D6202">
            <v>0</v>
          </cell>
          <cell r="E6202">
            <v>0</v>
          </cell>
          <cell r="F6202">
            <v>0</v>
          </cell>
          <cell r="G6202">
            <v>0</v>
          </cell>
        </row>
        <row r="6203">
          <cell r="A6203" t="str">
            <v>55-02-06-0299</v>
          </cell>
          <cell r="B6203">
            <v>0</v>
          </cell>
          <cell r="C6203" t="str">
            <v xml:space="preserve">  NOVAL APPARELS</v>
          </cell>
          <cell r="D6203">
            <v>0</v>
          </cell>
          <cell r="E6203">
            <v>0</v>
          </cell>
          <cell r="F6203">
            <v>0</v>
          </cell>
          <cell r="G6203">
            <v>0</v>
          </cell>
        </row>
        <row r="6204">
          <cell r="A6204" t="str">
            <v>55-02-06-0300</v>
          </cell>
          <cell r="B6204">
            <v>0</v>
          </cell>
          <cell r="C6204" t="str">
            <v xml:space="preserve">  WAHAB TEXTILE</v>
          </cell>
          <cell r="D6204">
            <v>0</v>
          </cell>
          <cell r="E6204">
            <v>0</v>
          </cell>
          <cell r="F6204">
            <v>0</v>
          </cell>
          <cell r="G6204">
            <v>0</v>
          </cell>
        </row>
        <row r="6205">
          <cell r="A6205" t="str">
            <v>55-02-06-0301</v>
          </cell>
          <cell r="B6205">
            <v>0</v>
          </cell>
          <cell r="C6205" t="str">
            <v xml:space="preserve">  TREND LINE INTERNATIONAL (PVT) LIMITED</v>
          </cell>
          <cell r="D6205">
            <v>0</v>
          </cell>
          <cell r="E6205">
            <v>0</v>
          </cell>
          <cell r="F6205">
            <v>0</v>
          </cell>
          <cell r="G6205">
            <v>0</v>
          </cell>
        </row>
        <row r="6206">
          <cell r="A6206" t="str">
            <v>55-02-06-0302</v>
          </cell>
          <cell r="B6206">
            <v>0</v>
          </cell>
          <cell r="C6206" t="str">
            <v xml:space="preserve">  ELEGANZE (PVT) LIMITED</v>
          </cell>
          <cell r="D6206">
            <v>0</v>
          </cell>
          <cell r="E6206">
            <v>0</v>
          </cell>
          <cell r="F6206">
            <v>0</v>
          </cell>
          <cell r="G6206">
            <v>0</v>
          </cell>
        </row>
        <row r="6207">
          <cell r="A6207" t="str">
            <v>55-02-06-0303</v>
          </cell>
          <cell r="B6207">
            <v>0</v>
          </cell>
          <cell r="C6207" t="str">
            <v xml:space="preserve">  ZAIDI INTERNATIONAL</v>
          </cell>
          <cell r="D6207">
            <v>0</v>
          </cell>
          <cell r="E6207">
            <v>0</v>
          </cell>
          <cell r="F6207">
            <v>0</v>
          </cell>
          <cell r="G6207">
            <v>0</v>
          </cell>
        </row>
        <row r="6208">
          <cell r="A6208" t="str">
            <v>55-02-06-0304</v>
          </cell>
          <cell r="B6208">
            <v>0</v>
          </cell>
          <cell r="C6208" t="str">
            <v xml:space="preserve">  WAHDAT TEXTILE (PVT) LIMITED</v>
          </cell>
          <cell r="D6208">
            <v>0</v>
          </cell>
          <cell r="E6208">
            <v>0</v>
          </cell>
          <cell r="F6208">
            <v>0</v>
          </cell>
          <cell r="G6208">
            <v>0</v>
          </cell>
        </row>
        <row r="6209">
          <cell r="A6209" t="str">
            <v>55-02-06-0305</v>
          </cell>
          <cell r="B6209">
            <v>0</v>
          </cell>
          <cell r="C6209" t="str">
            <v xml:space="preserve">  VGA CLOTHINGS</v>
          </cell>
          <cell r="D6209">
            <v>0</v>
          </cell>
          <cell r="E6209">
            <v>0</v>
          </cell>
          <cell r="F6209">
            <v>0</v>
          </cell>
          <cell r="G6209">
            <v>0</v>
          </cell>
        </row>
        <row r="6210">
          <cell r="A6210" t="str">
            <v>55-02-06-0306</v>
          </cell>
          <cell r="B6210">
            <v>0</v>
          </cell>
          <cell r="C6210" t="str">
            <v xml:space="preserve">  TRADE &amp; TRENDS</v>
          </cell>
          <cell r="D6210">
            <v>0</v>
          </cell>
          <cell r="E6210">
            <v>0</v>
          </cell>
          <cell r="F6210">
            <v>0</v>
          </cell>
          <cell r="G6210">
            <v>0</v>
          </cell>
        </row>
        <row r="6211">
          <cell r="A6211" t="str">
            <v>55-02-06-0307</v>
          </cell>
          <cell r="B6211">
            <v>0</v>
          </cell>
          <cell r="C6211" t="str">
            <v xml:space="preserve">  GEMINI GARMENTS</v>
          </cell>
          <cell r="D6211">
            <v>0</v>
          </cell>
          <cell r="E6211">
            <v>0</v>
          </cell>
          <cell r="F6211">
            <v>0</v>
          </cell>
          <cell r="G6211">
            <v>0</v>
          </cell>
        </row>
        <row r="6212">
          <cell r="A6212" t="str">
            <v>55-02-06-0308</v>
          </cell>
          <cell r="B6212">
            <v>0</v>
          </cell>
          <cell r="C6212" t="str">
            <v xml:space="preserve">  AUGUST TEXTILE COMMUNION</v>
          </cell>
          <cell r="D6212">
            <v>0</v>
          </cell>
          <cell r="E6212">
            <v>0</v>
          </cell>
          <cell r="F6212">
            <v>0</v>
          </cell>
          <cell r="G6212">
            <v>0</v>
          </cell>
        </row>
        <row r="6213">
          <cell r="A6213" t="str">
            <v>55-02-06-0309</v>
          </cell>
          <cell r="B6213">
            <v>0</v>
          </cell>
          <cell r="C6213" t="str">
            <v xml:space="preserve">  R.A.TEX</v>
          </cell>
          <cell r="D6213">
            <v>0</v>
          </cell>
          <cell r="E6213">
            <v>0</v>
          </cell>
          <cell r="F6213">
            <v>0</v>
          </cell>
          <cell r="G6213">
            <v>0</v>
          </cell>
        </row>
        <row r="6214">
          <cell r="A6214" t="str">
            <v>55-02-06-0310</v>
          </cell>
          <cell r="B6214">
            <v>0</v>
          </cell>
          <cell r="C6214" t="str">
            <v xml:space="preserve">  MEHAK TEXTILE</v>
          </cell>
          <cell r="D6214">
            <v>0</v>
          </cell>
          <cell r="E6214">
            <v>0</v>
          </cell>
          <cell r="F6214">
            <v>0</v>
          </cell>
          <cell r="G6214">
            <v>0</v>
          </cell>
        </row>
        <row r="6215">
          <cell r="A6215" t="str">
            <v>55-02-06-0311</v>
          </cell>
          <cell r="B6215">
            <v>0</v>
          </cell>
          <cell r="C6215" t="str">
            <v xml:space="preserve">  KINGS TEXTILE</v>
          </cell>
          <cell r="D6215">
            <v>0</v>
          </cell>
          <cell r="E6215">
            <v>0</v>
          </cell>
          <cell r="F6215">
            <v>0</v>
          </cell>
          <cell r="G6215">
            <v>0</v>
          </cell>
        </row>
        <row r="6216">
          <cell r="A6216" t="str">
            <v>55-02-06-0312</v>
          </cell>
          <cell r="B6216">
            <v>0</v>
          </cell>
          <cell r="C6216" t="str">
            <v xml:space="preserve">  WEAVE TEX INTERNATIONAL</v>
          </cell>
          <cell r="D6216">
            <v>0</v>
          </cell>
          <cell r="E6216">
            <v>0</v>
          </cell>
          <cell r="F6216">
            <v>0</v>
          </cell>
          <cell r="G6216">
            <v>0</v>
          </cell>
        </row>
        <row r="6217">
          <cell r="A6217" t="str">
            <v>55-02-06-0313</v>
          </cell>
          <cell r="B6217">
            <v>0</v>
          </cell>
          <cell r="C6217" t="str">
            <v xml:space="preserve">  SUNSET WEAVERS</v>
          </cell>
          <cell r="D6217">
            <v>0</v>
          </cell>
          <cell r="E6217">
            <v>0</v>
          </cell>
          <cell r="F6217">
            <v>0</v>
          </cell>
          <cell r="G6217">
            <v>0</v>
          </cell>
        </row>
        <row r="6218">
          <cell r="A6218" t="str">
            <v>55-02-06-0314</v>
          </cell>
          <cell r="B6218">
            <v>0</v>
          </cell>
          <cell r="C6218" t="str">
            <v xml:space="preserve">  SARDAR ENTERPRISES</v>
          </cell>
          <cell r="D6218">
            <v>0</v>
          </cell>
          <cell r="E6218">
            <v>0</v>
          </cell>
          <cell r="F6218">
            <v>0</v>
          </cell>
          <cell r="G6218">
            <v>0</v>
          </cell>
        </row>
        <row r="6219">
          <cell r="A6219" t="str">
            <v>55-02-06-0315</v>
          </cell>
          <cell r="B6219">
            <v>0</v>
          </cell>
          <cell r="C6219" t="str">
            <v xml:space="preserve">  KHAN ENTERPRISES</v>
          </cell>
          <cell r="D6219">
            <v>0</v>
          </cell>
          <cell r="E6219">
            <v>0</v>
          </cell>
          <cell r="F6219">
            <v>0</v>
          </cell>
          <cell r="G6219">
            <v>0</v>
          </cell>
        </row>
        <row r="6220">
          <cell r="A6220" t="str">
            <v>55-02-06-0316</v>
          </cell>
          <cell r="B6220">
            <v>0</v>
          </cell>
          <cell r="C6220" t="str">
            <v xml:space="preserve">  EXPORTER INTERNATIONAL</v>
          </cell>
          <cell r="D6220">
            <v>0</v>
          </cell>
          <cell r="E6220">
            <v>0</v>
          </cell>
          <cell r="F6220">
            <v>0</v>
          </cell>
          <cell r="G6220">
            <v>0</v>
          </cell>
        </row>
        <row r="6221">
          <cell r="A6221" t="str">
            <v>55-02-06-0317</v>
          </cell>
          <cell r="B6221">
            <v>0</v>
          </cell>
          <cell r="C6221" t="str">
            <v xml:space="preserve">  K.M.ENTERPRISES</v>
          </cell>
          <cell r="D6221">
            <v>0</v>
          </cell>
          <cell r="E6221">
            <v>0</v>
          </cell>
          <cell r="F6221">
            <v>0</v>
          </cell>
          <cell r="G6221">
            <v>0</v>
          </cell>
        </row>
        <row r="6222">
          <cell r="A6222" t="str">
            <v>55-02-06-0318</v>
          </cell>
          <cell r="B6222">
            <v>0</v>
          </cell>
          <cell r="C6222" t="str">
            <v xml:space="preserve">  A.A. ENTERPRISES</v>
          </cell>
          <cell r="D6222">
            <v>0</v>
          </cell>
          <cell r="E6222">
            <v>0</v>
          </cell>
          <cell r="F6222">
            <v>0</v>
          </cell>
          <cell r="G6222">
            <v>0</v>
          </cell>
        </row>
        <row r="6223">
          <cell r="A6223" t="str">
            <v>55-02-06-0319</v>
          </cell>
          <cell r="B6223">
            <v>0</v>
          </cell>
          <cell r="C6223" t="str">
            <v xml:space="preserve">  NOON TEXTILE</v>
          </cell>
          <cell r="D6223">
            <v>0</v>
          </cell>
          <cell r="E6223">
            <v>0</v>
          </cell>
          <cell r="F6223">
            <v>0</v>
          </cell>
          <cell r="G6223">
            <v>0</v>
          </cell>
        </row>
        <row r="6224">
          <cell r="A6224" t="str">
            <v>55-02-06-0320</v>
          </cell>
          <cell r="B6224">
            <v>0</v>
          </cell>
          <cell r="C6224" t="str">
            <v xml:space="preserve">  GLOBEL FABRICS</v>
          </cell>
          <cell r="D6224">
            <v>0</v>
          </cell>
          <cell r="E6224">
            <v>0</v>
          </cell>
          <cell r="F6224">
            <v>0</v>
          </cell>
          <cell r="G6224">
            <v>0</v>
          </cell>
        </row>
        <row r="6225">
          <cell r="A6225" t="str">
            <v>55-02-06-0321</v>
          </cell>
          <cell r="B6225">
            <v>0</v>
          </cell>
          <cell r="C6225" t="str">
            <v xml:space="preserve">  AKBAR KHAN &amp; CO.</v>
          </cell>
          <cell r="D6225">
            <v>0</v>
          </cell>
          <cell r="E6225">
            <v>0</v>
          </cell>
          <cell r="F6225">
            <v>0</v>
          </cell>
          <cell r="G6225">
            <v>0</v>
          </cell>
        </row>
        <row r="6226">
          <cell r="A6226" t="str">
            <v>55-02-06-0322</v>
          </cell>
          <cell r="B6226">
            <v>0</v>
          </cell>
          <cell r="C6226" t="str">
            <v xml:space="preserve">  M.A.RAJA FABRICS</v>
          </cell>
          <cell r="D6226">
            <v>0</v>
          </cell>
          <cell r="E6226">
            <v>0</v>
          </cell>
          <cell r="F6226">
            <v>0</v>
          </cell>
          <cell r="G6226">
            <v>0</v>
          </cell>
        </row>
        <row r="6227">
          <cell r="A6227" t="str">
            <v>55-02-06-0323</v>
          </cell>
          <cell r="B6227">
            <v>0</v>
          </cell>
          <cell r="C6227" t="str">
            <v xml:space="preserve">  MEHAR TEXTILE</v>
          </cell>
          <cell r="D6227">
            <v>0</v>
          </cell>
          <cell r="E6227">
            <v>0</v>
          </cell>
          <cell r="F6227">
            <v>0</v>
          </cell>
          <cell r="G6227">
            <v>0</v>
          </cell>
        </row>
        <row r="6228">
          <cell r="A6228" t="str">
            <v>55-02-06-0324</v>
          </cell>
          <cell r="B6228">
            <v>0</v>
          </cell>
          <cell r="C6228" t="str">
            <v xml:space="preserve">  TEX COT</v>
          </cell>
          <cell r="D6228">
            <v>0</v>
          </cell>
          <cell r="E6228">
            <v>0</v>
          </cell>
          <cell r="F6228">
            <v>0</v>
          </cell>
          <cell r="G6228">
            <v>0</v>
          </cell>
        </row>
        <row r="6229">
          <cell r="A6229" t="str">
            <v>55-02-06-0325</v>
          </cell>
          <cell r="B6229">
            <v>0</v>
          </cell>
          <cell r="C6229" t="str">
            <v xml:space="preserve">  KAMRAN INTERNATIONAL CORPORATION</v>
          </cell>
          <cell r="D6229">
            <v>0</v>
          </cell>
          <cell r="E6229">
            <v>0</v>
          </cell>
          <cell r="F6229">
            <v>0</v>
          </cell>
          <cell r="G6229">
            <v>0</v>
          </cell>
        </row>
        <row r="6230">
          <cell r="A6230" t="str">
            <v>55-02-06-0326</v>
          </cell>
          <cell r="B6230">
            <v>0</v>
          </cell>
          <cell r="C6230" t="str">
            <v xml:space="preserve">  SAPPPHIRE KNITWEAR (PVT) LTD.</v>
          </cell>
          <cell r="D6230">
            <v>0</v>
          </cell>
          <cell r="E6230">
            <v>0</v>
          </cell>
          <cell r="F6230">
            <v>0</v>
          </cell>
          <cell r="G6230">
            <v>0</v>
          </cell>
        </row>
        <row r="6231">
          <cell r="A6231" t="str">
            <v>55-02-06-0327</v>
          </cell>
          <cell r="B6231">
            <v>0</v>
          </cell>
          <cell r="C6231" t="str">
            <v xml:space="preserve">  PEMIER CLOTHING</v>
          </cell>
          <cell r="D6231">
            <v>0</v>
          </cell>
          <cell r="E6231">
            <v>0</v>
          </cell>
          <cell r="F6231">
            <v>0</v>
          </cell>
          <cell r="G6231">
            <v>0</v>
          </cell>
        </row>
        <row r="6232">
          <cell r="A6232" t="str">
            <v>55-02-06-0328</v>
          </cell>
          <cell r="B6232">
            <v>0</v>
          </cell>
          <cell r="C6232" t="str">
            <v xml:space="preserve">  SPINTEX</v>
          </cell>
          <cell r="D6232">
            <v>0</v>
          </cell>
          <cell r="E6232">
            <v>0</v>
          </cell>
          <cell r="F6232">
            <v>0</v>
          </cell>
          <cell r="G6232">
            <v>0</v>
          </cell>
        </row>
        <row r="6233">
          <cell r="A6233" t="str">
            <v>55-02-06-0329</v>
          </cell>
          <cell r="B6233">
            <v>0</v>
          </cell>
          <cell r="C6233" t="str">
            <v xml:space="preserve">  OSOLO INTERNATIONAL</v>
          </cell>
          <cell r="D6233">
            <v>0</v>
          </cell>
          <cell r="E6233">
            <v>0</v>
          </cell>
          <cell r="F6233">
            <v>0</v>
          </cell>
          <cell r="G6233">
            <v>0</v>
          </cell>
        </row>
        <row r="6234">
          <cell r="A6234" t="str">
            <v>55-02-06-0330</v>
          </cell>
          <cell r="B6234">
            <v>0</v>
          </cell>
          <cell r="C6234" t="str">
            <v xml:space="preserve">  GRACE FABRICS</v>
          </cell>
          <cell r="D6234">
            <v>0</v>
          </cell>
          <cell r="E6234">
            <v>0</v>
          </cell>
          <cell r="F6234">
            <v>0</v>
          </cell>
          <cell r="G6234">
            <v>0</v>
          </cell>
        </row>
        <row r="6235">
          <cell r="A6235" t="str">
            <v>55-02-06-0331</v>
          </cell>
          <cell r="B6235">
            <v>0</v>
          </cell>
          <cell r="C6235" t="str">
            <v xml:space="preserve">  TAUSEEF ENTERPRISES</v>
          </cell>
          <cell r="D6235">
            <v>0</v>
          </cell>
          <cell r="E6235">
            <v>0</v>
          </cell>
          <cell r="F6235">
            <v>0</v>
          </cell>
          <cell r="G6235">
            <v>0</v>
          </cell>
        </row>
        <row r="6236">
          <cell r="A6236" t="str">
            <v>55-02-06-0332</v>
          </cell>
          <cell r="B6236">
            <v>0</v>
          </cell>
          <cell r="C6236" t="str">
            <v xml:space="preserve">  SKY TEX LIMITS</v>
          </cell>
          <cell r="D6236">
            <v>0</v>
          </cell>
          <cell r="E6236">
            <v>0</v>
          </cell>
          <cell r="F6236">
            <v>0</v>
          </cell>
          <cell r="G6236">
            <v>0</v>
          </cell>
        </row>
        <row r="6237">
          <cell r="A6237" t="str">
            <v>55-02-06-0333</v>
          </cell>
          <cell r="B6237">
            <v>0</v>
          </cell>
          <cell r="C6237" t="str">
            <v xml:space="preserve">  CREATIVE LOOMS INDUSTRIES</v>
          </cell>
          <cell r="D6237">
            <v>0</v>
          </cell>
          <cell r="E6237">
            <v>0</v>
          </cell>
          <cell r="F6237">
            <v>0</v>
          </cell>
          <cell r="G6237">
            <v>0</v>
          </cell>
        </row>
        <row r="6238">
          <cell r="A6238" t="str">
            <v>55-02-06-0334</v>
          </cell>
          <cell r="B6238">
            <v>0</v>
          </cell>
          <cell r="C6238" t="str">
            <v xml:space="preserve">  SPLENDID TEXTILE (PVT0 LIMITED</v>
          </cell>
          <cell r="D6238">
            <v>0</v>
          </cell>
          <cell r="E6238">
            <v>0</v>
          </cell>
          <cell r="F6238">
            <v>0</v>
          </cell>
          <cell r="G6238">
            <v>0</v>
          </cell>
        </row>
        <row r="6239">
          <cell r="A6239" t="str">
            <v>55-02-06-0335</v>
          </cell>
          <cell r="B6239">
            <v>0</v>
          </cell>
          <cell r="C6239" t="str">
            <v xml:space="preserve">  SUBLINE TEXTILE</v>
          </cell>
          <cell r="D6239">
            <v>0</v>
          </cell>
          <cell r="E6239">
            <v>0</v>
          </cell>
          <cell r="F6239">
            <v>0</v>
          </cell>
          <cell r="G6239">
            <v>0</v>
          </cell>
        </row>
        <row r="6240">
          <cell r="A6240" t="str">
            <v>55-02-06-0336</v>
          </cell>
          <cell r="B6240">
            <v>0</v>
          </cell>
          <cell r="C6240" t="str">
            <v xml:space="preserve">  TAHIR MEHMOOD</v>
          </cell>
          <cell r="D6240">
            <v>0</v>
          </cell>
          <cell r="E6240">
            <v>0</v>
          </cell>
          <cell r="F6240">
            <v>0</v>
          </cell>
          <cell r="G6240">
            <v>0</v>
          </cell>
        </row>
        <row r="6241">
          <cell r="A6241" t="str">
            <v>55-02-06-0337</v>
          </cell>
          <cell r="B6241">
            <v>0</v>
          </cell>
          <cell r="C6241" t="str">
            <v xml:space="preserve">  FAZAL AHMED</v>
          </cell>
          <cell r="D6241">
            <v>0</v>
          </cell>
          <cell r="E6241">
            <v>0</v>
          </cell>
          <cell r="F6241">
            <v>0</v>
          </cell>
          <cell r="G6241">
            <v>0</v>
          </cell>
        </row>
        <row r="6242">
          <cell r="A6242" t="str">
            <v>55-02-06-0338</v>
          </cell>
          <cell r="B6242">
            <v>0</v>
          </cell>
          <cell r="C6242" t="str">
            <v xml:space="preserve">  AHMED HASAN</v>
          </cell>
          <cell r="D6242">
            <v>0</v>
          </cell>
          <cell r="E6242">
            <v>0</v>
          </cell>
          <cell r="F6242">
            <v>0</v>
          </cell>
          <cell r="G6242">
            <v>0</v>
          </cell>
        </row>
        <row r="6243">
          <cell r="A6243" t="str">
            <v>55-02-06-0339</v>
          </cell>
          <cell r="B6243">
            <v>0</v>
          </cell>
          <cell r="C6243" t="str">
            <v xml:space="preserve">  HASAN DIN</v>
          </cell>
          <cell r="D6243">
            <v>0</v>
          </cell>
          <cell r="E6243">
            <v>0</v>
          </cell>
          <cell r="F6243">
            <v>0</v>
          </cell>
          <cell r="G6243">
            <v>0</v>
          </cell>
        </row>
        <row r="6244">
          <cell r="A6244" t="str">
            <v>55-02-06-0340</v>
          </cell>
          <cell r="B6244">
            <v>0</v>
          </cell>
          <cell r="C6244" t="str">
            <v xml:space="preserve">  HAFIZUDIN</v>
          </cell>
          <cell r="D6244">
            <v>0</v>
          </cell>
          <cell r="E6244">
            <v>0</v>
          </cell>
          <cell r="F6244">
            <v>0</v>
          </cell>
          <cell r="G6244">
            <v>0</v>
          </cell>
        </row>
        <row r="6245">
          <cell r="A6245" t="str">
            <v>55-02-06-0341</v>
          </cell>
          <cell r="B6245">
            <v>0</v>
          </cell>
          <cell r="C6245" t="str">
            <v xml:space="preserve">  TARIQ MEHMOOD</v>
          </cell>
          <cell r="D6245">
            <v>0</v>
          </cell>
          <cell r="E6245">
            <v>0</v>
          </cell>
          <cell r="F6245">
            <v>0</v>
          </cell>
          <cell r="G6245">
            <v>0</v>
          </cell>
        </row>
        <row r="6246">
          <cell r="A6246" t="str">
            <v>55-02-06-0342</v>
          </cell>
          <cell r="B6246">
            <v>0</v>
          </cell>
          <cell r="C6246" t="str">
            <v xml:space="preserve">  MAQBOOL AHMED</v>
          </cell>
          <cell r="D6246">
            <v>0</v>
          </cell>
          <cell r="E6246">
            <v>0</v>
          </cell>
          <cell r="F6246">
            <v>0</v>
          </cell>
          <cell r="G6246">
            <v>0</v>
          </cell>
        </row>
        <row r="6247">
          <cell r="A6247" t="str">
            <v>55-02-06-0343</v>
          </cell>
          <cell r="B6247">
            <v>0</v>
          </cell>
          <cell r="C6247" t="str">
            <v xml:space="preserve">  QADIRA TEXTILE</v>
          </cell>
          <cell r="D6247">
            <v>0</v>
          </cell>
          <cell r="E6247">
            <v>0</v>
          </cell>
          <cell r="F6247">
            <v>0</v>
          </cell>
          <cell r="G6247">
            <v>0</v>
          </cell>
        </row>
        <row r="6248">
          <cell r="A6248" t="str">
            <v>55-02-06-0344</v>
          </cell>
          <cell r="B6248">
            <v>0</v>
          </cell>
          <cell r="C6248" t="str">
            <v xml:space="preserve">  RANA TEXTILE</v>
          </cell>
          <cell r="D6248">
            <v>0</v>
          </cell>
          <cell r="E6248">
            <v>0</v>
          </cell>
          <cell r="F6248">
            <v>0</v>
          </cell>
          <cell r="G6248">
            <v>0</v>
          </cell>
        </row>
        <row r="6249">
          <cell r="A6249" t="str">
            <v>55-02-06-0345</v>
          </cell>
          <cell r="B6249">
            <v>0</v>
          </cell>
          <cell r="C6249" t="str">
            <v xml:space="preserve">  MUHAMMAD FAROOQ</v>
          </cell>
          <cell r="D6249">
            <v>0</v>
          </cell>
          <cell r="E6249">
            <v>0</v>
          </cell>
          <cell r="F6249">
            <v>0</v>
          </cell>
          <cell r="G6249">
            <v>0</v>
          </cell>
        </row>
        <row r="6250">
          <cell r="A6250" t="str">
            <v>55-02-06-0346</v>
          </cell>
          <cell r="B6250">
            <v>0</v>
          </cell>
          <cell r="C6250" t="str">
            <v xml:space="preserve">  A.R.TEX</v>
          </cell>
          <cell r="D6250">
            <v>0</v>
          </cell>
          <cell r="E6250">
            <v>0</v>
          </cell>
          <cell r="F6250">
            <v>0</v>
          </cell>
          <cell r="G6250">
            <v>0</v>
          </cell>
        </row>
        <row r="6251">
          <cell r="A6251" t="str">
            <v>55-02-06-0347</v>
          </cell>
          <cell r="B6251">
            <v>0</v>
          </cell>
          <cell r="C6251" t="str">
            <v xml:space="preserve">  SUBHAN TEXTTILE</v>
          </cell>
          <cell r="D6251">
            <v>0</v>
          </cell>
          <cell r="E6251">
            <v>0</v>
          </cell>
          <cell r="F6251">
            <v>0</v>
          </cell>
          <cell r="G6251">
            <v>0</v>
          </cell>
        </row>
        <row r="6252">
          <cell r="A6252" t="str">
            <v>55-02-06-0348</v>
          </cell>
          <cell r="B6252">
            <v>0</v>
          </cell>
          <cell r="C6252" t="str">
            <v xml:space="preserve">  HASNAIN INTERNATIONAL (PVT) LIMITED</v>
          </cell>
          <cell r="D6252">
            <v>0</v>
          </cell>
          <cell r="E6252">
            <v>0</v>
          </cell>
          <cell r="F6252">
            <v>0</v>
          </cell>
          <cell r="G6252">
            <v>0</v>
          </cell>
        </row>
        <row r="6253">
          <cell r="A6253" t="str">
            <v>55-02-06-0349</v>
          </cell>
          <cell r="B6253">
            <v>0</v>
          </cell>
          <cell r="C6253" t="str">
            <v xml:space="preserve">  I.M.TEXTILE</v>
          </cell>
          <cell r="D6253">
            <v>0</v>
          </cell>
          <cell r="E6253">
            <v>0</v>
          </cell>
          <cell r="F6253">
            <v>0</v>
          </cell>
          <cell r="G6253">
            <v>0</v>
          </cell>
        </row>
        <row r="6254">
          <cell r="A6254" t="str">
            <v>55-02-06-0350</v>
          </cell>
          <cell r="B6254">
            <v>0</v>
          </cell>
          <cell r="C6254" t="str">
            <v xml:space="preserve">  COTLINKS INTERNATIONAL</v>
          </cell>
          <cell r="D6254">
            <v>0</v>
          </cell>
          <cell r="E6254">
            <v>0</v>
          </cell>
          <cell r="F6254">
            <v>0</v>
          </cell>
          <cell r="G6254">
            <v>0</v>
          </cell>
        </row>
        <row r="6255">
          <cell r="A6255" t="str">
            <v>55-02-06-0351</v>
          </cell>
          <cell r="B6255">
            <v>0</v>
          </cell>
          <cell r="C6255" t="str">
            <v xml:space="preserve">  NOBLE TEXTILE MILLS LIMITED</v>
          </cell>
          <cell r="D6255">
            <v>0</v>
          </cell>
          <cell r="E6255">
            <v>0</v>
          </cell>
          <cell r="F6255">
            <v>0</v>
          </cell>
          <cell r="G6255">
            <v>0</v>
          </cell>
        </row>
        <row r="6256">
          <cell r="A6256" t="str">
            <v>55-02-06-0352</v>
          </cell>
          <cell r="B6256">
            <v>0</v>
          </cell>
          <cell r="C6256" t="str">
            <v xml:space="preserve">  ESCOT COTTON FIBER</v>
          </cell>
          <cell r="D6256">
            <v>0</v>
          </cell>
          <cell r="E6256">
            <v>0</v>
          </cell>
          <cell r="F6256">
            <v>0</v>
          </cell>
          <cell r="G6256">
            <v>0</v>
          </cell>
        </row>
        <row r="6257">
          <cell r="A6257" t="str">
            <v>55-02-06-0353</v>
          </cell>
          <cell r="B6257">
            <v>0</v>
          </cell>
          <cell r="C6257" t="str">
            <v xml:space="preserve">  SPECIAL FABRICS</v>
          </cell>
          <cell r="D6257">
            <v>0</v>
          </cell>
          <cell r="E6257">
            <v>0</v>
          </cell>
          <cell r="F6257">
            <v>0</v>
          </cell>
          <cell r="G6257">
            <v>0</v>
          </cell>
        </row>
        <row r="6258">
          <cell r="A6258" t="str">
            <v>55-02-06-0354</v>
          </cell>
          <cell r="B6258">
            <v>0</v>
          </cell>
          <cell r="C6258" t="str">
            <v xml:space="preserve">  FIBER TEX</v>
          </cell>
          <cell r="D6258">
            <v>0</v>
          </cell>
          <cell r="E6258">
            <v>0</v>
          </cell>
          <cell r="F6258">
            <v>0</v>
          </cell>
          <cell r="G6258">
            <v>0</v>
          </cell>
        </row>
        <row r="6259">
          <cell r="A6259" t="str">
            <v>55-02-06-0355</v>
          </cell>
          <cell r="B6259">
            <v>0</v>
          </cell>
          <cell r="C6259" t="str">
            <v xml:space="preserve">  RAFAHI TEXTILE</v>
          </cell>
          <cell r="D6259">
            <v>0</v>
          </cell>
          <cell r="E6259">
            <v>0</v>
          </cell>
          <cell r="F6259">
            <v>0</v>
          </cell>
          <cell r="G6259">
            <v>0</v>
          </cell>
        </row>
        <row r="6260">
          <cell r="A6260" t="str">
            <v>55-02-06-0356</v>
          </cell>
          <cell r="B6260">
            <v>0</v>
          </cell>
          <cell r="C6260" t="str">
            <v xml:space="preserve">  PIONEER TEXTILE</v>
          </cell>
          <cell r="D6260">
            <v>0</v>
          </cell>
          <cell r="E6260">
            <v>0</v>
          </cell>
          <cell r="F6260">
            <v>0</v>
          </cell>
          <cell r="G6260">
            <v>0</v>
          </cell>
        </row>
        <row r="6261">
          <cell r="A6261" t="str">
            <v>55-02-06-0357</v>
          </cell>
          <cell r="B6261">
            <v>0</v>
          </cell>
          <cell r="C6261" t="str">
            <v xml:space="preserve">  AL-HARAM TEXTILE CORPORATION</v>
          </cell>
          <cell r="D6261">
            <v>0</v>
          </cell>
          <cell r="E6261">
            <v>0</v>
          </cell>
          <cell r="F6261">
            <v>0</v>
          </cell>
          <cell r="G6261">
            <v>0</v>
          </cell>
        </row>
        <row r="6262">
          <cell r="A6262" t="str">
            <v>55-02-06-0358</v>
          </cell>
          <cell r="B6262">
            <v>0</v>
          </cell>
          <cell r="C6262" t="str">
            <v xml:space="preserve">  PARVEEN FABRICS</v>
          </cell>
          <cell r="D6262">
            <v>0</v>
          </cell>
          <cell r="E6262">
            <v>0</v>
          </cell>
          <cell r="F6262">
            <v>0</v>
          </cell>
          <cell r="G6262">
            <v>0</v>
          </cell>
        </row>
        <row r="6263">
          <cell r="A6263" t="str">
            <v>55-02-06-0359</v>
          </cell>
          <cell r="B6263">
            <v>0</v>
          </cell>
          <cell r="C6263" t="str">
            <v xml:space="preserve">  IQRAR FABRICS</v>
          </cell>
          <cell r="D6263">
            <v>0</v>
          </cell>
          <cell r="E6263">
            <v>0</v>
          </cell>
          <cell r="F6263">
            <v>0</v>
          </cell>
          <cell r="G6263">
            <v>0</v>
          </cell>
        </row>
        <row r="6264">
          <cell r="A6264" t="str">
            <v>55-02-06-0360</v>
          </cell>
          <cell r="B6264">
            <v>0</v>
          </cell>
          <cell r="C6264" t="str">
            <v xml:space="preserve">  RAJ TEXTILE</v>
          </cell>
          <cell r="D6264">
            <v>0</v>
          </cell>
          <cell r="E6264">
            <v>0</v>
          </cell>
          <cell r="F6264">
            <v>0</v>
          </cell>
          <cell r="G6264">
            <v>0</v>
          </cell>
        </row>
        <row r="6265">
          <cell r="A6265" t="str">
            <v>55-02-06-0361</v>
          </cell>
          <cell r="B6265">
            <v>0</v>
          </cell>
          <cell r="C6265" t="str">
            <v xml:space="preserve">  MARRIM FARYAL TEXTILE</v>
          </cell>
          <cell r="D6265">
            <v>0</v>
          </cell>
          <cell r="E6265">
            <v>0</v>
          </cell>
          <cell r="F6265">
            <v>0</v>
          </cell>
          <cell r="G6265">
            <v>0</v>
          </cell>
        </row>
        <row r="6266">
          <cell r="A6266" t="str">
            <v>55-02-06-0362</v>
          </cell>
          <cell r="B6266">
            <v>0</v>
          </cell>
          <cell r="C6266" t="str">
            <v xml:space="preserve">  OMAIR FABRICS</v>
          </cell>
          <cell r="D6266">
            <v>0</v>
          </cell>
          <cell r="E6266">
            <v>0</v>
          </cell>
          <cell r="F6266">
            <v>0</v>
          </cell>
          <cell r="G6266">
            <v>0</v>
          </cell>
        </row>
        <row r="6267">
          <cell r="A6267" t="str">
            <v>55-02-06-0363</v>
          </cell>
          <cell r="B6267">
            <v>0</v>
          </cell>
          <cell r="C6267" t="str">
            <v xml:space="preserve">  ROYAL WEAVING INDUSTRIES</v>
          </cell>
          <cell r="D6267">
            <v>0</v>
          </cell>
          <cell r="E6267">
            <v>0</v>
          </cell>
          <cell r="F6267">
            <v>0</v>
          </cell>
          <cell r="G6267">
            <v>0</v>
          </cell>
        </row>
        <row r="6268">
          <cell r="A6268" t="str">
            <v>55-02-06-0364</v>
          </cell>
          <cell r="B6268">
            <v>0</v>
          </cell>
          <cell r="C6268" t="str">
            <v xml:space="preserve">  -</v>
          </cell>
          <cell r="D6268">
            <v>0</v>
          </cell>
          <cell r="E6268">
            <v>0</v>
          </cell>
          <cell r="F6268">
            <v>0</v>
          </cell>
          <cell r="G6268">
            <v>0</v>
          </cell>
        </row>
        <row r="6269">
          <cell r="A6269" t="str">
            <v>55-02-06-0365</v>
          </cell>
          <cell r="B6269">
            <v>0</v>
          </cell>
          <cell r="C6269" t="str">
            <v xml:space="preserve">  WALEED TEXTILE</v>
          </cell>
          <cell r="D6269">
            <v>0</v>
          </cell>
          <cell r="E6269">
            <v>0</v>
          </cell>
          <cell r="F6269">
            <v>0</v>
          </cell>
          <cell r="G6269">
            <v>0</v>
          </cell>
        </row>
        <row r="6270">
          <cell r="A6270" t="str">
            <v>55-02-06-0366</v>
          </cell>
          <cell r="B6270">
            <v>0</v>
          </cell>
          <cell r="C6270" t="str">
            <v xml:space="preserve">  K.T.TEXTILES</v>
          </cell>
          <cell r="D6270">
            <v>0</v>
          </cell>
          <cell r="E6270">
            <v>0</v>
          </cell>
          <cell r="F6270">
            <v>0</v>
          </cell>
          <cell r="G6270">
            <v>0</v>
          </cell>
        </row>
        <row r="6271">
          <cell r="A6271" t="str">
            <v>55-02-06-0367</v>
          </cell>
          <cell r="B6271">
            <v>0</v>
          </cell>
          <cell r="C6271" t="str">
            <v xml:space="preserve">  NAIHA FABRICS</v>
          </cell>
          <cell r="D6271">
            <v>0</v>
          </cell>
          <cell r="E6271">
            <v>0</v>
          </cell>
          <cell r="F6271">
            <v>0</v>
          </cell>
          <cell r="G6271">
            <v>0</v>
          </cell>
        </row>
        <row r="6272">
          <cell r="A6272" t="str">
            <v>55-02-06-0368</v>
          </cell>
          <cell r="B6272">
            <v>0</v>
          </cell>
          <cell r="C6272" t="str">
            <v xml:space="preserve">  NEELAM TEXTILES</v>
          </cell>
          <cell r="D6272">
            <v>0</v>
          </cell>
          <cell r="E6272">
            <v>0</v>
          </cell>
          <cell r="F6272">
            <v>0</v>
          </cell>
          <cell r="G6272">
            <v>0</v>
          </cell>
        </row>
        <row r="6273">
          <cell r="A6273" t="str">
            <v>55-02-06-0369</v>
          </cell>
          <cell r="B6273">
            <v>0</v>
          </cell>
          <cell r="C6273" t="str">
            <v xml:space="preserve">  CHENAR TEXTILE</v>
          </cell>
          <cell r="D6273">
            <v>0</v>
          </cell>
          <cell r="E6273">
            <v>0</v>
          </cell>
          <cell r="F6273">
            <v>0</v>
          </cell>
          <cell r="G6273">
            <v>0</v>
          </cell>
        </row>
        <row r="6274">
          <cell r="A6274" t="str">
            <v>55-02-06-0370</v>
          </cell>
          <cell r="B6274">
            <v>0</v>
          </cell>
          <cell r="C6274" t="str">
            <v xml:space="preserve">  DYNAMIC ENTERPRISES</v>
          </cell>
          <cell r="D6274">
            <v>0</v>
          </cell>
          <cell r="E6274">
            <v>0</v>
          </cell>
          <cell r="F6274">
            <v>0</v>
          </cell>
          <cell r="G6274">
            <v>0</v>
          </cell>
        </row>
        <row r="6275">
          <cell r="A6275" t="str">
            <v>55-02-06-0371</v>
          </cell>
          <cell r="B6275">
            <v>0</v>
          </cell>
          <cell r="C6275" t="str">
            <v xml:space="preserve">  HUSSAIN TEXTILE</v>
          </cell>
          <cell r="D6275">
            <v>0</v>
          </cell>
          <cell r="E6275">
            <v>0</v>
          </cell>
          <cell r="F6275">
            <v>0</v>
          </cell>
          <cell r="G6275">
            <v>0</v>
          </cell>
        </row>
        <row r="6276">
          <cell r="A6276" t="str">
            <v>55-02-06-0372</v>
          </cell>
          <cell r="B6276">
            <v>0</v>
          </cell>
          <cell r="C6276" t="str">
            <v xml:space="preserve">  FLEXI INTERNATIONAL</v>
          </cell>
          <cell r="D6276">
            <v>0</v>
          </cell>
          <cell r="E6276">
            <v>0</v>
          </cell>
          <cell r="F6276">
            <v>0</v>
          </cell>
          <cell r="G6276">
            <v>0</v>
          </cell>
        </row>
        <row r="6277">
          <cell r="A6277" t="str">
            <v>55-02-06-0373</v>
          </cell>
          <cell r="B6277">
            <v>0</v>
          </cell>
          <cell r="C6277" t="str">
            <v xml:space="preserve">  AL-GHANI INTERNATIONAL</v>
          </cell>
          <cell r="D6277">
            <v>0</v>
          </cell>
          <cell r="E6277">
            <v>0</v>
          </cell>
          <cell r="F6277">
            <v>0</v>
          </cell>
          <cell r="G6277">
            <v>0</v>
          </cell>
        </row>
        <row r="6278">
          <cell r="A6278" t="str">
            <v>55-02-06-0374</v>
          </cell>
          <cell r="B6278">
            <v>0</v>
          </cell>
          <cell r="C6278" t="str">
            <v xml:space="preserve">  CLASSIC TEXTILES</v>
          </cell>
          <cell r="D6278">
            <v>0</v>
          </cell>
          <cell r="E6278">
            <v>0</v>
          </cell>
          <cell r="F6278">
            <v>0</v>
          </cell>
          <cell r="G6278">
            <v>0</v>
          </cell>
        </row>
        <row r="6279">
          <cell r="A6279" t="str">
            <v>55-02-06-0375</v>
          </cell>
          <cell r="B6279">
            <v>0</v>
          </cell>
          <cell r="C6279" t="str">
            <v xml:space="preserve">  AHSAN TEXTILE</v>
          </cell>
          <cell r="D6279">
            <v>0</v>
          </cell>
          <cell r="E6279">
            <v>0</v>
          </cell>
          <cell r="F6279">
            <v>0</v>
          </cell>
          <cell r="G6279">
            <v>0</v>
          </cell>
        </row>
        <row r="6280">
          <cell r="A6280" t="str">
            <v>55-02-06-0376</v>
          </cell>
          <cell r="B6280">
            <v>0</v>
          </cell>
          <cell r="C6280" t="str">
            <v xml:space="preserve">  MARSHAL TEXTILES</v>
          </cell>
          <cell r="D6280">
            <v>0</v>
          </cell>
          <cell r="E6280">
            <v>0</v>
          </cell>
          <cell r="F6280">
            <v>0</v>
          </cell>
          <cell r="G6280">
            <v>0</v>
          </cell>
        </row>
        <row r="6281">
          <cell r="A6281" t="str">
            <v>55-02-06-0377</v>
          </cell>
          <cell r="B6281">
            <v>0</v>
          </cell>
          <cell r="C6281" t="str">
            <v xml:space="preserve">  SILKWORM WEAVING</v>
          </cell>
          <cell r="D6281">
            <v>0</v>
          </cell>
          <cell r="E6281">
            <v>0</v>
          </cell>
          <cell r="F6281">
            <v>0</v>
          </cell>
          <cell r="G6281">
            <v>0</v>
          </cell>
        </row>
        <row r="6282">
          <cell r="A6282" t="str">
            <v>55-02-06-0378</v>
          </cell>
          <cell r="B6282">
            <v>0</v>
          </cell>
          <cell r="C6282" t="str">
            <v xml:space="preserve">  S.T.TEXTILES</v>
          </cell>
          <cell r="D6282">
            <v>0</v>
          </cell>
          <cell r="E6282">
            <v>0</v>
          </cell>
          <cell r="F6282">
            <v>0</v>
          </cell>
          <cell r="G6282">
            <v>0</v>
          </cell>
        </row>
        <row r="6283">
          <cell r="A6283" t="str">
            <v>55-02-06-0379</v>
          </cell>
          <cell r="B6283">
            <v>0</v>
          </cell>
          <cell r="C6283" t="str">
            <v xml:space="preserve">  RADIANT TEXTILES</v>
          </cell>
          <cell r="D6283">
            <v>0</v>
          </cell>
          <cell r="E6283">
            <v>0</v>
          </cell>
          <cell r="F6283">
            <v>0</v>
          </cell>
          <cell r="G6283">
            <v>0</v>
          </cell>
        </row>
        <row r="6284">
          <cell r="A6284" t="str">
            <v>55-02-06-0380</v>
          </cell>
          <cell r="B6284">
            <v>0</v>
          </cell>
          <cell r="C6284" t="str">
            <v xml:space="preserve">  KHUBAB TEXTILE &amp; WEAVING INDUSTRY</v>
          </cell>
          <cell r="D6284">
            <v>0</v>
          </cell>
          <cell r="E6284">
            <v>0</v>
          </cell>
          <cell r="F6284">
            <v>0</v>
          </cell>
          <cell r="G6284">
            <v>0</v>
          </cell>
        </row>
        <row r="6285">
          <cell r="A6285" t="str">
            <v>55-02-06-0381</v>
          </cell>
          <cell r="B6285">
            <v>0</v>
          </cell>
          <cell r="C6285" t="str">
            <v xml:space="preserve">  AMTEX (PVT) LIMITED.</v>
          </cell>
          <cell r="D6285">
            <v>0</v>
          </cell>
          <cell r="E6285">
            <v>0</v>
          </cell>
          <cell r="F6285">
            <v>0</v>
          </cell>
          <cell r="G6285">
            <v>0</v>
          </cell>
        </row>
        <row r="6286">
          <cell r="A6286" t="str">
            <v>55-02-06-0382</v>
          </cell>
          <cell r="B6286">
            <v>0</v>
          </cell>
          <cell r="C6286" t="str">
            <v xml:space="preserve">  HUNBUL TRADERS</v>
          </cell>
          <cell r="D6286">
            <v>0</v>
          </cell>
          <cell r="E6286">
            <v>0</v>
          </cell>
          <cell r="F6286">
            <v>0</v>
          </cell>
          <cell r="G6286">
            <v>0</v>
          </cell>
        </row>
        <row r="6287">
          <cell r="A6287" t="str">
            <v>55-02-06-0383</v>
          </cell>
          <cell r="B6287">
            <v>0</v>
          </cell>
          <cell r="C6287" t="str">
            <v xml:space="preserve">  NARGIS EXPORTS</v>
          </cell>
          <cell r="D6287">
            <v>0</v>
          </cell>
          <cell r="E6287">
            <v>0</v>
          </cell>
          <cell r="F6287">
            <v>0</v>
          </cell>
          <cell r="G6287">
            <v>0</v>
          </cell>
        </row>
        <row r="6288">
          <cell r="A6288" t="str">
            <v>55-02-06-0384</v>
          </cell>
          <cell r="B6288">
            <v>0</v>
          </cell>
          <cell r="C6288" t="str">
            <v xml:space="preserve">  FATEH GROUP</v>
          </cell>
          <cell r="D6288">
            <v>0</v>
          </cell>
          <cell r="E6288">
            <v>0</v>
          </cell>
          <cell r="F6288">
            <v>0</v>
          </cell>
          <cell r="G6288">
            <v>0</v>
          </cell>
        </row>
        <row r="6289">
          <cell r="A6289" t="str">
            <v>55-02-06-0385</v>
          </cell>
          <cell r="B6289">
            <v>0</v>
          </cell>
          <cell r="C6289" t="str">
            <v xml:space="preserve">  MASOOD TEXTILES</v>
          </cell>
          <cell r="D6289">
            <v>0</v>
          </cell>
          <cell r="E6289">
            <v>0</v>
          </cell>
          <cell r="F6289">
            <v>0</v>
          </cell>
          <cell r="G6289">
            <v>0</v>
          </cell>
        </row>
        <row r="6290">
          <cell r="A6290" t="str">
            <v>55-02-06-0386</v>
          </cell>
          <cell r="B6290">
            <v>0</v>
          </cell>
          <cell r="C6290" t="str">
            <v xml:space="preserve">  HAREEM TEXTILES</v>
          </cell>
          <cell r="D6290">
            <v>0</v>
          </cell>
          <cell r="E6290">
            <v>0</v>
          </cell>
          <cell r="F6290">
            <v>0</v>
          </cell>
          <cell r="G6290">
            <v>0</v>
          </cell>
        </row>
        <row r="6291">
          <cell r="A6291" t="str">
            <v>55-02-06-0387</v>
          </cell>
          <cell r="B6291">
            <v>0</v>
          </cell>
          <cell r="C6291" t="str">
            <v xml:space="preserve">  AISHA TEXTILES</v>
          </cell>
          <cell r="D6291">
            <v>0</v>
          </cell>
          <cell r="E6291">
            <v>0</v>
          </cell>
          <cell r="F6291">
            <v>0</v>
          </cell>
          <cell r="G6291">
            <v>0</v>
          </cell>
        </row>
        <row r="6292">
          <cell r="A6292" t="str">
            <v>55-02-06-0388</v>
          </cell>
          <cell r="B6292">
            <v>0</v>
          </cell>
          <cell r="C6292" t="str">
            <v xml:space="preserve">  PROGRESSIVE ENTERPRISES</v>
          </cell>
          <cell r="D6292">
            <v>0</v>
          </cell>
          <cell r="E6292">
            <v>0</v>
          </cell>
          <cell r="F6292">
            <v>0</v>
          </cell>
          <cell r="G6292">
            <v>0</v>
          </cell>
        </row>
        <row r="6293">
          <cell r="A6293" t="str">
            <v>55-02-06-0389</v>
          </cell>
          <cell r="B6293">
            <v>0</v>
          </cell>
          <cell r="C6293" t="str">
            <v xml:space="preserve">  FAT INTERNATIONAL</v>
          </cell>
          <cell r="D6293">
            <v>0</v>
          </cell>
          <cell r="E6293">
            <v>0</v>
          </cell>
          <cell r="F6293">
            <v>0</v>
          </cell>
          <cell r="G6293">
            <v>0</v>
          </cell>
        </row>
        <row r="6294">
          <cell r="A6294" t="str">
            <v>55-02-06-0390</v>
          </cell>
          <cell r="B6294">
            <v>0</v>
          </cell>
          <cell r="C6294" t="str">
            <v xml:space="preserve">  DREAM TRADING CO</v>
          </cell>
          <cell r="D6294">
            <v>0</v>
          </cell>
          <cell r="E6294">
            <v>0</v>
          </cell>
          <cell r="F6294">
            <v>0</v>
          </cell>
          <cell r="G6294">
            <v>0</v>
          </cell>
        </row>
        <row r="6295">
          <cell r="A6295" t="str">
            <v>55-02-06-0391</v>
          </cell>
          <cell r="B6295">
            <v>0</v>
          </cell>
          <cell r="C6295" t="str">
            <v xml:space="preserve">  HAJI ABDUR RAZZAQ &amp; SONS (PVT) LIMITED</v>
          </cell>
          <cell r="D6295">
            <v>0</v>
          </cell>
          <cell r="E6295">
            <v>0</v>
          </cell>
          <cell r="F6295">
            <v>0</v>
          </cell>
          <cell r="G6295">
            <v>0</v>
          </cell>
        </row>
        <row r="6296">
          <cell r="A6296" t="str">
            <v>55-02-06-0392</v>
          </cell>
          <cell r="B6296">
            <v>0</v>
          </cell>
          <cell r="C6296" t="str">
            <v xml:space="preserve">  PAK TEXTILE</v>
          </cell>
          <cell r="D6296">
            <v>0</v>
          </cell>
          <cell r="E6296">
            <v>0</v>
          </cell>
          <cell r="F6296">
            <v>0</v>
          </cell>
          <cell r="G6296">
            <v>0</v>
          </cell>
        </row>
        <row r="6297">
          <cell r="A6297" t="str">
            <v>55-02-06-0393</v>
          </cell>
          <cell r="B6297">
            <v>0</v>
          </cell>
          <cell r="C6297" t="str">
            <v xml:space="preserve">  UMAR HAFEEZ TEXTILE INDUSTRIES</v>
          </cell>
          <cell r="D6297">
            <v>0</v>
          </cell>
          <cell r="E6297">
            <v>0</v>
          </cell>
          <cell r="F6297">
            <v>0</v>
          </cell>
          <cell r="G6297">
            <v>0</v>
          </cell>
        </row>
        <row r="6298">
          <cell r="A6298" t="str">
            <v>55-02-06-0394</v>
          </cell>
          <cell r="B6298">
            <v>0</v>
          </cell>
          <cell r="C6298" t="str">
            <v xml:space="preserve">  ENN EFF EXPORTS</v>
          </cell>
          <cell r="D6298">
            <v>0</v>
          </cell>
          <cell r="E6298">
            <v>0</v>
          </cell>
          <cell r="F6298">
            <v>0</v>
          </cell>
          <cell r="G6298">
            <v>0</v>
          </cell>
        </row>
        <row r="6299">
          <cell r="A6299" t="str">
            <v>55-02-06-0395</v>
          </cell>
          <cell r="B6299">
            <v>0</v>
          </cell>
          <cell r="C6299" t="str">
            <v xml:space="preserve">  NIAGARA MILLS PVT LTD</v>
          </cell>
          <cell r="D6299">
            <v>0</v>
          </cell>
          <cell r="E6299">
            <v>0</v>
          </cell>
          <cell r="F6299">
            <v>0</v>
          </cell>
          <cell r="G6299">
            <v>0</v>
          </cell>
        </row>
        <row r="6300">
          <cell r="A6300" t="str">
            <v>55-02-06-0396</v>
          </cell>
          <cell r="B6300">
            <v>0</v>
          </cell>
          <cell r="C6300" t="str">
            <v xml:space="preserve">  NAGINA SOOT STORE</v>
          </cell>
          <cell r="D6300">
            <v>0</v>
          </cell>
          <cell r="E6300">
            <v>0</v>
          </cell>
          <cell r="F6300">
            <v>0</v>
          </cell>
          <cell r="G6300">
            <v>0</v>
          </cell>
        </row>
        <row r="6301">
          <cell r="A6301" t="str">
            <v>55-02-06-0397</v>
          </cell>
          <cell r="B6301">
            <v>0</v>
          </cell>
          <cell r="C6301" t="str">
            <v xml:space="preserve">  SONIA IMPEX</v>
          </cell>
          <cell r="D6301">
            <v>0</v>
          </cell>
          <cell r="E6301">
            <v>0</v>
          </cell>
          <cell r="F6301">
            <v>0</v>
          </cell>
          <cell r="G6301">
            <v>0</v>
          </cell>
        </row>
        <row r="6302">
          <cell r="A6302" t="str">
            <v>55-02-06-0398</v>
          </cell>
          <cell r="B6302">
            <v>0</v>
          </cell>
          <cell r="C6302" t="str">
            <v xml:space="preserve">  NISHITEX ENTERPRISES</v>
          </cell>
          <cell r="D6302">
            <v>0</v>
          </cell>
          <cell r="E6302">
            <v>0</v>
          </cell>
          <cell r="F6302">
            <v>0</v>
          </cell>
          <cell r="G6302">
            <v>0</v>
          </cell>
        </row>
        <row r="6303">
          <cell r="A6303" t="str">
            <v>55-02-06-0399</v>
          </cell>
          <cell r="B6303">
            <v>0</v>
          </cell>
          <cell r="C6303" t="str">
            <v xml:space="preserve">  SNA TEXTILES PVT LTD</v>
          </cell>
          <cell r="D6303">
            <v>0</v>
          </cell>
          <cell r="E6303">
            <v>0</v>
          </cell>
          <cell r="F6303">
            <v>0</v>
          </cell>
          <cell r="G6303">
            <v>0</v>
          </cell>
        </row>
        <row r="6304">
          <cell r="A6304" t="str">
            <v>55-02-06-0400</v>
          </cell>
          <cell r="B6304">
            <v>0</v>
          </cell>
          <cell r="C6304" t="str">
            <v xml:space="preserve">  MAGNA TEXTILE INDUSTRIES (PVT) LTD</v>
          </cell>
          <cell r="D6304">
            <v>0</v>
          </cell>
          <cell r="E6304">
            <v>0</v>
          </cell>
          <cell r="F6304">
            <v>0</v>
          </cell>
          <cell r="G6304">
            <v>0</v>
          </cell>
        </row>
        <row r="6305">
          <cell r="A6305" t="str">
            <v>55-02-06-0401</v>
          </cell>
          <cell r="B6305">
            <v>0</v>
          </cell>
          <cell r="C6305" t="str">
            <v xml:space="preserve">  AL-BARIO PEXIM (PRIVATE) LTD.</v>
          </cell>
          <cell r="D6305">
            <v>0</v>
          </cell>
          <cell r="E6305">
            <v>0</v>
          </cell>
          <cell r="F6305">
            <v>0</v>
          </cell>
          <cell r="G6305">
            <v>0</v>
          </cell>
        </row>
        <row r="6306">
          <cell r="A6306" t="str">
            <v>55-02-06-0402</v>
          </cell>
          <cell r="B6306">
            <v>0</v>
          </cell>
          <cell r="C6306" t="str">
            <v xml:space="preserve">  HAROON RASHEED (PVT) LIMITED</v>
          </cell>
          <cell r="D6306">
            <v>0</v>
          </cell>
          <cell r="E6306">
            <v>0</v>
          </cell>
          <cell r="F6306">
            <v>0</v>
          </cell>
          <cell r="G6306">
            <v>0</v>
          </cell>
        </row>
        <row r="6307">
          <cell r="A6307" t="str">
            <v>55-02-06-0403</v>
          </cell>
          <cell r="B6307">
            <v>0</v>
          </cell>
          <cell r="C6307" t="str">
            <v xml:space="preserve">  H.A. INDUSTRIES (PVT) LIMITED</v>
          </cell>
          <cell r="D6307">
            <v>0</v>
          </cell>
          <cell r="E6307">
            <v>0</v>
          </cell>
          <cell r="F6307">
            <v>0</v>
          </cell>
          <cell r="G6307">
            <v>0</v>
          </cell>
        </row>
        <row r="6308">
          <cell r="A6308" t="str">
            <v>55-02-06-0404</v>
          </cell>
          <cell r="B6308">
            <v>0</v>
          </cell>
          <cell r="C6308" t="str">
            <v xml:space="preserve">  MAHBOOB AMIN (PVT) LTD</v>
          </cell>
          <cell r="D6308">
            <v>0</v>
          </cell>
          <cell r="E6308">
            <v>0</v>
          </cell>
          <cell r="F6308">
            <v>0</v>
          </cell>
          <cell r="G6308">
            <v>0</v>
          </cell>
        </row>
        <row r="6309">
          <cell r="A6309" t="str">
            <v>55-02-06-0405</v>
          </cell>
          <cell r="B6309">
            <v>0</v>
          </cell>
          <cell r="C6309" t="str">
            <v xml:space="preserve">  SWEETY EXPORTS</v>
          </cell>
          <cell r="D6309">
            <v>0</v>
          </cell>
          <cell r="E6309">
            <v>0</v>
          </cell>
          <cell r="F6309">
            <v>0</v>
          </cell>
          <cell r="G6309">
            <v>0</v>
          </cell>
        </row>
        <row r="6310">
          <cell r="A6310" t="str">
            <v>55-02-06-0406</v>
          </cell>
          <cell r="B6310">
            <v>0</v>
          </cell>
          <cell r="C6310" t="str">
            <v xml:space="preserve">  NOOR FATIMA FABRICS (PVT) LTD</v>
          </cell>
          <cell r="D6310">
            <v>0</v>
          </cell>
          <cell r="E6310">
            <v>0</v>
          </cell>
          <cell r="F6310">
            <v>0</v>
          </cell>
          <cell r="G6310">
            <v>0</v>
          </cell>
        </row>
        <row r="6311">
          <cell r="A6311" t="str">
            <v>55-02-06-0407</v>
          </cell>
          <cell r="B6311">
            <v>0</v>
          </cell>
          <cell r="C6311" t="str">
            <v xml:space="preserve">  LARAIB TEXTILES</v>
          </cell>
          <cell r="D6311">
            <v>0</v>
          </cell>
          <cell r="E6311">
            <v>0</v>
          </cell>
          <cell r="F6311">
            <v>0</v>
          </cell>
          <cell r="G6311">
            <v>0</v>
          </cell>
        </row>
        <row r="6312">
          <cell r="A6312" t="str">
            <v>55-02-06-0408</v>
          </cell>
          <cell r="B6312">
            <v>0</v>
          </cell>
          <cell r="C6312" t="str">
            <v xml:space="preserve">  REHMAN INTERNATIONAL</v>
          </cell>
          <cell r="D6312">
            <v>0</v>
          </cell>
          <cell r="E6312">
            <v>0</v>
          </cell>
          <cell r="F6312">
            <v>0</v>
          </cell>
          <cell r="G6312">
            <v>0</v>
          </cell>
        </row>
        <row r="6313">
          <cell r="A6313" t="str">
            <v>55-02-06-0409</v>
          </cell>
          <cell r="B6313">
            <v>0</v>
          </cell>
          <cell r="C6313" t="str">
            <v xml:space="preserve">  JAY TEXTILES (PVT) LIMITED</v>
          </cell>
          <cell r="D6313">
            <v>0</v>
          </cell>
          <cell r="E6313">
            <v>0</v>
          </cell>
          <cell r="F6313">
            <v>0</v>
          </cell>
          <cell r="G6313">
            <v>0</v>
          </cell>
        </row>
        <row r="6314">
          <cell r="A6314" t="str">
            <v>55-02-06-0410</v>
          </cell>
          <cell r="B6314">
            <v>0</v>
          </cell>
          <cell r="C6314" t="str">
            <v xml:space="preserve">  USMAN FABRIC PAKISTAN (PVT) LTD.</v>
          </cell>
          <cell r="D6314">
            <v>0</v>
          </cell>
          <cell r="E6314">
            <v>0</v>
          </cell>
          <cell r="F6314">
            <v>0</v>
          </cell>
          <cell r="G6314">
            <v>0</v>
          </cell>
        </row>
        <row r="6315">
          <cell r="A6315" t="str">
            <v>55-02-06-0411</v>
          </cell>
          <cell r="B6315">
            <v>0</v>
          </cell>
          <cell r="C6315" t="str">
            <v xml:space="preserve">  SHALIMAR COTTON EXPORT (PVT) LTD</v>
          </cell>
          <cell r="D6315">
            <v>0</v>
          </cell>
          <cell r="E6315">
            <v>0</v>
          </cell>
          <cell r="F6315">
            <v>0</v>
          </cell>
          <cell r="G6315">
            <v>0</v>
          </cell>
        </row>
        <row r="6316">
          <cell r="A6316" t="str">
            <v>55-02-06-0412</v>
          </cell>
          <cell r="B6316">
            <v>0</v>
          </cell>
          <cell r="C6316" t="str">
            <v xml:space="preserve">  IFTIKHAR AKBAR WEAVING PVT LTD</v>
          </cell>
          <cell r="D6316">
            <v>0</v>
          </cell>
          <cell r="E6316">
            <v>0</v>
          </cell>
          <cell r="F6316">
            <v>0</v>
          </cell>
          <cell r="G6316">
            <v>0</v>
          </cell>
        </row>
        <row r="6317">
          <cell r="A6317" t="str">
            <v>55-02-06-0413</v>
          </cell>
          <cell r="B6317">
            <v>0</v>
          </cell>
          <cell r="C6317" t="str">
            <v xml:space="preserve">  LAKHANY SILK MILLS (PVT) LIMITED</v>
          </cell>
          <cell r="D6317">
            <v>176021</v>
          </cell>
          <cell r="E6317">
            <v>0</v>
          </cell>
          <cell r="F6317">
            <v>0</v>
          </cell>
          <cell r="G6317">
            <v>0</v>
          </cell>
        </row>
        <row r="6318">
          <cell r="A6318" t="str">
            <v>55-02-06-0414</v>
          </cell>
          <cell r="B6318">
            <v>0</v>
          </cell>
          <cell r="C6318" t="str">
            <v xml:space="preserve">  DAWOOD TEXTILE PRINTING INDUS. PVT LTD</v>
          </cell>
          <cell r="D6318">
            <v>0</v>
          </cell>
          <cell r="E6318">
            <v>0</v>
          </cell>
          <cell r="F6318">
            <v>0</v>
          </cell>
          <cell r="G6318">
            <v>0</v>
          </cell>
        </row>
        <row r="6319">
          <cell r="A6319" t="str">
            <v>55-02-06-0415</v>
          </cell>
          <cell r="B6319">
            <v>0</v>
          </cell>
          <cell r="C6319" t="str">
            <v xml:space="preserve">  RASHID FABRICS (PVT) LIMITED</v>
          </cell>
          <cell r="D6319">
            <v>0</v>
          </cell>
          <cell r="E6319">
            <v>0</v>
          </cell>
          <cell r="F6319">
            <v>0</v>
          </cell>
          <cell r="G6319">
            <v>0</v>
          </cell>
        </row>
        <row r="6320">
          <cell r="A6320" t="str">
            <v>55-02-06-0416</v>
          </cell>
          <cell r="B6320">
            <v>0</v>
          </cell>
          <cell r="C6320" t="str">
            <v xml:space="preserve">  SWEETY TEXTILES (PVT) LTD.</v>
          </cell>
          <cell r="D6320">
            <v>0</v>
          </cell>
          <cell r="E6320">
            <v>0</v>
          </cell>
          <cell r="F6320">
            <v>0</v>
          </cell>
          <cell r="G6320">
            <v>0</v>
          </cell>
        </row>
        <row r="6321">
          <cell r="A6321" t="str">
            <v>55-02-06-0417</v>
          </cell>
          <cell r="B6321">
            <v>0</v>
          </cell>
          <cell r="C6321" t="str">
            <v xml:space="preserve">  AL-REHMAT TRADERS (PVT) LTD.</v>
          </cell>
          <cell r="D6321">
            <v>0</v>
          </cell>
          <cell r="E6321">
            <v>0</v>
          </cell>
          <cell r="F6321">
            <v>0</v>
          </cell>
          <cell r="G6321">
            <v>0</v>
          </cell>
        </row>
        <row r="6322">
          <cell r="A6322" t="str">
            <v>55-02-06-0418</v>
          </cell>
          <cell r="B6322">
            <v>0</v>
          </cell>
          <cell r="C6322" t="str">
            <v xml:space="preserve">  UNITEX IMPEX</v>
          </cell>
          <cell r="D6322">
            <v>0</v>
          </cell>
          <cell r="E6322">
            <v>0</v>
          </cell>
          <cell r="F6322">
            <v>0</v>
          </cell>
          <cell r="G6322">
            <v>0</v>
          </cell>
        </row>
        <row r="6323">
          <cell r="A6323" t="str">
            <v>55-02-06-0419</v>
          </cell>
          <cell r="B6323">
            <v>0</v>
          </cell>
          <cell r="C6323" t="str">
            <v xml:space="preserve">  ADAM FABRICS (PVT) LTD.</v>
          </cell>
          <cell r="D6323">
            <v>0</v>
          </cell>
          <cell r="E6323">
            <v>0</v>
          </cell>
          <cell r="F6323">
            <v>0</v>
          </cell>
          <cell r="G6323">
            <v>0</v>
          </cell>
        </row>
        <row r="6324">
          <cell r="A6324" t="str">
            <v>55-02-06-0420</v>
          </cell>
          <cell r="B6324">
            <v>0</v>
          </cell>
          <cell r="C6324" t="str">
            <v xml:space="preserve">  FAISAL FABRICS LTD.</v>
          </cell>
          <cell r="D6324">
            <v>0</v>
          </cell>
          <cell r="E6324">
            <v>0</v>
          </cell>
          <cell r="F6324">
            <v>0</v>
          </cell>
          <cell r="G6324">
            <v>0</v>
          </cell>
        </row>
        <row r="6325">
          <cell r="A6325" t="str">
            <v>55-02-06-0421</v>
          </cell>
          <cell r="B6325">
            <v>0</v>
          </cell>
          <cell r="C6325" t="str">
            <v xml:space="preserve">  ORIENT COATING &amp; FINISHING MILLS PVT L</v>
          </cell>
          <cell r="D6325">
            <v>0</v>
          </cell>
          <cell r="E6325">
            <v>0</v>
          </cell>
          <cell r="F6325">
            <v>0</v>
          </cell>
          <cell r="G6325">
            <v>0</v>
          </cell>
        </row>
        <row r="6326">
          <cell r="A6326" t="str">
            <v>55-02-06-0422</v>
          </cell>
          <cell r="B6326">
            <v>0</v>
          </cell>
          <cell r="C6326" t="str">
            <v xml:space="preserve">  LUCKY ENTERPRISES</v>
          </cell>
          <cell r="D6326">
            <v>0</v>
          </cell>
          <cell r="E6326">
            <v>0</v>
          </cell>
          <cell r="F6326">
            <v>0</v>
          </cell>
          <cell r="G6326">
            <v>0</v>
          </cell>
        </row>
        <row r="6327">
          <cell r="A6327" t="str">
            <v>55-02-06-0423</v>
          </cell>
          <cell r="B6327">
            <v>0</v>
          </cell>
          <cell r="C6327" t="str">
            <v xml:space="preserve">  NIPPON ENTERPRISES</v>
          </cell>
          <cell r="D6327">
            <v>0</v>
          </cell>
          <cell r="E6327">
            <v>0</v>
          </cell>
          <cell r="F6327">
            <v>0</v>
          </cell>
          <cell r="G6327">
            <v>0</v>
          </cell>
        </row>
        <row r="6328">
          <cell r="A6328" t="str">
            <v>55-02-06-0424</v>
          </cell>
          <cell r="B6328">
            <v>0</v>
          </cell>
          <cell r="C6328" t="str">
            <v xml:space="preserve">  ZAFAR FABRICS (PVT) LTD.</v>
          </cell>
          <cell r="D6328">
            <v>0</v>
          </cell>
          <cell r="E6328">
            <v>0</v>
          </cell>
          <cell r="F6328">
            <v>0</v>
          </cell>
          <cell r="G6328">
            <v>0</v>
          </cell>
        </row>
        <row r="6329">
          <cell r="A6329" t="str">
            <v>55-02-06-0425</v>
          </cell>
          <cell r="B6329">
            <v>0</v>
          </cell>
          <cell r="C6329" t="str">
            <v xml:space="preserve">  Z.N. EXPORTS (PVT) LTD</v>
          </cell>
          <cell r="D6329">
            <v>0</v>
          </cell>
          <cell r="E6329">
            <v>0</v>
          </cell>
          <cell r="F6329">
            <v>0</v>
          </cell>
          <cell r="G6329">
            <v>0</v>
          </cell>
        </row>
        <row r="6330">
          <cell r="A6330" t="str">
            <v>55-02-06-0426</v>
          </cell>
          <cell r="B6330">
            <v>0</v>
          </cell>
          <cell r="C6330" t="str">
            <v xml:space="preserve">  BARKAH TEXTILE &amp; PRINTING MILLS (PVT)L</v>
          </cell>
          <cell r="D6330">
            <v>0</v>
          </cell>
          <cell r="E6330">
            <v>0</v>
          </cell>
          <cell r="F6330">
            <v>0</v>
          </cell>
          <cell r="G6330">
            <v>0</v>
          </cell>
        </row>
        <row r="6331">
          <cell r="A6331" t="str">
            <v>55-02-06-0427</v>
          </cell>
          <cell r="B6331">
            <v>0</v>
          </cell>
          <cell r="C6331" t="str">
            <v xml:space="preserve">  AL-REHMAT TEXTILES (PVT) LTD</v>
          </cell>
          <cell r="D6331">
            <v>0</v>
          </cell>
          <cell r="E6331">
            <v>0</v>
          </cell>
          <cell r="F6331">
            <v>0</v>
          </cell>
          <cell r="G6331">
            <v>0</v>
          </cell>
        </row>
        <row r="6332">
          <cell r="A6332" t="str">
            <v>55-02-06-0428</v>
          </cell>
          <cell r="B6332">
            <v>0</v>
          </cell>
          <cell r="C6332" t="str">
            <v xml:space="preserve">  SHAFI WEAVING PVT LTD</v>
          </cell>
          <cell r="D6332">
            <v>0</v>
          </cell>
          <cell r="E6332">
            <v>0</v>
          </cell>
          <cell r="F6332">
            <v>0</v>
          </cell>
          <cell r="G6332">
            <v>0</v>
          </cell>
        </row>
        <row r="6333">
          <cell r="A6333" t="str">
            <v>55-02-06-0429</v>
          </cell>
          <cell r="B6333">
            <v>0</v>
          </cell>
          <cell r="C6333" t="str">
            <v xml:space="preserve">  MARIAM FABRICS</v>
          </cell>
          <cell r="D6333">
            <v>0</v>
          </cell>
          <cell r="E6333">
            <v>0</v>
          </cell>
          <cell r="F6333">
            <v>0</v>
          </cell>
          <cell r="G6333">
            <v>0</v>
          </cell>
        </row>
        <row r="6334">
          <cell r="A6334" t="str">
            <v>55-02-06-0430</v>
          </cell>
          <cell r="B6334">
            <v>0</v>
          </cell>
          <cell r="C6334" t="str">
            <v xml:space="preserve">  HASCO TEXTILE (PVT) LIMITED</v>
          </cell>
          <cell r="D6334">
            <v>0</v>
          </cell>
          <cell r="E6334">
            <v>0</v>
          </cell>
          <cell r="F6334">
            <v>0</v>
          </cell>
          <cell r="G6334">
            <v>0</v>
          </cell>
        </row>
        <row r="6335">
          <cell r="A6335" t="str">
            <v>55-02-06-0431</v>
          </cell>
          <cell r="B6335">
            <v>0</v>
          </cell>
          <cell r="C6335" t="str">
            <v xml:space="preserve">  ARIF TEXTILES</v>
          </cell>
          <cell r="D6335">
            <v>0</v>
          </cell>
          <cell r="E6335">
            <v>0</v>
          </cell>
          <cell r="F6335">
            <v>0</v>
          </cell>
          <cell r="G6335">
            <v>0</v>
          </cell>
        </row>
        <row r="6336">
          <cell r="A6336" t="str">
            <v>55-02-06-0432</v>
          </cell>
          <cell r="B6336">
            <v>0</v>
          </cell>
          <cell r="C6336" t="str">
            <v xml:space="preserve">  EM JAY EXPORTS (PVT)  LTD</v>
          </cell>
          <cell r="D6336">
            <v>0</v>
          </cell>
          <cell r="E6336">
            <v>0</v>
          </cell>
          <cell r="F6336">
            <v>0</v>
          </cell>
          <cell r="G6336">
            <v>0</v>
          </cell>
        </row>
        <row r="6337">
          <cell r="A6337" t="str">
            <v>55-02-06-0433</v>
          </cell>
          <cell r="B6337">
            <v>0</v>
          </cell>
          <cell r="C6337" t="str">
            <v xml:space="preserve">  MAJEEDA TEXTILES (PVT) LTD</v>
          </cell>
          <cell r="D6337">
            <v>0</v>
          </cell>
          <cell r="E6337">
            <v>0</v>
          </cell>
          <cell r="F6337">
            <v>0</v>
          </cell>
          <cell r="G6337">
            <v>0</v>
          </cell>
        </row>
        <row r="6338">
          <cell r="A6338" t="str">
            <v>55-02-06-0434</v>
          </cell>
          <cell r="B6338">
            <v>0</v>
          </cell>
          <cell r="C6338" t="str">
            <v xml:space="preserve">  IMAN DI SHEIKH ESTABLISHMENT</v>
          </cell>
          <cell r="D6338">
            <v>0</v>
          </cell>
          <cell r="E6338">
            <v>0</v>
          </cell>
          <cell r="F6338">
            <v>0</v>
          </cell>
          <cell r="G6338">
            <v>0</v>
          </cell>
        </row>
        <row r="6339">
          <cell r="A6339" t="str">
            <v>55-02-06-0435</v>
          </cell>
          <cell r="B6339">
            <v>0</v>
          </cell>
          <cell r="C6339" t="str">
            <v xml:space="preserve">  BISMILLAH FABRICS</v>
          </cell>
          <cell r="D6339">
            <v>0</v>
          </cell>
          <cell r="E6339">
            <v>0</v>
          </cell>
          <cell r="F6339">
            <v>0</v>
          </cell>
          <cell r="G6339">
            <v>0</v>
          </cell>
        </row>
        <row r="6340">
          <cell r="A6340" t="str">
            <v>55-02-06-0436</v>
          </cell>
          <cell r="B6340">
            <v>0</v>
          </cell>
          <cell r="C6340" t="str">
            <v xml:space="preserve">  UNITED FINISHING MILLS LTD</v>
          </cell>
          <cell r="D6340">
            <v>0</v>
          </cell>
          <cell r="E6340">
            <v>0</v>
          </cell>
          <cell r="F6340">
            <v>0</v>
          </cell>
          <cell r="G6340">
            <v>0</v>
          </cell>
        </row>
        <row r="6341">
          <cell r="A6341" t="str">
            <v>55-02-06-0437</v>
          </cell>
          <cell r="B6341">
            <v>0</v>
          </cell>
          <cell r="C6341" t="str">
            <v xml:space="preserve">  SHAHBAZ RAHIM EXPORTS</v>
          </cell>
          <cell r="D6341">
            <v>0</v>
          </cell>
          <cell r="E6341">
            <v>266</v>
          </cell>
          <cell r="F6341">
            <v>0</v>
          </cell>
          <cell r="G6341">
            <v>0</v>
          </cell>
        </row>
        <row r="6342">
          <cell r="A6342" t="str">
            <v>55-02-06-0438</v>
          </cell>
          <cell r="B6342">
            <v>0</v>
          </cell>
          <cell r="C6342" t="str">
            <v xml:space="preserve">  HUDABIYA TEXTILES</v>
          </cell>
          <cell r="D6342">
            <v>0</v>
          </cell>
          <cell r="E6342">
            <v>0</v>
          </cell>
          <cell r="F6342">
            <v>0</v>
          </cell>
          <cell r="G6342">
            <v>0</v>
          </cell>
        </row>
        <row r="6343">
          <cell r="A6343" t="str">
            <v>55-02-06-0439</v>
          </cell>
          <cell r="B6343">
            <v>0</v>
          </cell>
          <cell r="C6343" t="str">
            <v xml:space="preserve">  EXCELLENT INTERNATIONAL</v>
          </cell>
          <cell r="D6343">
            <v>0</v>
          </cell>
          <cell r="E6343">
            <v>0</v>
          </cell>
          <cell r="F6343">
            <v>0</v>
          </cell>
          <cell r="G6343">
            <v>0</v>
          </cell>
        </row>
        <row r="6344">
          <cell r="A6344" t="str">
            <v>55-02-06-0440</v>
          </cell>
          <cell r="B6344">
            <v>0</v>
          </cell>
          <cell r="C6344" t="str">
            <v xml:space="preserve">  AYUB TEXTILE INDUSTRIES</v>
          </cell>
          <cell r="D6344">
            <v>0</v>
          </cell>
          <cell r="E6344">
            <v>0</v>
          </cell>
          <cell r="F6344">
            <v>0</v>
          </cell>
          <cell r="G6344">
            <v>0</v>
          </cell>
        </row>
        <row r="6345">
          <cell r="A6345" t="str">
            <v>55-02-06-0441</v>
          </cell>
          <cell r="B6345">
            <v>0</v>
          </cell>
          <cell r="C6345" t="str">
            <v xml:space="preserve">  IQRA TEX</v>
          </cell>
          <cell r="D6345">
            <v>0</v>
          </cell>
          <cell r="E6345">
            <v>0</v>
          </cell>
          <cell r="F6345">
            <v>0</v>
          </cell>
          <cell r="G6345">
            <v>0</v>
          </cell>
        </row>
        <row r="6346">
          <cell r="A6346" t="str">
            <v>55-02-07</v>
          </cell>
          <cell r="B6346">
            <v>0</v>
          </cell>
          <cell r="C6346" t="str">
            <v>***MUMTAZ/TAHIR/MAHMOOD</v>
          </cell>
          <cell r="D6346">
            <v>0</v>
          </cell>
          <cell r="E6346">
            <v>0</v>
          </cell>
          <cell r="F6346">
            <v>0</v>
          </cell>
          <cell r="G6346">
            <v>0</v>
          </cell>
        </row>
        <row r="6347">
          <cell r="A6347" t="str">
            <v>55-02-07-0001</v>
          </cell>
          <cell r="B6347">
            <v>0</v>
          </cell>
          <cell r="C6347" t="str">
            <v xml:space="preserve">  SAJID MAHMOOD</v>
          </cell>
          <cell r="D6347">
            <v>0</v>
          </cell>
          <cell r="E6347">
            <v>0</v>
          </cell>
          <cell r="F6347">
            <v>0</v>
          </cell>
          <cell r="G6347">
            <v>0</v>
          </cell>
        </row>
        <row r="6348">
          <cell r="A6348" t="str">
            <v>55-02-08</v>
          </cell>
          <cell r="B6348">
            <v>0</v>
          </cell>
          <cell r="C6348" t="str">
            <v>***ARSHAD CORPORATION (PVT) LTD.</v>
          </cell>
          <cell r="D6348">
            <v>0</v>
          </cell>
          <cell r="E6348">
            <v>0</v>
          </cell>
          <cell r="F6348">
            <v>0</v>
          </cell>
          <cell r="G6348">
            <v>0</v>
          </cell>
        </row>
        <row r="6349">
          <cell r="A6349" t="str">
            <v>55-02-08-0001</v>
          </cell>
          <cell r="B6349">
            <v>0</v>
          </cell>
          <cell r="C6349" t="str">
            <v xml:space="preserve">  WASEE CORPORATION</v>
          </cell>
          <cell r="D6349">
            <v>0</v>
          </cell>
          <cell r="E6349">
            <v>0</v>
          </cell>
          <cell r="F6349">
            <v>0</v>
          </cell>
          <cell r="G6349">
            <v>0</v>
          </cell>
        </row>
        <row r="6350">
          <cell r="A6350" t="str">
            <v>55-02-08-0002</v>
          </cell>
          <cell r="B6350">
            <v>0</v>
          </cell>
          <cell r="C6350" t="str">
            <v xml:space="preserve">  ARSHAD CORPORATION (PVT) LIMITED.</v>
          </cell>
          <cell r="D6350">
            <v>0</v>
          </cell>
          <cell r="E6350">
            <v>0</v>
          </cell>
          <cell r="F6350">
            <v>0</v>
          </cell>
          <cell r="G6350">
            <v>0</v>
          </cell>
        </row>
        <row r="6351">
          <cell r="A6351" t="str">
            <v>55-02-08-0003</v>
          </cell>
          <cell r="B6351">
            <v>0</v>
          </cell>
          <cell r="C6351" t="str">
            <v xml:space="preserve">  ALVERA ENTERPRISES (PVT) LIMITED..</v>
          </cell>
          <cell r="D6351">
            <v>0</v>
          </cell>
          <cell r="E6351">
            <v>0</v>
          </cell>
          <cell r="F6351">
            <v>0</v>
          </cell>
          <cell r="G6351">
            <v>0</v>
          </cell>
        </row>
        <row r="6352">
          <cell r="A6352" t="str">
            <v>55-02-18</v>
          </cell>
          <cell r="B6352">
            <v>0</v>
          </cell>
          <cell r="C6352" t="str">
            <v>***JAWED IQBAL</v>
          </cell>
          <cell r="D6352">
            <v>0</v>
          </cell>
          <cell r="E6352">
            <v>0</v>
          </cell>
          <cell r="F6352">
            <v>0</v>
          </cell>
          <cell r="G6352">
            <v>0</v>
          </cell>
        </row>
        <row r="6353">
          <cell r="A6353" t="str">
            <v>55-02-18-0001</v>
          </cell>
          <cell r="B6353">
            <v>0</v>
          </cell>
          <cell r="C6353" t="str">
            <v xml:space="preserve">  MADINA HOZRI</v>
          </cell>
          <cell r="D6353">
            <v>0</v>
          </cell>
          <cell r="E6353">
            <v>0</v>
          </cell>
          <cell r="F6353">
            <v>0</v>
          </cell>
          <cell r="G6353">
            <v>0</v>
          </cell>
        </row>
        <row r="6354">
          <cell r="A6354" t="str">
            <v>55-02-18-0002</v>
          </cell>
          <cell r="B6354">
            <v>0</v>
          </cell>
          <cell r="C6354" t="str">
            <v xml:space="preserve">  B.K. TEXTILE.</v>
          </cell>
          <cell r="D6354">
            <v>0</v>
          </cell>
          <cell r="E6354">
            <v>0</v>
          </cell>
          <cell r="F6354">
            <v>0</v>
          </cell>
          <cell r="G6354">
            <v>0</v>
          </cell>
        </row>
        <row r="6355">
          <cell r="A6355" t="str">
            <v>55-02-18-0003</v>
          </cell>
          <cell r="B6355">
            <v>0</v>
          </cell>
          <cell r="C6355" t="str">
            <v xml:space="preserve">  ANWAR UL HAQ.</v>
          </cell>
          <cell r="D6355">
            <v>0</v>
          </cell>
          <cell r="E6355">
            <v>0</v>
          </cell>
          <cell r="F6355">
            <v>0</v>
          </cell>
          <cell r="G6355">
            <v>0</v>
          </cell>
        </row>
        <row r="6356">
          <cell r="A6356" t="str">
            <v>55-02-18-0004</v>
          </cell>
          <cell r="B6356">
            <v>0</v>
          </cell>
          <cell r="C6356" t="str">
            <v xml:space="preserve">  SOHAIL ABBAS</v>
          </cell>
          <cell r="D6356">
            <v>0</v>
          </cell>
          <cell r="E6356">
            <v>0</v>
          </cell>
          <cell r="F6356">
            <v>0</v>
          </cell>
          <cell r="G6356">
            <v>0</v>
          </cell>
        </row>
        <row r="6357">
          <cell r="A6357" t="str">
            <v>55-02-18-0005</v>
          </cell>
          <cell r="B6357">
            <v>0</v>
          </cell>
          <cell r="C6357" t="str">
            <v xml:space="preserve">  MUHAMMED SALIM</v>
          </cell>
          <cell r="D6357">
            <v>0</v>
          </cell>
          <cell r="E6357">
            <v>0</v>
          </cell>
          <cell r="F6357">
            <v>0</v>
          </cell>
          <cell r="G6357">
            <v>0</v>
          </cell>
        </row>
        <row r="6358">
          <cell r="A6358" t="str">
            <v>55-02-18-0006</v>
          </cell>
          <cell r="B6358">
            <v>0</v>
          </cell>
          <cell r="C6358" t="str">
            <v xml:space="preserve">  HAJI SHAIKH NOOR DIN &amp; SONS (PVT) LTD.</v>
          </cell>
          <cell r="D6358">
            <v>0</v>
          </cell>
          <cell r="E6358">
            <v>0</v>
          </cell>
          <cell r="F6358">
            <v>0</v>
          </cell>
          <cell r="G6358">
            <v>0</v>
          </cell>
        </row>
        <row r="6359">
          <cell r="A6359" t="str">
            <v>55-02-19</v>
          </cell>
          <cell r="B6359">
            <v>0</v>
          </cell>
          <cell r="C6359" t="str">
            <v>***SHAFQAT RASOOL</v>
          </cell>
          <cell r="D6359">
            <v>0</v>
          </cell>
          <cell r="E6359">
            <v>0</v>
          </cell>
          <cell r="F6359">
            <v>0</v>
          </cell>
          <cell r="G6359">
            <v>0</v>
          </cell>
        </row>
        <row r="6360">
          <cell r="A6360" t="str">
            <v>55-02-19-0001</v>
          </cell>
          <cell r="B6360">
            <v>0</v>
          </cell>
          <cell r="C6360" t="str">
            <v xml:space="preserve">  SAJID IQBAL</v>
          </cell>
          <cell r="D6360">
            <v>0</v>
          </cell>
          <cell r="E6360">
            <v>0</v>
          </cell>
          <cell r="F6360">
            <v>0</v>
          </cell>
          <cell r="G6360">
            <v>0</v>
          </cell>
        </row>
        <row r="6361">
          <cell r="A6361" t="str">
            <v>55-02-34</v>
          </cell>
          <cell r="B6361">
            <v>0</v>
          </cell>
          <cell r="C6361" t="str">
            <v>***IRFAN MANZOOR</v>
          </cell>
          <cell r="D6361">
            <v>0</v>
          </cell>
          <cell r="E6361">
            <v>0</v>
          </cell>
          <cell r="F6361">
            <v>0</v>
          </cell>
          <cell r="G6361">
            <v>0</v>
          </cell>
        </row>
        <row r="6362">
          <cell r="A6362" t="str">
            <v>55-02-34-0001</v>
          </cell>
          <cell r="B6362">
            <v>0</v>
          </cell>
          <cell r="C6362" t="str">
            <v xml:space="preserve">  IRFAN MANZOOR.</v>
          </cell>
          <cell r="D6362">
            <v>0</v>
          </cell>
          <cell r="E6362">
            <v>0</v>
          </cell>
          <cell r="F6362">
            <v>0</v>
          </cell>
          <cell r="G6362">
            <v>0</v>
          </cell>
        </row>
        <row r="6363">
          <cell r="A6363" t="str">
            <v>55-02-34-0002</v>
          </cell>
          <cell r="B6363">
            <v>0</v>
          </cell>
          <cell r="C6363" t="str">
            <v xml:space="preserve">  HAJI SHAIKH NOOR DIN AND SONS (PVT) LT</v>
          </cell>
          <cell r="D6363">
            <v>0</v>
          </cell>
          <cell r="E6363">
            <v>0</v>
          </cell>
          <cell r="F6363">
            <v>0</v>
          </cell>
          <cell r="G6363">
            <v>0</v>
          </cell>
        </row>
        <row r="6364">
          <cell r="A6364" t="str">
            <v>55-02-34-0003</v>
          </cell>
          <cell r="B6364">
            <v>0</v>
          </cell>
          <cell r="C6364" t="str">
            <v xml:space="preserve">  UNIVERSAL GUM (PVT) LIMITED.</v>
          </cell>
          <cell r="D6364">
            <v>0</v>
          </cell>
          <cell r="E6364">
            <v>0</v>
          </cell>
          <cell r="F6364">
            <v>0</v>
          </cell>
          <cell r="G6364">
            <v>0</v>
          </cell>
        </row>
        <row r="6365">
          <cell r="A6365" t="str">
            <v>55-02-34-0004</v>
          </cell>
          <cell r="B6365">
            <v>0</v>
          </cell>
          <cell r="C6365" t="str">
            <v xml:space="preserve">  DHE DHI BROTHERS.</v>
          </cell>
          <cell r="D6365">
            <v>0</v>
          </cell>
          <cell r="E6365">
            <v>0</v>
          </cell>
          <cell r="F6365">
            <v>0</v>
          </cell>
          <cell r="G6365">
            <v>0</v>
          </cell>
        </row>
        <row r="6366">
          <cell r="A6366" t="str">
            <v>55-02-34-0005</v>
          </cell>
          <cell r="B6366">
            <v>0</v>
          </cell>
          <cell r="C6366" t="str">
            <v xml:space="preserve">  J.K.SONS (PVT) LIMITED.</v>
          </cell>
          <cell r="D6366">
            <v>0</v>
          </cell>
          <cell r="E6366">
            <v>0</v>
          </cell>
          <cell r="F6366">
            <v>0</v>
          </cell>
          <cell r="G6366">
            <v>0</v>
          </cell>
        </row>
        <row r="6367">
          <cell r="A6367" t="str">
            <v>55-02-34-0006</v>
          </cell>
          <cell r="B6367">
            <v>0</v>
          </cell>
          <cell r="C6367" t="str">
            <v xml:space="preserve">  IMRAN TEXTILE</v>
          </cell>
          <cell r="D6367">
            <v>0</v>
          </cell>
          <cell r="E6367">
            <v>0</v>
          </cell>
          <cell r="F6367">
            <v>0</v>
          </cell>
          <cell r="G6367">
            <v>0</v>
          </cell>
        </row>
        <row r="6368">
          <cell r="A6368" t="str">
            <v>55-02-34-0007</v>
          </cell>
          <cell r="B6368">
            <v>0</v>
          </cell>
          <cell r="C6368" t="str">
            <v xml:space="preserve">  KAMAL SPINNING MILLS</v>
          </cell>
          <cell r="D6368">
            <v>0</v>
          </cell>
          <cell r="E6368">
            <v>0</v>
          </cell>
          <cell r="F6368">
            <v>0</v>
          </cell>
          <cell r="G6368">
            <v>0</v>
          </cell>
        </row>
        <row r="6369">
          <cell r="A6369" t="str">
            <v>55-02-34-0008</v>
          </cell>
          <cell r="B6369">
            <v>0</v>
          </cell>
          <cell r="C6369" t="str">
            <v xml:space="preserve">  LEATHER TEX GLOVING (PVT) LTD.</v>
          </cell>
          <cell r="D6369">
            <v>0</v>
          </cell>
          <cell r="E6369">
            <v>0</v>
          </cell>
          <cell r="F6369">
            <v>0</v>
          </cell>
          <cell r="G6369">
            <v>0</v>
          </cell>
        </row>
        <row r="6370">
          <cell r="A6370" t="str">
            <v>55-02-34-0009</v>
          </cell>
          <cell r="B6370">
            <v>0</v>
          </cell>
          <cell r="C6370" t="str">
            <v xml:space="preserve">  Z.A. INTERNATIONAL</v>
          </cell>
          <cell r="D6370">
            <v>0</v>
          </cell>
          <cell r="E6370">
            <v>0</v>
          </cell>
          <cell r="F6370">
            <v>0</v>
          </cell>
          <cell r="G6370">
            <v>0</v>
          </cell>
        </row>
        <row r="6371">
          <cell r="A6371" t="str">
            <v>55-02-34-0010</v>
          </cell>
          <cell r="B6371">
            <v>0</v>
          </cell>
          <cell r="C6371" t="str">
            <v xml:space="preserve">  RUSTAM WEAVING FACTORY</v>
          </cell>
          <cell r="D6371">
            <v>0</v>
          </cell>
          <cell r="E6371">
            <v>0</v>
          </cell>
          <cell r="F6371">
            <v>0</v>
          </cell>
          <cell r="G6371">
            <v>0</v>
          </cell>
        </row>
        <row r="6372">
          <cell r="A6372" t="str">
            <v>55-02-34-0012</v>
          </cell>
          <cell r="B6372">
            <v>0</v>
          </cell>
          <cell r="C6372" t="str">
            <v xml:space="preserve">  ARZOO TEXTILE MILLS LTD.</v>
          </cell>
          <cell r="D6372">
            <v>0</v>
          </cell>
          <cell r="E6372">
            <v>0</v>
          </cell>
          <cell r="F6372">
            <v>0</v>
          </cell>
          <cell r="G6372">
            <v>0</v>
          </cell>
        </row>
        <row r="6373">
          <cell r="A6373" t="str">
            <v>55-02-34-0013</v>
          </cell>
          <cell r="B6373">
            <v>0</v>
          </cell>
          <cell r="C6373" t="str">
            <v xml:space="preserve">  BISMILLAH TEXTILES PVT LTD.</v>
          </cell>
          <cell r="D6373">
            <v>0</v>
          </cell>
          <cell r="E6373">
            <v>0</v>
          </cell>
          <cell r="F6373">
            <v>0</v>
          </cell>
          <cell r="G6373">
            <v>0</v>
          </cell>
        </row>
        <row r="6374">
          <cell r="A6374" t="str">
            <v>55-02-34-0014</v>
          </cell>
          <cell r="B6374">
            <v>0</v>
          </cell>
          <cell r="C6374" t="str">
            <v xml:space="preserve">  HIFTON PVT LTD.</v>
          </cell>
          <cell r="D6374">
            <v>0</v>
          </cell>
          <cell r="E6374">
            <v>0</v>
          </cell>
          <cell r="F6374">
            <v>0</v>
          </cell>
          <cell r="G6374">
            <v>0</v>
          </cell>
        </row>
        <row r="6375">
          <cell r="A6375" t="str">
            <v>55-02-34-0015</v>
          </cell>
          <cell r="B6375">
            <v>0</v>
          </cell>
          <cell r="C6375" t="str">
            <v xml:space="preserve">  HAJI AHMED HAJI UMAR JI &amp; CO.</v>
          </cell>
          <cell r="D6375">
            <v>0</v>
          </cell>
          <cell r="E6375">
            <v>0</v>
          </cell>
          <cell r="F6375">
            <v>0</v>
          </cell>
          <cell r="G6375">
            <v>0</v>
          </cell>
        </row>
        <row r="6376">
          <cell r="A6376" t="str">
            <v>55-02-34-0016</v>
          </cell>
          <cell r="B6376">
            <v>0</v>
          </cell>
          <cell r="C6376" t="str">
            <v xml:space="preserve">  H.M.S TENT TEXTILE INDUSTRY</v>
          </cell>
          <cell r="D6376">
            <v>0</v>
          </cell>
          <cell r="E6376">
            <v>0</v>
          </cell>
          <cell r="F6376">
            <v>0</v>
          </cell>
          <cell r="G6376">
            <v>0</v>
          </cell>
        </row>
        <row r="6377">
          <cell r="A6377" t="str">
            <v>55-02-34-0017</v>
          </cell>
          <cell r="B6377">
            <v>0</v>
          </cell>
          <cell r="C6377" t="str">
            <v xml:space="preserve">  MUSKZAR KNITWEAR (PVT) LTD</v>
          </cell>
          <cell r="D6377">
            <v>0</v>
          </cell>
          <cell r="E6377">
            <v>0</v>
          </cell>
          <cell r="F6377">
            <v>0</v>
          </cell>
          <cell r="G6377">
            <v>0</v>
          </cell>
        </row>
        <row r="6378">
          <cell r="A6378" t="str">
            <v>55-02-34-0018</v>
          </cell>
          <cell r="B6378">
            <v>0</v>
          </cell>
          <cell r="C6378" t="str">
            <v xml:space="preserve">  MUHAMMED AFZAL.</v>
          </cell>
          <cell r="D6378">
            <v>0</v>
          </cell>
          <cell r="E6378">
            <v>0</v>
          </cell>
          <cell r="F6378">
            <v>0</v>
          </cell>
          <cell r="G6378">
            <v>0</v>
          </cell>
        </row>
        <row r="6379">
          <cell r="A6379" t="str">
            <v>55-02-34-0019</v>
          </cell>
          <cell r="B6379">
            <v>0</v>
          </cell>
          <cell r="C6379" t="str">
            <v xml:space="preserve">  ATIF MEHMOOD.</v>
          </cell>
          <cell r="D6379">
            <v>0</v>
          </cell>
          <cell r="E6379">
            <v>0</v>
          </cell>
          <cell r="F6379">
            <v>0</v>
          </cell>
          <cell r="G6379">
            <v>0</v>
          </cell>
        </row>
        <row r="6380">
          <cell r="A6380" t="str">
            <v>55-02-34-0020</v>
          </cell>
          <cell r="B6380">
            <v>0</v>
          </cell>
          <cell r="C6380" t="str">
            <v xml:space="preserve">  FAHAT TEXTILE</v>
          </cell>
          <cell r="D6380">
            <v>0</v>
          </cell>
          <cell r="E6380">
            <v>0</v>
          </cell>
          <cell r="F6380">
            <v>0</v>
          </cell>
          <cell r="G6380">
            <v>0</v>
          </cell>
        </row>
        <row r="6381">
          <cell r="A6381" t="str">
            <v>55-02-34-0021</v>
          </cell>
          <cell r="B6381">
            <v>0</v>
          </cell>
          <cell r="C6381" t="str">
            <v xml:space="preserve">  ALI MUHAMMED.</v>
          </cell>
          <cell r="D6381">
            <v>0</v>
          </cell>
          <cell r="E6381">
            <v>0</v>
          </cell>
          <cell r="F6381">
            <v>0</v>
          </cell>
          <cell r="G6381">
            <v>0</v>
          </cell>
        </row>
        <row r="6382">
          <cell r="A6382" t="str">
            <v>55-02-34-0022</v>
          </cell>
          <cell r="B6382">
            <v>0</v>
          </cell>
          <cell r="C6382" t="str">
            <v xml:space="preserve">  MUHAMMED AMIN.</v>
          </cell>
          <cell r="D6382">
            <v>0</v>
          </cell>
          <cell r="E6382">
            <v>0</v>
          </cell>
          <cell r="F6382">
            <v>0</v>
          </cell>
          <cell r="G6382">
            <v>0</v>
          </cell>
        </row>
        <row r="6383">
          <cell r="A6383" t="str">
            <v>55-02-34-0023</v>
          </cell>
          <cell r="B6383">
            <v>0</v>
          </cell>
          <cell r="C6383" t="str">
            <v xml:space="preserve">  SAJID ALI.</v>
          </cell>
          <cell r="D6383">
            <v>0</v>
          </cell>
          <cell r="E6383">
            <v>0</v>
          </cell>
          <cell r="F6383">
            <v>0</v>
          </cell>
          <cell r="G6383">
            <v>0</v>
          </cell>
        </row>
        <row r="6384">
          <cell r="A6384" t="str">
            <v>55-02-34-0024</v>
          </cell>
          <cell r="B6384">
            <v>0</v>
          </cell>
          <cell r="C6384" t="str">
            <v xml:space="preserve">  NISHAT IMPEX</v>
          </cell>
          <cell r="D6384">
            <v>0</v>
          </cell>
          <cell r="E6384">
            <v>0</v>
          </cell>
          <cell r="F6384">
            <v>0</v>
          </cell>
          <cell r="G6384">
            <v>0</v>
          </cell>
        </row>
        <row r="6385">
          <cell r="A6385" t="str">
            <v>55-02-34-0025</v>
          </cell>
          <cell r="B6385">
            <v>0</v>
          </cell>
          <cell r="C6385" t="str">
            <v xml:space="preserve">  ASHFAQ AHMED</v>
          </cell>
          <cell r="D6385">
            <v>0</v>
          </cell>
          <cell r="E6385">
            <v>0</v>
          </cell>
          <cell r="F6385">
            <v>0</v>
          </cell>
          <cell r="G6385">
            <v>0</v>
          </cell>
        </row>
        <row r="6386">
          <cell r="A6386" t="str">
            <v>55-02-34-0026</v>
          </cell>
          <cell r="B6386">
            <v>0</v>
          </cell>
          <cell r="C6386" t="str">
            <v xml:space="preserve">  SHEHZAD GLOVES MEG &amp; CO.</v>
          </cell>
          <cell r="D6386">
            <v>0</v>
          </cell>
          <cell r="E6386">
            <v>0</v>
          </cell>
          <cell r="F6386">
            <v>0</v>
          </cell>
          <cell r="G6386">
            <v>0</v>
          </cell>
        </row>
        <row r="6387">
          <cell r="A6387" t="str">
            <v>55-02-34-0027</v>
          </cell>
          <cell r="B6387">
            <v>0</v>
          </cell>
          <cell r="C6387" t="str">
            <v xml:space="preserve">  SUPER GLOVES INDUSTRIES</v>
          </cell>
          <cell r="D6387">
            <v>0</v>
          </cell>
          <cell r="E6387">
            <v>0</v>
          </cell>
          <cell r="F6387">
            <v>0</v>
          </cell>
          <cell r="G6387">
            <v>0</v>
          </cell>
        </row>
        <row r="6388">
          <cell r="A6388" t="str">
            <v>55-02-34-0028</v>
          </cell>
          <cell r="B6388">
            <v>0</v>
          </cell>
          <cell r="C6388" t="str">
            <v xml:space="preserve">  ATTARA TARPULINE</v>
          </cell>
          <cell r="D6388">
            <v>0</v>
          </cell>
          <cell r="E6388">
            <v>0</v>
          </cell>
          <cell r="F6388">
            <v>0</v>
          </cell>
          <cell r="G6388">
            <v>0</v>
          </cell>
        </row>
        <row r="6389">
          <cell r="A6389" t="str">
            <v>55-02-34-0029</v>
          </cell>
          <cell r="B6389">
            <v>0</v>
          </cell>
          <cell r="C6389" t="str">
            <v xml:space="preserve">  RAUF TEXTILE</v>
          </cell>
          <cell r="D6389">
            <v>0</v>
          </cell>
          <cell r="E6389">
            <v>0</v>
          </cell>
          <cell r="F6389">
            <v>0</v>
          </cell>
          <cell r="G6389">
            <v>0</v>
          </cell>
        </row>
        <row r="6390">
          <cell r="A6390" t="str">
            <v>55-02-34-0030</v>
          </cell>
          <cell r="B6390">
            <v>0</v>
          </cell>
          <cell r="C6390" t="str">
            <v xml:space="preserve">  SAAQIB FEBRICS</v>
          </cell>
          <cell r="D6390">
            <v>0</v>
          </cell>
          <cell r="E6390">
            <v>0</v>
          </cell>
          <cell r="F6390">
            <v>0</v>
          </cell>
          <cell r="G6390">
            <v>0</v>
          </cell>
        </row>
        <row r="6391">
          <cell r="A6391" t="str">
            <v>55-02-34-0031</v>
          </cell>
          <cell r="B6391">
            <v>0</v>
          </cell>
          <cell r="C6391" t="str">
            <v xml:space="preserve">  I.F.C. ENTERPRISES</v>
          </cell>
          <cell r="D6391">
            <v>0</v>
          </cell>
          <cell r="E6391">
            <v>0</v>
          </cell>
          <cell r="F6391">
            <v>0</v>
          </cell>
          <cell r="G6391">
            <v>0</v>
          </cell>
        </row>
        <row r="6392">
          <cell r="A6392" t="str">
            <v>55-02-34-0032</v>
          </cell>
          <cell r="B6392">
            <v>0</v>
          </cell>
          <cell r="C6392" t="str">
            <v xml:space="preserve">  FINE GLOVES INDUSTRIES</v>
          </cell>
          <cell r="D6392">
            <v>0</v>
          </cell>
          <cell r="E6392">
            <v>0</v>
          </cell>
          <cell r="F6392">
            <v>0</v>
          </cell>
          <cell r="G6392">
            <v>0</v>
          </cell>
        </row>
        <row r="6393">
          <cell r="A6393" t="str">
            <v>55-02-34-0033</v>
          </cell>
          <cell r="B6393">
            <v>0</v>
          </cell>
          <cell r="C6393" t="str">
            <v xml:space="preserve">  SONI TEX GLOVES INDUSTRIES</v>
          </cell>
          <cell r="D6393">
            <v>0</v>
          </cell>
          <cell r="E6393">
            <v>0</v>
          </cell>
          <cell r="F6393">
            <v>0</v>
          </cell>
          <cell r="G6393">
            <v>0</v>
          </cell>
        </row>
        <row r="6394">
          <cell r="A6394" t="str">
            <v>55-02-34-0035</v>
          </cell>
          <cell r="B6394">
            <v>0</v>
          </cell>
          <cell r="C6394" t="str">
            <v xml:space="preserve">  CHAUDHRY FASHION</v>
          </cell>
          <cell r="D6394">
            <v>0</v>
          </cell>
          <cell r="E6394">
            <v>0</v>
          </cell>
          <cell r="F6394">
            <v>0</v>
          </cell>
          <cell r="G6394">
            <v>0</v>
          </cell>
        </row>
        <row r="6395">
          <cell r="A6395" t="str">
            <v>55-02-34-0036</v>
          </cell>
          <cell r="B6395">
            <v>0</v>
          </cell>
          <cell r="C6395" t="str">
            <v xml:space="preserve">  CHAUDHRY HOSIERY</v>
          </cell>
          <cell r="D6395">
            <v>0</v>
          </cell>
          <cell r="E6395">
            <v>0</v>
          </cell>
          <cell r="F6395">
            <v>0</v>
          </cell>
          <cell r="G6395">
            <v>0</v>
          </cell>
        </row>
        <row r="6396">
          <cell r="A6396" t="str">
            <v>55-02-34-0037</v>
          </cell>
          <cell r="B6396">
            <v>0</v>
          </cell>
          <cell r="C6396" t="str">
            <v xml:space="preserve">  ANWAR KHAN</v>
          </cell>
          <cell r="D6396">
            <v>0</v>
          </cell>
          <cell r="E6396">
            <v>0</v>
          </cell>
          <cell r="F6396">
            <v>0</v>
          </cell>
          <cell r="G6396">
            <v>0</v>
          </cell>
        </row>
        <row r="6397">
          <cell r="A6397" t="str">
            <v>55-02-34-0038</v>
          </cell>
          <cell r="B6397">
            <v>0</v>
          </cell>
          <cell r="C6397" t="str">
            <v xml:space="preserve">  NADIA TEXTILE INTERNATIONAL (PVT) LTD.</v>
          </cell>
          <cell r="D6397">
            <v>0</v>
          </cell>
          <cell r="E6397">
            <v>0</v>
          </cell>
          <cell r="F6397">
            <v>0</v>
          </cell>
          <cell r="G6397">
            <v>0</v>
          </cell>
        </row>
        <row r="6398">
          <cell r="A6398" t="str">
            <v>55-02-34-0039</v>
          </cell>
          <cell r="B6398">
            <v>0</v>
          </cell>
          <cell r="C6398" t="str">
            <v xml:space="preserve">  AL-MUZILL COTTON</v>
          </cell>
          <cell r="D6398">
            <v>0</v>
          </cell>
          <cell r="E6398">
            <v>0</v>
          </cell>
          <cell r="F6398">
            <v>0</v>
          </cell>
          <cell r="G6398">
            <v>0</v>
          </cell>
        </row>
        <row r="6399">
          <cell r="A6399" t="str">
            <v>55-02-34-0040</v>
          </cell>
          <cell r="B6399">
            <v>0</v>
          </cell>
          <cell r="C6399" t="str">
            <v xml:space="preserve">  ALAM ZEB</v>
          </cell>
          <cell r="D6399">
            <v>0</v>
          </cell>
          <cell r="E6399">
            <v>0</v>
          </cell>
          <cell r="F6399">
            <v>0</v>
          </cell>
          <cell r="G6399">
            <v>0</v>
          </cell>
        </row>
        <row r="6400">
          <cell r="A6400" t="str">
            <v>55-02-34-0041</v>
          </cell>
          <cell r="B6400">
            <v>0</v>
          </cell>
          <cell r="C6400" t="str">
            <v xml:space="preserve">  SAPHHIRE KNITWEAR (PVT) LIMITED</v>
          </cell>
          <cell r="D6400">
            <v>0</v>
          </cell>
          <cell r="E6400">
            <v>0</v>
          </cell>
          <cell r="F6400">
            <v>0</v>
          </cell>
          <cell r="G6400">
            <v>0</v>
          </cell>
        </row>
        <row r="6401">
          <cell r="A6401" t="str">
            <v>55-02-34-0042</v>
          </cell>
          <cell r="B6401">
            <v>0</v>
          </cell>
          <cell r="C6401" t="str">
            <v xml:space="preserve">  TARIQ APPARELS INTERNATIONAL (PVT) LTD</v>
          </cell>
          <cell r="D6401">
            <v>0</v>
          </cell>
          <cell r="E6401">
            <v>0</v>
          </cell>
          <cell r="F6401">
            <v>0</v>
          </cell>
          <cell r="G6401">
            <v>0</v>
          </cell>
        </row>
        <row r="6402">
          <cell r="A6402" t="str">
            <v>55-02-34-0043</v>
          </cell>
          <cell r="B6402">
            <v>0</v>
          </cell>
          <cell r="C6402" t="str">
            <v xml:space="preserve">  STAR APPARELS INTERNATIONAL</v>
          </cell>
          <cell r="D6402">
            <v>0</v>
          </cell>
          <cell r="E6402">
            <v>0</v>
          </cell>
          <cell r="F6402">
            <v>0</v>
          </cell>
          <cell r="G6402">
            <v>0</v>
          </cell>
        </row>
        <row r="6403">
          <cell r="A6403" t="str">
            <v>55-02-34-0044</v>
          </cell>
          <cell r="B6403">
            <v>0</v>
          </cell>
          <cell r="C6403" t="str">
            <v xml:space="preserve">  USMAN TEXTILES</v>
          </cell>
          <cell r="D6403">
            <v>0</v>
          </cell>
          <cell r="E6403">
            <v>0</v>
          </cell>
          <cell r="F6403">
            <v>0</v>
          </cell>
          <cell r="G6403">
            <v>0</v>
          </cell>
        </row>
        <row r="6404">
          <cell r="A6404" t="str">
            <v>55-02-34-0045</v>
          </cell>
          <cell r="B6404">
            <v>0</v>
          </cell>
          <cell r="C6404" t="str">
            <v xml:space="preserve">  A.T.TEXTILE</v>
          </cell>
          <cell r="D6404">
            <v>0</v>
          </cell>
          <cell r="E6404">
            <v>0</v>
          </cell>
          <cell r="F6404">
            <v>0</v>
          </cell>
          <cell r="G6404">
            <v>0</v>
          </cell>
        </row>
        <row r="6405">
          <cell r="A6405" t="str">
            <v>55-02-34-0046</v>
          </cell>
          <cell r="B6405">
            <v>0</v>
          </cell>
          <cell r="C6405" t="str">
            <v xml:space="preserve">  UNION INTERNATIONAL</v>
          </cell>
          <cell r="D6405">
            <v>0</v>
          </cell>
          <cell r="E6405">
            <v>0</v>
          </cell>
          <cell r="F6405">
            <v>0</v>
          </cell>
          <cell r="G6405">
            <v>0</v>
          </cell>
        </row>
        <row r="6406">
          <cell r="A6406" t="str">
            <v>55-02-34-0047</v>
          </cell>
          <cell r="B6406">
            <v>0</v>
          </cell>
          <cell r="C6406" t="str">
            <v xml:space="preserve">  TREND LINE INTERNATIONAL (PVT) LIMITED</v>
          </cell>
          <cell r="D6406">
            <v>0</v>
          </cell>
          <cell r="E6406">
            <v>0</v>
          </cell>
          <cell r="F6406">
            <v>0</v>
          </cell>
          <cell r="G6406">
            <v>0</v>
          </cell>
        </row>
        <row r="6407">
          <cell r="A6407" t="str">
            <v>55-02-34-0048</v>
          </cell>
          <cell r="B6407">
            <v>0</v>
          </cell>
          <cell r="C6407" t="str">
            <v xml:space="preserve">  JEMNI GARMENTS</v>
          </cell>
          <cell r="D6407">
            <v>0</v>
          </cell>
          <cell r="E6407">
            <v>0</v>
          </cell>
          <cell r="F6407">
            <v>0</v>
          </cell>
          <cell r="G6407">
            <v>0</v>
          </cell>
        </row>
        <row r="6408">
          <cell r="A6408" t="str">
            <v>55-02-34-0049</v>
          </cell>
          <cell r="B6408">
            <v>0</v>
          </cell>
          <cell r="C6408" t="str">
            <v xml:space="preserve">  KHAN ENTERPRISES</v>
          </cell>
          <cell r="D6408">
            <v>0</v>
          </cell>
          <cell r="E6408">
            <v>0</v>
          </cell>
          <cell r="F6408">
            <v>0</v>
          </cell>
          <cell r="G6408">
            <v>0</v>
          </cell>
        </row>
        <row r="6409">
          <cell r="A6409" t="str">
            <v>55-02-34-0050</v>
          </cell>
          <cell r="B6409">
            <v>0</v>
          </cell>
          <cell r="C6409" t="str">
            <v xml:space="preserve">  SONO TRADING COMPANY</v>
          </cell>
          <cell r="D6409">
            <v>0</v>
          </cell>
          <cell r="E6409">
            <v>0</v>
          </cell>
          <cell r="F6409">
            <v>0</v>
          </cell>
          <cell r="G6409">
            <v>0</v>
          </cell>
        </row>
        <row r="6410">
          <cell r="A6410" t="str">
            <v>55-02-34-0051</v>
          </cell>
          <cell r="B6410">
            <v>0</v>
          </cell>
          <cell r="C6410" t="str">
            <v xml:space="preserve">  NAVEED COTTON TEX</v>
          </cell>
          <cell r="D6410">
            <v>0</v>
          </cell>
          <cell r="E6410">
            <v>0</v>
          </cell>
          <cell r="F6410">
            <v>0</v>
          </cell>
          <cell r="G6410">
            <v>0</v>
          </cell>
        </row>
        <row r="6411">
          <cell r="A6411" t="str">
            <v>55-02-34-0052</v>
          </cell>
          <cell r="B6411">
            <v>0</v>
          </cell>
          <cell r="C6411" t="str">
            <v xml:space="preserve">  NAFEES APPARELS INTERNATIONAL</v>
          </cell>
          <cell r="D6411">
            <v>0</v>
          </cell>
          <cell r="E6411">
            <v>0</v>
          </cell>
          <cell r="F6411">
            <v>0</v>
          </cell>
          <cell r="G6411">
            <v>0</v>
          </cell>
        </row>
        <row r="6412">
          <cell r="A6412" t="str">
            <v>55-02-34-0053</v>
          </cell>
          <cell r="B6412">
            <v>0</v>
          </cell>
          <cell r="C6412" t="str">
            <v xml:space="preserve">  AYISHA COTTON</v>
          </cell>
          <cell r="D6412">
            <v>0</v>
          </cell>
          <cell r="E6412">
            <v>0</v>
          </cell>
          <cell r="F6412">
            <v>0</v>
          </cell>
          <cell r="G6412">
            <v>0</v>
          </cell>
        </row>
        <row r="6413">
          <cell r="A6413" t="str">
            <v>55-02-34-0054</v>
          </cell>
          <cell r="B6413">
            <v>0</v>
          </cell>
          <cell r="C6413" t="str">
            <v xml:space="preserve">  DECO GARS</v>
          </cell>
          <cell r="D6413">
            <v>0</v>
          </cell>
          <cell r="E6413">
            <v>0</v>
          </cell>
          <cell r="F6413">
            <v>0</v>
          </cell>
          <cell r="G6413">
            <v>0</v>
          </cell>
        </row>
        <row r="6414">
          <cell r="A6414" t="str">
            <v>55-02-34-0055</v>
          </cell>
          <cell r="B6414">
            <v>0</v>
          </cell>
          <cell r="C6414" t="str">
            <v xml:space="preserve">  WAHDAT TEXTILE (PVT) LIMITED</v>
          </cell>
          <cell r="D6414">
            <v>0</v>
          </cell>
          <cell r="E6414">
            <v>0</v>
          </cell>
          <cell r="F6414">
            <v>0</v>
          </cell>
          <cell r="G6414">
            <v>0</v>
          </cell>
        </row>
        <row r="6415">
          <cell r="A6415" t="str">
            <v>55-02-34-0056</v>
          </cell>
          <cell r="B6415">
            <v>0</v>
          </cell>
          <cell r="C6415" t="str">
            <v xml:space="preserve">  R.A. TEX</v>
          </cell>
          <cell r="D6415">
            <v>0</v>
          </cell>
          <cell r="E6415">
            <v>0</v>
          </cell>
          <cell r="F6415">
            <v>0</v>
          </cell>
          <cell r="G6415">
            <v>0</v>
          </cell>
        </row>
        <row r="6416">
          <cell r="A6416" t="str">
            <v>55-02-34-0057</v>
          </cell>
          <cell r="B6416">
            <v>0</v>
          </cell>
          <cell r="C6416" t="str">
            <v xml:space="preserve">  MEHAK TEXTILE  (PVT) LIMITED</v>
          </cell>
          <cell r="D6416">
            <v>0</v>
          </cell>
          <cell r="E6416">
            <v>0</v>
          </cell>
          <cell r="F6416">
            <v>0</v>
          </cell>
          <cell r="G6416">
            <v>0</v>
          </cell>
        </row>
        <row r="6417">
          <cell r="A6417" t="str">
            <v>55-02-34-0058</v>
          </cell>
          <cell r="B6417">
            <v>0</v>
          </cell>
          <cell r="C6417" t="str">
            <v xml:space="preserve">  WEAVE TEX INTERNATIONAL</v>
          </cell>
          <cell r="D6417">
            <v>0</v>
          </cell>
          <cell r="E6417">
            <v>0</v>
          </cell>
          <cell r="F6417">
            <v>0</v>
          </cell>
          <cell r="G6417">
            <v>0</v>
          </cell>
        </row>
        <row r="6418">
          <cell r="A6418" t="str">
            <v>55-02-34-0059</v>
          </cell>
          <cell r="B6418">
            <v>0</v>
          </cell>
          <cell r="C6418" t="str">
            <v xml:space="preserve">  MUHAMMAD IRFAN</v>
          </cell>
          <cell r="D6418">
            <v>0</v>
          </cell>
          <cell r="E6418">
            <v>0</v>
          </cell>
          <cell r="F6418">
            <v>0</v>
          </cell>
          <cell r="G6418">
            <v>0</v>
          </cell>
        </row>
        <row r="6419">
          <cell r="A6419" t="str">
            <v>55-02-34-0060</v>
          </cell>
          <cell r="B6419">
            <v>0</v>
          </cell>
          <cell r="C6419" t="str">
            <v xml:space="preserve">  NOMAN ALI</v>
          </cell>
          <cell r="D6419">
            <v>0</v>
          </cell>
          <cell r="E6419">
            <v>0</v>
          </cell>
          <cell r="F6419">
            <v>0</v>
          </cell>
          <cell r="G6419">
            <v>0</v>
          </cell>
        </row>
        <row r="6420">
          <cell r="A6420" t="str">
            <v>55-02-34-0061</v>
          </cell>
          <cell r="B6420">
            <v>0</v>
          </cell>
          <cell r="C6420" t="str">
            <v xml:space="preserve">  AUGUST TEXTILE COMMUNION</v>
          </cell>
          <cell r="D6420">
            <v>0</v>
          </cell>
          <cell r="E6420">
            <v>0</v>
          </cell>
          <cell r="F6420">
            <v>0</v>
          </cell>
          <cell r="G6420">
            <v>0</v>
          </cell>
        </row>
        <row r="6421">
          <cell r="A6421" t="str">
            <v>55-02-34-0062</v>
          </cell>
          <cell r="B6421">
            <v>0</v>
          </cell>
          <cell r="C6421" t="str">
            <v xml:space="preserve">  KHAWAJA TRADERS</v>
          </cell>
          <cell r="D6421">
            <v>0</v>
          </cell>
          <cell r="E6421">
            <v>0</v>
          </cell>
          <cell r="F6421">
            <v>0</v>
          </cell>
          <cell r="G6421">
            <v>0</v>
          </cell>
        </row>
        <row r="6422">
          <cell r="A6422" t="str">
            <v>55-02-34-0063</v>
          </cell>
          <cell r="B6422">
            <v>0</v>
          </cell>
          <cell r="C6422" t="str">
            <v xml:space="preserve">  HUMA GARMENTS</v>
          </cell>
          <cell r="D6422">
            <v>0</v>
          </cell>
          <cell r="E6422">
            <v>0</v>
          </cell>
          <cell r="F6422">
            <v>0</v>
          </cell>
          <cell r="G6422">
            <v>0</v>
          </cell>
        </row>
        <row r="6423">
          <cell r="A6423" t="str">
            <v>55-02-34-0064</v>
          </cell>
          <cell r="B6423">
            <v>0</v>
          </cell>
          <cell r="C6423" t="str">
            <v xml:space="preserve">  MUNIR GARMENTS</v>
          </cell>
          <cell r="D6423">
            <v>0</v>
          </cell>
          <cell r="E6423">
            <v>0</v>
          </cell>
          <cell r="F6423">
            <v>0</v>
          </cell>
          <cell r="G6423">
            <v>0</v>
          </cell>
        </row>
        <row r="6424">
          <cell r="A6424" t="str">
            <v>55-02-34-0065</v>
          </cell>
          <cell r="B6424">
            <v>0</v>
          </cell>
          <cell r="C6424" t="str">
            <v xml:space="preserve">  KAMRAN INTERNATIONAL CORPORATION</v>
          </cell>
          <cell r="D6424">
            <v>0</v>
          </cell>
          <cell r="E6424">
            <v>0</v>
          </cell>
          <cell r="F6424">
            <v>0</v>
          </cell>
          <cell r="G6424">
            <v>0</v>
          </cell>
        </row>
        <row r="6425">
          <cell r="A6425" t="str">
            <v>55-02-34-0066</v>
          </cell>
          <cell r="B6425">
            <v>0</v>
          </cell>
          <cell r="C6425" t="str">
            <v xml:space="preserve">  VGA CLOTHINGS</v>
          </cell>
          <cell r="D6425">
            <v>0</v>
          </cell>
          <cell r="E6425">
            <v>0</v>
          </cell>
          <cell r="F6425">
            <v>0</v>
          </cell>
          <cell r="G6425">
            <v>0</v>
          </cell>
        </row>
        <row r="6426">
          <cell r="A6426" t="str">
            <v>55-02-34-0067</v>
          </cell>
          <cell r="B6426">
            <v>0</v>
          </cell>
          <cell r="C6426" t="str">
            <v xml:space="preserve">  SAPPHIRE KNITWEAR (PVT) LTD</v>
          </cell>
          <cell r="D6426">
            <v>0</v>
          </cell>
          <cell r="E6426">
            <v>0</v>
          </cell>
          <cell r="F6426">
            <v>0</v>
          </cell>
          <cell r="G6426">
            <v>0</v>
          </cell>
        </row>
        <row r="6427">
          <cell r="A6427" t="str">
            <v>55-02-34-0068</v>
          </cell>
          <cell r="B6427">
            <v>0</v>
          </cell>
          <cell r="C6427" t="str">
            <v xml:space="preserve">  AKBAR KHAN &amp; COMPANY</v>
          </cell>
          <cell r="D6427">
            <v>0</v>
          </cell>
          <cell r="E6427">
            <v>0</v>
          </cell>
          <cell r="F6427">
            <v>0</v>
          </cell>
          <cell r="G6427">
            <v>0</v>
          </cell>
        </row>
        <row r="6428">
          <cell r="A6428" t="str">
            <v>55-02-34-0069</v>
          </cell>
          <cell r="B6428">
            <v>0</v>
          </cell>
          <cell r="C6428" t="str">
            <v xml:space="preserve">  ELEGANZE (PVT) LIMITED</v>
          </cell>
          <cell r="D6428">
            <v>0</v>
          </cell>
          <cell r="E6428">
            <v>0</v>
          </cell>
          <cell r="F6428">
            <v>0</v>
          </cell>
          <cell r="G6428">
            <v>0</v>
          </cell>
        </row>
        <row r="6429">
          <cell r="A6429" t="str">
            <v>55-02-34-0070</v>
          </cell>
          <cell r="B6429">
            <v>0</v>
          </cell>
          <cell r="C6429" t="str">
            <v xml:space="preserve">  SALEEM FABRICS</v>
          </cell>
          <cell r="D6429">
            <v>0</v>
          </cell>
          <cell r="E6429">
            <v>0</v>
          </cell>
          <cell r="F6429">
            <v>0</v>
          </cell>
          <cell r="G6429">
            <v>0</v>
          </cell>
        </row>
        <row r="6430">
          <cell r="A6430" t="str">
            <v>55-02-34-0071</v>
          </cell>
          <cell r="B6430">
            <v>0</v>
          </cell>
          <cell r="C6430" t="str">
            <v xml:space="preserve">  PREMIER CLOTHINGS</v>
          </cell>
          <cell r="D6430">
            <v>0</v>
          </cell>
          <cell r="E6430">
            <v>0</v>
          </cell>
          <cell r="F6430">
            <v>0</v>
          </cell>
          <cell r="G6430">
            <v>0</v>
          </cell>
        </row>
        <row r="6431">
          <cell r="A6431" t="str">
            <v>55-02-34-0072</v>
          </cell>
          <cell r="B6431">
            <v>0</v>
          </cell>
          <cell r="C6431" t="str">
            <v xml:space="preserve">  SKY TEX LIMITS</v>
          </cell>
          <cell r="D6431">
            <v>0</v>
          </cell>
          <cell r="E6431">
            <v>0</v>
          </cell>
          <cell r="F6431">
            <v>0</v>
          </cell>
          <cell r="G6431">
            <v>0</v>
          </cell>
        </row>
        <row r="6432">
          <cell r="A6432" t="str">
            <v>55-02-34-0073</v>
          </cell>
          <cell r="B6432">
            <v>0</v>
          </cell>
          <cell r="C6432" t="str">
            <v xml:space="preserve">  KINGS TEXTILE</v>
          </cell>
          <cell r="D6432">
            <v>0</v>
          </cell>
          <cell r="E6432">
            <v>0</v>
          </cell>
          <cell r="F6432">
            <v>0</v>
          </cell>
          <cell r="G6432">
            <v>0</v>
          </cell>
        </row>
        <row r="6433">
          <cell r="A6433" t="str">
            <v>55-02-34-0074</v>
          </cell>
          <cell r="B6433">
            <v>0</v>
          </cell>
          <cell r="C6433" t="str">
            <v xml:space="preserve">  FATTEH TEXTILE MILLS LIMITED</v>
          </cell>
          <cell r="D6433">
            <v>0</v>
          </cell>
          <cell r="E6433">
            <v>0</v>
          </cell>
          <cell r="F6433">
            <v>0</v>
          </cell>
          <cell r="G6433">
            <v>0</v>
          </cell>
        </row>
        <row r="6434">
          <cell r="A6434" t="str">
            <v>55-02-34-0075</v>
          </cell>
          <cell r="B6434">
            <v>0</v>
          </cell>
          <cell r="C6434" t="str">
            <v xml:space="preserve">  MUHAMMAD IMRAN</v>
          </cell>
          <cell r="D6434">
            <v>0</v>
          </cell>
          <cell r="E6434">
            <v>0</v>
          </cell>
          <cell r="F6434">
            <v>0</v>
          </cell>
          <cell r="G6434">
            <v>0</v>
          </cell>
        </row>
        <row r="6435">
          <cell r="A6435" t="str">
            <v>55-02-34-0076</v>
          </cell>
          <cell r="B6435">
            <v>0</v>
          </cell>
          <cell r="C6435" t="str">
            <v xml:space="preserve">  SAJID MEHMOOD</v>
          </cell>
          <cell r="D6435">
            <v>0</v>
          </cell>
          <cell r="E6435">
            <v>0</v>
          </cell>
          <cell r="F6435">
            <v>0</v>
          </cell>
          <cell r="G6435">
            <v>0</v>
          </cell>
        </row>
        <row r="6436">
          <cell r="A6436" t="str">
            <v>55-02-34-0077</v>
          </cell>
          <cell r="B6436">
            <v>0</v>
          </cell>
          <cell r="C6436" t="str">
            <v xml:space="preserve">  RANA TEXTILE</v>
          </cell>
          <cell r="D6436">
            <v>0</v>
          </cell>
          <cell r="E6436">
            <v>0</v>
          </cell>
          <cell r="F6436">
            <v>0</v>
          </cell>
          <cell r="G6436">
            <v>0</v>
          </cell>
        </row>
        <row r="6437">
          <cell r="A6437" t="str">
            <v>55-02-34-0078</v>
          </cell>
          <cell r="B6437">
            <v>0</v>
          </cell>
          <cell r="C6437" t="str">
            <v xml:space="preserve">  HABIB SOOT STORE</v>
          </cell>
          <cell r="D6437">
            <v>0</v>
          </cell>
          <cell r="E6437">
            <v>0</v>
          </cell>
          <cell r="F6437">
            <v>0</v>
          </cell>
          <cell r="G6437">
            <v>0</v>
          </cell>
        </row>
        <row r="6438">
          <cell r="A6438" t="str">
            <v>55-02-34-0079</v>
          </cell>
          <cell r="B6438">
            <v>0</v>
          </cell>
          <cell r="C6438" t="str">
            <v xml:space="preserve">  SHABBIR HOSIERY</v>
          </cell>
          <cell r="D6438">
            <v>0</v>
          </cell>
          <cell r="E6438">
            <v>0</v>
          </cell>
          <cell r="F6438">
            <v>0</v>
          </cell>
          <cell r="G6438">
            <v>0</v>
          </cell>
        </row>
        <row r="6439">
          <cell r="A6439" t="str">
            <v>55-02-34-0080</v>
          </cell>
          <cell r="B6439">
            <v>0</v>
          </cell>
          <cell r="C6439" t="str">
            <v xml:space="preserve">  NEW LIGHT HOSIERY</v>
          </cell>
          <cell r="D6439">
            <v>0</v>
          </cell>
          <cell r="E6439">
            <v>0</v>
          </cell>
          <cell r="F6439">
            <v>0</v>
          </cell>
          <cell r="G6439">
            <v>0</v>
          </cell>
        </row>
        <row r="6440">
          <cell r="A6440" t="str">
            <v>55-02-34-0081</v>
          </cell>
          <cell r="B6440">
            <v>0</v>
          </cell>
          <cell r="C6440" t="str">
            <v xml:space="preserve">  STAR COTTON FAISALABAD.</v>
          </cell>
          <cell r="D6440">
            <v>0</v>
          </cell>
          <cell r="E6440">
            <v>0</v>
          </cell>
          <cell r="F6440">
            <v>0</v>
          </cell>
          <cell r="G6440">
            <v>0</v>
          </cell>
        </row>
        <row r="6441">
          <cell r="A6441" t="str">
            <v>55-02-34-0082</v>
          </cell>
          <cell r="B6441">
            <v>0</v>
          </cell>
          <cell r="C6441" t="str">
            <v xml:space="preserve">  MUHAMMAD SARWAR</v>
          </cell>
          <cell r="D6441">
            <v>0</v>
          </cell>
          <cell r="E6441">
            <v>0</v>
          </cell>
          <cell r="F6441">
            <v>0</v>
          </cell>
          <cell r="G6441">
            <v>0</v>
          </cell>
        </row>
        <row r="6442">
          <cell r="A6442" t="str">
            <v>55-02-34-0083</v>
          </cell>
          <cell r="B6442">
            <v>0</v>
          </cell>
          <cell r="C6442" t="str">
            <v xml:space="preserve">  MUHAMMAD NAEEM</v>
          </cell>
          <cell r="D6442">
            <v>0</v>
          </cell>
          <cell r="E6442">
            <v>0</v>
          </cell>
          <cell r="F6442">
            <v>0</v>
          </cell>
          <cell r="G6442">
            <v>0</v>
          </cell>
        </row>
        <row r="6443">
          <cell r="A6443" t="str">
            <v>55-02-34-0087</v>
          </cell>
          <cell r="B6443">
            <v>0</v>
          </cell>
          <cell r="C6443" t="str">
            <v xml:space="preserve">  PUNJAB COTTON WASTE FACTORY</v>
          </cell>
          <cell r="D6443">
            <v>0</v>
          </cell>
          <cell r="E6443">
            <v>0</v>
          </cell>
          <cell r="F6443">
            <v>0</v>
          </cell>
          <cell r="G6443">
            <v>0</v>
          </cell>
        </row>
        <row r="6444">
          <cell r="A6444" t="str">
            <v>55-02-34-0088</v>
          </cell>
          <cell r="B6444">
            <v>0</v>
          </cell>
          <cell r="C6444" t="str">
            <v xml:space="preserve">  MUHAMMAD AKRAM</v>
          </cell>
          <cell r="D6444">
            <v>0</v>
          </cell>
          <cell r="E6444">
            <v>0</v>
          </cell>
          <cell r="F6444">
            <v>0</v>
          </cell>
          <cell r="G6444">
            <v>0</v>
          </cell>
        </row>
        <row r="6445">
          <cell r="A6445" t="str">
            <v>55-02-34-0089</v>
          </cell>
          <cell r="B6445">
            <v>0</v>
          </cell>
          <cell r="C6445" t="str">
            <v xml:space="preserve">  WAJID ALI FAISALABAD</v>
          </cell>
          <cell r="D6445">
            <v>0</v>
          </cell>
          <cell r="E6445">
            <v>0</v>
          </cell>
          <cell r="F6445">
            <v>0</v>
          </cell>
          <cell r="G6445">
            <v>0</v>
          </cell>
        </row>
        <row r="6446">
          <cell r="A6446" t="str">
            <v>55-02-34-0090</v>
          </cell>
          <cell r="B6446">
            <v>0</v>
          </cell>
          <cell r="C6446" t="str">
            <v xml:space="preserve">  HUSNAIN TEXTILES</v>
          </cell>
          <cell r="D6446">
            <v>0</v>
          </cell>
          <cell r="E6446">
            <v>0</v>
          </cell>
          <cell r="F6446">
            <v>0</v>
          </cell>
          <cell r="G6446">
            <v>0</v>
          </cell>
        </row>
        <row r="6447">
          <cell r="A6447" t="str">
            <v>55-02-35</v>
          </cell>
          <cell r="B6447">
            <v>0</v>
          </cell>
          <cell r="C6447" t="str">
            <v>***MAQSOOD DOUBLING</v>
          </cell>
          <cell r="D6447">
            <v>0</v>
          </cell>
          <cell r="E6447">
            <v>0</v>
          </cell>
          <cell r="F6447">
            <v>0</v>
          </cell>
          <cell r="G6447">
            <v>0</v>
          </cell>
        </row>
        <row r="6448">
          <cell r="A6448" t="str">
            <v>55-02-35-0001</v>
          </cell>
          <cell r="B6448">
            <v>0</v>
          </cell>
          <cell r="C6448" t="str">
            <v xml:space="preserve">  MAQSOOD DOUBLING</v>
          </cell>
          <cell r="D6448">
            <v>0</v>
          </cell>
          <cell r="E6448">
            <v>0</v>
          </cell>
          <cell r="F6448">
            <v>0</v>
          </cell>
          <cell r="G6448">
            <v>0</v>
          </cell>
        </row>
        <row r="6449">
          <cell r="A6449" t="str">
            <v>55-02-35-0002</v>
          </cell>
          <cell r="B6449">
            <v>0</v>
          </cell>
          <cell r="C6449" t="str">
            <v xml:space="preserve">  NOMAN ALI FAISALABAD</v>
          </cell>
          <cell r="D6449">
            <v>0</v>
          </cell>
          <cell r="E6449">
            <v>0</v>
          </cell>
          <cell r="F6449">
            <v>0</v>
          </cell>
          <cell r="G6449">
            <v>0</v>
          </cell>
        </row>
        <row r="6450">
          <cell r="A6450" t="str">
            <v>55-02-35-0003</v>
          </cell>
          <cell r="B6450">
            <v>0</v>
          </cell>
          <cell r="C6450" t="str">
            <v xml:space="preserve">  MUHAMMAD ASHRAF</v>
          </cell>
          <cell r="D6450">
            <v>0</v>
          </cell>
          <cell r="E6450">
            <v>0</v>
          </cell>
          <cell r="F6450">
            <v>0</v>
          </cell>
          <cell r="G6450">
            <v>0</v>
          </cell>
        </row>
        <row r="6451">
          <cell r="A6451" t="str">
            <v>55-02-38</v>
          </cell>
          <cell r="B6451">
            <v>0</v>
          </cell>
          <cell r="C6451" t="str">
            <v>***SHAHEEN COTTON WASTE FACTORY</v>
          </cell>
          <cell r="D6451">
            <v>0</v>
          </cell>
          <cell r="E6451">
            <v>0</v>
          </cell>
          <cell r="F6451">
            <v>0</v>
          </cell>
          <cell r="G6451">
            <v>0</v>
          </cell>
        </row>
        <row r="6452">
          <cell r="A6452" t="str">
            <v>55-02-38-0001</v>
          </cell>
          <cell r="B6452">
            <v>0</v>
          </cell>
          <cell r="C6452" t="str">
            <v xml:space="preserve">  HAFEEZ BASHIR</v>
          </cell>
          <cell r="D6452">
            <v>0</v>
          </cell>
          <cell r="E6452">
            <v>0</v>
          </cell>
          <cell r="F6452">
            <v>0</v>
          </cell>
          <cell r="G6452">
            <v>0</v>
          </cell>
        </row>
        <row r="6453">
          <cell r="A6453" t="str">
            <v>55-02-38-0002</v>
          </cell>
          <cell r="B6453">
            <v>0</v>
          </cell>
          <cell r="C6453" t="str">
            <v xml:space="preserve">  HAJI SHAIKH NOOR DIN &amp; SONS (PVT) LTD.</v>
          </cell>
          <cell r="D6453">
            <v>0</v>
          </cell>
          <cell r="E6453">
            <v>0</v>
          </cell>
          <cell r="F6453">
            <v>0</v>
          </cell>
          <cell r="G6453">
            <v>0</v>
          </cell>
        </row>
        <row r="6454">
          <cell r="A6454" t="str">
            <v>55-02-38-0003</v>
          </cell>
          <cell r="B6454">
            <v>0</v>
          </cell>
          <cell r="C6454" t="str">
            <v xml:space="preserve">  NOMAN ALI FAISALABAD</v>
          </cell>
          <cell r="D6454">
            <v>0</v>
          </cell>
          <cell r="E6454">
            <v>0</v>
          </cell>
          <cell r="F6454">
            <v>0</v>
          </cell>
          <cell r="G6454">
            <v>0</v>
          </cell>
        </row>
        <row r="6455">
          <cell r="A6455" t="str">
            <v>55-02-41</v>
          </cell>
          <cell r="B6455">
            <v>0</v>
          </cell>
          <cell r="C6455" t="str">
            <v>***HAJI UMER BAKHSH KOHAT</v>
          </cell>
          <cell r="D6455">
            <v>0</v>
          </cell>
          <cell r="E6455">
            <v>0</v>
          </cell>
          <cell r="F6455">
            <v>0</v>
          </cell>
          <cell r="G6455">
            <v>0</v>
          </cell>
        </row>
        <row r="6456">
          <cell r="A6456" t="str">
            <v>55-02-41-0001</v>
          </cell>
          <cell r="B6456">
            <v>0</v>
          </cell>
          <cell r="C6456" t="str">
            <v xml:space="preserve">  HAJI SHAIKH NOORDIN &amp; SONS (PVT) LIMIT</v>
          </cell>
          <cell r="D6456">
            <v>0</v>
          </cell>
          <cell r="E6456">
            <v>0</v>
          </cell>
          <cell r="F6456">
            <v>0</v>
          </cell>
          <cell r="G6456">
            <v>0</v>
          </cell>
        </row>
        <row r="6457">
          <cell r="A6457" t="str">
            <v>55-02-42</v>
          </cell>
          <cell r="B6457">
            <v>0</v>
          </cell>
          <cell r="C6457" t="str">
            <v>***CENTRAL TRADING</v>
          </cell>
          <cell r="D6457">
            <v>0</v>
          </cell>
          <cell r="E6457">
            <v>0</v>
          </cell>
          <cell r="F6457">
            <v>0</v>
          </cell>
          <cell r="G6457">
            <v>0</v>
          </cell>
        </row>
        <row r="6458">
          <cell r="A6458" t="str">
            <v>55-02-42-0001</v>
          </cell>
          <cell r="B6458">
            <v>0</v>
          </cell>
          <cell r="C6458" t="str">
            <v xml:space="preserve">  CENTRAL TRADING</v>
          </cell>
          <cell r="D6458">
            <v>0</v>
          </cell>
          <cell r="E6458">
            <v>0</v>
          </cell>
          <cell r="F6458">
            <v>0</v>
          </cell>
          <cell r="G6458">
            <v>0</v>
          </cell>
        </row>
        <row r="6459">
          <cell r="A6459" t="str">
            <v>55-02-45</v>
          </cell>
          <cell r="B6459">
            <v>0</v>
          </cell>
          <cell r="C6459" t="str">
            <v>***AFZAL BHOLA</v>
          </cell>
          <cell r="D6459">
            <v>0</v>
          </cell>
          <cell r="E6459">
            <v>0</v>
          </cell>
          <cell r="F6459">
            <v>0</v>
          </cell>
          <cell r="G6459">
            <v>0</v>
          </cell>
        </row>
        <row r="6460">
          <cell r="A6460" t="str">
            <v>55-02-45-0001</v>
          </cell>
          <cell r="B6460">
            <v>0</v>
          </cell>
          <cell r="C6460" t="str">
            <v xml:space="preserve">  NAEEM AHMED</v>
          </cell>
          <cell r="D6460">
            <v>0</v>
          </cell>
          <cell r="E6460">
            <v>0</v>
          </cell>
          <cell r="F6460">
            <v>0</v>
          </cell>
          <cell r="G6460">
            <v>0</v>
          </cell>
        </row>
        <row r="6461">
          <cell r="A6461" t="str">
            <v>55-02-45-0002</v>
          </cell>
          <cell r="B6461">
            <v>0</v>
          </cell>
          <cell r="C6461" t="str">
            <v xml:space="preserve">  SHAH ALAM</v>
          </cell>
          <cell r="D6461">
            <v>0</v>
          </cell>
          <cell r="E6461">
            <v>0</v>
          </cell>
          <cell r="F6461">
            <v>0</v>
          </cell>
          <cell r="G6461">
            <v>0</v>
          </cell>
        </row>
        <row r="6462">
          <cell r="A6462" t="str">
            <v>55-02-45-0003</v>
          </cell>
          <cell r="B6462">
            <v>0</v>
          </cell>
          <cell r="C6462" t="str">
            <v xml:space="preserve">  SHAH WALI</v>
          </cell>
          <cell r="D6462">
            <v>0</v>
          </cell>
          <cell r="E6462">
            <v>0</v>
          </cell>
          <cell r="F6462">
            <v>0</v>
          </cell>
          <cell r="G6462">
            <v>0</v>
          </cell>
        </row>
        <row r="6463">
          <cell r="A6463" t="str">
            <v>55-02-45-0004</v>
          </cell>
          <cell r="B6463">
            <v>0</v>
          </cell>
          <cell r="C6463" t="str">
            <v xml:space="preserve">  ABDUL SHAHID</v>
          </cell>
          <cell r="D6463">
            <v>0</v>
          </cell>
          <cell r="E6463">
            <v>0</v>
          </cell>
          <cell r="F6463">
            <v>0</v>
          </cell>
          <cell r="G6463">
            <v>0</v>
          </cell>
        </row>
        <row r="6464">
          <cell r="A6464" t="str">
            <v>55-02-45-0005</v>
          </cell>
          <cell r="B6464">
            <v>0</v>
          </cell>
          <cell r="C6464" t="str">
            <v xml:space="preserve">  HAJI SHAIKH NOOR DIN &amp; SONS (PVT) LIMI</v>
          </cell>
          <cell r="D6464">
            <v>0</v>
          </cell>
          <cell r="E6464">
            <v>0</v>
          </cell>
          <cell r="F6464">
            <v>0</v>
          </cell>
          <cell r="G6464">
            <v>0</v>
          </cell>
        </row>
        <row r="6465">
          <cell r="A6465" t="str">
            <v>55-02-45-0006</v>
          </cell>
          <cell r="B6465">
            <v>0</v>
          </cell>
          <cell r="C6465" t="str">
            <v xml:space="preserve">  USMAN TEXTILE</v>
          </cell>
          <cell r="D6465">
            <v>0</v>
          </cell>
          <cell r="E6465">
            <v>0</v>
          </cell>
          <cell r="F6465">
            <v>0</v>
          </cell>
          <cell r="G6465">
            <v>0</v>
          </cell>
        </row>
        <row r="6466">
          <cell r="A6466" t="str">
            <v>55-02-45-0007</v>
          </cell>
          <cell r="B6466">
            <v>0</v>
          </cell>
          <cell r="C6466" t="str">
            <v xml:space="preserve">  MUHAMMAD IKRAM</v>
          </cell>
          <cell r="D6466">
            <v>0</v>
          </cell>
          <cell r="E6466">
            <v>0</v>
          </cell>
          <cell r="F6466">
            <v>0</v>
          </cell>
          <cell r="G6466">
            <v>0</v>
          </cell>
        </row>
        <row r="6467">
          <cell r="A6467" t="str">
            <v>55-02-45-0008</v>
          </cell>
          <cell r="B6467">
            <v>0</v>
          </cell>
          <cell r="C6467" t="str">
            <v xml:space="preserve">  ABDUL-US-SALAM</v>
          </cell>
          <cell r="D6467">
            <v>0</v>
          </cell>
          <cell r="E6467">
            <v>0</v>
          </cell>
          <cell r="F6467">
            <v>0</v>
          </cell>
          <cell r="G6467">
            <v>0</v>
          </cell>
        </row>
        <row r="6468">
          <cell r="A6468" t="str">
            <v>55-02-45-0009</v>
          </cell>
          <cell r="B6468">
            <v>0</v>
          </cell>
          <cell r="C6468" t="str">
            <v xml:space="preserve">  CHAUDHRY IMTIAZ</v>
          </cell>
          <cell r="D6468">
            <v>0</v>
          </cell>
          <cell r="E6468">
            <v>0</v>
          </cell>
          <cell r="F6468">
            <v>0</v>
          </cell>
          <cell r="G6468">
            <v>0</v>
          </cell>
        </row>
        <row r="6469">
          <cell r="A6469" t="str">
            <v>55-02-45-0010</v>
          </cell>
          <cell r="B6469">
            <v>0</v>
          </cell>
          <cell r="C6469" t="str">
            <v xml:space="preserve">  ASHFAQ AHMED.</v>
          </cell>
          <cell r="D6469">
            <v>0</v>
          </cell>
          <cell r="E6469">
            <v>0</v>
          </cell>
          <cell r="F6469">
            <v>0</v>
          </cell>
          <cell r="G6469">
            <v>0</v>
          </cell>
        </row>
        <row r="6470">
          <cell r="A6470" t="str">
            <v>55-02-45-0011</v>
          </cell>
          <cell r="B6470">
            <v>0</v>
          </cell>
          <cell r="C6470" t="str">
            <v xml:space="preserve">  RAUF TEXTILE</v>
          </cell>
          <cell r="D6470">
            <v>0</v>
          </cell>
          <cell r="E6470">
            <v>0</v>
          </cell>
          <cell r="F6470">
            <v>0</v>
          </cell>
          <cell r="G6470">
            <v>0</v>
          </cell>
        </row>
        <row r="6471">
          <cell r="A6471" t="str">
            <v>55-02-45-0012</v>
          </cell>
          <cell r="B6471">
            <v>0</v>
          </cell>
          <cell r="C6471" t="str">
            <v xml:space="preserve">  SPLENDED TEXTILE</v>
          </cell>
          <cell r="D6471">
            <v>0</v>
          </cell>
          <cell r="E6471">
            <v>0</v>
          </cell>
          <cell r="F6471">
            <v>0</v>
          </cell>
          <cell r="G6471">
            <v>0</v>
          </cell>
        </row>
        <row r="6472">
          <cell r="A6472" t="str">
            <v>55-02-45-0013</v>
          </cell>
          <cell r="B6472">
            <v>0</v>
          </cell>
          <cell r="C6472" t="str">
            <v xml:space="preserve">  ABDUL LATIF.</v>
          </cell>
          <cell r="D6472">
            <v>0</v>
          </cell>
          <cell r="E6472">
            <v>0</v>
          </cell>
          <cell r="F6472">
            <v>0</v>
          </cell>
          <cell r="G6472">
            <v>0</v>
          </cell>
        </row>
        <row r="6473">
          <cell r="A6473" t="str">
            <v>55-02-45-0014</v>
          </cell>
          <cell r="B6473">
            <v>0</v>
          </cell>
          <cell r="C6473" t="str">
            <v xml:space="preserve">  CHAUDHRY HOSIERY.</v>
          </cell>
          <cell r="D6473">
            <v>0</v>
          </cell>
          <cell r="E6473">
            <v>0</v>
          </cell>
          <cell r="F6473">
            <v>0</v>
          </cell>
          <cell r="G6473">
            <v>0</v>
          </cell>
        </row>
        <row r="6474">
          <cell r="A6474" t="str">
            <v>55-02-45-0015</v>
          </cell>
          <cell r="B6474">
            <v>0</v>
          </cell>
          <cell r="C6474" t="str">
            <v xml:space="preserve">  TERRY WORLD TEXTILES</v>
          </cell>
          <cell r="D6474">
            <v>0</v>
          </cell>
          <cell r="E6474">
            <v>0</v>
          </cell>
          <cell r="F6474">
            <v>0</v>
          </cell>
          <cell r="G6474">
            <v>0</v>
          </cell>
        </row>
        <row r="6475">
          <cell r="A6475" t="str">
            <v>55-02-45-0016</v>
          </cell>
          <cell r="B6475">
            <v>0</v>
          </cell>
          <cell r="C6475" t="str">
            <v xml:space="preserve">  DILPASAND HOSIERY (PVT) LIMITED.</v>
          </cell>
          <cell r="D6475">
            <v>0</v>
          </cell>
          <cell r="E6475">
            <v>0</v>
          </cell>
          <cell r="F6475">
            <v>0</v>
          </cell>
          <cell r="G6475">
            <v>0</v>
          </cell>
        </row>
        <row r="6476">
          <cell r="A6476" t="str">
            <v>55-02-45-0017</v>
          </cell>
          <cell r="B6476">
            <v>0</v>
          </cell>
          <cell r="C6476" t="str">
            <v xml:space="preserve">  ALI INTERNATIONAL</v>
          </cell>
          <cell r="D6476">
            <v>0</v>
          </cell>
          <cell r="E6476">
            <v>0</v>
          </cell>
          <cell r="F6476">
            <v>0</v>
          </cell>
          <cell r="G6476">
            <v>0</v>
          </cell>
        </row>
        <row r="6477">
          <cell r="A6477" t="str">
            <v>55-02-45-0018</v>
          </cell>
          <cell r="B6477">
            <v>0</v>
          </cell>
          <cell r="C6477" t="str">
            <v xml:space="preserve">  I.F.C.ENTERPRISES</v>
          </cell>
          <cell r="D6477">
            <v>0</v>
          </cell>
          <cell r="E6477">
            <v>0</v>
          </cell>
          <cell r="F6477">
            <v>0</v>
          </cell>
          <cell r="G6477">
            <v>0</v>
          </cell>
        </row>
        <row r="6478">
          <cell r="A6478" t="str">
            <v>55-02-45-0019</v>
          </cell>
          <cell r="B6478">
            <v>0</v>
          </cell>
          <cell r="C6478" t="str">
            <v xml:space="preserve">  ANWAR KHAN</v>
          </cell>
          <cell r="D6478">
            <v>0</v>
          </cell>
          <cell r="E6478">
            <v>0</v>
          </cell>
          <cell r="F6478">
            <v>0</v>
          </cell>
          <cell r="G6478">
            <v>0</v>
          </cell>
        </row>
        <row r="6479">
          <cell r="A6479" t="str">
            <v>55-02-45-0020</v>
          </cell>
          <cell r="B6479">
            <v>0</v>
          </cell>
          <cell r="C6479" t="str">
            <v xml:space="preserve">  NOMAN ALI</v>
          </cell>
          <cell r="D6479">
            <v>0</v>
          </cell>
          <cell r="E6479">
            <v>0</v>
          </cell>
          <cell r="F6479">
            <v>0</v>
          </cell>
          <cell r="G6479">
            <v>0</v>
          </cell>
        </row>
        <row r="6480">
          <cell r="A6480" t="str">
            <v>55-02-45-0021</v>
          </cell>
          <cell r="B6480">
            <v>0</v>
          </cell>
          <cell r="C6480" t="str">
            <v xml:space="preserve">  FAHEEM.</v>
          </cell>
          <cell r="D6480">
            <v>0</v>
          </cell>
          <cell r="E6480">
            <v>0</v>
          </cell>
          <cell r="F6480">
            <v>0</v>
          </cell>
          <cell r="G6480">
            <v>0</v>
          </cell>
        </row>
        <row r="6481">
          <cell r="A6481" t="str">
            <v>55-02-45-0022</v>
          </cell>
          <cell r="B6481">
            <v>0</v>
          </cell>
          <cell r="C6481" t="str">
            <v xml:space="preserve">  NASIR KHAN</v>
          </cell>
          <cell r="D6481">
            <v>0</v>
          </cell>
          <cell r="E6481">
            <v>0</v>
          </cell>
          <cell r="F6481">
            <v>0</v>
          </cell>
          <cell r="G6481">
            <v>0</v>
          </cell>
        </row>
        <row r="6482">
          <cell r="A6482" t="str">
            <v>55-02-45-0023</v>
          </cell>
          <cell r="B6482">
            <v>0</v>
          </cell>
          <cell r="C6482" t="str">
            <v xml:space="preserve">  SAJID ALI</v>
          </cell>
          <cell r="D6482">
            <v>0</v>
          </cell>
          <cell r="E6482">
            <v>0</v>
          </cell>
          <cell r="F6482">
            <v>0</v>
          </cell>
          <cell r="G6482">
            <v>0</v>
          </cell>
        </row>
        <row r="6483">
          <cell r="A6483" t="str">
            <v>55-02-45-0024</v>
          </cell>
          <cell r="B6483">
            <v>0</v>
          </cell>
          <cell r="C6483" t="str">
            <v xml:space="preserve">  NAVEED AHMED</v>
          </cell>
          <cell r="D6483">
            <v>0</v>
          </cell>
          <cell r="E6483">
            <v>0</v>
          </cell>
          <cell r="F6483">
            <v>0</v>
          </cell>
          <cell r="G6483">
            <v>0</v>
          </cell>
        </row>
        <row r="6484">
          <cell r="A6484" t="str">
            <v>55-02-45-0025</v>
          </cell>
          <cell r="B6484">
            <v>0</v>
          </cell>
          <cell r="C6484" t="str">
            <v xml:space="preserve">  QAISER KHAN</v>
          </cell>
          <cell r="D6484">
            <v>0</v>
          </cell>
          <cell r="E6484">
            <v>0</v>
          </cell>
          <cell r="F6484">
            <v>0</v>
          </cell>
          <cell r="G6484">
            <v>0</v>
          </cell>
        </row>
        <row r="6485">
          <cell r="A6485" t="str">
            <v>55-02-45-0026</v>
          </cell>
          <cell r="B6485">
            <v>0</v>
          </cell>
          <cell r="C6485" t="str">
            <v xml:space="preserve">  AMANAT ALI</v>
          </cell>
          <cell r="D6485">
            <v>0</v>
          </cell>
          <cell r="E6485">
            <v>0</v>
          </cell>
          <cell r="F6485">
            <v>0</v>
          </cell>
          <cell r="G6485">
            <v>0</v>
          </cell>
        </row>
        <row r="6486">
          <cell r="A6486" t="str">
            <v>55-02-45-0027</v>
          </cell>
          <cell r="B6486">
            <v>0</v>
          </cell>
          <cell r="C6486" t="str">
            <v xml:space="preserve">  DECO GAR</v>
          </cell>
          <cell r="D6486">
            <v>0</v>
          </cell>
          <cell r="E6486">
            <v>0</v>
          </cell>
          <cell r="F6486">
            <v>0</v>
          </cell>
          <cell r="G6486">
            <v>0</v>
          </cell>
        </row>
        <row r="6487">
          <cell r="A6487" t="str">
            <v>55-02-45-0028</v>
          </cell>
          <cell r="B6487">
            <v>0</v>
          </cell>
          <cell r="C6487" t="str">
            <v xml:space="preserve">  ALAM ZEB</v>
          </cell>
          <cell r="D6487">
            <v>0</v>
          </cell>
          <cell r="E6487">
            <v>0</v>
          </cell>
          <cell r="F6487">
            <v>0</v>
          </cell>
          <cell r="G6487">
            <v>0</v>
          </cell>
        </row>
        <row r="6488">
          <cell r="A6488" t="str">
            <v>55-02-45-0029</v>
          </cell>
          <cell r="B6488">
            <v>0</v>
          </cell>
          <cell r="C6488" t="str">
            <v xml:space="preserve">  MUHAMMED AKRAM</v>
          </cell>
          <cell r="D6488">
            <v>0</v>
          </cell>
          <cell r="E6488">
            <v>0</v>
          </cell>
          <cell r="F6488">
            <v>0</v>
          </cell>
          <cell r="G6488">
            <v>0</v>
          </cell>
        </row>
        <row r="6489">
          <cell r="A6489" t="str">
            <v>55-02-45-0030</v>
          </cell>
          <cell r="B6489">
            <v>0</v>
          </cell>
          <cell r="C6489" t="str">
            <v xml:space="preserve">  ELEGANZE (PVT) LIMITED</v>
          </cell>
          <cell r="D6489">
            <v>0</v>
          </cell>
          <cell r="E6489">
            <v>0</v>
          </cell>
          <cell r="F6489">
            <v>0</v>
          </cell>
          <cell r="G6489">
            <v>0</v>
          </cell>
        </row>
        <row r="6490">
          <cell r="A6490" t="str">
            <v>55-02-45-0031</v>
          </cell>
          <cell r="B6490">
            <v>0</v>
          </cell>
          <cell r="C6490" t="str">
            <v xml:space="preserve">  TREND LINE INTERNATIONAL (PVT) LTD.</v>
          </cell>
          <cell r="D6490">
            <v>0</v>
          </cell>
          <cell r="E6490">
            <v>0</v>
          </cell>
          <cell r="F6490">
            <v>0</v>
          </cell>
          <cell r="G6490">
            <v>0</v>
          </cell>
        </row>
        <row r="6491">
          <cell r="A6491" t="str">
            <v>55-02-45-0032</v>
          </cell>
          <cell r="B6491">
            <v>0</v>
          </cell>
          <cell r="C6491" t="str">
            <v xml:space="preserve">  MUHAMMED IMRAN</v>
          </cell>
          <cell r="D6491">
            <v>0</v>
          </cell>
          <cell r="E6491">
            <v>0</v>
          </cell>
          <cell r="F6491">
            <v>0</v>
          </cell>
          <cell r="G6491">
            <v>0</v>
          </cell>
        </row>
        <row r="6492">
          <cell r="A6492" t="str">
            <v>55-02-45-0033</v>
          </cell>
          <cell r="B6492">
            <v>0</v>
          </cell>
          <cell r="C6492" t="str">
            <v xml:space="preserve">  STAR APPARELS INTERNATIONAL</v>
          </cell>
          <cell r="D6492">
            <v>0</v>
          </cell>
          <cell r="E6492">
            <v>0</v>
          </cell>
          <cell r="F6492">
            <v>0</v>
          </cell>
          <cell r="G6492">
            <v>0</v>
          </cell>
        </row>
        <row r="6493">
          <cell r="A6493" t="str">
            <v>55-02-45-0034</v>
          </cell>
          <cell r="B6493">
            <v>0</v>
          </cell>
          <cell r="C6493" t="str">
            <v xml:space="preserve">  AL-MUZILL COTTON</v>
          </cell>
          <cell r="D6493">
            <v>0</v>
          </cell>
          <cell r="E6493">
            <v>0</v>
          </cell>
          <cell r="F6493">
            <v>0</v>
          </cell>
          <cell r="G6493">
            <v>0</v>
          </cell>
        </row>
        <row r="6494">
          <cell r="A6494" t="str">
            <v>55-02-45-0035</v>
          </cell>
          <cell r="B6494">
            <v>0</v>
          </cell>
          <cell r="C6494" t="str">
            <v xml:space="preserve">  MUHAMMED AFZAL.</v>
          </cell>
          <cell r="D6494">
            <v>0</v>
          </cell>
          <cell r="E6494">
            <v>0</v>
          </cell>
          <cell r="F6494">
            <v>0</v>
          </cell>
          <cell r="G6494">
            <v>0</v>
          </cell>
        </row>
        <row r="6495">
          <cell r="A6495" t="str">
            <v>55-02-45-0036</v>
          </cell>
          <cell r="B6495">
            <v>0</v>
          </cell>
          <cell r="C6495" t="str">
            <v xml:space="preserve">  NAFEES APPARELS INTERNATIONAL</v>
          </cell>
          <cell r="D6495">
            <v>0</v>
          </cell>
          <cell r="E6495">
            <v>0</v>
          </cell>
          <cell r="F6495">
            <v>0</v>
          </cell>
          <cell r="G6495">
            <v>0</v>
          </cell>
        </row>
        <row r="6496">
          <cell r="A6496" t="str">
            <v>55-02-45-0037</v>
          </cell>
          <cell r="B6496">
            <v>0</v>
          </cell>
          <cell r="C6496" t="str">
            <v xml:space="preserve">  ZAIDI INTERNATIONAL</v>
          </cell>
          <cell r="D6496">
            <v>0</v>
          </cell>
          <cell r="E6496">
            <v>0</v>
          </cell>
          <cell r="F6496">
            <v>0</v>
          </cell>
          <cell r="G6496">
            <v>0</v>
          </cell>
        </row>
        <row r="6497">
          <cell r="A6497" t="str">
            <v>55-02-45-0038</v>
          </cell>
          <cell r="B6497">
            <v>0</v>
          </cell>
          <cell r="C6497" t="str">
            <v xml:space="preserve">  SAJID MEHMOOD</v>
          </cell>
          <cell r="D6497">
            <v>0</v>
          </cell>
          <cell r="E6497">
            <v>0</v>
          </cell>
          <cell r="F6497">
            <v>0</v>
          </cell>
          <cell r="G6497">
            <v>0</v>
          </cell>
        </row>
        <row r="6498">
          <cell r="A6498" t="str">
            <v>55-02-45-0039</v>
          </cell>
          <cell r="B6498">
            <v>0</v>
          </cell>
          <cell r="C6498" t="str">
            <v xml:space="preserve">  SONO TRADING COMPANY</v>
          </cell>
          <cell r="D6498">
            <v>0</v>
          </cell>
          <cell r="E6498">
            <v>0</v>
          </cell>
          <cell r="F6498">
            <v>0</v>
          </cell>
          <cell r="G6498">
            <v>0</v>
          </cell>
        </row>
        <row r="6499">
          <cell r="A6499" t="str">
            <v>55-02-45-0040</v>
          </cell>
          <cell r="B6499">
            <v>0</v>
          </cell>
          <cell r="C6499" t="str">
            <v xml:space="preserve">  UNION INTERNATIONAL</v>
          </cell>
          <cell r="D6499">
            <v>0</v>
          </cell>
          <cell r="E6499">
            <v>0</v>
          </cell>
          <cell r="F6499">
            <v>0</v>
          </cell>
          <cell r="G6499">
            <v>0</v>
          </cell>
        </row>
        <row r="6500">
          <cell r="A6500" t="str">
            <v>55-02-45-0041</v>
          </cell>
          <cell r="B6500">
            <v>0</v>
          </cell>
          <cell r="C6500" t="str">
            <v xml:space="preserve">  NAVEED COTTON TEX</v>
          </cell>
          <cell r="D6500">
            <v>0</v>
          </cell>
          <cell r="E6500">
            <v>0</v>
          </cell>
          <cell r="F6500">
            <v>0</v>
          </cell>
          <cell r="G6500">
            <v>0</v>
          </cell>
        </row>
        <row r="6501">
          <cell r="A6501" t="str">
            <v>55-02-45-0042</v>
          </cell>
          <cell r="B6501">
            <v>0</v>
          </cell>
          <cell r="C6501" t="str">
            <v xml:space="preserve">  KINGS TEXTILE</v>
          </cell>
          <cell r="D6501">
            <v>0</v>
          </cell>
          <cell r="E6501">
            <v>0</v>
          </cell>
          <cell r="F6501">
            <v>0</v>
          </cell>
          <cell r="G6501">
            <v>0</v>
          </cell>
        </row>
        <row r="6502">
          <cell r="A6502" t="str">
            <v>55-02-45-0043</v>
          </cell>
          <cell r="B6502">
            <v>0</v>
          </cell>
          <cell r="C6502" t="str">
            <v xml:space="preserve">  WAHDAT TEXTILE</v>
          </cell>
          <cell r="D6502">
            <v>0</v>
          </cell>
          <cell r="E6502">
            <v>0</v>
          </cell>
          <cell r="F6502">
            <v>0</v>
          </cell>
          <cell r="G6502">
            <v>0</v>
          </cell>
        </row>
        <row r="6503">
          <cell r="A6503" t="str">
            <v>55-02-45-0044</v>
          </cell>
          <cell r="B6503">
            <v>0</v>
          </cell>
          <cell r="C6503" t="str">
            <v xml:space="preserve">  WEAVE TEX INTERNATIONAL</v>
          </cell>
          <cell r="D6503">
            <v>0</v>
          </cell>
          <cell r="E6503">
            <v>0</v>
          </cell>
          <cell r="F6503">
            <v>0</v>
          </cell>
          <cell r="G6503">
            <v>0</v>
          </cell>
        </row>
        <row r="6504">
          <cell r="A6504" t="str">
            <v>55-02-45-0045</v>
          </cell>
          <cell r="B6504">
            <v>0</v>
          </cell>
          <cell r="C6504" t="str">
            <v xml:space="preserve">  MEHAK TEXTILE (PVT) LIMITED</v>
          </cell>
          <cell r="D6504">
            <v>0</v>
          </cell>
          <cell r="E6504">
            <v>0</v>
          </cell>
          <cell r="F6504">
            <v>0</v>
          </cell>
          <cell r="G6504">
            <v>0</v>
          </cell>
        </row>
        <row r="6505">
          <cell r="A6505" t="str">
            <v>55-02-45-0046</v>
          </cell>
          <cell r="B6505">
            <v>0</v>
          </cell>
          <cell r="C6505" t="str">
            <v xml:space="preserve">  AUGUST TEXTILE COMMUNION</v>
          </cell>
          <cell r="D6505">
            <v>0</v>
          </cell>
          <cell r="E6505">
            <v>0</v>
          </cell>
          <cell r="F6505">
            <v>0</v>
          </cell>
          <cell r="G6505">
            <v>0</v>
          </cell>
        </row>
        <row r="6506">
          <cell r="A6506" t="str">
            <v>55-02-45-0047</v>
          </cell>
          <cell r="B6506">
            <v>0</v>
          </cell>
          <cell r="C6506" t="str">
            <v xml:space="preserve">  K.M.ENTERPRISES</v>
          </cell>
          <cell r="D6506">
            <v>0</v>
          </cell>
          <cell r="E6506">
            <v>0</v>
          </cell>
          <cell r="F6506">
            <v>0</v>
          </cell>
          <cell r="G6506">
            <v>0</v>
          </cell>
        </row>
        <row r="6507">
          <cell r="A6507" t="str">
            <v>55-02-45-0048</v>
          </cell>
          <cell r="B6507">
            <v>0</v>
          </cell>
          <cell r="C6507" t="str">
            <v xml:space="preserve">  A.A.ENTERPRISES</v>
          </cell>
          <cell r="D6507">
            <v>0</v>
          </cell>
          <cell r="E6507">
            <v>0</v>
          </cell>
          <cell r="F6507">
            <v>0</v>
          </cell>
          <cell r="G6507">
            <v>0</v>
          </cell>
        </row>
        <row r="6508">
          <cell r="A6508" t="str">
            <v>55-02-45-0049</v>
          </cell>
          <cell r="B6508">
            <v>0</v>
          </cell>
          <cell r="C6508" t="str">
            <v xml:space="preserve">  A.T.TEXTILE</v>
          </cell>
          <cell r="D6508">
            <v>0</v>
          </cell>
          <cell r="E6508">
            <v>0</v>
          </cell>
          <cell r="F6508">
            <v>0</v>
          </cell>
          <cell r="G6508">
            <v>0</v>
          </cell>
        </row>
        <row r="6509">
          <cell r="A6509" t="str">
            <v>55-02-45-0050</v>
          </cell>
          <cell r="B6509">
            <v>0</v>
          </cell>
          <cell r="C6509" t="str">
            <v xml:space="preserve">  VGA CLOTHINGS</v>
          </cell>
          <cell r="D6509">
            <v>0</v>
          </cell>
          <cell r="E6509">
            <v>0</v>
          </cell>
          <cell r="F6509">
            <v>0</v>
          </cell>
          <cell r="G6509">
            <v>0</v>
          </cell>
        </row>
        <row r="6510">
          <cell r="A6510" t="str">
            <v>55-02-45-0051</v>
          </cell>
          <cell r="B6510">
            <v>0</v>
          </cell>
          <cell r="C6510" t="str">
            <v xml:space="preserve">  KAMRAN INTERNATIONAL CORPORATION</v>
          </cell>
          <cell r="D6510">
            <v>0</v>
          </cell>
          <cell r="E6510">
            <v>0</v>
          </cell>
          <cell r="F6510">
            <v>0</v>
          </cell>
          <cell r="G6510">
            <v>0</v>
          </cell>
        </row>
        <row r="6511">
          <cell r="A6511" t="str">
            <v>55-02-45-0052</v>
          </cell>
          <cell r="B6511">
            <v>0</v>
          </cell>
          <cell r="C6511" t="str">
            <v xml:space="preserve">  RIAZ FABRICS INDUSTRIES</v>
          </cell>
          <cell r="D6511">
            <v>0</v>
          </cell>
          <cell r="E6511">
            <v>0</v>
          </cell>
          <cell r="F6511">
            <v>0</v>
          </cell>
          <cell r="G6511">
            <v>0</v>
          </cell>
        </row>
        <row r="6512">
          <cell r="A6512" t="str">
            <v>55-02-45-0053</v>
          </cell>
          <cell r="B6512">
            <v>0</v>
          </cell>
          <cell r="C6512" t="str">
            <v xml:space="preserve">  SKY TEX LIMITS</v>
          </cell>
          <cell r="D6512">
            <v>0</v>
          </cell>
          <cell r="E6512">
            <v>0</v>
          </cell>
          <cell r="F6512">
            <v>0</v>
          </cell>
          <cell r="G6512">
            <v>0</v>
          </cell>
        </row>
        <row r="6513">
          <cell r="A6513" t="str">
            <v>55-02-45-0054</v>
          </cell>
          <cell r="B6513">
            <v>0</v>
          </cell>
          <cell r="C6513" t="str">
            <v xml:space="preserve">  MUHAMMAD IQBAL</v>
          </cell>
          <cell r="D6513">
            <v>0</v>
          </cell>
          <cell r="E6513">
            <v>0</v>
          </cell>
          <cell r="F6513">
            <v>0</v>
          </cell>
          <cell r="G6513">
            <v>0</v>
          </cell>
        </row>
        <row r="6514">
          <cell r="A6514" t="str">
            <v>55-02-45-0055</v>
          </cell>
          <cell r="B6514">
            <v>0</v>
          </cell>
          <cell r="C6514" t="str">
            <v xml:space="preserve">  MUHAMMAD SULTAN</v>
          </cell>
          <cell r="D6514">
            <v>0</v>
          </cell>
          <cell r="E6514">
            <v>0</v>
          </cell>
          <cell r="F6514">
            <v>0</v>
          </cell>
          <cell r="G6514">
            <v>0</v>
          </cell>
        </row>
        <row r="6515">
          <cell r="A6515" t="str">
            <v>55-02-45-0056</v>
          </cell>
          <cell r="B6515">
            <v>0</v>
          </cell>
          <cell r="C6515" t="str">
            <v xml:space="preserve">  FAZAL AHMED</v>
          </cell>
          <cell r="D6515">
            <v>0</v>
          </cell>
          <cell r="E6515">
            <v>0</v>
          </cell>
          <cell r="F6515">
            <v>0</v>
          </cell>
          <cell r="G6515">
            <v>0</v>
          </cell>
        </row>
        <row r="6516">
          <cell r="A6516" t="str">
            <v>55-02-45-0057</v>
          </cell>
          <cell r="B6516">
            <v>0</v>
          </cell>
          <cell r="C6516" t="str">
            <v xml:space="preserve">  SUBHAN TEXTILE</v>
          </cell>
          <cell r="D6516">
            <v>0</v>
          </cell>
          <cell r="E6516">
            <v>0</v>
          </cell>
          <cell r="F6516">
            <v>0</v>
          </cell>
          <cell r="G6516">
            <v>0</v>
          </cell>
        </row>
        <row r="6517">
          <cell r="A6517" t="str">
            <v>55-02-45-0058</v>
          </cell>
          <cell r="B6517">
            <v>0</v>
          </cell>
          <cell r="C6517" t="str">
            <v xml:space="preserve">  OAMIR FABRICS</v>
          </cell>
          <cell r="D6517">
            <v>0</v>
          </cell>
          <cell r="E6517">
            <v>0</v>
          </cell>
          <cell r="F6517">
            <v>0</v>
          </cell>
          <cell r="G6517">
            <v>0</v>
          </cell>
        </row>
        <row r="6518">
          <cell r="A6518" t="str">
            <v>55-02-45-0059</v>
          </cell>
          <cell r="B6518">
            <v>0</v>
          </cell>
          <cell r="C6518" t="str">
            <v xml:space="preserve">  FRIENDS ENTERPRISES</v>
          </cell>
          <cell r="D6518">
            <v>0</v>
          </cell>
          <cell r="E6518">
            <v>0</v>
          </cell>
          <cell r="F6518">
            <v>0</v>
          </cell>
          <cell r="G6518">
            <v>0</v>
          </cell>
        </row>
        <row r="6519">
          <cell r="A6519" t="str">
            <v>55-02-45-0060</v>
          </cell>
          <cell r="B6519">
            <v>0</v>
          </cell>
          <cell r="C6519" t="str">
            <v xml:space="preserve">  CHENAR TEXTILES</v>
          </cell>
          <cell r="D6519">
            <v>0</v>
          </cell>
          <cell r="E6519">
            <v>0</v>
          </cell>
          <cell r="F6519">
            <v>0</v>
          </cell>
          <cell r="G6519">
            <v>0</v>
          </cell>
        </row>
        <row r="6520">
          <cell r="A6520" t="str">
            <v>55-02-45-0061</v>
          </cell>
          <cell r="B6520">
            <v>0</v>
          </cell>
          <cell r="C6520" t="str">
            <v xml:space="preserve">  AL-NOOR FABRICS</v>
          </cell>
          <cell r="D6520">
            <v>0</v>
          </cell>
          <cell r="E6520">
            <v>0</v>
          </cell>
          <cell r="F6520">
            <v>0</v>
          </cell>
          <cell r="G6520">
            <v>0</v>
          </cell>
        </row>
        <row r="6521">
          <cell r="A6521" t="str">
            <v>55-02-45-0062</v>
          </cell>
          <cell r="B6521">
            <v>0</v>
          </cell>
          <cell r="C6521" t="str">
            <v xml:space="preserve">  K.T.TEXTILES</v>
          </cell>
          <cell r="D6521">
            <v>0</v>
          </cell>
          <cell r="E6521">
            <v>0</v>
          </cell>
          <cell r="F6521">
            <v>0</v>
          </cell>
          <cell r="G6521">
            <v>0</v>
          </cell>
        </row>
        <row r="6522">
          <cell r="A6522" t="str">
            <v>55-02-45-0063</v>
          </cell>
          <cell r="B6522">
            <v>0</v>
          </cell>
          <cell r="C6522" t="str">
            <v xml:space="preserve">  NAIHA FABRICS</v>
          </cell>
          <cell r="D6522">
            <v>0</v>
          </cell>
          <cell r="E6522">
            <v>0</v>
          </cell>
          <cell r="F6522">
            <v>0</v>
          </cell>
          <cell r="G6522">
            <v>0</v>
          </cell>
        </row>
        <row r="6523">
          <cell r="A6523" t="str">
            <v>55-02-45-0064</v>
          </cell>
          <cell r="B6523">
            <v>0</v>
          </cell>
          <cell r="C6523" t="str">
            <v xml:space="preserve">  FLEXI INTERNATIONAL</v>
          </cell>
          <cell r="D6523">
            <v>0</v>
          </cell>
          <cell r="E6523">
            <v>0</v>
          </cell>
          <cell r="F6523">
            <v>0</v>
          </cell>
          <cell r="G6523">
            <v>0</v>
          </cell>
        </row>
        <row r="6524">
          <cell r="A6524" t="str">
            <v>55-02-45-0065</v>
          </cell>
          <cell r="B6524">
            <v>0</v>
          </cell>
          <cell r="C6524" t="str">
            <v xml:space="preserve">  HUSSAIN TEXTILE</v>
          </cell>
          <cell r="D6524">
            <v>0</v>
          </cell>
          <cell r="E6524">
            <v>0</v>
          </cell>
          <cell r="F6524">
            <v>0</v>
          </cell>
          <cell r="G6524">
            <v>0</v>
          </cell>
        </row>
        <row r="6525">
          <cell r="A6525" t="str">
            <v>55-02-45-0066</v>
          </cell>
          <cell r="B6525">
            <v>0</v>
          </cell>
          <cell r="C6525" t="str">
            <v xml:space="preserve">  MUJAHID TEXTILE</v>
          </cell>
          <cell r="D6525">
            <v>0</v>
          </cell>
          <cell r="E6525">
            <v>0</v>
          </cell>
          <cell r="F6525">
            <v>0</v>
          </cell>
          <cell r="G6525">
            <v>0</v>
          </cell>
        </row>
        <row r="6526">
          <cell r="A6526" t="str">
            <v>55-02-45-0067</v>
          </cell>
          <cell r="B6526">
            <v>0</v>
          </cell>
          <cell r="C6526" t="str">
            <v xml:space="preserve">  BUKHARI WEAVING INDUSTRIES</v>
          </cell>
          <cell r="D6526">
            <v>0</v>
          </cell>
          <cell r="E6526">
            <v>0</v>
          </cell>
          <cell r="F6526">
            <v>0</v>
          </cell>
          <cell r="G6526">
            <v>0</v>
          </cell>
        </row>
        <row r="6527">
          <cell r="A6527" t="str">
            <v>55-02-45-0068</v>
          </cell>
          <cell r="B6527">
            <v>0</v>
          </cell>
          <cell r="C6527" t="str">
            <v xml:space="preserve">  FATEH TEXTILE MILLS LIMITED</v>
          </cell>
          <cell r="D6527">
            <v>0</v>
          </cell>
          <cell r="E6527">
            <v>0</v>
          </cell>
          <cell r="F6527">
            <v>0</v>
          </cell>
          <cell r="G6527">
            <v>0</v>
          </cell>
        </row>
        <row r="6528">
          <cell r="A6528" t="str">
            <v>55-02-45-0069</v>
          </cell>
          <cell r="B6528">
            <v>0</v>
          </cell>
          <cell r="C6528" t="str">
            <v xml:space="preserve">  ALI IMPEX</v>
          </cell>
          <cell r="D6528">
            <v>0</v>
          </cell>
          <cell r="E6528">
            <v>0</v>
          </cell>
          <cell r="F6528">
            <v>0</v>
          </cell>
          <cell r="G6528">
            <v>0</v>
          </cell>
        </row>
        <row r="6529">
          <cell r="A6529" t="str">
            <v>55-02-45-0070</v>
          </cell>
          <cell r="B6529">
            <v>0</v>
          </cell>
          <cell r="C6529" t="str">
            <v xml:space="preserve">  UMAR TEXTILE</v>
          </cell>
          <cell r="D6529">
            <v>0</v>
          </cell>
          <cell r="E6529">
            <v>0</v>
          </cell>
          <cell r="F6529">
            <v>0</v>
          </cell>
          <cell r="G6529">
            <v>0</v>
          </cell>
        </row>
        <row r="6530">
          <cell r="A6530" t="str">
            <v>55-02-45-0071</v>
          </cell>
          <cell r="B6530">
            <v>0</v>
          </cell>
          <cell r="C6530" t="str">
            <v xml:space="preserve">  W.A.ENTERPRISES</v>
          </cell>
          <cell r="D6530">
            <v>0</v>
          </cell>
          <cell r="E6530">
            <v>0</v>
          </cell>
          <cell r="F6530">
            <v>0</v>
          </cell>
          <cell r="G6530">
            <v>0</v>
          </cell>
        </row>
        <row r="6531">
          <cell r="A6531" t="str">
            <v>55-02-45-0072</v>
          </cell>
          <cell r="B6531">
            <v>0</v>
          </cell>
          <cell r="C6531" t="str">
            <v xml:space="preserve">  LIBERTY TEXTILE</v>
          </cell>
          <cell r="D6531">
            <v>0</v>
          </cell>
          <cell r="E6531">
            <v>0</v>
          </cell>
          <cell r="F6531">
            <v>0</v>
          </cell>
          <cell r="G6531">
            <v>0</v>
          </cell>
        </row>
        <row r="6532">
          <cell r="A6532" t="str">
            <v>55-02-45-0073</v>
          </cell>
          <cell r="B6532">
            <v>0</v>
          </cell>
          <cell r="C6532" t="str">
            <v xml:space="preserve">  ROY ENTERPRISES</v>
          </cell>
          <cell r="D6532">
            <v>0</v>
          </cell>
          <cell r="E6532">
            <v>0</v>
          </cell>
          <cell r="F6532">
            <v>0</v>
          </cell>
          <cell r="G6532">
            <v>0</v>
          </cell>
        </row>
        <row r="6533">
          <cell r="A6533" t="str">
            <v>55-02-45-0074</v>
          </cell>
          <cell r="B6533">
            <v>0</v>
          </cell>
          <cell r="C6533" t="str">
            <v xml:space="preserve">  PEARL TRADERS</v>
          </cell>
          <cell r="D6533">
            <v>0</v>
          </cell>
          <cell r="E6533">
            <v>0</v>
          </cell>
          <cell r="F6533">
            <v>0</v>
          </cell>
          <cell r="G6533">
            <v>0</v>
          </cell>
        </row>
        <row r="6534">
          <cell r="A6534" t="str">
            <v>55-02-45-0075</v>
          </cell>
          <cell r="B6534">
            <v>0</v>
          </cell>
          <cell r="C6534" t="str">
            <v xml:space="preserve">  MUHAMMAD ISLAM</v>
          </cell>
          <cell r="D6534">
            <v>0</v>
          </cell>
          <cell r="E6534">
            <v>0</v>
          </cell>
          <cell r="F6534">
            <v>0</v>
          </cell>
          <cell r="G6534">
            <v>0</v>
          </cell>
        </row>
        <row r="6535">
          <cell r="A6535" t="str">
            <v>55-02-45-0076</v>
          </cell>
          <cell r="B6535">
            <v>0</v>
          </cell>
          <cell r="C6535" t="str">
            <v xml:space="preserve">  LARAIB TEXTILES</v>
          </cell>
          <cell r="D6535">
            <v>0</v>
          </cell>
          <cell r="E6535">
            <v>0</v>
          </cell>
          <cell r="F6535">
            <v>0</v>
          </cell>
          <cell r="G6535">
            <v>0</v>
          </cell>
        </row>
        <row r="6536">
          <cell r="A6536" t="str">
            <v>55-02-45-0077</v>
          </cell>
          <cell r="B6536">
            <v>0</v>
          </cell>
          <cell r="C6536" t="str">
            <v xml:space="preserve">  HUDABIYA TEXTILES</v>
          </cell>
          <cell r="D6536">
            <v>0</v>
          </cell>
          <cell r="E6536">
            <v>0</v>
          </cell>
          <cell r="F6536">
            <v>0</v>
          </cell>
          <cell r="G6536">
            <v>0</v>
          </cell>
        </row>
        <row r="6537">
          <cell r="A6537" t="str">
            <v>55-02-51</v>
          </cell>
          <cell r="B6537">
            <v>0</v>
          </cell>
          <cell r="C6537" t="str">
            <v>***KHURSHID-FAISALABAD.</v>
          </cell>
          <cell r="D6537">
            <v>0</v>
          </cell>
          <cell r="E6537">
            <v>0</v>
          </cell>
          <cell r="F6537">
            <v>0</v>
          </cell>
          <cell r="G6537">
            <v>0</v>
          </cell>
        </row>
        <row r="6538">
          <cell r="A6538" t="str">
            <v>55-02-51-0001</v>
          </cell>
          <cell r="B6538">
            <v>0</v>
          </cell>
          <cell r="C6538" t="str">
            <v xml:space="preserve">  HAJI SHAIKH NOOR DIN AND SONS (PVT) LT</v>
          </cell>
          <cell r="D6538">
            <v>0</v>
          </cell>
          <cell r="E6538">
            <v>0</v>
          </cell>
          <cell r="F6538">
            <v>0</v>
          </cell>
          <cell r="G6538">
            <v>0</v>
          </cell>
        </row>
        <row r="6539">
          <cell r="A6539" t="str">
            <v>55-02-51-0002</v>
          </cell>
          <cell r="B6539">
            <v>0</v>
          </cell>
          <cell r="C6539" t="str">
            <v xml:space="preserve">  IONA ENTERPRISES.</v>
          </cell>
          <cell r="D6539">
            <v>0</v>
          </cell>
          <cell r="E6539">
            <v>0</v>
          </cell>
          <cell r="F6539">
            <v>0</v>
          </cell>
          <cell r="G6539">
            <v>0</v>
          </cell>
        </row>
        <row r="6540">
          <cell r="A6540" t="str">
            <v>55-02-51-0003</v>
          </cell>
          <cell r="B6540">
            <v>0</v>
          </cell>
          <cell r="C6540" t="str">
            <v xml:space="preserve">  PEARL FABRIC CO.</v>
          </cell>
          <cell r="D6540">
            <v>0</v>
          </cell>
          <cell r="E6540">
            <v>0</v>
          </cell>
          <cell r="F6540">
            <v>0</v>
          </cell>
          <cell r="G6540">
            <v>0</v>
          </cell>
        </row>
        <row r="6541">
          <cell r="A6541" t="str">
            <v>55-02-51-0004</v>
          </cell>
          <cell r="B6541">
            <v>0</v>
          </cell>
          <cell r="C6541" t="str">
            <v xml:space="preserve">  QAYYUM GHULAM</v>
          </cell>
          <cell r="D6541">
            <v>0</v>
          </cell>
          <cell r="E6541">
            <v>0</v>
          </cell>
          <cell r="F6541">
            <v>0</v>
          </cell>
          <cell r="G6541">
            <v>0</v>
          </cell>
        </row>
        <row r="6542">
          <cell r="A6542" t="str">
            <v>55-02-51-0005</v>
          </cell>
          <cell r="B6542">
            <v>0</v>
          </cell>
          <cell r="C6542" t="str">
            <v xml:space="preserve">  ABDUL HAMEED.</v>
          </cell>
          <cell r="D6542">
            <v>0</v>
          </cell>
          <cell r="E6542">
            <v>0</v>
          </cell>
          <cell r="F6542">
            <v>0</v>
          </cell>
          <cell r="G6542">
            <v>0</v>
          </cell>
        </row>
        <row r="6543">
          <cell r="A6543" t="str">
            <v>55-02-51-0006</v>
          </cell>
          <cell r="B6543">
            <v>0</v>
          </cell>
          <cell r="C6543" t="str">
            <v xml:space="preserve">  QASIM KHAN</v>
          </cell>
          <cell r="D6543">
            <v>0</v>
          </cell>
          <cell r="E6543">
            <v>0</v>
          </cell>
          <cell r="F6543">
            <v>0</v>
          </cell>
          <cell r="G6543">
            <v>0</v>
          </cell>
        </row>
        <row r="6544">
          <cell r="A6544" t="str">
            <v>55-02-51-0007</v>
          </cell>
          <cell r="B6544">
            <v>0</v>
          </cell>
          <cell r="C6544" t="str">
            <v xml:space="preserve">  RIZWAN INDUSTRY</v>
          </cell>
          <cell r="D6544">
            <v>0</v>
          </cell>
          <cell r="E6544">
            <v>0</v>
          </cell>
          <cell r="F6544">
            <v>0</v>
          </cell>
          <cell r="G6544">
            <v>0</v>
          </cell>
        </row>
        <row r="6545">
          <cell r="A6545" t="str">
            <v>55-02-51-0008</v>
          </cell>
          <cell r="B6545">
            <v>0</v>
          </cell>
          <cell r="C6545" t="str">
            <v xml:space="preserve">  MUHAMMAD AFZAL</v>
          </cell>
          <cell r="D6545">
            <v>0</v>
          </cell>
          <cell r="E6545">
            <v>0</v>
          </cell>
          <cell r="F6545">
            <v>0</v>
          </cell>
          <cell r="G6545">
            <v>0</v>
          </cell>
        </row>
        <row r="6546">
          <cell r="A6546" t="str">
            <v>55-02-51-0009</v>
          </cell>
          <cell r="B6546">
            <v>0</v>
          </cell>
          <cell r="C6546" t="str">
            <v xml:space="preserve">  SAJID ALI</v>
          </cell>
          <cell r="D6546">
            <v>0</v>
          </cell>
          <cell r="E6546">
            <v>0</v>
          </cell>
          <cell r="F6546">
            <v>0</v>
          </cell>
          <cell r="G6546">
            <v>0</v>
          </cell>
        </row>
        <row r="6547">
          <cell r="A6547" t="str">
            <v>55-02-51-0010</v>
          </cell>
          <cell r="B6547">
            <v>0</v>
          </cell>
          <cell r="C6547" t="str">
            <v xml:space="preserve">  MUSTAFA INDUSTRIES</v>
          </cell>
          <cell r="D6547">
            <v>0</v>
          </cell>
          <cell r="E6547">
            <v>0</v>
          </cell>
          <cell r="F6547">
            <v>0</v>
          </cell>
          <cell r="G6547">
            <v>0</v>
          </cell>
        </row>
        <row r="6548">
          <cell r="A6548" t="str">
            <v>55-02-51-0011</v>
          </cell>
          <cell r="B6548">
            <v>0</v>
          </cell>
          <cell r="C6548" t="str">
            <v xml:space="preserve">  AFROZE TEXTILE INDUSTRIES (PVT) LIMITE</v>
          </cell>
          <cell r="D6548">
            <v>0</v>
          </cell>
          <cell r="E6548">
            <v>0</v>
          </cell>
          <cell r="F6548">
            <v>0</v>
          </cell>
          <cell r="G6548">
            <v>0</v>
          </cell>
        </row>
        <row r="6549">
          <cell r="A6549" t="str">
            <v>55-02-51-0012</v>
          </cell>
          <cell r="B6549">
            <v>0</v>
          </cell>
          <cell r="C6549" t="str">
            <v xml:space="preserve">  HASHAM TOWEL</v>
          </cell>
          <cell r="D6549">
            <v>0</v>
          </cell>
          <cell r="E6549">
            <v>0</v>
          </cell>
          <cell r="F6549">
            <v>0</v>
          </cell>
          <cell r="G6549">
            <v>0</v>
          </cell>
        </row>
        <row r="6550">
          <cell r="A6550" t="str">
            <v>55-02-52</v>
          </cell>
          <cell r="B6550">
            <v>0</v>
          </cell>
          <cell r="C6550" t="str">
            <v>***SHEIKH MEHBOOB</v>
          </cell>
          <cell r="D6550">
            <v>0</v>
          </cell>
          <cell r="E6550">
            <v>0</v>
          </cell>
          <cell r="F6550">
            <v>0</v>
          </cell>
          <cell r="G6550">
            <v>0</v>
          </cell>
        </row>
        <row r="6551">
          <cell r="A6551" t="str">
            <v>55-02-52-0001</v>
          </cell>
          <cell r="B6551">
            <v>0</v>
          </cell>
          <cell r="C6551" t="str">
            <v xml:space="preserve">  SHEIKH MEHBOOB</v>
          </cell>
          <cell r="D6551">
            <v>0</v>
          </cell>
          <cell r="E6551">
            <v>0</v>
          </cell>
          <cell r="F6551">
            <v>0</v>
          </cell>
          <cell r="G6551">
            <v>0</v>
          </cell>
        </row>
        <row r="6552">
          <cell r="A6552" t="str">
            <v>55-02-52-0002</v>
          </cell>
          <cell r="B6552">
            <v>0</v>
          </cell>
          <cell r="C6552" t="str">
            <v xml:space="preserve">  AL-FAJAR TEXTILE</v>
          </cell>
          <cell r="D6552">
            <v>0</v>
          </cell>
          <cell r="E6552">
            <v>0</v>
          </cell>
          <cell r="F6552">
            <v>0</v>
          </cell>
          <cell r="G6552">
            <v>0</v>
          </cell>
        </row>
        <row r="6553">
          <cell r="A6553" t="str">
            <v>55-02-53</v>
          </cell>
          <cell r="B6553">
            <v>0</v>
          </cell>
          <cell r="C6553" t="str">
            <v>***TRADE DEBTOR-YARN MISC FAISALABAD</v>
          </cell>
          <cell r="D6553">
            <v>0</v>
          </cell>
          <cell r="E6553">
            <v>0</v>
          </cell>
          <cell r="F6553">
            <v>0</v>
          </cell>
          <cell r="G6553">
            <v>0</v>
          </cell>
        </row>
        <row r="6554">
          <cell r="A6554" t="str">
            <v>55-02-53-0001</v>
          </cell>
          <cell r="B6554">
            <v>0</v>
          </cell>
          <cell r="C6554" t="str">
            <v xml:space="preserve">  GHULAM HUSSAIN FAISALABAD</v>
          </cell>
          <cell r="D6554">
            <v>0</v>
          </cell>
          <cell r="E6554">
            <v>0</v>
          </cell>
          <cell r="F6554">
            <v>0</v>
          </cell>
          <cell r="G6554">
            <v>0</v>
          </cell>
        </row>
        <row r="6555">
          <cell r="A6555" t="str">
            <v>55-02-90</v>
          </cell>
          <cell r="B6555">
            <v>0</v>
          </cell>
          <cell r="C6555" t="str">
            <v>***MISC DEBTOR ( FAISALABAD PARTY )</v>
          </cell>
          <cell r="D6555">
            <v>45900</v>
          </cell>
          <cell r="E6555">
            <v>0</v>
          </cell>
          <cell r="F6555">
            <v>45900</v>
          </cell>
          <cell r="G6555">
            <v>0</v>
          </cell>
        </row>
        <row r="6556">
          <cell r="A6556" t="str">
            <v>55-02-90-0001</v>
          </cell>
          <cell r="B6556">
            <v>0</v>
          </cell>
          <cell r="C6556" t="str">
            <v xml:space="preserve">  WAJID ALI  FAISALABAD</v>
          </cell>
          <cell r="D6556">
            <v>0</v>
          </cell>
          <cell r="E6556">
            <v>0</v>
          </cell>
          <cell r="F6556">
            <v>0</v>
          </cell>
          <cell r="G6556">
            <v>0</v>
          </cell>
        </row>
        <row r="6557">
          <cell r="A6557" t="str">
            <v>55-02-90-0002</v>
          </cell>
          <cell r="B6557">
            <v>0</v>
          </cell>
          <cell r="C6557" t="str">
            <v xml:space="preserve">  MUHAMMAD IQBAL</v>
          </cell>
          <cell r="D6557">
            <v>0</v>
          </cell>
          <cell r="E6557">
            <v>0</v>
          </cell>
          <cell r="F6557">
            <v>0</v>
          </cell>
          <cell r="G6557">
            <v>0</v>
          </cell>
        </row>
        <row r="6558">
          <cell r="A6558" t="str">
            <v>55-02-90-0003</v>
          </cell>
          <cell r="B6558">
            <v>0</v>
          </cell>
          <cell r="C6558" t="str">
            <v xml:space="preserve">  AYUB GOODS</v>
          </cell>
          <cell r="D6558">
            <v>0</v>
          </cell>
          <cell r="E6558">
            <v>0</v>
          </cell>
          <cell r="F6558">
            <v>0</v>
          </cell>
          <cell r="G6558">
            <v>0</v>
          </cell>
        </row>
        <row r="6559">
          <cell r="A6559" t="str">
            <v>55-02-90-0004</v>
          </cell>
          <cell r="B6559">
            <v>0</v>
          </cell>
          <cell r="C6559" t="str">
            <v xml:space="preserve">  ADAMJEE INSURANCE CO. LTD (CLAIM)</v>
          </cell>
          <cell r="D6559">
            <v>45900</v>
          </cell>
          <cell r="E6559">
            <v>0</v>
          </cell>
          <cell r="F6559">
            <v>0</v>
          </cell>
          <cell r="G6559">
            <v>0</v>
          </cell>
        </row>
        <row r="6560">
          <cell r="A6560" t="str">
            <v>55-02-91</v>
          </cell>
          <cell r="B6560">
            <v>0</v>
          </cell>
          <cell r="C6560" t="str">
            <v>***ZAHID JEE FABRICS (LTD)</v>
          </cell>
          <cell r="D6560">
            <v>0</v>
          </cell>
          <cell r="E6560">
            <v>0</v>
          </cell>
          <cell r="F6560">
            <v>0</v>
          </cell>
          <cell r="G6560">
            <v>0</v>
          </cell>
        </row>
        <row r="6561">
          <cell r="A6561" t="str">
            <v>55-02-91-0001</v>
          </cell>
          <cell r="B6561">
            <v>0</v>
          </cell>
          <cell r="C6561" t="str">
            <v xml:space="preserve">  ZAHID JEE FABRICS (LTD)</v>
          </cell>
          <cell r="D6561">
            <v>0</v>
          </cell>
          <cell r="E6561">
            <v>0</v>
          </cell>
          <cell r="F6561">
            <v>0</v>
          </cell>
          <cell r="G6561">
            <v>0</v>
          </cell>
        </row>
        <row r="6562">
          <cell r="A6562" t="str">
            <v>55-03</v>
          </cell>
          <cell r="B6562">
            <v>0</v>
          </cell>
          <cell r="C6562" t="str">
            <v>**TRADE DEBTOR-YARN (OTHERS)</v>
          </cell>
          <cell r="D6562">
            <v>24146559</v>
          </cell>
          <cell r="E6562">
            <v>0</v>
          </cell>
          <cell r="F6562">
            <v>24715770</v>
          </cell>
          <cell r="G6562">
            <v>569211</v>
          </cell>
        </row>
        <row r="6563">
          <cell r="A6563" t="str">
            <v>55-03-01</v>
          </cell>
          <cell r="B6563">
            <v>569211</v>
          </cell>
          <cell r="C6563" t="str">
            <v>***NAVEED YOUSUF</v>
          </cell>
          <cell r="D6563">
            <v>0</v>
          </cell>
          <cell r="E6563">
            <v>0</v>
          </cell>
          <cell r="F6563">
            <v>0</v>
          </cell>
          <cell r="G6563">
            <v>0</v>
          </cell>
        </row>
        <row r="6564">
          <cell r="A6564" t="str">
            <v>55-03-01-0001</v>
          </cell>
          <cell r="B6564">
            <v>0</v>
          </cell>
          <cell r="C6564" t="str">
            <v xml:space="preserve">  CENTRAL TRADING CORPORATION</v>
          </cell>
          <cell r="D6564">
            <v>0</v>
          </cell>
          <cell r="E6564">
            <v>0</v>
          </cell>
          <cell r="F6564">
            <v>0</v>
          </cell>
          <cell r="G6564">
            <v>0</v>
          </cell>
        </row>
        <row r="6565">
          <cell r="A6565" t="str">
            <v>55-03-16</v>
          </cell>
          <cell r="B6565">
            <v>0</v>
          </cell>
          <cell r="C6565" t="str">
            <v>***SORTEX ENTERPRISES.</v>
          </cell>
          <cell r="D6565">
            <v>24149002</v>
          </cell>
          <cell r="E6565">
            <v>0</v>
          </cell>
          <cell r="F6565">
            <v>24715770</v>
          </cell>
          <cell r="G6565">
            <v>566768</v>
          </cell>
        </row>
        <row r="6566">
          <cell r="A6566" t="str">
            <v>55-03-16-0001</v>
          </cell>
          <cell r="B6566">
            <v>566768</v>
          </cell>
          <cell r="C6566" t="str">
            <v xml:space="preserve">  SHAHTAJ TEXTILE LIMITED</v>
          </cell>
          <cell r="D6566">
            <v>0</v>
          </cell>
          <cell r="E6566">
            <v>736</v>
          </cell>
          <cell r="F6566">
            <v>0</v>
          </cell>
          <cell r="G6566">
            <v>0</v>
          </cell>
        </row>
        <row r="6567">
          <cell r="A6567" t="str">
            <v>55-03-16-0002</v>
          </cell>
          <cell r="B6567">
            <v>0</v>
          </cell>
          <cell r="C6567" t="str">
            <v xml:space="preserve">  RELIANCE WEAVING MILLS LIMITED</v>
          </cell>
          <cell r="D6567">
            <v>0</v>
          </cell>
          <cell r="E6567">
            <v>81698</v>
          </cell>
          <cell r="F6567">
            <v>0</v>
          </cell>
          <cell r="G6567">
            <v>0</v>
          </cell>
        </row>
        <row r="6568">
          <cell r="A6568" t="str">
            <v>55-03-16-0003</v>
          </cell>
          <cell r="B6568">
            <v>0</v>
          </cell>
          <cell r="C6568" t="str">
            <v xml:space="preserve">  DIAMOND FABRICS LIMITED</v>
          </cell>
          <cell r="D6568">
            <v>3457825</v>
          </cell>
          <cell r="E6568">
            <v>0</v>
          </cell>
          <cell r="F6568">
            <v>0</v>
          </cell>
          <cell r="G6568">
            <v>0</v>
          </cell>
        </row>
        <row r="6569">
          <cell r="A6569" t="str">
            <v>55-03-16-0004</v>
          </cell>
          <cell r="B6569">
            <v>0</v>
          </cell>
          <cell r="C6569" t="str">
            <v xml:space="preserve">  SHAHRAJ FABRICS (PRIVATE) LIMITED</v>
          </cell>
          <cell r="D6569">
            <v>571320</v>
          </cell>
          <cell r="E6569">
            <v>0</v>
          </cell>
          <cell r="F6569">
            <v>0</v>
          </cell>
          <cell r="G6569">
            <v>0</v>
          </cell>
        </row>
        <row r="6570">
          <cell r="A6570" t="str">
            <v>55-03-16-0005</v>
          </cell>
          <cell r="B6570">
            <v>0</v>
          </cell>
          <cell r="C6570" t="str">
            <v xml:space="preserve">  ICC TEXTILES LIMITED</v>
          </cell>
          <cell r="D6570">
            <v>495536.5</v>
          </cell>
          <cell r="E6570">
            <v>0</v>
          </cell>
          <cell r="F6570">
            <v>0</v>
          </cell>
          <cell r="G6570">
            <v>0</v>
          </cell>
        </row>
        <row r="6571">
          <cell r="A6571" t="str">
            <v>55-03-16-0006</v>
          </cell>
          <cell r="B6571">
            <v>0</v>
          </cell>
          <cell r="C6571" t="str">
            <v xml:space="preserve">  GULSHAN WEAVING MILLS LIMITED.</v>
          </cell>
          <cell r="D6571">
            <v>0</v>
          </cell>
          <cell r="E6571">
            <v>0</v>
          </cell>
          <cell r="F6571">
            <v>0</v>
          </cell>
          <cell r="G6571">
            <v>0</v>
          </cell>
        </row>
        <row r="6572">
          <cell r="A6572" t="str">
            <v>55-03-16-0007</v>
          </cell>
          <cell r="B6572">
            <v>0</v>
          </cell>
          <cell r="C6572" t="str">
            <v xml:space="preserve">  R.K.TEX (PVT) LIMITED</v>
          </cell>
          <cell r="D6572">
            <v>0</v>
          </cell>
          <cell r="E6572">
            <v>0</v>
          </cell>
          <cell r="F6572">
            <v>0</v>
          </cell>
          <cell r="G6572">
            <v>0</v>
          </cell>
        </row>
        <row r="6573">
          <cell r="A6573" t="str">
            <v>55-03-16-0008</v>
          </cell>
          <cell r="B6573">
            <v>0</v>
          </cell>
          <cell r="C6573" t="str">
            <v xml:space="preserve">  YOUSAF WEAVING MILLS LIMITED</v>
          </cell>
          <cell r="D6573">
            <v>0</v>
          </cell>
          <cell r="E6573">
            <v>0</v>
          </cell>
          <cell r="F6573">
            <v>0</v>
          </cell>
          <cell r="G6573">
            <v>0</v>
          </cell>
        </row>
        <row r="6574">
          <cell r="A6574" t="str">
            <v>55-03-16-0009</v>
          </cell>
          <cell r="B6574">
            <v>0</v>
          </cell>
          <cell r="C6574" t="str">
            <v xml:space="preserve">  MASOOD FABRICS LIMITED</v>
          </cell>
          <cell r="D6574">
            <v>151843.5</v>
          </cell>
          <cell r="E6574">
            <v>0</v>
          </cell>
          <cell r="F6574">
            <v>0</v>
          </cell>
          <cell r="G6574">
            <v>0</v>
          </cell>
        </row>
        <row r="6575">
          <cell r="A6575" t="str">
            <v>55-03-16-0010</v>
          </cell>
          <cell r="B6575">
            <v>0</v>
          </cell>
          <cell r="C6575" t="str">
            <v xml:space="preserve">  NISHAT CHUNNIAN</v>
          </cell>
          <cell r="D6575">
            <v>0</v>
          </cell>
          <cell r="E6575">
            <v>0</v>
          </cell>
          <cell r="F6575">
            <v>0</v>
          </cell>
          <cell r="G6575">
            <v>0</v>
          </cell>
        </row>
        <row r="6576">
          <cell r="A6576" t="str">
            <v>55-03-16-0011</v>
          </cell>
          <cell r="B6576">
            <v>0</v>
          </cell>
          <cell r="C6576" t="str">
            <v xml:space="preserve">  NISHAT MILLS LIMITED, BHIKKI.</v>
          </cell>
          <cell r="D6576">
            <v>1596919</v>
          </cell>
          <cell r="E6576">
            <v>0</v>
          </cell>
          <cell r="F6576">
            <v>0</v>
          </cell>
          <cell r="G6576">
            <v>0</v>
          </cell>
        </row>
        <row r="6577">
          <cell r="A6577" t="str">
            <v>55-03-16-0012</v>
          </cell>
          <cell r="B6577">
            <v>0</v>
          </cell>
          <cell r="C6577" t="str">
            <v xml:space="preserve">  KOHINOOR WEAVING MILLS</v>
          </cell>
          <cell r="D6577">
            <v>3488230</v>
          </cell>
          <cell r="E6577">
            <v>0</v>
          </cell>
          <cell r="F6577">
            <v>0</v>
          </cell>
          <cell r="G6577">
            <v>0</v>
          </cell>
        </row>
        <row r="6578">
          <cell r="A6578" t="str">
            <v>55-03-16-0013</v>
          </cell>
          <cell r="B6578">
            <v>0</v>
          </cell>
          <cell r="C6578" t="str">
            <v xml:space="preserve">  NISHAT MILLS LIMITED, FAISALABAD.</v>
          </cell>
          <cell r="D6578">
            <v>0</v>
          </cell>
          <cell r="E6578">
            <v>0</v>
          </cell>
          <cell r="F6578">
            <v>0</v>
          </cell>
          <cell r="G6578">
            <v>0</v>
          </cell>
        </row>
        <row r="6579">
          <cell r="A6579" t="str">
            <v>55-03-16-0031</v>
          </cell>
          <cell r="B6579">
            <v>0</v>
          </cell>
          <cell r="C6579" t="str">
            <v xml:space="preserve">  SAPHIRE TEXTILE MILLS LIMITED</v>
          </cell>
          <cell r="D6579">
            <v>2114520</v>
          </cell>
          <cell r="E6579">
            <v>0</v>
          </cell>
          <cell r="F6579">
            <v>0</v>
          </cell>
          <cell r="G6579">
            <v>0</v>
          </cell>
        </row>
        <row r="6580">
          <cell r="A6580" t="str">
            <v>55-03-16-0032</v>
          </cell>
          <cell r="B6580">
            <v>0</v>
          </cell>
          <cell r="C6580" t="str">
            <v xml:space="preserve">  AMER FABRICS LIMITED</v>
          </cell>
          <cell r="D6580">
            <v>1098150</v>
          </cell>
          <cell r="E6580">
            <v>0</v>
          </cell>
          <cell r="F6580">
            <v>0</v>
          </cell>
          <cell r="G6580">
            <v>0</v>
          </cell>
        </row>
        <row r="6581">
          <cell r="A6581" t="str">
            <v>55-03-16-0034</v>
          </cell>
          <cell r="B6581">
            <v>0</v>
          </cell>
          <cell r="C6581" t="str">
            <v xml:space="preserve">  AL-ABID SILK MILLS LIMITED</v>
          </cell>
          <cell r="D6581">
            <v>0</v>
          </cell>
          <cell r="E6581">
            <v>0</v>
          </cell>
          <cell r="F6581">
            <v>0</v>
          </cell>
          <cell r="G6581">
            <v>0</v>
          </cell>
        </row>
        <row r="6582">
          <cell r="A6582" t="str">
            <v>55-03-16-0035</v>
          </cell>
          <cell r="B6582">
            <v>0</v>
          </cell>
          <cell r="C6582" t="str">
            <v xml:space="preserve">  ISHAQ TEXTILE MILLS LIMITED</v>
          </cell>
          <cell r="D6582">
            <v>0</v>
          </cell>
          <cell r="E6582">
            <v>0</v>
          </cell>
          <cell r="F6582">
            <v>0</v>
          </cell>
          <cell r="G6582">
            <v>0</v>
          </cell>
        </row>
        <row r="6583">
          <cell r="A6583" t="str">
            <v>55-03-16-0036</v>
          </cell>
          <cell r="B6583">
            <v>0</v>
          </cell>
          <cell r="C6583" t="str">
            <v xml:space="preserve">  MAHMOOD TEXTILE MILLS</v>
          </cell>
          <cell r="D6583">
            <v>0</v>
          </cell>
          <cell r="E6583">
            <v>0</v>
          </cell>
          <cell r="F6583">
            <v>0</v>
          </cell>
          <cell r="G6583">
            <v>0</v>
          </cell>
        </row>
        <row r="6584">
          <cell r="A6584" t="str">
            <v>55-03-16-0037</v>
          </cell>
          <cell r="B6584">
            <v>0</v>
          </cell>
          <cell r="C6584" t="str">
            <v xml:space="preserve">  MIAN TEXTILE INDUSTRIES</v>
          </cell>
          <cell r="D6584">
            <v>0</v>
          </cell>
          <cell r="E6584">
            <v>0</v>
          </cell>
          <cell r="F6584">
            <v>0</v>
          </cell>
          <cell r="G6584">
            <v>0</v>
          </cell>
        </row>
        <row r="6585">
          <cell r="A6585" t="str">
            <v>55-03-16-0038</v>
          </cell>
          <cell r="B6585">
            <v>0</v>
          </cell>
          <cell r="C6585" t="str">
            <v xml:space="preserve">  ARSHAD CORPORATION (PVT) LIMITED</v>
          </cell>
          <cell r="D6585">
            <v>0</v>
          </cell>
          <cell r="E6585">
            <v>0</v>
          </cell>
          <cell r="F6585">
            <v>0</v>
          </cell>
          <cell r="G6585">
            <v>0</v>
          </cell>
        </row>
        <row r="6586">
          <cell r="A6586" t="str">
            <v>55-03-16-0039</v>
          </cell>
          <cell r="B6586">
            <v>0</v>
          </cell>
          <cell r="C6586" t="str">
            <v xml:space="preserve">  SURAJ COTTON MILLS LIMITED</v>
          </cell>
          <cell r="D6586">
            <v>0</v>
          </cell>
          <cell r="E6586">
            <v>483000</v>
          </cell>
          <cell r="F6586">
            <v>0</v>
          </cell>
          <cell r="G6586">
            <v>0</v>
          </cell>
        </row>
        <row r="6587">
          <cell r="A6587" t="str">
            <v>55-03-16-0040</v>
          </cell>
          <cell r="B6587">
            <v>0</v>
          </cell>
          <cell r="C6587" t="str">
            <v xml:space="preserve">  BARKAT TEXTILE</v>
          </cell>
          <cell r="D6587">
            <v>0</v>
          </cell>
          <cell r="E6587">
            <v>0</v>
          </cell>
          <cell r="F6587">
            <v>0</v>
          </cell>
          <cell r="G6587">
            <v>0</v>
          </cell>
        </row>
        <row r="6588">
          <cell r="A6588" t="str">
            <v>55-03-16-0041</v>
          </cell>
          <cell r="B6588">
            <v>0</v>
          </cell>
          <cell r="C6588" t="str">
            <v xml:space="preserve">  PROSPERITY WEAVING MILLS LIMITED</v>
          </cell>
          <cell r="D6588">
            <v>0</v>
          </cell>
          <cell r="E6588">
            <v>0</v>
          </cell>
          <cell r="F6588">
            <v>0</v>
          </cell>
          <cell r="G6588">
            <v>0</v>
          </cell>
        </row>
        <row r="6589">
          <cell r="A6589" t="str">
            <v>55-03-16-0042</v>
          </cell>
          <cell r="B6589">
            <v>0</v>
          </cell>
          <cell r="C6589" t="str">
            <v xml:space="preserve">  NEELUM TEXTILE</v>
          </cell>
          <cell r="D6589">
            <v>0</v>
          </cell>
          <cell r="E6589">
            <v>0</v>
          </cell>
          <cell r="F6589">
            <v>0</v>
          </cell>
          <cell r="G6589">
            <v>0</v>
          </cell>
        </row>
        <row r="6590">
          <cell r="A6590" t="str">
            <v>55-03-16-0043</v>
          </cell>
          <cell r="B6590">
            <v>0</v>
          </cell>
          <cell r="C6590" t="str">
            <v xml:space="preserve">  DALAL INDUSTRIES (PVT) LIMITED</v>
          </cell>
          <cell r="D6590">
            <v>0</v>
          </cell>
          <cell r="E6590">
            <v>0</v>
          </cell>
          <cell r="F6590">
            <v>0</v>
          </cell>
          <cell r="G6590">
            <v>0</v>
          </cell>
        </row>
        <row r="6591">
          <cell r="A6591" t="str">
            <v>55-03-16-0044</v>
          </cell>
          <cell r="B6591">
            <v>0</v>
          </cell>
          <cell r="C6591" t="str">
            <v xml:space="preserve">  MEKOTEX (PVT) LIMITED</v>
          </cell>
          <cell r="D6591">
            <v>0</v>
          </cell>
          <cell r="E6591">
            <v>0</v>
          </cell>
          <cell r="F6591">
            <v>0</v>
          </cell>
          <cell r="G6591">
            <v>0</v>
          </cell>
        </row>
        <row r="6592">
          <cell r="A6592" t="str">
            <v>55-03-16-0045</v>
          </cell>
          <cell r="B6592">
            <v>0</v>
          </cell>
          <cell r="C6592" t="str">
            <v xml:space="preserve">  FAZAL CLOTH MILLS</v>
          </cell>
          <cell r="D6592">
            <v>0</v>
          </cell>
          <cell r="E6592">
            <v>0</v>
          </cell>
          <cell r="F6592">
            <v>0</v>
          </cell>
          <cell r="G6592">
            <v>0</v>
          </cell>
        </row>
        <row r="6593">
          <cell r="A6593" t="str">
            <v>55-03-16-0046</v>
          </cell>
          <cell r="B6593">
            <v>0</v>
          </cell>
          <cell r="C6593" t="str">
            <v xml:space="preserve">  FAISAL SPINNING MILLS LIMITED</v>
          </cell>
          <cell r="D6593">
            <v>515</v>
          </cell>
          <cell r="E6593">
            <v>0</v>
          </cell>
          <cell r="F6593">
            <v>0</v>
          </cell>
          <cell r="G6593">
            <v>0</v>
          </cell>
        </row>
        <row r="6594">
          <cell r="A6594" t="str">
            <v>55-03-16-0047</v>
          </cell>
          <cell r="B6594">
            <v>0</v>
          </cell>
          <cell r="C6594" t="str">
            <v xml:space="preserve">  QUETTA TEXTILE MILLS LIMITED</v>
          </cell>
          <cell r="D6594">
            <v>24243</v>
          </cell>
          <cell r="E6594">
            <v>0</v>
          </cell>
          <cell r="F6594">
            <v>0</v>
          </cell>
          <cell r="G6594">
            <v>0</v>
          </cell>
        </row>
        <row r="6595">
          <cell r="A6595" t="str">
            <v>55-03-16-0048</v>
          </cell>
          <cell r="B6595">
            <v>0</v>
          </cell>
          <cell r="C6595" t="str">
            <v xml:space="preserve">  ZAM COTTON MILLS LIMITED</v>
          </cell>
          <cell r="D6595">
            <v>0</v>
          </cell>
          <cell r="E6595">
            <v>0</v>
          </cell>
          <cell r="F6595">
            <v>0</v>
          </cell>
          <cell r="G6595">
            <v>0</v>
          </cell>
        </row>
        <row r="6596">
          <cell r="A6596" t="str">
            <v>55-03-16-0049</v>
          </cell>
          <cell r="B6596">
            <v>0</v>
          </cell>
          <cell r="C6596" t="str">
            <v xml:space="preserve">  SAPPHIRE FIBRES LIMITED</v>
          </cell>
          <cell r="D6596">
            <v>0</v>
          </cell>
          <cell r="E6596">
            <v>0</v>
          </cell>
          <cell r="F6596">
            <v>0</v>
          </cell>
          <cell r="G6596">
            <v>0</v>
          </cell>
        </row>
        <row r="6597">
          <cell r="A6597" t="str">
            <v>55-03-16-0050</v>
          </cell>
          <cell r="B6597">
            <v>0</v>
          </cell>
          <cell r="C6597" t="str">
            <v xml:space="preserve">  FORTUNE FIBERS</v>
          </cell>
          <cell r="D6597">
            <v>0</v>
          </cell>
          <cell r="E6597">
            <v>0</v>
          </cell>
          <cell r="F6597">
            <v>0</v>
          </cell>
          <cell r="G6597">
            <v>0</v>
          </cell>
        </row>
        <row r="6598">
          <cell r="A6598" t="str">
            <v>55-03-16-0051</v>
          </cell>
          <cell r="B6598">
            <v>0</v>
          </cell>
          <cell r="C6598" t="str">
            <v xml:space="preserve">  ZEPHYR TEXTILES (PRIVATE) LIMITED</v>
          </cell>
          <cell r="D6598">
            <v>0</v>
          </cell>
          <cell r="E6598">
            <v>0</v>
          </cell>
          <cell r="F6598">
            <v>0</v>
          </cell>
          <cell r="G6598">
            <v>0</v>
          </cell>
        </row>
        <row r="6599">
          <cell r="A6599" t="str">
            <v>55-03-16-0052</v>
          </cell>
          <cell r="B6599">
            <v>0</v>
          </cell>
          <cell r="C6599" t="str">
            <v xml:space="preserve">  SHAJARPAK (PRIVATE) LIMITED</v>
          </cell>
          <cell r="D6599">
            <v>0</v>
          </cell>
          <cell r="E6599">
            <v>0</v>
          </cell>
          <cell r="F6599">
            <v>0</v>
          </cell>
          <cell r="G6599">
            <v>0</v>
          </cell>
        </row>
        <row r="6600">
          <cell r="A6600" t="str">
            <v>55-03-16-0053</v>
          </cell>
          <cell r="B6600">
            <v>0</v>
          </cell>
          <cell r="C6600" t="str">
            <v xml:space="preserve">  AHMED FINE TEXTILE MILLS LIMITED</v>
          </cell>
          <cell r="D6600">
            <v>0</v>
          </cell>
          <cell r="E6600">
            <v>1334</v>
          </cell>
          <cell r="F6600">
            <v>0</v>
          </cell>
          <cell r="G6600">
            <v>0</v>
          </cell>
        </row>
        <row r="6601">
          <cell r="A6601" t="str">
            <v>55-03-16-0054</v>
          </cell>
          <cell r="B6601">
            <v>0</v>
          </cell>
          <cell r="C6601" t="str">
            <v xml:space="preserve">  CHENAB LIMITED</v>
          </cell>
          <cell r="D6601">
            <v>0</v>
          </cell>
          <cell r="E6601">
            <v>0</v>
          </cell>
          <cell r="F6601">
            <v>0</v>
          </cell>
          <cell r="G6601">
            <v>0</v>
          </cell>
        </row>
        <row r="6602">
          <cell r="A6602" t="str">
            <v>55-03-16-0055</v>
          </cell>
          <cell r="B6602">
            <v>0</v>
          </cell>
          <cell r="C6602" t="str">
            <v xml:space="preserve">  AGENTEX</v>
          </cell>
          <cell r="D6602">
            <v>0</v>
          </cell>
          <cell r="E6602">
            <v>0</v>
          </cell>
          <cell r="F6602">
            <v>0</v>
          </cell>
          <cell r="G6602">
            <v>0</v>
          </cell>
        </row>
        <row r="6603">
          <cell r="A6603" t="str">
            <v>55-03-16-0056</v>
          </cell>
          <cell r="B6603">
            <v>0</v>
          </cell>
          <cell r="C6603" t="str">
            <v xml:space="preserve">  MASTER TEXTILE MILLS LTD.</v>
          </cell>
          <cell r="D6603">
            <v>0</v>
          </cell>
          <cell r="E6603">
            <v>0</v>
          </cell>
          <cell r="F6603">
            <v>0</v>
          </cell>
          <cell r="G6603">
            <v>0</v>
          </cell>
        </row>
        <row r="6604">
          <cell r="A6604" t="str">
            <v>55-03-16-0057</v>
          </cell>
          <cell r="B6604">
            <v>0</v>
          </cell>
          <cell r="C6604" t="str">
            <v xml:space="preserve">  AHMAD HASSAN TEXTILE MILLS LTD.</v>
          </cell>
          <cell r="D6604">
            <v>0</v>
          </cell>
          <cell r="E6604">
            <v>0</v>
          </cell>
          <cell r="F6604">
            <v>0</v>
          </cell>
          <cell r="G6604">
            <v>0</v>
          </cell>
        </row>
        <row r="6605">
          <cell r="A6605" t="str">
            <v>55-03-16-0058</v>
          </cell>
          <cell r="B6605">
            <v>0</v>
          </cell>
          <cell r="C6605" t="str">
            <v xml:space="preserve">  KOHINOOR RAIWIND MILLS LTD.</v>
          </cell>
          <cell r="D6605">
            <v>0</v>
          </cell>
          <cell r="E6605">
            <v>0</v>
          </cell>
          <cell r="F6605">
            <v>0</v>
          </cell>
          <cell r="G6605">
            <v>0</v>
          </cell>
        </row>
        <row r="6606">
          <cell r="A6606" t="str">
            <v>55-03-16-0059</v>
          </cell>
          <cell r="B6606">
            <v>0</v>
          </cell>
          <cell r="C6606" t="str">
            <v xml:space="preserve">  BE BE JAN FIBRES (PVT) LTD.</v>
          </cell>
          <cell r="D6606">
            <v>3277206</v>
          </cell>
          <cell r="E6606">
            <v>0</v>
          </cell>
          <cell r="F6606">
            <v>0</v>
          </cell>
          <cell r="G6606">
            <v>0</v>
          </cell>
        </row>
        <row r="6607">
          <cell r="A6607" t="str">
            <v>55-03-16-0060</v>
          </cell>
          <cell r="B6607">
            <v>0</v>
          </cell>
          <cell r="C6607" t="str">
            <v xml:space="preserve">  SHAMS TEXTILE CORPORATION</v>
          </cell>
          <cell r="D6607">
            <v>0</v>
          </cell>
          <cell r="E6607">
            <v>0</v>
          </cell>
          <cell r="F6607">
            <v>0</v>
          </cell>
          <cell r="G6607">
            <v>0</v>
          </cell>
        </row>
        <row r="6608">
          <cell r="A6608" t="str">
            <v>55-03-16-0061</v>
          </cell>
          <cell r="B6608">
            <v>0</v>
          </cell>
          <cell r="C6608" t="str">
            <v xml:space="preserve">  BISMILLAH TEXTILES (PVT) LTD.</v>
          </cell>
          <cell r="D6608">
            <v>1614879</v>
          </cell>
          <cell r="E6608">
            <v>0</v>
          </cell>
          <cell r="F6608">
            <v>0</v>
          </cell>
          <cell r="G6608">
            <v>0</v>
          </cell>
        </row>
        <row r="6609">
          <cell r="A6609" t="str">
            <v>55-03-16-0062</v>
          </cell>
          <cell r="B6609">
            <v>0</v>
          </cell>
          <cell r="C6609" t="str">
            <v xml:space="preserve">  ADAMJEE ENTERPRISES</v>
          </cell>
          <cell r="D6609">
            <v>0</v>
          </cell>
          <cell r="E6609">
            <v>0</v>
          </cell>
          <cell r="F6609">
            <v>0</v>
          </cell>
          <cell r="G6609">
            <v>0</v>
          </cell>
        </row>
        <row r="6610">
          <cell r="A6610" t="str">
            <v>55-03-16-0063</v>
          </cell>
          <cell r="B6610">
            <v>0</v>
          </cell>
          <cell r="C6610" t="str">
            <v xml:space="preserve">  BLESSED TEXTILES LIMITED</v>
          </cell>
          <cell r="D6610">
            <v>989717</v>
          </cell>
          <cell r="E6610">
            <v>0</v>
          </cell>
          <cell r="F6610">
            <v>0</v>
          </cell>
          <cell r="G6610">
            <v>0</v>
          </cell>
        </row>
        <row r="6611">
          <cell r="A6611" t="str">
            <v>55-03-16-0064</v>
          </cell>
          <cell r="B6611">
            <v>0</v>
          </cell>
          <cell r="C6611" t="str">
            <v xml:space="preserve">  KOHINOOR TEXTILE MILLS LTD</v>
          </cell>
          <cell r="D6611">
            <v>4983865</v>
          </cell>
          <cell r="E6611">
            <v>0</v>
          </cell>
          <cell r="F6611">
            <v>0</v>
          </cell>
          <cell r="G6611">
            <v>0</v>
          </cell>
        </row>
        <row r="6612">
          <cell r="A6612" t="str">
            <v>55-03-16-0065</v>
          </cell>
          <cell r="B6612">
            <v>0</v>
          </cell>
          <cell r="C6612" t="str">
            <v xml:space="preserve">  SAMIN TEXTILES LIMITED</v>
          </cell>
          <cell r="D6612">
            <v>851001</v>
          </cell>
          <cell r="E6612">
            <v>0</v>
          </cell>
          <cell r="F6612">
            <v>0</v>
          </cell>
          <cell r="G6612">
            <v>0</v>
          </cell>
        </row>
        <row r="6613">
          <cell r="A6613" t="str">
            <v>55-03-16-0066</v>
          </cell>
          <cell r="B6613">
            <v>0</v>
          </cell>
          <cell r="C6613" t="str">
            <v xml:space="preserve">  GHAZI FABRICS INTERNATIONAL LIMITED</v>
          </cell>
          <cell r="D6613">
            <v>0</v>
          </cell>
          <cell r="E6613">
            <v>0</v>
          </cell>
          <cell r="F6613">
            <v>0</v>
          </cell>
          <cell r="G6613">
            <v>0</v>
          </cell>
        </row>
        <row r="6614">
          <cell r="A6614" t="str">
            <v>55-03-16-0067</v>
          </cell>
          <cell r="B6614">
            <v>0</v>
          </cell>
          <cell r="C6614" t="str">
            <v xml:space="preserve">  GLOVE &amp; GLOVES</v>
          </cell>
          <cell r="D6614">
            <v>0</v>
          </cell>
          <cell r="E6614">
            <v>0</v>
          </cell>
          <cell r="F6614">
            <v>0</v>
          </cell>
          <cell r="G6614">
            <v>0</v>
          </cell>
        </row>
        <row r="6615">
          <cell r="A6615" t="str">
            <v>55-03-16-0068</v>
          </cell>
          <cell r="B6615">
            <v>0</v>
          </cell>
          <cell r="C6615" t="str">
            <v xml:space="preserve">  ROOMI FABRICS LIMITED</v>
          </cell>
          <cell r="D6615">
            <v>0</v>
          </cell>
          <cell r="E6615">
            <v>0</v>
          </cell>
          <cell r="F6615">
            <v>0</v>
          </cell>
          <cell r="G6615">
            <v>0</v>
          </cell>
        </row>
        <row r="6616">
          <cell r="A6616" t="str">
            <v>55-03-16-0069</v>
          </cell>
          <cell r="B6616">
            <v>0</v>
          </cell>
          <cell r="C6616" t="str">
            <v xml:space="preserve">  PARAMOUNT SPINNING MILLS LTD</v>
          </cell>
          <cell r="D6616">
            <v>0</v>
          </cell>
          <cell r="E6616">
            <v>0</v>
          </cell>
          <cell r="F6616">
            <v>0</v>
          </cell>
          <cell r="G6616">
            <v>0</v>
          </cell>
        </row>
        <row r="6617">
          <cell r="A6617" t="str">
            <v>55-03-16-0070</v>
          </cell>
          <cell r="B6617">
            <v>0</v>
          </cell>
          <cell r="C6617" t="str">
            <v xml:space="preserve">  SHAFI TEXCEL LIMITED</v>
          </cell>
          <cell r="D6617">
            <v>0</v>
          </cell>
          <cell r="E6617">
            <v>0</v>
          </cell>
          <cell r="F6617">
            <v>0</v>
          </cell>
          <cell r="G6617">
            <v>0</v>
          </cell>
        </row>
        <row r="6618">
          <cell r="A6618" t="str">
            <v>55-03-16-0071</v>
          </cell>
          <cell r="B6618">
            <v>0</v>
          </cell>
          <cell r="C6618" t="str">
            <v xml:space="preserve">  RANYAL TEXTILES</v>
          </cell>
          <cell r="D6618">
            <v>0</v>
          </cell>
          <cell r="E6618">
            <v>0</v>
          </cell>
          <cell r="F6618">
            <v>0</v>
          </cell>
          <cell r="G6618">
            <v>0</v>
          </cell>
        </row>
        <row r="6619">
          <cell r="A6619" t="str">
            <v>55-03-16-0072</v>
          </cell>
          <cell r="B6619">
            <v>0</v>
          </cell>
          <cell r="C6619" t="str">
            <v xml:space="preserve">  LIBERTY MILLS LIMITED</v>
          </cell>
          <cell r="D6619">
            <v>0</v>
          </cell>
          <cell r="E6619">
            <v>0</v>
          </cell>
          <cell r="F6619">
            <v>0</v>
          </cell>
          <cell r="G6619">
            <v>0</v>
          </cell>
        </row>
        <row r="6620">
          <cell r="A6620" t="str">
            <v>55-03-16-0073</v>
          </cell>
          <cell r="B6620">
            <v>0</v>
          </cell>
          <cell r="C6620" t="str">
            <v xml:space="preserve">  DIAMOND FABRICS LIMITED UNIT 2</v>
          </cell>
          <cell r="D6620">
            <v>0</v>
          </cell>
          <cell r="E6620">
            <v>0</v>
          </cell>
          <cell r="F6620">
            <v>0</v>
          </cell>
          <cell r="G6620">
            <v>0</v>
          </cell>
        </row>
        <row r="6621">
          <cell r="A6621" t="str">
            <v>55-03-17</v>
          </cell>
          <cell r="B6621">
            <v>0</v>
          </cell>
          <cell r="C6621" t="str">
            <v>***FABCOT INTERNATIONAL</v>
          </cell>
          <cell r="D6621">
            <v>0</v>
          </cell>
          <cell r="E6621">
            <v>2443</v>
          </cell>
          <cell r="F6621">
            <v>0</v>
          </cell>
          <cell r="G6621">
            <v>2443</v>
          </cell>
        </row>
        <row r="6622">
          <cell r="A6622" t="str">
            <v>55-03-17-0001</v>
          </cell>
          <cell r="B6622">
            <v>2443</v>
          </cell>
          <cell r="C6622" t="str">
            <v xml:space="preserve">  KOHINOOR WEAVING MILLS LTD</v>
          </cell>
          <cell r="D6622">
            <v>0</v>
          </cell>
          <cell r="E6622">
            <v>0</v>
          </cell>
          <cell r="F6622">
            <v>0</v>
          </cell>
          <cell r="G6622">
            <v>0</v>
          </cell>
        </row>
        <row r="6623">
          <cell r="A6623" t="str">
            <v>55-03-17-0002</v>
          </cell>
          <cell r="B6623">
            <v>0</v>
          </cell>
          <cell r="C6623" t="str">
            <v xml:space="preserve">  KOHINOOR TEXTILE MILLS LTD</v>
          </cell>
          <cell r="D6623">
            <v>0</v>
          </cell>
          <cell r="E6623">
            <v>2443</v>
          </cell>
          <cell r="F6623">
            <v>0</v>
          </cell>
          <cell r="G6623">
            <v>0</v>
          </cell>
        </row>
        <row r="6624">
          <cell r="A6624" t="str">
            <v>55-04</v>
          </cell>
          <cell r="B6624">
            <v>0</v>
          </cell>
          <cell r="C6624" t="str">
            <v>**TRADE DEBTOR (EXPORT)</v>
          </cell>
          <cell r="D6624">
            <v>269906553.77999997</v>
          </cell>
          <cell r="E6624">
            <v>0</v>
          </cell>
          <cell r="F6624">
            <v>269906553.77999997</v>
          </cell>
          <cell r="G6624">
            <v>0</v>
          </cell>
        </row>
        <row r="6625">
          <cell r="A6625" t="str">
            <v>55-04-01</v>
          </cell>
          <cell r="B6625">
            <v>0</v>
          </cell>
          <cell r="C6625" t="str">
            <v>***EXPORT DEBTORS</v>
          </cell>
          <cell r="D6625">
            <v>269906553.77999997</v>
          </cell>
          <cell r="E6625">
            <v>0</v>
          </cell>
          <cell r="F6625">
            <v>269906553.77999997</v>
          </cell>
          <cell r="G6625">
            <v>0</v>
          </cell>
        </row>
        <row r="6626">
          <cell r="A6626" t="str">
            <v>55-04-01-0001</v>
          </cell>
          <cell r="B6626">
            <v>0</v>
          </cell>
          <cell r="C6626" t="str">
            <v xml:space="preserve">  HUSUAN CHAN TRADING COMPANY.</v>
          </cell>
          <cell r="D6626">
            <v>0</v>
          </cell>
          <cell r="E6626">
            <v>0</v>
          </cell>
          <cell r="F6626">
            <v>0</v>
          </cell>
          <cell r="G6626">
            <v>0</v>
          </cell>
        </row>
        <row r="6627">
          <cell r="A6627" t="str">
            <v>55-04-01-0002</v>
          </cell>
          <cell r="B6627">
            <v>0</v>
          </cell>
          <cell r="C6627" t="str">
            <v xml:space="preserve">  SUCESS TONE</v>
          </cell>
          <cell r="D6627">
            <v>0</v>
          </cell>
          <cell r="E6627">
            <v>0</v>
          </cell>
          <cell r="F6627">
            <v>0</v>
          </cell>
          <cell r="G6627">
            <v>0</v>
          </cell>
        </row>
        <row r="6628">
          <cell r="A6628" t="str">
            <v>55-04-01-0003</v>
          </cell>
          <cell r="B6628">
            <v>0</v>
          </cell>
          <cell r="C6628" t="str">
            <v xml:space="preserve">  GULF TEXTILE COMPANY LIMITED</v>
          </cell>
          <cell r="D6628">
            <v>0</v>
          </cell>
          <cell r="E6628">
            <v>0</v>
          </cell>
          <cell r="F6628">
            <v>0</v>
          </cell>
          <cell r="G6628">
            <v>0</v>
          </cell>
        </row>
        <row r="6629">
          <cell r="A6629" t="str">
            <v>55-04-01-0004</v>
          </cell>
          <cell r="B6629">
            <v>0</v>
          </cell>
          <cell r="C6629" t="str">
            <v xml:space="preserve">  NEF+CO SWITZERLAND.</v>
          </cell>
          <cell r="D6629">
            <v>0</v>
          </cell>
          <cell r="E6629">
            <v>0</v>
          </cell>
          <cell r="F6629">
            <v>0</v>
          </cell>
          <cell r="G6629">
            <v>0</v>
          </cell>
        </row>
        <row r="6630">
          <cell r="A6630" t="str">
            <v>55-04-01-0005</v>
          </cell>
          <cell r="B6630">
            <v>0</v>
          </cell>
          <cell r="C6630" t="str">
            <v xml:space="preserve">  SUBBIFIL SPA VIA CAMPO SPORTIVO ITALY</v>
          </cell>
          <cell r="D6630">
            <v>0</v>
          </cell>
          <cell r="E6630">
            <v>0</v>
          </cell>
          <cell r="F6630">
            <v>0</v>
          </cell>
          <cell r="G6630">
            <v>0</v>
          </cell>
        </row>
        <row r="6631">
          <cell r="A6631" t="str">
            <v>55-04-01-0006</v>
          </cell>
          <cell r="B6631">
            <v>0</v>
          </cell>
          <cell r="C6631" t="str">
            <v xml:space="preserve">  TAECHANG ENTERPRISES CO., LTD.</v>
          </cell>
          <cell r="D6631">
            <v>0</v>
          </cell>
          <cell r="E6631">
            <v>0</v>
          </cell>
          <cell r="F6631">
            <v>0</v>
          </cell>
          <cell r="G6631">
            <v>0</v>
          </cell>
        </row>
        <row r="6632">
          <cell r="A6632" t="str">
            <v>55-04-01-0007</v>
          </cell>
          <cell r="B6632">
            <v>0</v>
          </cell>
          <cell r="C6632" t="str">
            <v xml:space="preserve">  LEAHANDER TRADING LIMITED</v>
          </cell>
          <cell r="D6632">
            <v>0</v>
          </cell>
          <cell r="E6632">
            <v>0</v>
          </cell>
          <cell r="F6632">
            <v>0</v>
          </cell>
          <cell r="G6632">
            <v>0</v>
          </cell>
        </row>
        <row r="6633">
          <cell r="A6633" t="str">
            <v>55-04-01-0008</v>
          </cell>
          <cell r="B6633">
            <v>0</v>
          </cell>
          <cell r="C6633" t="str">
            <v xml:space="preserve">  GLOBEX PTE LTD.</v>
          </cell>
          <cell r="D6633">
            <v>0</v>
          </cell>
          <cell r="E6633">
            <v>0</v>
          </cell>
          <cell r="F6633">
            <v>0</v>
          </cell>
          <cell r="G6633">
            <v>0</v>
          </cell>
        </row>
        <row r="6634">
          <cell r="A6634" t="str">
            <v>55-04-01-0009</v>
          </cell>
          <cell r="B6634">
            <v>0</v>
          </cell>
          <cell r="C6634" t="str">
            <v xml:space="preserve">  GOA TAY CO.. LTD.</v>
          </cell>
          <cell r="D6634">
            <v>0</v>
          </cell>
          <cell r="E6634">
            <v>0</v>
          </cell>
          <cell r="F6634">
            <v>0</v>
          </cell>
          <cell r="G6634">
            <v>0</v>
          </cell>
        </row>
        <row r="6635">
          <cell r="A6635" t="str">
            <v>55-04-01-0010</v>
          </cell>
          <cell r="B6635">
            <v>0</v>
          </cell>
          <cell r="C6635" t="str">
            <v xml:space="preserve">  SUNG AN SYNTHETICS INC</v>
          </cell>
          <cell r="D6635">
            <v>0</v>
          </cell>
          <cell r="E6635">
            <v>0</v>
          </cell>
          <cell r="F6635">
            <v>0</v>
          </cell>
          <cell r="G6635">
            <v>0</v>
          </cell>
        </row>
        <row r="6636">
          <cell r="A6636" t="str">
            <v>55-04-01-0011</v>
          </cell>
          <cell r="B6636">
            <v>0</v>
          </cell>
          <cell r="C6636" t="str">
            <v xml:space="preserve">  BRYANT YARN INC.</v>
          </cell>
          <cell r="D6636">
            <v>0</v>
          </cell>
          <cell r="E6636">
            <v>0</v>
          </cell>
          <cell r="F6636">
            <v>0</v>
          </cell>
          <cell r="G6636">
            <v>0</v>
          </cell>
        </row>
        <row r="6637">
          <cell r="A6637" t="str">
            <v>55-04-01-0012</v>
          </cell>
          <cell r="B6637">
            <v>0</v>
          </cell>
          <cell r="C6637" t="str">
            <v xml:space="preserve">  LIEN MING TEXTILE CO.. LTD</v>
          </cell>
          <cell r="D6637">
            <v>0</v>
          </cell>
          <cell r="E6637">
            <v>0</v>
          </cell>
          <cell r="F6637">
            <v>0</v>
          </cell>
          <cell r="G6637">
            <v>0</v>
          </cell>
        </row>
        <row r="6638">
          <cell r="A6638" t="str">
            <v>55-04-01-0013</v>
          </cell>
          <cell r="B6638">
            <v>0</v>
          </cell>
          <cell r="C6638" t="str">
            <v xml:space="preserve">  SUNIKORN</v>
          </cell>
          <cell r="D6638">
            <v>0</v>
          </cell>
          <cell r="E6638">
            <v>0</v>
          </cell>
          <cell r="F6638">
            <v>0</v>
          </cell>
          <cell r="G6638">
            <v>0</v>
          </cell>
        </row>
        <row r="6639">
          <cell r="A6639" t="str">
            <v>55-04-01-0014</v>
          </cell>
          <cell r="B6639">
            <v>0</v>
          </cell>
          <cell r="C6639" t="str">
            <v xml:space="preserve">  B.G GERMANY</v>
          </cell>
          <cell r="D6639">
            <v>0</v>
          </cell>
          <cell r="E6639">
            <v>0</v>
          </cell>
          <cell r="F6639">
            <v>0</v>
          </cell>
          <cell r="G6639">
            <v>0</v>
          </cell>
        </row>
        <row r="6640">
          <cell r="A6640" t="str">
            <v>55-04-01-0015</v>
          </cell>
          <cell r="B6640">
            <v>0</v>
          </cell>
          <cell r="C6640" t="str">
            <v xml:space="preserve">  LANGE SPA ITALY</v>
          </cell>
          <cell r="D6640">
            <v>0</v>
          </cell>
          <cell r="E6640">
            <v>0</v>
          </cell>
          <cell r="F6640">
            <v>0</v>
          </cell>
          <cell r="G6640">
            <v>0</v>
          </cell>
        </row>
        <row r="6641">
          <cell r="A6641" t="str">
            <v>55-04-01-0016</v>
          </cell>
          <cell r="B6641">
            <v>0</v>
          </cell>
          <cell r="C6641" t="str">
            <v xml:space="preserve">  SHINWON</v>
          </cell>
          <cell r="D6641">
            <v>0</v>
          </cell>
          <cell r="E6641">
            <v>0</v>
          </cell>
          <cell r="F6641">
            <v>0</v>
          </cell>
          <cell r="G6641">
            <v>0</v>
          </cell>
        </row>
        <row r="6642">
          <cell r="A6642" t="str">
            <v>55-04-01-0017</v>
          </cell>
          <cell r="B6642">
            <v>0</v>
          </cell>
          <cell r="C6642" t="str">
            <v xml:space="preserve">  MAINYARD</v>
          </cell>
          <cell r="D6642">
            <v>0</v>
          </cell>
          <cell r="E6642">
            <v>0</v>
          </cell>
          <cell r="F6642">
            <v>0</v>
          </cell>
          <cell r="G6642">
            <v>0</v>
          </cell>
        </row>
        <row r="6643">
          <cell r="A6643" t="str">
            <v>55-04-01-0018</v>
          </cell>
          <cell r="B6643">
            <v>0</v>
          </cell>
          <cell r="C6643" t="str">
            <v xml:space="preserve">  KNIT PLUS</v>
          </cell>
          <cell r="D6643">
            <v>0</v>
          </cell>
          <cell r="E6643">
            <v>0</v>
          </cell>
          <cell r="F6643">
            <v>0</v>
          </cell>
          <cell r="G6643">
            <v>0</v>
          </cell>
        </row>
        <row r="6644">
          <cell r="A6644" t="str">
            <v>55-04-01-0019</v>
          </cell>
          <cell r="B6644">
            <v>0</v>
          </cell>
          <cell r="C6644" t="str">
            <v xml:space="preserve">  SAUDI SPPINNING</v>
          </cell>
          <cell r="D6644">
            <v>0</v>
          </cell>
          <cell r="E6644">
            <v>0</v>
          </cell>
          <cell r="F6644">
            <v>0</v>
          </cell>
          <cell r="G6644">
            <v>0</v>
          </cell>
        </row>
        <row r="6645">
          <cell r="A6645" t="str">
            <v>55-04-01-0020</v>
          </cell>
          <cell r="B6645">
            <v>0</v>
          </cell>
          <cell r="C6645" t="str">
            <v xml:space="preserve">  TEXTILE INDUSTRIES COMPANY</v>
          </cell>
          <cell r="D6645">
            <v>0</v>
          </cell>
          <cell r="E6645">
            <v>0</v>
          </cell>
          <cell r="F6645">
            <v>0</v>
          </cell>
          <cell r="G6645">
            <v>0</v>
          </cell>
        </row>
        <row r="6646">
          <cell r="A6646" t="str">
            <v>55-04-01-0021</v>
          </cell>
          <cell r="B6646">
            <v>0</v>
          </cell>
          <cell r="C6646" t="str">
            <v xml:space="preserve">  HIND INTERNATIONAL</v>
          </cell>
          <cell r="D6646">
            <v>0</v>
          </cell>
          <cell r="E6646">
            <v>0</v>
          </cell>
          <cell r="F6646">
            <v>0</v>
          </cell>
          <cell r="G6646">
            <v>0</v>
          </cell>
        </row>
        <row r="6647">
          <cell r="A6647" t="str">
            <v>55-04-01-0022</v>
          </cell>
          <cell r="B6647">
            <v>0</v>
          </cell>
          <cell r="C6647" t="str">
            <v xml:space="preserve">  EDWARD WONG AND CO.</v>
          </cell>
          <cell r="D6647">
            <v>0</v>
          </cell>
          <cell r="E6647">
            <v>0</v>
          </cell>
          <cell r="F6647">
            <v>0</v>
          </cell>
          <cell r="G6647">
            <v>0</v>
          </cell>
        </row>
        <row r="6648">
          <cell r="A6648" t="str">
            <v>55-04-01-0023</v>
          </cell>
          <cell r="B6648">
            <v>0</v>
          </cell>
          <cell r="C6648" t="str">
            <v xml:space="preserve">  CURRIMJEE JEWAN JEE</v>
          </cell>
          <cell r="D6648">
            <v>0</v>
          </cell>
          <cell r="E6648">
            <v>0</v>
          </cell>
          <cell r="F6648">
            <v>0</v>
          </cell>
          <cell r="G6648">
            <v>0</v>
          </cell>
        </row>
        <row r="6649">
          <cell r="A6649" t="str">
            <v>55-04-01-0024</v>
          </cell>
          <cell r="B6649">
            <v>0</v>
          </cell>
          <cell r="C6649" t="str">
            <v xml:space="preserve">  UNIVERSAL WEAVING MILLS</v>
          </cell>
          <cell r="D6649">
            <v>0</v>
          </cell>
          <cell r="E6649">
            <v>0</v>
          </cell>
          <cell r="F6649">
            <v>0</v>
          </cell>
          <cell r="G6649">
            <v>0</v>
          </cell>
        </row>
        <row r="6650">
          <cell r="A6650" t="str">
            <v>55-04-01-0025</v>
          </cell>
          <cell r="B6650">
            <v>0</v>
          </cell>
          <cell r="C6650" t="str">
            <v xml:space="preserve">  AL KEMAL</v>
          </cell>
          <cell r="D6650">
            <v>0</v>
          </cell>
          <cell r="E6650">
            <v>0</v>
          </cell>
          <cell r="F6650">
            <v>0</v>
          </cell>
          <cell r="G6650">
            <v>0</v>
          </cell>
        </row>
        <row r="6651">
          <cell r="A6651" t="str">
            <v>55-04-01-0026</v>
          </cell>
          <cell r="B6651">
            <v>0</v>
          </cell>
          <cell r="C6651" t="str">
            <v xml:space="preserve">  VALMAN S.P.A</v>
          </cell>
          <cell r="D6651">
            <v>0</v>
          </cell>
          <cell r="E6651">
            <v>0</v>
          </cell>
          <cell r="F6651">
            <v>0</v>
          </cell>
          <cell r="G6651">
            <v>0</v>
          </cell>
        </row>
        <row r="6652">
          <cell r="A6652" t="str">
            <v>55-04-01-0027</v>
          </cell>
          <cell r="B6652">
            <v>0</v>
          </cell>
          <cell r="C6652" t="str">
            <v xml:space="preserve">  BOSIFIL SPA</v>
          </cell>
          <cell r="D6652">
            <v>0</v>
          </cell>
          <cell r="E6652">
            <v>0</v>
          </cell>
          <cell r="F6652">
            <v>0</v>
          </cell>
          <cell r="G6652">
            <v>0</v>
          </cell>
        </row>
        <row r="6653">
          <cell r="A6653" t="str">
            <v>55-04-01-0028</v>
          </cell>
          <cell r="B6653">
            <v>0</v>
          </cell>
          <cell r="C6653" t="str">
            <v xml:space="preserve">  EURO INTERNATIONAL PTE LTD</v>
          </cell>
          <cell r="D6653">
            <v>0</v>
          </cell>
          <cell r="E6653">
            <v>0</v>
          </cell>
          <cell r="F6653">
            <v>0</v>
          </cell>
          <cell r="G6653">
            <v>0</v>
          </cell>
        </row>
        <row r="6654">
          <cell r="A6654" t="str">
            <v>55-04-01-0029</v>
          </cell>
          <cell r="B6654">
            <v>0</v>
          </cell>
          <cell r="C6654" t="str">
            <v xml:space="preserve">  KYUNGBANG LIMITED</v>
          </cell>
          <cell r="D6654">
            <v>0</v>
          </cell>
          <cell r="E6654">
            <v>0</v>
          </cell>
          <cell r="F6654">
            <v>0</v>
          </cell>
          <cell r="G6654">
            <v>0</v>
          </cell>
        </row>
        <row r="6655">
          <cell r="A6655" t="str">
            <v>55-04-01-0030</v>
          </cell>
          <cell r="B6655">
            <v>0</v>
          </cell>
          <cell r="C6655" t="str">
            <v xml:space="preserve">  SAEHAN INDUSTRIES</v>
          </cell>
          <cell r="D6655">
            <v>0</v>
          </cell>
          <cell r="E6655">
            <v>0</v>
          </cell>
          <cell r="F6655">
            <v>0</v>
          </cell>
          <cell r="G6655">
            <v>0</v>
          </cell>
        </row>
        <row r="6656">
          <cell r="A6656" t="str">
            <v>55-04-01-0031</v>
          </cell>
          <cell r="B6656">
            <v>0</v>
          </cell>
          <cell r="C6656" t="str">
            <v xml:space="preserve">  CHONBANG CO LIMITED</v>
          </cell>
          <cell r="D6656">
            <v>0</v>
          </cell>
          <cell r="E6656">
            <v>0</v>
          </cell>
          <cell r="F6656">
            <v>0</v>
          </cell>
          <cell r="G6656">
            <v>0</v>
          </cell>
        </row>
        <row r="6657">
          <cell r="A6657" t="str">
            <v>55-04-01-0032</v>
          </cell>
          <cell r="B6657">
            <v>0</v>
          </cell>
          <cell r="C6657" t="str">
            <v xml:space="preserve">  MODERN TOWELS (BD)LTD</v>
          </cell>
          <cell r="D6657">
            <v>0</v>
          </cell>
          <cell r="E6657">
            <v>0</v>
          </cell>
          <cell r="F6657">
            <v>0</v>
          </cell>
          <cell r="G6657">
            <v>0</v>
          </cell>
        </row>
        <row r="6658">
          <cell r="A6658" t="str">
            <v>55-04-01-0033</v>
          </cell>
          <cell r="B6658">
            <v>0</v>
          </cell>
          <cell r="C6658" t="str">
            <v xml:space="preserve">  JINIL TRADING</v>
          </cell>
          <cell r="D6658">
            <v>0</v>
          </cell>
          <cell r="E6658">
            <v>0</v>
          </cell>
          <cell r="F6658">
            <v>0</v>
          </cell>
          <cell r="G6658">
            <v>0</v>
          </cell>
        </row>
        <row r="6659">
          <cell r="A6659" t="str">
            <v>55-04-01-0034</v>
          </cell>
          <cell r="B6659">
            <v>0</v>
          </cell>
          <cell r="C6659" t="str">
            <v xml:space="preserve">  PT.PABERIK TEKSTIL KASRIE</v>
          </cell>
          <cell r="D6659">
            <v>0</v>
          </cell>
          <cell r="E6659">
            <v>0</v>
          </cell>
          <cell r="F6659">
            <v>0</v>
          </cell>
          <cell r="G6659">
            <v>0</v>
          </cell>
        </row>
        <row r="6660">
          <cell r="A6660" t="str">
            <v>55-04-01-0035</v>
          </cell>
          <cell r="B6660">
            <v>0</v>
          </cell>
          <cell r="C6660" t="str">
            <v xml:space="preserve">  KARIM'S INTL USA</v>
          </cell>
          <cell r="D6660">
            <v>0</v>
          </cell>
          <cell r="E6660">
            <v>0</v>
          </cell>
          <cell r="F6660">
            <v>0</v>
          </cell>
          <cell r="G6660">
            <v>0</v>
          </cell>
        </row>
        <row r="6661">
          <cell r="A6661" t="str">
            <v>55-04-01-0036</v>
          </cell>
          <cell r="B6661">
            <v>0</v>
          </cell>
          <cell r="C6661" t="str">
            <v xml:space="preserve">  CROWN'S MILLS (CD) BANGLADESH</v>
          </cell>
          <cell r="D6661">
            <v>0</v>
          </cell>
          <cell r="E6661">
            <v>0</v>
          </cell>
          <cell r="F6661">
            <v>0</v>
          </cell>
          <cell r="G6661">
            <v>0</v>
          </cell>
        </row>
        <row r="6662">
          <cell r="A6662" t="str">
            <v>55-04-01-0037</v>
          </cell>
          <cell r="B6662">
            <v>0</v>
          </cell>
          <cell r="C6662" t="str">
            <v xml:space="preserve">  SAMIL SPINNINGS KOREA</v>
          </cell>
          <cell r="D6662">
            <v>0</v>
          </cell>
          <cell r="E6662">
            <v>0</v>
          </cell>
          <cell r="F6662">
            <v>0</v>
          </cell>
          <cell r="G6662">
            <v>0</v>
          </cell>
        </row>
        <row r="6663">
          <cell r="A6663" t="str">
            <v>55-04-01-0038</v>
          </cell>
          <cell r="B6663">
            <v>0</v>
          </cell>
          <cell r="C6663" t="str">
            <v xml:space="preserve">  EASYTEX TEXTILES LTD</v>
          </cell>
          <cell r="D6663">
            <v>0</v>
          </cell>
          <cell r="E6663">
            <v>0</v>
          </cell>
          <cell r="F6663">
            <v>0</v>
          </cell>
          <cell r="G6663">
            <v>0</v>
          </cell>
        </row>
        <row r="6664">
          <cell r="A6664" t="str">
            <v>55-04-01-0039</v>
          </cell>
          <cell r="B6664">
            <v>0</v>
          </cell>
          <cell r="C6664" t="str">
            <v xml:space="preserve">  WEBER + HEUSSER</v>
          </cell>
          <cell r="D6664">
            <v>0</v>
          </cell>
          <cell r="E6664">
            <v>0</v>
          </cell>
          <cell r="F6664">
            <v>0</v>
          </cell>
          <cell r="G6664">
            <v>0</v>
          </cell>
        </row>
        <row r="6665">
          <cell r="A6665" t="str">
            <v>55-04-01-0040</v>
          </cell>
          <cell r="B6665">
            <v>0</v>
          </cell>
          <cell r="C6665" t="str">
            <v xml:space="preserve">  SAM WON CO LTD</v>
          </cell>
          <cell r="D6665">
            <v>0</v>
          </cell>
          <cell r="E6665">
            <v>0</v>
          </cell>
          <cell r="F6665">
            <v>0</v>
          </cell>
          <cell r="G6665">
            <v>0</v>
          </cell>
        </row>
        <row r="6666">
          <cell r="A6666" t="str">
            <v>55-04-01-0041</v>
          </cell>
          <cell r="B6666">
            <v>0</v>
          </cell>
          <cell r="C6666" t="str">
            <v xml:space="preserve">  ARAB CO</v>
          </cell>
          <cell r="D6666">
            <v>0</v>
          </cell>
          <cell r="E6666">
            <v>0</v>
          </cell>
          <cell r="F6666">
            <v>0</v>
          </cell>
          <cell r="G6666">
            <v>0</v>
          </cell>
        </row>
        <row r="6667">
          <cell r="A6667" t="str">
            <v>55-04-01-0042</v>
          </cell>
          <cell r="B6667">
            <v>0</v>
          </cell>
          <cell r="C6667" t="str">
            <v xml:space="preserve">  ASEA LTDA</v>
          </cell>
          <cell r="D6667">
            <v>0</v>
          </cell>
          <cell r="E6667">
            <v>0</v>
          </cell>
          <cell r="F6667">
            <v>0</v>
          </cell>
          <cell r="G6667">
            <v>0</v>
          </cell>
        </row>
        <row r="6668">
          <cell r="A6668" t="str">
            <v>55-04-01-0043</v>
          </cell>
          <cell r="B6668">
            <v>0</v>
          </cell>
          <cell r="C6668" t="str">
            <v xml:space="preserve">  FENG YA TEXTILE LTD</v>
          </cell>
          <cell r="D6668">
            <v>0</v>
          </cell>
          <cell r="E6668">
            <v>0</v>
          </cell>
          <cell r="F6668">
            <v>0</v>
          </cell>
          <cell r="G6668">
            <v>0</v>
          </cell>
        </row>
        <row r="6669">
          <cell r="A6669" t="str">
            <v>55-04-01-0044</v>
          </cell>
          <cell r="B6669">
            <v>0</v>
          </cell>
          <cell r="C6669" t="str">
            <v xml:space="preserve">  MARHABA TEXTILE CO LTD</v>
          </cell>
          <cell r="D6669">
            <v>0</v>
          </cell>
          <cell r="E6669">
            <v>0</v>
          </cell>
          <cell r="F6669">
            <v>0</v>
          </cell>
          <cell r="G6669">
            <v>0</v>
          </cell>
        </row>
        <row r="6670">
          <cell r="A6670" t="str">
            <v>55-04-01-0045</v>
          </cell>
          <cell r="B6670">
            <v>0</v>
          </cell>
          <cell r="C6670" t="str">
            <v xml:space="preserve">  WOR INTERNATIONAL USA</v>
          </cell>
          <cell r="D6670">
            <v>0</v>
          </cell>
          <cell r="E6670">
            <v>0</v>
          </cell>
          <cell r="F6670">
            <v>0</v>
          </cell>
          <cell r="G6670">
            <v>0</v>
          </cell>
        </row>
        <row r="6671">
          <cell r="A6671" t="str">
            <v>55-04-01-0046</v>
          </cell>
          <cell r="B6671">
            <v>0</v>
          </cell>
          <cell r="C6671" t="str">
            <v xml:space="preserve">  COGETEX SA</v>
          </cell>
          <cell r="D6671">
            <v>0</v>
          </cell>
          <cell r="E6671">
            <v>0</v>
          </cell>
          <cell r="F6671">
            <v>0</v>
          </cell>
          <cell r="G6671">
            <v>0</v>
          </cell>
        </row>
        <row r="6672">
          <cell r="A6672" t="str">
            <v>55-04-01-0047</v>
          </cell>
          <cell r="B6672">
            <v>0</v>
          </cell>
          <cell r="C6672" t="str">
            <v xml:space="preserve">  C &amp; J CLOTHING .</v>
          </cell>
          <cell r="D6672">
            <v>0</v>
          </cell>
          <cell r="E6672">
            <v>0</v>
          </cell>
          <cell r="F6672">
            <v>0</v>
          </cell>
          <cell r="G6672">
            <v>0</v>
          </cell>
        </row>
        <row r="6673">
          <cell r="A6673" t="str">
            <v>55-04-01-0048</v>
          </cell>
          <cell r="B6673">
            <v>0</v>
          </cell>
          <cell r="C6673" t="str">
            <v xml:space="preserve">  TOTTINGTON LIMITED</v>
          </cell>
          <cell r="D6673">
            <v>0</v>
          </cell>
          <cell r="E6673">
            <v>0</v>
          </cell>
          <cell r="F6673">
            <v>0</v>
          </cell>
          <cell r="G6673">
            <v>0</v>
          </cell>
        </row>
        <row r="6674">
          <cell r="A6674" t="str">
            <v>55-04-01-0049</v>
          </cell>
          <cell r="B6674">
            <v>0</v>
          </cell>
          <cell r="C6674" t="str">
            <v xml:space="preserve">  PREMIER TEXTILE</v>
          </cell>
          <cell r="D6674">
            <v>0</v>
          </cell>
          <cell r="E6674">
            <v>0</v>
          </cell>
          <cell r="F6674">
            <v>0</v>
          </cell>
          <cell r="G6674">
            <v>0</v>
          </cell>
        </row>
        <row r="6675">
          <cell r="A6675" t="str">
            <v>55-04-01-0050</v>
          </cell>
          <cell r="B6675">
            <v>0</v>
          </cell>
          <cell r="C6675" t="str">
            <v xml:space="preserve">  FLOWERS SWITZERLAND</v>
          </cell>
          <cell r="D6675">
            <v>0</v>
          </cell>
          <cell r="E6675">
            <v>0</v>
          </cell>
          <cell r="F6675">
            <v>0</v>
          </cell>
          <cell r="G6675">
            <v>0</v>
          </cell>
        </row>
        <row r="6676">
          <cell r="A6676" t="str">
            <v>55-04-01-0051</v>
          </cell>
          <cell r="B6676">
            <v>0</v>
          </cell>
          <cell r="C6676" t="str">
            <v xml:space="preserve">  YOUNG DO TEXTILE CO LTD</v>
          </cell>
          <cell r="D6676">
            <v>0</v>
          </cell>
          <cell r="E6676">
            <v>0</v>
          </cell>
          <cell r="F6676">
            <v>0</v>
          </cell>
          <cell r="G6676">
            <v>0</v>
          </cell>
        </row>
        <row r="6677">
          <cell r="A6677" t="str">
            <v>55-04-01-0052</v>
          </cell>
          <cell r="B6677">
            <v>0</v>
          </cell>
          <cell r="C6677" t="str">
            <v xml:space="preserve">  WOORIM TRADING CO LTD</v>
          </cell>
          <cell r="D6677">
            <v>0</v>
          </cell>
          <cell r="E6677">
            <v>0</v>
          </cell>
          <cell r="F6677">
            <v>0</v>
          </cell>
          <cell r="G6677">
            <v>0</v>
          </cell>
        </row>
        <row r="6678">
          <cell r="A6678" t="str">
            <v>55-04-01-0053</v>
          </cell>
          <cell r="B6678">
            <v>0</v>
          </cell>
          <cell r="C6678" t="str">
            <v xml:space="preserve">  HYOSUNG TRADING CO LTD</v>
          </cell>
          <cell r="D6678">
            <v>0</v>
          </cell>
          <cell r="E6678">
            <v>0</v>
          </cell>
          <cell r="F6678">
            <v>0</v>
          </cell>
          <cell r="G6678">
            <v>0</v>
          </cell>
        </row>
        <row r="6679">
          <cell r="A6679" t="str">
            <v>55-04-01-0054</v>
          </cell>
          <cell r="B6679">
            <v>0</v>
          </cell>
          <cell r="C6679" t="str">
            <v xml:space="preserve">  GRANADA TRADING CO</v>
          </cell>
          <cell r="D6679">
            <v>0</v>
          </cell>
          <cell r="E6679">
            <v>0</v>
          </cell>
          <cell r="F6679">
            <v>0</v>
          </cell>
          <cell r="G6679">
            <v>0</v>
          </cell>
        </row>
        <row r="6680">
          <cell r="A6680" t="str">
            <v>55-04-01-0055</v>
          </cell>
          <cell r="B6680">
            <v>0</v>
          </cell>
          <cell r="C6680" t="str">
            <v xml:space="preserve">  NALIS-INDURTRIA COMERCIO DE</v>
          </cell>
          <cell r="D6680">
            <v>0</v>
          </cell>
          <cell r="E6680">
            <v>0</v>
          </cell>
          <cell r="F6680">
            <v>0</v>
          </cell>
          <cell r="G6680">
            <v>0</v>
          </cell>
        </row>
        <row r="6681">
          <cell r="A6681" t="str">
            <v>55-04-01-0056</v>
          </cell>
          <cell r="B6681">
            <v>0</v>
          </cell>
          <cell r="C6681" t="str">
            <v xml:space="preserve">  A.TEXTIL SANTO TIRSO , LDA</v>
          </cell>
          <cell r="D6681">
            <v>0</v>
          </cell>
          <cell r="E6681">
            <v>0</v>
          </cell>
          <cell r="F6681">
            <v>0</v>
          </cell>
          <cell r="G6681">
            <v>0</v>
          </cell>
        </row>
        <row r="6682">
          <cell r="A6682" t="str">
            <v>55-04-01-0057</v>
          </cell>
          <cell r="B6682">
            <v>0</v>
          </cell>
          <cell r="C6682" t="str">
            <v xml:space="preserve">  FUDEM SPA</v>
          </cell>
          <cell r="D6682">
            <v>0</v>
          </cell>
          <cell r="E6682">
            <v>0</v>
          </cell>
          <cell r="F6682">
            <v>0</v>
          </cell>
          <cell r="G6682">
            <v>0</v>
          </cell>
        </row>
        <row r="6683">
          <cell r="A6683" t="str">
            <v>55-04-01-0058</v>
          </cell>
          <cell r="B6683">
            <v>0</v>
          </cell>
          <cell r="C6683" t="str">
            <v xml:space="preserve">  HADO RESOURCES CO LTD</v>
          </cell>
          <cell r="D6683">
            <v>0</v>
          </cell>
          <cell r="E6683">
            <v>0</v>
          </cell>
          <cell r="F6683">
            <v>0</v>
          </cell>
          <cell r="G6683">
            <v>0</v>
          </cell>
        </row>
        <row r="6684">
          <cell r="A6684" t="str">
            <v>55-04-01-0059</v>
          </cell>
          <cell r="B6684">
            <v>0</v>
          </cell>
          <cell r="C6684" t="str">
            <v xml:space="preserve">  PT.ERATEX DJAJA LTD</v>
          </cell>
          <cell r="D6684">
            <v>0</v>
          </cell>
          <cell r="E6684">
            <v>0</v>
          </cell>
          <cell r="F6684">
            <v>0</v>
          </cell>
          <cell r="G6684">
            <v>0</v>
          </cell>
        </row>
        <row r="6685">
          <cell r="A6685" t="str">
            <v>55-04-01-0060</v>
          </cell>
          <cell r="B6685">
            <v>0</v>
          </cell>
          <cell r="C6685" t="str">
            <v xml:space="preserve">  LEAGUER TEXTILES LIMITED</v>
          </cell>
          <cell r="D6685">
            <v>0</v>
          </cell>
          <cell r="E6685">
            <v>0</v>
          </cell>
          <cell r="F6685">
            <v>0</v>
          </cell>
          <cell r="G6685">
            <v>0</v>
          </cell>
        </row>
        <row r="6686">
          <cell r="A6686" t="str">
            <v>55-04-01-0061</v>
          </cell>
          <cell r="B6686">
            <v>0</v>
          </cell>
          <cell r="C6686" t="str">
            <v xml:space="preserve">  DONG-BO TRADING CO LTD</v>
          </cell>
          <cell r="D6686">
            <v>0</v>
          </cell>
          <cell r="E6686">
            <v>0</v>
          </cell>
          <cell r="F6686">
            <v>0</v>
          </cell>
          <cell r="G6686">
            <v>0</v>
          </cell>
        </row>
        <row r="6687">
          <cell r="A6687" t="str">
            <v>55-04-01-0062</v>
          </cell>
          <cell r="B6687">
            <v>0</v>
          </cell>
          <cell r="C6687" t="str">
            <v xml:space="preserve">  EGS EGESER GIYIM SAN .IC VE DIS TIC</v>
          </cell>
          <cell r="D6687">
            <v>0</v>
          </cell>
          <cell r="E6687">
            <v>0</v>
          </cell>
          <cell r="F6687">
            <v>0</v>
          </cell>
          <cell r="G6687">
            <v>0</v>
          </cell>
        </row>
        <row r="6688">
          <cell r="A6688" t="str">
            <v>55-04-01-0063</v>
          </cell>
          <cell r="B6688">
            <v>0</v>
          </cell>
          <cell r="C6688" t="str">
            <v xml:space="preserve">  CTD FRANCE</v>
          </cell>
          <cell r="D6688">
            <v>0</v>
          </cell>
          <cell r="E6688">
            <v>0</v>
          </cell>
          <cell r="F6688">
            <v>0</v>
          </cell>
          <cell r="G6688">
            <v>0</v>
          </cell>
        </row>
        <row r="6689">
          <cell r="A6689" t="str">
            <v>55-04-01-0064</v>
          </cell>
          <cell r="B6689">
            <v>0</v>
          </cell>
          <cell r="C6689" t="str">
            <v xml:space="preserve">  BILQUIS LIMITED</v>
          </cell>
          <cell r="D6689">
            <v>0</v>
          </cell>
          <cell r="E6689">
            <v>0</v>
          </cell>
          <cell r="F6689">
            <v>0</v>
          </cell>
          <cell r="G6689">
            <v>0</v>
          </cell>
        </row>
        <row r="6690">
          <cell r="A6690" t="str">
            <v>55-04-01-0065</v>
          </cell>
          <cell r="B6690">
            <v>0</v>
          </cell>
          <cell r="C6690" t="str">
            <v xml:space="preserve">  REBAR TEXTILE</v>
          </cell>
          <cell r="D6690">
            <v>0</v>
          </cell>
          <cell r="E6690">
            <v>0</v>
          </cell>
          <cell r="F6690">
            <v>0</v>
          </cell>
          <cell r="G6690">
            <v>0</v>
          </cell>
        </row>
        <row r="6691">
          <cell r="A6691" t="str">
            <v>55-04-01-0066</v>
          </cell>
          <cell r="B6691">
            <v>0</v>
          </cell>
          <cell r="C6691" t="str">
            <v xml:space="preserve">  INTERFIOS</v>
          </cell>
          <cell r="D6691">
            <v>0</v>
          </cell>
          <cell r="E6691">
            <v>0</v>
          </cell>
          <cell r="F6691">
            <v>0</v>
          </cell>
          <cell r="G6691">
            <v>0</v>
          </cell>
        </row>
        <row r="6692">
          <cell r="A6692" t="str">
            <v>55-04-01-0067</v>
          </cell>
          <cell r="B6692">
            <v>0</v>
          </cell>
          <cell r="C6692" t="str">
            <v xml:space="preserve">  TAIHAN TEXTILE CO LTD</v>
          </cell>
          <cell r="D6692">
            <v>0</v>
          </cell>
          <cell r="E6692">
            <v>0</v>
          </cell>
          <cell r="F6692">
            <v>0</v>
          </cell>
          <cell r="G6692">
            <v>0</v>
          </cell>
        </row>
        <row r="6693">
          <cell r="A6693" t="str">
            <v>55-04-01-0068</v>
          </cell>
          <cell r="B6693">
            <v>0</v>
          </cell>
          <cell r="C6693" t="str">
            <v xml:space="preserve">  A.J.S</v>
          </cell>
          <cell r="D6693">
            <v>0</v>
          </cell>
          <cell r="E6693">
            <v>0</v>
          </cell>
          <cell r="F6693">
            <v>0</v>
          </cell>
          <cell r="G6693">
            <v>0</v>
          </cell>
        </row>
        <row r="6694">
          <cell r="A6694" t="str">
            <v>55-04-01-0069</v>
          </cell>
          <cell r="B6694">
            <v>0</v>
          </cell>
          <cell r="C6694" t="str">
            <v xml:space="preserve">  SIGRI WEAVING MILLS</v>
          </cell>
          <cell r="D6694">
            <v>0</v>
          </cell>
          <cell r="E6694">
            <v>0</v>
          </cell>
          <cell r="F6694">
            <v>0</v>
          </cell>
          <cell r="G6694">
            <v>0</v>
          </cell>
        </row>
        <row r="6695">
          <cell r="A6695" t="str">
            <v>55-04-01-0070</v>
          </cell>
          <cell r="B6695">
            <v>0</v>
          </cell>
          <cell r="C6695" t="str">
            <v xml:space="preserve">  CAROTEX</v>
          </cell>
          <cell r="D6695">
            <v>0</v>
          </cell>
          <cell r="E6695">
            <v>0</v>
          </cell>
          <cell r="F6695">
            <v>0</v>
          </cell>
          <cell r="G6695">
            <v>0</v>
          </cell>
        </row>
        <row r="6696">
          <cell r="A6696" t="str">
            <v>55-04-01-0071</v>
          </cell>
          <cell r="B6696">
            <v>0</v>
          </cell>
          <cell r="C6696" t="str">
            <v xml:space="preserve">  FASHION BUSSINESS CORP. U.S.A</v>
          </cell>
          <cell r="D6696">
            <v>0</v>
          </cell>
          <cell r="E6696">
            <v>0</v>
          </cell>
          <cell r="F6696">
            <v>0</v>
          </cell>
          <cell r="G6696">
            <v>0</v>
          </cell>
        </row>
        <row r="6697">
          <cell r="A6697" t="str">
            <v>55-04-01-0072</v>
          </cell>
          <cell r="B6697">
            <v>0</v>
          </cell>
          <cell r="C6697" t="str">
            <v xml:space="preserve">  DENIZ TEKSTIL SAN</v>
          </cell>
          <cell r="D6697">
            <v>0</v>
          </cell>
          <cell r="E6697">
            <v>0</v>
          </cell>
          <cell r="F6697">
            <v>0</v>
          </cell>
          <cell r="G6697">
            <v>0</v>
          </cell>
        </row>
        <row r="6698">
          <cell r="A6698" t="str">
            <v>55-04-01-0073</v>
          </cell>
          <cell r="B6698">
            <v>0</v>
          </cell>
          <cell r="C6698" t="str">
            <v xml:space="preserve">  FRETTE SPA  ITALY</v>
          </cell>
          <cell r="D6698">
            <v>0</v>
          </cell>
          <cell r="E6698">
            <v>0</v>
          </cell>
          <cell r="F6698">
            <v>0</v>
          </cell>
          <cell r="G6698">
            <v>0</v>
          </cell>
        </row>
        <row r="6699">
          <cell r="A6699" t="str">
            <v>55-04-01-0074</v>
          </cell>
          <cell r="B6699">
            <v>0</v>
          </cell>
          <cell r="C6699" t="str">
            <v xml:space="preserve">  KOREA TOWEL</v>
          </cell>
          <cell r="D6699">
            <v>0</v>
          </cell>
          <cell r="E6699">
            <v>0</v>
          </cell>
          <cell r="F6699">
            <v>0</v>
          </cell>
          <cell r="G6699">
            <v>0</v>
          </cell>
        </row>
        <row r="6700">
          <cell r="A6700" t="str">
            <v>55-04-01-0075</v>
          </cell>
          <cell r="B6700">
            <v>0</v>
          </cell>
          <cell r="C6700" t="str">
            <v xml:space="preserve">  CHOONGNAM KOREA</v>
          </cell>
          <cell r="D6700">
            <v>0</v>
          </cell>
          <cell r="E6700">
            <v>0</v>
          </cell>
          <cell r="F6700">
            <v>0</v>
          </cell>
          <cell r="G6700">
            <v>0</v>
          </cell>
        </row>
        <row r="6701">
          <cell r="A6701" t="str">
            <v>55-04-01-0076</v>
          </cell>
          <cell r="B6701">
            <v>0</v>
          </cell>
          <cell r="C6701" t="str">
            <v xml:space="preserve">  COLOMBO</v>
          </cell>
          <cell r="D6701">
            <v>0</v>
          </cell>
          <cell r="E6701">
            <v>0</v>
          </cell>
          <cell r="F6701">
            <v>0</v>
          </cell>
          <cell r="G6701">
            <v>0</v>
          </cell>
        </row>
        <row r="6702">
          <cell r="A6702" t="str">
            <v>55-04-01-0077</v>
          </cell>
          <cell r="B6702">
            <v>0</v>
          </cell>
          <cell r="C6702" t="str">
            <v xml:space="preserve">  SEJI MULSAN CO LTD</v>
          </cell>
          <cell r="D6702">
            <v>0</v>
          </cell>
          <cell r="E6702">
            <v>0</v>
          </cell>
          <cell r="F6702">
            <v>0</v>
          </cell>
          <cell r="G6702">
            <v>0</v>
          </cell>
        </row>
        <row r="6703">
          <cell r="A6703" t="str">
            <v>55-04-01-0078</v>
          </cell>
          <cell r="B6703">
            <v>0</v>
          </cell>
          <cell r="C6703" t="str">
            <v xml:space="preserve">  ABOUL ENIEN</v>
          </cell>
          <cell r="D6703">
            <v>0</v>
          </cell>
          <cell r="E6703">
            <v>0</v>
          </cell>
          <cell r="F6703">
            <v>0</v>
          </cell>
          <cell r="G6703">
            <v>0</v>
          </cell>
        </row>
        <row r="6704">
          <cell r="A6704" t="str">
            <v>55-04-01-0079</v>
          </cell>
          <cell r="B6704">
            <v>0</v>
          </cell>
          <cell r="C6704" t="str">
            <v xml:space="preserve">  TESSITURA LANGE SRL VIA</v>
          </cell>
          <cell r="D6704">
            <v>0</v>
          </cell>
          <cell r="E6704">
            <v>0</v>
          </cell>
          <cell r="F6704">
            <v>0</v>
          </cell>
          <cell r="G6704">
            <v>0</v>
          </cell>
        </row>
        <row r="6705">
          <cell r="A6705" t="str">
            <v>55-04-01-0080</v>
          </cell>
          <cell r="B6705">
            <v>0</v>
          </cell>
          <cell r="C6705" t="str">
            <v xml:space="preserve">  T.GARANATI  BANKASI A.S.</v>
          </cell>
          <cell r="D6705">
            <v>0</v>
          </cell>
          <cell r="E6705">
            <v>0</v>
          </cell>
          <cell r="F6705">
            <v>0</v>
          </cell>
          <cell r="G6705">
            <v>0</v>
          </cell>
        </row>
        <row r="6706">
          <cell r="A6706" t="str">
            <v>55-04-01-0081</v>
          </cell>
          <cell r="B6706">
            <v>0</v>
          </cell>
          <cell r="C6706" t="str">
            <v xml:space="preserve">  CASCAMIFICIO FRIULANO SPA</v>
          </cell>
          <cell r="D6706">
            <v>0</v>
          </cell>
          <cell r="E6706">
            <v>0</v>
          </cell>
          <cell r="F6706">
            <v>0</v>
          </cell>
          <cell r="G6706">
            <v>0</v>
          </cell>
        </row>
        <row r="6707">
          <cell r="A6707" t="str">
            <v>55-04-01-0082</v>
          </cell>
          <cell r="B6707">
            <v>0</v>
          </cell>
          <cell r="C6707" t="str">
            <v xml:space="preserve">  HONOUR FAST DEVELOPING CORP.</v>
          </cell>
          <cell r="D6707">
            <v>0</v>
          </cell>
          <cell r="E6707">
            <v>0</v>
          </cell>
          <cell r="F6707">
            <v>0</v>
          </cell>
          <cell r="G6707">
            <v>0</v>
          </cell>
        </row>
        <row r="6708">
          <cell r="A6708" t="str">
            <v>55-04-01-0083</v>
          </cell>
          <cell r="B6708">
            <v>0</v>
          </cell>
          <cell r="C6708" t="str">
            <v xml:space="preserve">  DONG YANG TEXTILE MFG CO</v>
          </cell>
          <cell r="D6708">
            <v>0</v>
          </cell>
          <cell r="E6708">
            <v>0</v>
          </cell>
          <cell r="F6708">
            <v>0</v>
          </cell>
          <cell r="G6708">
            <v>0</v>
          </cell>
        </row>
        <row r="6709">
          <cell r="A6709" t="str">
            <v>55-04-01-0084</v>
          </cell>
          <cell r="B6709">
            <v>0</v>
          </cell>
          <cell r="C6709" t="str">
            <v xml:space="preserve">  CHUNG HO SPINNING CO LTD</v>
          </cell>
          <cell r="D6709">
            <v>0</v>
          </cell>
          <cell r="E6709">
            <v>0</v>
          </cell>
          <cell r="F6709">
            <v>0</v>
          </cell>
          <cell r="G6709">
            <v>0</v>
          </cell>
        </row>
        <row r="6710">
          <cell r="A6710" t="str">
            <v>55-04-01-0085</v>
          </cell>
          <cell r="B6710">
            <v>0</v>
          </cell>
          <cell r="C6710" t="str">
            <v xml:space="preserve">  FILCOT HANDELS</v>
          </cell>
          <cell r="D6710">
            <v>0</v>
          </cell>
          <cell r="E6710">
            <v>0</v>
          </cell>
          <cell r="F6710">
            <v>0</v>
          </cell>
          <cell r="G6710">
            <v>0</v>
          </cell>
        </row>
        <row r="6711">
          <cell r="A6711" t="str">
            <v>55-04-01-0086</v>
          </cell>
          <cell r="B6711">
            <v>0</v>
          </cell>
          <cell r="C6711" t="str">
            <v xml:space="preserve">  DICE  SPORT'S AND CASUAL WEAR</v>
          </cell>
          <cell r="D6711">
            <v>0</v>
          </cell>
          <cell r="E6711">
            <v>0</v>
          </cell>
          <cell r="F6711">
            <v>0</v>
          </cell>
          <cell r="G6711">
            <v>0</v>
          </cell>
        </row>
        <row r="6712">
          <cell r="A6712" t="str">
            <v>55-04-01-0087</v>
          </cell>
          <cell r="B6712">
            <v>0</v>
          </cell>
          <cell r="C6712" t="str">
            <v xml:space="preserve">  HENIRICH OTTO KG (H.O.K)</v>
          </cell>
          <cell r="D6712">
            <v>0</v>
          </cell>
          <cell r="E6712">
            <v>0</v>
          </cell>
          <cell r="F6712">
            <v>0</v>
          </cell>
          <cell r="G6712">
            <v>0</v>
          </cell>
        </row>
        <row r="6713">
          <cell r="A6713" t="str">
            <v>55-04-01-0088</v>
          </cell>
          <cell r="B6713">
            <v>0</v>
          </cell>
          <cell r="C6713" t="str">
            <v xml:space="preserve">  BECKMANN + VAGEDES</v>
          </cell>
          <cell r="D6713">
            <v>0</v>
          </cell>
          <cell r="E6713">
            <v>0</v>
          </cell>
          <cell r="F6713">
            <v>0</v>
          </cell>
          <cell r="G6713">
            <v>0</v>
          </cell>
        </row>
        <row r="6714">
          <cell r="A6714" t="str">
            <v>55-04-01-0089</v>
          </cell>
          <cell r="B6714">
            <v>0</v>
          </cell>
          <cell r="C6714" t="str">
            <v xml:space="preserve">  DMC TISSUS</v>
          </cell>
          <cell r="D6714">
            <v>0</v>
          </cell>
          <cell r="E6714">
            <v>0</v>
          </cell>
          <cell r="F6714">
            <v>0</v>
          </cell>
          <cell r="G6714">
            <v>0</v>
          </cell>
        </row>
        <row r="6715">
          <cell r="A6715" t="str">
            <v>55-04-01-0090</v>
          </cell>
          <cell r="B6715">
            <v>0</v>
          </cell>
          <cell r="C6715" t="str">
            <v xml:space="preserve">  CONFECCOES CALVI DE  EUGENIO</v>
          </cell>
          <cell r="D6715">
            <v>0</v>
          </cell>
          <cell r="E6715">
            <v>0</v>
          </cell>
          <cell r="F6715">
            <v>0</v>
          </cell>
          <cell r="G6715">
            <v>0</v>
          </cell>
        </row>
        <row r="6716">
          <cell r="A6716" t="str">
            <v>55-04-01-0091</v>
          </cell>
          <cell r="B6716">
            <v>0</v>
          </cell>
          <cell r="C6716" t="str">
            <v xml:space="preserve">  COSTA &amp; CARNEIRO, LDA.</v>
          </cell>
          <cell r="D6716">
            <v>0</v>
          </cell>
          <cell r="E6716">
            <v>0</v>
          </cell>
          <cell r="F6716">
            <v>0</v>
          </cell>
          <cell r="G6716">
            <v>0</v>
          </cell>
        </row>
        <row r="6717">
          <cell r="A6717" t="str">
            <v>55-04-01-0092</v>
          </cell>
          <cell r="B6717">
            <v>0</v>
          </cell>
          <cell r="C6717" t="str">
            <v xml:space="preserve">  FONTANA - PIGNATTI</v>
          </cell>
          <cell r="D6717">
            <v>0</v>
          </cell>
          <cell r="E6717">
            <v>0</v>
          </cell>
          <cell r="F6717">
            <v>0</v>
          </cell>
          <cell r="G6717">
            <v>0</v>
          </cell>
        </row>
        <row r="6718">
          <cell r="A6718" t="str">
            <v>55-04-01-0093</v>
          </cell>
          <cell r="B6718">
            <v>0</v>
          </cell>
          <cell r="C6718" t="str">
            <v xml:space="preserve">  KABOOL LACE (PVT) LTD.</v>
          </cell>
          <cell r="D6718">
            <v>0</v>
          </cell>
          <cell r="E6718">
            <v>0</v>
          </cell>
          <cell r="F6718">
            <v>0</v>
          </cell>
          <cell r="G6718">
            <v>0</v>
          </cell>
        </row>
        <row r="6719">
          <cell r="A6719" t="str">
            <v>55-04-01-0094</v>
          </cell>
          <cell r="B6719">
            <v>0</v>
          </cell>
          <cell r="C6719" t="str">
            <v xml:space="preserve">  A.M.- ARMAZEM DE MALHAS</v>
          </cell>
          <cell r="D6719">
            <v>0</v>
          </cell>
          <cell r="E6719">
            <v>0</v>
          </cell>
          <cell r="F6719">
            <v>0</v>
          </cell>
          <cell r="G6719">
            <v>0</v>
          </cell>
        </row>
        <row r="6720">
          <cell r="A6720" t="str">
            <v>55-04-01-0095</v>
          </cell>
          <cell r="B6720">
            <v>0</v>
          </cell>
          <cell r="C6720" t="str">
            <v xml:space="preserve">  BELTRAMI TOWELLING SRL</v>
          </cell>
          <cell r="D6720">
            <v>0</v>
          </cell>
          <cell r="E6720">
            <v>0</v>
          </cell>
          <cell r="F6720">
            <v>0</v>
          </cell>
          <cell r="G6720">
            <v>0</v>
          </cell>
        </row>
        <row r="6721">
          <cell r="A6721" t="str">
            <v>55-04-01-0096</v>
          </cell>
          <cell r="B6721">
            <v>0</v>
          </cell>
          <cell r="C6721" t="str">
            <v xml:space="preserve">  VILARTEX EMPRESA DE MALHAS VILARINHO L</v>
          </cell>
          <cell r="D6721">
            <v>0</v>
          </cell>
          <cell r="E6721">
            <v>0</v>
          </cell>
          <cell r="F6721">
            <v>0</v>
          </cell>
          <cell r="G6721">
            <v>0</v>
          </cell>
        </row>
        <row r="6722">
          <cell r="A6722" t="str">
            <v>55-04-01-0097</v>
          </cell>
          <cell r="B6722">
            <v>0</v>
          </cell>
          <cell r="C6722" t="str">
            <v xml:space="preserve">  ARVIND MILLS LIMITED</v>
          </cell>
          <cell r="D6722">
            <v>0</v>
          </cell>
          <cell r="E6722">
            <v>0</v>
          </cell>
          <cell r="F6722">
            <v>0</v>
          </cell>
          <cell r="G6722">
            <v>0</v>
          </cell>
        </row>
        <row r="6723">
          <cell r="A6723" t="str">
            <v>55-04-01-0098</v>
          </cell>
          <cell r="B6723">
            <v>0</v>
          </cell>
          <cell r="C6723" t="str">
            <v xml:space="preserve">  CARSLIFOS - COMERCIO DE FIOS,</v>
          </cell>
          <cell r="D6723">
            <v>0</v>
          </cell>
          <cell r="E6723">
            <v>0</v>
          </cell>
          <cell r="F6723">
            <v>0</v>
          </cell>
          <cell r="G6723">
            <v>0</v>
          </cell>
        </row>
        <row r="6724">
          <cell r="A6724" t="str">
            <v>55-04-01-0099</v>
          </cell>
          <cell r="B6724">
            <v>0</v>
          </cell>
          <cell r="C6724" t="str">
            <v xml:space="preserve">  NILE CLOTHING</v>
          </cell>
          <cell r="D6724">
            <v>0</v>
          </cell>
          <cell r="E6724">
            <v>0</v>
          </cell>
          <cell r="F6724">
            <v>0</v>
          </cell>
          <cell r="G6724">
            <v>0</v>
          </cell>
        </row>
        <row r="6725">
          <cell r="A6725" t="str">
            <v>55-04-01-0100</v>
          </cell>
          <cell r="B6725">
            <v>0</v>
          </cell>
          <cell r="C6725" t="str">
            <v xml:space="preserve">  CAROLINA FABRICS LTD</v>
          </cell>
          <cell r="D6725">
            <v>0</v>
          </cell>
          <cell r="E6725">
            <v>0</v>
          </cell>
          <cell r="F6725">
            <v>0</v>
          </cell>
          <cell r="G6725">
            <v>0</v>
          </cell>
        </row>
        <row r="6726">
          <cell r="A6726" t="str">
            <v>55-04-01-0101</v>
          </cell>
          <cell r="B6726">
            <v>0</v>
          </cell>
          <cell r="C6726" t="str">
            <v xml:space="preserve">  MR.HUMBEL</v>
          </cell>
          <cell r="D6726">
            <v>0</v>
          </cell>
          <cell r="E6726">
            <v>0</v>
          </cell>
          <cell r="F6726">
            <v>0</v>
          </cell>
          <cell r="G6726">
            <v>0</v>
          </cell>
        </row>
        <row r="6727">
          <cell r="A6727" t="str">
            <v>55-04-01-0102</v>
          </cell>
          <cell r="B6727">
            <v>0</v>
          </cell>
          <cell r="C6727" t="str">
            <v xml:space="preserve">  JCT LIMITED</v>
          </cell>
          <cell r="D6727">
            <v>0</v>
          </cell>
          <cell r="E6727">
            <v>0</v>
          </cell>
          <cell r="F6727">
            <v>0</v>
          </cell>
          <cell r="G6727">
            <v>0</v>
          </cell>
        </row>
        <row r="6728">
          <cell r="A6728" t="str">
            <v>55-04-01-0103</v>
          </cell>
          <cell r="B6728">
            <v>0</v>
          </cell>
          <cell r="C6728" t="str">
            <v xml:space="preserve">  CHIEN SHUM TEXTILE CO LTD</v>
          </cell>
          <cell r="D6728">
            <v>0</v>
          </cell>
          <cell r="E6728">
            <v>0</v>
          </cell>
          <cell r="F6728">
            <v>0</v>
          </cell>
          <cell r="G6728">
            <v>0</v>
          </cell>
        </row>
        <row r="6729">
          <cell r="A6729" t="str">
            <v>55-04-01-0104</v>
          </cell>
          <cell r="B6729">
            <v>0</v>
          </cell>
          <cell r="C6729" t="str">
            <v xml:space="preserve">  MONTEIRO + COSTA LDA</v>
          </cell>
          <cell r="D6729">
            <v>0</v>
          </cell>
          <cell r="E6729">
            <v>0</v>
          </cell>
          <cell r="F6729">
            <v>0</v>
          </cell>
          <cell r="G6729">
            <v>0</v>
          </cell>
        </row>
        <row r="6730">
          <cell r="A6730" t="str">
            <v>55-04-01-0105</v>
          </cell>
          <cell r="B6730">
            <v>0</v>
          </cell>
          <cell r="C6730" t="str">
            <v xml:space="preserve">  K.COTTON AND GAUZE CO.,LTD</v>
          </cell>
          <cell r="D6730">
            <v>0</v>
          </cell>
          <cell r="E6730">
            <v>0</v>
          </cell>
          <cell r="F6730">
            <v>0</v>
          </cell>
          <cell r="G6730">
            <v>0</v>
          </cell>
        </row>
        <row r="6731">
          <cell r="A6731" t="str">
            <v>55-04-01-0106</v>
          </cell>
          <cell r="B6731">
            <v>0</v>
          </cell>
          <cell r="C6731" t="str">
            <v xml:space="preserve">  CRONY APPARELS LTD</v>
          </cell>
          <cell r="D6731">
            <v>0</v>
          </cell>
          <cell r="E6731">
            <v>0</v>
          </cell>
          <cell r="F6731">
            <v>0</v>
          </cell>
          <cell r="G6731">
            <v>0</v>
          </cell>
        </row>
        <row r="6732">
          <cell r="A6732" t="str">
            <v>55-04-01-0107</v>
          </cell>
          <cell r="B6732">
            <v>0</v>
          </cell>
          <cell r="C6732" t="str">
            <v xml:space="preserve">  I.C.T.INTERNATIONAL COTTON TRADING CO</v>
          </cell>
          <cell r="D6732">
            <v>0</v>
          </cell>
          <cell r="E6732">
            <v>0</v>
          </cell>
          <cell r="F6732">
            <v>0</v>
          </cell>
          <cell r="G6732">
            <v>0</v>
          </cell>
        </row>
        <row r="6733">
          <cell r="A6733" t="str">
            <v>55-04-01-0108</v>
          </cell>
          <cell r="B6733">
            <v>0</v>
          </cell>
          <cell r="C6733" t="str">
            <v xml:space="preserve">  SUN CHIEN TEXTILE CO LTD</v>
          </cell>
          <cell r="D6733">
            <v>0</v>
          </cell>
          <cell r="E6733">
            <v>0</v>
          </cell>
          <cell r="F6733">
            <v>0</v>
          </cell>
          <cell r="G6733">
            <v>0</v>
          </cell>
        </row>
        <row r="6734">
          <cell r="A6734" t="str">
            <v>55-04-01-0109</v>
          </cell>
          <cell r="B6734">
            <v>0</v>
          </cell>
          <cell r="C6734" t="str">
            <v xml:space="preserve">  FILARTEX SPA</v>
          </cell>
          <cell r="D6734">
            <v>0</v>
          </cell>
          <cell r="E6734">
            <v>0</v>
          </cell>
          <cell r="F6734">
            <v>0</v>
          </cell>
          <cell r="G6734">
            <v>0</v>
          </cell>
        </row>
        <row r="6735">
          <cell r="A6735" t="str">
            <v>55-04-01-0110</v>
          </cell>
          <cell r="B6735">
            <v>0</v>
          </cell>
          <cell r="C6735" t="str">
            <v xml:space="preserve">  CELTEX WEAVING MILLS</v>
          </cell>
          <cell r="D6735">
            <v>0</v>
          </cell>
          <cell r="E6735">
            <v>0</v>
          </cell>
          <cell r="F6735">
            <v>0</v>
          </cell>
          <cell r="G6735">
            <v>0</v>
          </cell>
        </row>
        <row r="6736">
          <cell r="A6736" t="str">
            <v>55-04-01-0111</v>
          </cell>
          <cell r="B6736">
            <v>0</v>
          </cell>
          <cell r="C6736" t="str">
            <v xml:space="preserve">  TEXTILAGE NTUR BRUNNER AG</v>
          </cell>
          <cell r="D6736">
            <v>0</v>
          </cell>
          <cell r="E6736">
            <v>0</v>
          </cell>
          <cell r="F6736">
            <v>0</v>
          </cell>
          <cell r="G6736">
            <v>0</v>
          </cell>
        </row>
        <row r="6737">
          <cell r="A6737" t="str">
            <v>55-04-01-0112</v>
          </cell>
          <cell r="B6737">
            <v>0</v>
          </cell>
          <cell r="C6737" t="str">
            <v xml:space="preserve">  PANG RIM CO LTD</v>
          </cell>
          <cell r="D6737">
            <v>0</v>
          </cell>
          <cell r="E6737">
            <v>0</v>
          </cell>
          <cell r="F6737">
            <v>0</v>
          </cell>
          <cell r="G6737">
            <v>0</v>
          </cell>
        </row>
        <row r="6738">
          <cell r="A6738" t="str">
            <v>55-04-01-0113</v>
          </cell>
          <cell r="B6738">
            <v>0</v>
          </cell>
          <cell r="C6738" t="str">
            <v xml:space="preserve">  SOCOWA</v>
          </cell>
          <cell r="D6738">
            <v>0</v>
          </cell>
          <cell r="E6738">
            <v>0</v>
          </cell>
          <cell r="F6738">
            <v>0</v>
          </cell>
          <cell r="G6738">
            <v>0</v>
          </cell>
        </row>
        <row r="6739">
          <cell r="A6739" t="str">
            <v>55-04-01-0114</v>
          </cell>
          <cell r="B6739">
            <v>0</v>
          </cell>
          <cell r="C6739" t="str">
            <v xml:space="preserve">  GML PORTUGAL</v>
          </cell>
          <cell r="D6739">
            <v>0</v>
          </cell>
          <cell r="E6739">
            <v>0</v>
          </cell>
          <cell r="F6739">
            <v>0</v>
          </cell>
          <cell r="G6739">
            <v>0</v>
          </cell>
        </row>
        <row r="6740">
          <cell r="A6740" t="str">
            <v>55-04-01-0115</v>
          </cell>
          <cell r="B6740">
            <v>0</v>
          </cell>
          <cell r="C6740" t="str">
            <v xml:space="preserve">  GESTIONI TESSILI CANTONI SPA</v>
          </cell>
          <cell r="D6740">
            <v>0</v>
          </cell>
          <cell r="E6740">
            <v>0</v>
          </cell>
          <cell r="F6740">
            <v>0</v>
          </cell>
          <cell r="G6740">
            <v>0</v>
          </cell>
        </row>
        <row r="6741">
          <cell r="A6741" t="str">
            <v>55-04-01-0116</v>
          </cell>
          <cell r="B6741">
            <v>0</v>
          </cell>
          <cell r="C6741" t="str">
            <v xml:space="preserve">  MANIFATTURA FIL .PA.VIA</v>
          </cell>
          <cell r="D6741">
            <v>0</v>
          </cell>
          <cell r="E6741">
            <v>0</v>
          </cell>
          <cell r="F6741">
            <v>0</v>
          </cell>
          <cell r="G6741">
            <v>0</v>
          </cell>
        </row>
        <row r="6742">
          <cell r="A6742" t="str">
            <v>55-04-01-0117</v>
          </cell>
          <cell r="B6742">
            <v>0</v>
          </cell>
          <cell r="C6742" t="str">
            <v xml:space="preserve">  DONDINI ALDO</v>
          </cell>
          <cell r="D6742">
            <v>0</v>
          </cell>
          <cell r="E6742">
            <v>0</v>
          </cell>
          <cell r="F6742">
            <v>0</v>
          </cell>
          <cell r="G6742">
            <v>0</v>
          </cell>
        </row>
        <row r="6743">
          <cell r="A6743" t="str">
            <v>55-04-01-0118</v>
          </cell>
          <cell r="B6743">
            <v>0</v>
          </cell>
          <cell r="C6743" t="str">
            <v xml:space="preserve">  GIORGINI</v>
          </cell>
          <cell r="D6743">
            <v>0</v>
          </cell>
          <cell r="E6743">
            <v>0</v>
          </cell>
          <cell r="F6743">
            <v>0</v>
          </cell>
          <cell r="G6743">
            <v>0</v>
          </cell>
        </row>
        <row r="6744">
          <cell r="A6744" t="str">
            <v>55-04-01-0119</v>
          </cell>
          <cell r="B6744">
            <v>0</v>
          </cell>
          <cell r="C6744" t="str">
            <v xml:space="preserve">  FIBEROPTION INC.</v>
          </cell>
          <cell r="D6744">
            <v>0</v>
          </cell>
          <cell r="E6744">
            <v>0</v>
          </cell>
          <cell r="F6744">
            <v>0</v>
          </cell>
          <cell r="G6744">
            <v>0</v>
          </cell>
        </row>
        <row r="6745">
          <cell r="A6745" t="str">
            <v>55-04-01-0120</v>
          </cell>
          <cell r="B6745">
            <v>0</v>
          </cell>
          <cell r="C6745" t="str">
            <v xml:space="preserve">  SOUTHEASTERN YARN SALES</v>
          </cell>
          <cell r="D6745">
            <v>0</v>
          </cell>
          <cell r="E6745">
            <v>0</v>
          </cell>
          <cell r="F6745">
            <v>0</v>
          </cell>
          <cell r="G6745">
            <v>0</v>
          </cell>
        </row>
        <row r="6746">
          <cell r="A6746" t="str">
            <v>55-04-01-0121</v>
          </cell>
          <cell r="B6746">
            <v>0</v>
          </cell>
          <cell r="C6746" t="str">
            <v xml:space="preserve">  S.A.ARMA RUE VICTOR</v>
          </cell>
          <cell r="D6746">
            <v>0</v>
          </cell>
          <cell r="E6746">
            <v>0</v>
          </cell>
          <cell r="F6746">
            <v>0</v>
          </cell>
          <cell r="G6746">
            <v>0</v>
          </cell>
        </row>
        <row r="6747">
          <cell r="A6747" t="str">
            <v>55-04-01-0122</v>
          </cell>
          <cell r="B6747">
            <v>0</v>
          </cell>
          <cell r="C6747" t="str">
            <v xml:space="preserve">  CWC TEXTIL AG ZURICH</v>
          </cell>
          <cell r="D6747">
            <v>0</v>
          </cell>
          <cell r="E6747">
            <v>0</v>
          </cell>
          <cell r="F6747">
            <v>0</v>
          </cell>
          <cell r="G6747">
            <v>0</v>
          </cell>
        </row>
        <row r="6748">
          <cell r="A6748" t="str">
            <v>55-04-01-0123</v>
          </cell>
          <cell r="B6748">
            <v>0</v>
          </cell>
          <cell r="C6748" t="str">
            <v xml:space="preserve">  PALADJIAN SA PIRAEUS</v>
          </cell>
          <cell r="D6748">
            <v>0</v>
          </cell>
          <cell r="E6748">
            <v>0</v>
          </cell>
          <cell r="F6748">
            <v>0</v>
          </cell>
          <cell r="G6748">
            <v>0</v>
          </cell>
        </row>
        <row r="6749">
          <cell r="A6749" t="str">
            <v>55-04-01-0124</v>
          </cell>
          <cell r="B6749">
            <v>0</v>
          </cell>
          <cell r="C6749" t="str">
            <v xml:space="preserve">  KEY BAEK TRADING CO LTD</v>
          </cell>
          <cell r="D6749">
            <v>0</v>
          </cell>
          <cell r="E6749">
            <v>0</v>
          </cell>
          <cell r="F6749">
            <v>0</v>
          </cell>
          <cell r="G6749">
            <v>0</v>
          </cell>
        </row>
        <row r="6750">
          <cell r="A6750" t="str">
            <v>55-04-01-0125</v>
          </cell>
          <cell r="B6750">
            <v>0</v>
          </cell>
          <cell r="C6750" t="str">
            <v xml:space="preserve">  VSL</v>
          </cell>
          <cell r="D6750">
            <v>0</v>
          </cell>
          <cell r="E6750">
            <v>0</v>
          </cell>
          <cell r="F6750">
            <v>0</v>
          </cell>
          <cell r="G6750">
            <v>0</v>
          </cell>
        </row>
        <row r="6751">
          <cell r="A6751" t="str">
            <v>55-04-01-0126</v>
          </cell>
          <cell r="B6751">
            <v>0</v>
          </cell>
          <cell r="C6751" t="str">
            <v xml:space="preserve">  TAH LEE</v>
          </cell>
          <cell r="D6751">
            <v>0</v>
          </cell>
          <cell r="E6751">
            <v>0</v>
          </cell>
          <cell r="F6751">
            <v>0</v>
          </cell>
          <cell r="G6751">
            <v>0</v>
          </cell>
        </row>
        <row r="6752">
          <cell r="A6752" t="str">
            <v>55-04-01-0127</v>
          </cell>
          <cell r="B6752">
            <v>0</v>
          </cell>
          <cell r="C6752" t="str">
            <v xml:space="preserve">  UGURLU TEKSTIL ( TURKEY )</v>
          </cell>
          <cell r="D6752">
            <v>0</v>
          </cell>
          <cell r="E6752">
            <v>0</v>
          </cell>
          <cell r="F6752">
            <v>0</v>
          </cell>
          <cell r="G6752">
            <v>0</v>
          </cell>
        </row>
        <row r="6753">
          <cell r="A6753" t="str">
            <v>55-04-01-0128</v>
          </cell>
          <cell r="B6753">
            <v>0</v>
          </cell>
          <cell r="C6753" t="str">
            <v xml:space="preserve">  DAINONG CORPORATOON</v>
          </cell>
          <cell r="D6753">
            <v>0</v>
          </cell>
          <cell r="E6753">
            <v>0</v>
          </cell>
          <cell r="F6753">
            <v>0</v>
          </cell>
          <cell r="G6753">
            <v>0</v>
          </cell>
        </row>
        <row r="6754">
          <cell r="A6754" t="str">
            <v>55-04-01-0129</v>
          </cell>
          <cell r="B6754">
            <v>0</v>
          </cell>
          <cell r="C6754" t="str">
            <v xml:space="preserve">  SAMPAIO E FIL HOS LDA</v>
          </cell>
          <cell r="D6754">
            <v>0</v>
          </cell>
          <cell r="E6754">
            <v>0</v>
          </cell>
          <cell r="F6754">
            <v>0</v>
          </cell>
          <cell r="G6754">
            <v>0</v>
          </cell>
        </row>
        <row r="6755">
          <cell r="A6755" t="str">
            <v>55-04-01-0130</v>
          </cell>
          <cell r="B6755">
            <v>0</v>
          </cell>
          <cell r="C6755" t="str">
            <v xml:space="preserve">  HOTEX HANDELS GMBH</v>
          </cell>
          <cell r="D6755">
            <v>0</v>
          </cell>
          <cell r="E6755">
            <v>0</v>
          </cell>
          <cell r="F6755">
            <v>0</v>
          </cell>
          <cell r="G6755">
            <v>0</v>
          </cell>
        </row>
        <row r="6756">
          <cell r="A6756" t="str">
            <v>55-04-01-0131</v>
          </cell>
          <cell r="B6756">
            <v>0</v>
          </cell>
          <cell r="C6756" t="str">
            <v xml:space="preserve">  KOCELL CORPORATION</v>
          </cell>
          <cell r="D6756">
            <v>0</v>
          </cell>
          <cell r="E6756">
            <v>0</v>
          </cell>
          <cell r="F6756">
            <v>0</v>
          </cell>
          <cell r="G6756">
            <v>0</v>
          </cell>
        </row>
        <row r="6757">
          <cell r="A6757" t="str">
            <v>55-04-01-0133</v>
          </cell>
          <cell r="B6757">
            <v>0</v>
          </cell>
          <cell r="C6757" t="str">
            <v xml:space="preserve">  MILIOR SPA VIA PISTOIESE</v>
          </cell>
          <cell r="D6757">
            <v>0</v>
          </cell>
          <cell r="E6757">
            <v>0</v>
          </cell>
          <cell r="F6757">
            <v>0</v>
          </cell>
          <cell r="G6757">
            <v>0</v>
          </cell>
        </row>
        <row r="6758">
          <cell r="A6758" t="str">
            <v>55-04-01-0134</v>
          </cell>
          <cell r="B6758">
            <v>0</v>
          </cell>
          <cell r="C6758" t="str">
            <v xml:space="preserve">  WHA IL INDUSTRIAL CO., LTD.</v>
          </cell>
          <cell r="D6758">
            <v>0</v>
          </cell>
          <cell r="E6758">
            <v>0</v>
          </cell>
          <cell r="F6758">
            <v>0</v>
          </cell>
          <cell r="G6758">
            <v>0</v>
          </cell>
        </row>
        <row r="6759">
          <cell r="A6759" t="str">
            <v>55-04-01-0135</v>
          </cell>
          <cell r="B6759">
            <v>0</v>
          </cell>
          <cell r="C6759" t="str">
            <v xml:space="preserve">  PLEXUS COTTON LIMITED</v>
          </cell>
          <cell r="D6759">
            <v>0</v>
          </cell>
          <cell r="E6759">
            <v>0</v>
          </cell>
          <cell r="F6759">
            <v>0</v>
          </cell>
          <cell r="G6759">
            <v>0</v>
          </cell>
        </row>
        <row r="6760">
          <cell r="A6760" t="str">
            <v>55-04-01-0136</v>
          </cell>
          <cell r="B6760">
            <v>0</v>
          </cell>
          <cell r="C6760" t="str">
            <v xml:space="preserve">  KYE MYUNG TEXTILE CO., LTD.</v>
          </cell>
          <cell r="D6760">
            <v>0</v>
          </cell>
          <cell r="E6760">
            <v>0</v>
          </cell>
          <cell r="F6760">
            <v>0</v>
          </cell>
          <cell r="G6760">
            <v>0</v>
          </cell>
        </row>
        <row r="6761">
          <cell r="A6761" t="str">
            <v>55-04-01-0137</v>
          </cell>
          <cell r="B6761">
            <v>0</v>
          </cell>
          <cell r="C6761" t="str">
            <v xml:space="preserve">  QUANNITEX ENTERPRISES &amp; CORPORATION</v>
          </cell>
          <cell r="D6761">
            <v>0</v>
          </cell>
          <cell r="E6761">
            <v>0</v>
          </cell>
          <cell r="F6761">
            <v>0</v>
          </cell>
          <cell r="G6761">
            <v>0</v>
          </cell>
        </row>
        <row r="6762">
          <cell r="A6762" t="str">
            <v>55-04-01-0138</v>
          </cell>
          <cell r="B6762">
            <v>0</v>
          </cell>
          <cell r="C6762" t="str">
            <v xml:space="preserve">  DONG-IL CORPORATION</v>
          </cell>
          <cell r="D6762">
            <v>0</v>
          </cell>
          <cell r="E6762">
            <v>0</v>
          </cell>
          <cell r="F6762">
            <v>0</v>
          </cell>
          <cell r="G6762">
            <v>0</v>
          </cell>
        </row>
        <row r="6763">
          <cell r="A6763" t="str">
            <v>55-04-01-0139</v>
          </cell>
          <cell r="B6763">
            <v>0</v>
          </cell>
          <cell r="C6763" t="str">
            <v xml:space="preserve">  GIEMME FILTI SPA VIA PALAZZOLO,</v>
          </cell>
          <cell r="D6763">
            <v>0</v>
          </cell>
          <cell r="E6763">
            <v>0</v>
          </cell>
          <cell r="F6763">
            <v>0</v>
          </cell>
          <cell r="G6763">
            <v>0</v>
          </cell>
        </row>
        <row r="6764">
          <cell r="A6764" t="str">
            <v>55-04-01-0141</v>
          </cell>
          <cell r="B6764">
            <v>0</v>
          </cell>
          <cell r="C6764" t="str">
            <v xml:space="preserve">  MR KITAGAWA</v>
          </cell>
          <cell r="D6764">
            <v>0</v>
          </cell>
          <cell r="E6764">
            <v>0</v>
          </cell>
          <cell r="F6764">
            <v>0</v>
          </cell>
          <cell r="G6764">
            <v>0</v>
          </cell>
        </row>
        <row r="6765">
          <cell r="A6765" t="str">
            <v>55-04-01-0142</v>
          </cell>
          <cell r="B6765">
            <v>0</v>
          </cell>
          <cell r="C6765" t="str">
            <v xml:space="preserve">  MR CHUNG</v>
          </cell>
          <cell r="D6765">
            <v>0</v>
          </cell>
          <cell r="E6765">
            <v>0</v>
          </cell>
          <cell r="F6765">
            <v>0</v>
          </cell>
          <cell r="G6765">
            <v>0</v>
          </cell>
        </row>
        <row r="6766">
          <cell r="A6766" t="str">
            <v>55-04-01-0143</v>
          </cell>
          <cell r="B6766">
            <v>0</v>
          </cell>
          <cell r="C6766" t="str">
            <v xml:space="preserve">  MAXLIN GARMENTS SDN BHD</v>
          </cell>
          <cell r="D6766">
            <v>0</v>
          </cell>
          <cell r="E6766">
            <v>0</v>
          </cell>
          <cell r="F6766">
            <v>0</v>
          </cell>
          <cell r="G6766">
            <v>0</v>
          </cell>
        </row>
        <row r="6767">
          <cell r="A6767" t="str">
            <v>55-04-01-0144</v>
          </cell>
          <cell r="B6767">
            <v>0</v>
          </cell>
          <cell r="C6767" t="str">
            <v xml:space="preserve">  MANAMA TEXTILE MILLS</v>
          </cell>
          <cell r="D6767">
            <v>0</v>
          </cell>
          <cell r="E6767">
            <v>0</v>
          </cell>
          <cell r="F6767">
            <v>0</v>
          </cell>
          <cell r="G6767">
            <v>0</v>
          </cell>
        </row>
        <row r="6768">
          <cell r="A6768" t="str">
            <v>55-04-01-0145</v>
          </cell>
          <cell r="B6768">
            <v>0</v>
          </cell>
          <cell r="C6768" t="str">
            <v xml:space="preserve">  FORTUNE ENTERPRISEA CO</v>
          </cell>
          <cell r="D6768">
            <v>0</v>
          </cell>
          <cell r="E6768">
            <v>0</v>
          </cell>
          <cell r="F6768">
            <v>0</v>
          </cell>
          <cell r="G6768">
            <v>0</v>
          </cell>
        </row>
        <row r="6769">
          <cell r="A6769" t="str">
            <v>55-04-01-0146</v>
          </cell>
          <cell r="B6769">
            <v>0</v>
          </cell>
          <cell r="C6769" t="str">
            <v xml:space="preserve">  TOMEN CORPORATION</v>
          </cell>
          <cell r="D6769">
            <v>0</v>
          </cell>
          <cell r="E6769">
            <v>0</v>
          </cell>
          <cell r="F6769">
            <v>0</v>
          </cell>
          <cell r="G6769">
            <v>0</v>
          </cell>
        </row>
        <row r="6770">
          <cell r="A6770" t="str">
            <v>55-04-01-0147</v>
          </cell>
          <cell r="B6770">
            <v>0</v>
          </cell>
          <cell r="C6770" t="str">
            <v xml:space="preserve">  SOUTHERN TEXTILE CO LTD</v>
          </cell>
          <cell r="D6770">
            <v>0</v>
          </cell>
          <cell r="E6770">
            <v>0</v>
          </cell>
          <cell r="F6770">
            <v>0</v>
          </cell>
          <cell r="G6770">
            <v>0</v>
          </cell>
        </row>
        <row r="6771">
          <cell r="A6771" t="str">
            <v>55-04-01-0148</v>
          </cell>
          <cell r="B6771">
            <v>0</v>
          </cell>
          <cell r="C6771" t="str">
            <v xml:space="preserve">  SEOUL TEXTILE COMPANY LIMITED</v>
          </cell>
          <cell r="D6771">
            <v>0</v>
          </cell>
          <cell r="E6771">
            <v>0</v>
          </cell>
          <cell r="F6771">
            <v>0</v>
          </cell>
          <cell r="G6771">
            <v>0</v>
          </cell>
        </row>
        <row r="6772">
          <cell r="A6772" t="str">
            <v>55-04-01-0149</v>
          </cell>
          <cell r="B6772">
            <v>0</v>
          </cell>
          <cell r="C6772" t="str">
            <v xml:space="preserve">  DALI S.A ZI DE</v>
          </cell>
          <cell r="D6772">
            <v>0</v>
          </cell>
          <cell r="E6772">
            <v>0</v>
          </cell>
          <cell r="F6772">
            <v>0</v>
          </cell>
          <cell r="G6772">
            <v>0</v>
          </cell>
        </row>
        <row r="6773">
          <cell r="A6773" t="str">
            <v>55-04-01-0150</v>
          </cell>
          <cell r="B6773">
            <v>0</v>
          </cell>
          <cell r="C6773" t="str">
            <v xml:space="preserve">  TRADEX S.A</v>
          </cell>
          <cell r="D6773">
            <v>0</v>
          </cell>
          <cell r="E6773">
            <v>0</v>
          </cell>
          <cell r="F6773">
            <v>0</v>
          </cell>
          <cell r="G6773">
            <v>0</v>
          </cell>
        </row>
        <row r="6774">
          <cell r="A6774" t="str">
            <v>55-04-01-0151</v>
          </cell>
          <cell r="B6774">
            <v>0</v>
          </cell>
          <cell r="C6774" t="str">
            <v xml:space="preserve">  ROYAL COTTON TRADING COMPANY</v>
          </cell>
          <cell r="D6774">
            <v>0</v>
          </cell>
          <cell r="E6774">
            <v>0</v>
          </cell>
          <cell r="F6774">
            <v>0</v>
          </cell>
          <cell r="G6774">
            <v>0</v>
          </cell>
        </row>
        <row r="6775">
          <cell r="A6775" t="str">
            <v>55-04-01-0152</v>
          </cell>
          <cell r="B6775">
            <v>0</v>
          </cell>
          <cell r="C6775" t="str">
            <v xml:space="preserve">  CHI NHANH CONG</v>
          </cell>
          <cell r="D6775">
            <v>0</v>
          </cell>
          <cell r="E6775">
            <v>0</v>
          </cell>
          <cell r="F6775">
            <v>0</v>
          </cell>
          <cell r="G6775">
            <v>0</v>
          </cell>
        </row>
        <row r="6776">
          <cell r="A6776" t="str">
            <v>55-04-01-0153</v>
          </cell>
          <cell r="B6776">
            <v>0</v>
          </cell>
          <cell r="C6776" t="str">
            <v xml:space="preserve">  FILSPIN INCORPORATED</v>
          </cell>
          <cell r="D6776">
            <v>0</v>
          </cell>
          <cell r="E6776">
            <v>0</v>
          </cell>
          <cell r="F6776">
            <v>0</v>
          </cell>
          <cell r="G6776">
            <v>0</v>
          </cell>
        </row>
        <row r="6777">
          <cell r="A6777" t="str">
            <v>55-04-01-0154</v>
          </cell>
          <cell r="B6777">
            <v>0</v>
          </cell>
          <cell r="C6777" t="str">
            <v xml:space="preserve">  SUMMER TRADING COMPANY</v>
          </cell>
          <cell r="D6777">
            <v>0</v>
          </cell>
          <cell r="E6777">
            <v>0</v>
          </cell>
          <cell r="F6777">
            <v>0</v>
          </cell>
          <cell r="G6777">
            <v>0</v>
          </cell>
        </row>
        <row r="6778">
          <cell r="A6778" t="str">
            <v>55-04-01-0155</v>
          </cell>
          <cell r="B6778">
            <v>0</v>
          </cell>
          <cell r="C6778" t="str">
            <v xml:space="preserve">  GREENMA</v>
          </cell>
          <cell r="D6778">
            <v>0</v>
          </cell>
          <cell r="E6778">
            <v>0</v>
          </cell>
          <cell r="F6778">
            <v>0</v>
          </cell>
          <cell r="G6778">
            <v>0</v>
          </cell>
        </row>
        <row r="6779">
          <cell r="A6779" t="str">
            <v>55-04-01-0156</v>
          </cell>
          <cell r="B6779">
            <v>0</v>
          </cell>
          <cell r="C6779" t="str">
            <v xml:space="preserve">  BAIK SAN INTERNATIONAL</v>
          </cell>
          <cell r="D6779">
            <v>0</v>
          </cell>
          <cell r="E6779">
            <v>0</v>
          </cell>
          <cell r="F6779">
            <v>0</v>
          </cell>
          <cell r="G6779">
            <v>0</v>
          </cell>
        </row>
        <row r="6780">
          <cell r="A6780" t="str">
            <v>55-04-01-0157</v>
          </cell>
          <cell r="B6780">
            <v>0</v>
          </cell>
          <cell r="C6780" t="str">
            <v xml:space="preserve">  DOLLFUS MIEG ET COMPAGINE</v>
          </cell>
          <cell r="D6780">
            <v>0</v>
          </cell>
          <cell r="E6780">
            <v>0</v>
          </cell>
          <cell r="F6780">
            <v>0</v>
          </cell>
          <cell r="G6780">
            <v>0</v>
          </cell>
        </row>
        <row r="6781">
          <cell r="A6781" t="str">
            <v>55-04-01-0158</v>
          </cell>
          <cell r="B6781">
            <v>0</v>
          </cell>
          <cell r="C6781" t="str">
            <v xml:space="preserve">  VICTOR PERRIN SAIL</v>
          </cell>
          <cell r="D6781">
            <v>0</v>
          </cell>
          <cell r="E6781">
            <v>0</v>
          </cell>
          <cell r="F6781">
            <v>0</v>
          </cell>
          <cell r="G6781">
            <v>0</v>
          </cell>
        </row>
        <row r="6782">
          <cell r="A6782" t="str">
            <v>55-04-01-0159</v>
          </cell>
          <cell r="B6782">
            <v>0</v>
          </cell>
          <cell r="C6782" t="str">
            <v xml:space="preserve">  WORLD KNITS</v>
          </cell>
          <cell r="D6782">
            <v>0</v>
          </cell>
          <cell r="E6782">
            <v>0</v>
          </cell>
          <cell r="F6782">
            <v>0</v>
          </cell>
          <cell r="G6782">
            <v>0</v>
          </cell>
        </row>
        <row r="6783">
          <cell r="A6783" t="str">
            <v>55-04-01-0160</v>
          </cell>
          <cell r="B6783">
            <v>0</v>
          </cell>
          <cell r="C6783" t="str">
            <v xml:space="preserve">  BLUE BENDS (INDIA) LIMITED</v>
          </cell>
          <cell r="D6783">
            <v>0</v>
          </cell>
          <cell r="E6783">
            <v>0</v>
          </cell>
          <cell r="F6783">
            <v>0</v>
          </cell>
          <cell r="G6783">
            <v>0</v>
          </cell>
        </row>
        <row r="6784">
          <cell r="A6784" t="str">
            <v>55-04-01-0161</v>
          </cell>
          <cell r="B6784">
            <v>0</v>
          </cell>
          <cell r="C6784" t="str">
            <v xml:space="preserve">  SPRING FORD INDUSTRIES</v>
          </cell>
          <cell r="D6784">
            <v>0</v>
          </cell>
          <cell r="E6784">
            <v>0</v>
          </cell>
          <cell r="F6784">
            <v>0</v>
          </cell>
          <cell r="G6784">
            <v>0</v>
          </cell>
        </row>
        <row r="6785">
          <cell r="A6785" t="str">
            <v>55-04-01-0162</v>
          </cell>
          <cell r="B6785">
            <v>0</v>
          </cell>
          <cell r="C6785" t="str">
            <v xml:space="preserve">  WAI ON DYEING</v>
          </cell>
          <cell r="D6785">
            <v>0</v>
          </cell>
          <cell r="E6785">
            <v>0</v>
          </cell>
          <cell r="F6785">
            <v>0</v>
          </cell>
          <cell r="G6785">
            <v>0</v>
          </cell>
        </row>
        <row r="6786">
          <cell r="A6786" t="str">
            <v>55-04-01-0163</v>
          </cell>
          <cell r="B6786">
            <v>0</v>
          </cell>
          <cell r="C6786" t="str">
            <v xml:space="preserve">  CHARRY CO LTD</v>
          </cell>
          <cell r="D6786">
            <v>0</v>
          </cell>
          <cell r="E6786">
            <v>0</v>
          </cell>
          <cell r="F6786">
            <v>0</v>
          </cell>
          <cell r="G6786">
            <v>0</v>
          </cell>
        </row>
        <row r="6787">
          <cell r="A6787" t="str">
            <v>55-04-01-0164</v>
          </cell>
          <cell r="B6787">
            <v>0</v>
          </cell>
          <cell r="C6787" t="str">
            <v xml:space="preserve">  RIBETEX</v>
          </cell>
          <cell r="D6787">
            <v>0</v>
          </cell>
          <cell r="E6787">
            <v>0</v>
          </cell>
          <cell r="F6787">
            <v>0</v>
          </cell>
          <cell r="G6787">
            <v>0</v>
          </cell>
        </row>
        <row r="6788">
          <cell r="A6788" t="str">
            <v>55-04-01-0165</v>
          </cell>
          <cell r="B6788">
            <v>0</v>
          </cell>
          <cell r="C6788" t="str">
            <v xml:space="preserve">  CHEMICAL &amp; MEDICAL INDUSTRIES CO.</v>
          </cell>
          <cell r="D6788">
            <v>0</v>
          </cell>
          <cell r="E6788">
            <v>0</v>
          </cell>
          <cell r="F6788">
            <v>0</v>
          </cell>
          <cell r="G6788">
            <v>0</v>
          </cell>
        </row>
        <row r="6789">
          <cell r="A6789" t="str">
            <v>55-04-01-0166</v>
          </cell>
          <cell r="B6789">
            <v>0</v>
          </cell>
          <cell r="C6789" t="str">
            <v xml:space="preserve">  CHUNG MU TOWEL CO LTD</v>
          </cell>
          <cell r="D6789">
            <v>0</v>
          </cell>
          <cell r="E6789">
            <v>0</v>
          </cell>
          <cell r="F6789">
            <v>0</v>
          </cell>
          <cell r="G6789">
            <v>0</v>
          </cell>
        </row>
        <row r="6790">
          <cell r="A6790" t="str">
            <v>55-04-01-0167</v>
          </cell>
          <cell r="B6790">
            <v>0</v>
          </cell>
          <cell r="C6790" t="str">
            <v xml:space="preserve">  CHRISTY TOWELS</v>
          </cell>
          <cell r="D6790">
            <v>0</v>
          </cell>
          <cell r="E6790">
            <v>0</v>
          </cell>
          <cell r="F6790">
            <v>0</v>
          </cell>
          <cell r="G6790">
            <v>0</v>
          </cell>
        </row>
        <row r="6791">
          <cell r="A6791" t="str">
            <v>55-04-01-0168</v>
          </cell>
          <cell r="B6791">
            <v>0</v>
          </cell>
          <cell r="C6791" t="str">
            <v xml:space="preserve">  HANJUNION</v>
          </cell>
          <cell r="D6791">
            <v>0</v>
          </cell>
          <cell r="E6791">
            <v>0</v>
          </cell>
          <cell r="F6791">
            <v>0</v>
          </cell>
          <cell r="G6791">
            <v>0</v>
          </cell>
        </row>
        <row r="6792">
          <cell r="A6792" t="str">
            <v>55-04-01-0169</v>
          </cell>
          <cell r="B6792">
            <v>0</v>
          </cell>
          <cell r="C6792" t="str">
            <v xml:space="preserve">  BUSAN WEAVING INDUSTRY</v>
          </cell>
          <cell r="D6792">
            <v>0</v>
          </cell>
          <cell r="E6792">
            <v>0</v>
          </cell>
          <cell r="F6792">
            <v>0</v>
          </cell>
          <cell r="G6792">
            <v>0</v>
          </cell>
        </row>
        <row r="6793">
          <cell r="A6793" t="str">
            <v>55-04-01-0170</v>
          </cell>
          <cell r="B6793">
            <v>0</v>
          </cell>
          <cell r="C6793" t="str">
            <v xml:space="preserve">  WWD PARTNERS</v>
          </cell>
          <cell r="D6793">
            <v>0</v>
          </cell>
          <cell r="E6793">
            <v>0</v>
          </cell>
          <cell r="F6793">
            <v>0</v>
          </cell>
          <cell r="G6793">
            <v>0</v>
          </cell>
        </row>
        <row r="6794">
          <cell r="A6794" t="str">
            <v>55-04-01-0171</v>
          </cell>
          <cell r="B6794">
            <v>0</v>
          </cell>
          <cell r="C6794" t="str">
            <v xml:space="preserve">  JIANGSULION GROUP</v>
          </cell>
          <cell r="D6794">
            <v>0</v>
          </cell>
          <cell r="E6794">
            <v>0</v>
          </cell>
          <cell r="F6794">
            <v>0</v>
          </cell>
          <cell r="G6794">
            <v>0</v>
          </cell>
        </row>
        <row r="6795">
          <cell r="A6795" t="str">
            <v>55-04-01-0172</v>
          </cell>
          <cell r="B6795">
            <v>0</v>
          </cell>
          <cell r="C6795" t="str">
            <v xml:space="preserve">  KUK YOUNG ENTERPRISE</v>
          </cell>
          <cell r="D6795">
            <v>0</v>
          </cell>
          <cell r="E6795">
            <v>0</v>
          </cell>
          <cell r="F6795">
            <v>0</v>
          </cell>
          <cell r="G6795">
            <v>0</v>
          </cell>
        </row>
        <row r="6796">
          <cell r="A6796" t="str">
            <v>55-04-01-0173</v>
          </cell>
          <cell r="B6796">
            <v>0</v>
          </cell>
          <cell r="C6796" t="str">
            <v xml:space="preserve">  INDUTECH</v>
          </cell>
          <cell r="D6796">
            <v>0</v>
          </cell>
          <cell r="E6796">
            <v>0</v>
          </cell>
          <cell r="F6796">
            <v>0</v>
          </cell>
          <cell r="G6796">
            <v>0</v>
          </cell>
        </row>
        <row r="6797">
          <cell r="A6797" t="str">
            <v>55-04-01-0174</v>
          </cell>
          <cell r="B6797">
            <v>0</v>
          </cell>
          <cell r="C6797" t="str">
            <v xml:space="preserve">  PACIFIC TEXTILES</v>
          </cell>
          <cell r="D6797">
            <v>0</v>
          </cell>
          <cell r="E6797">
            <v>0</v>
          </cell>
          <cell r="F6797">
            <v>0</v>
          </cell>
          <cell r="G6797">
            <v>0</v>
          </cell>
        </row>
        <row r="6798">
          <cell r="A6798" t="str">
            <v>55-04-01-0175</v>
          </cell>
          <cell r="B6798">
            <v>0</v>
          </cell>
          <cell r="C6798" t="str">
            <v xml:space="preserve">  BERJAYA KNITEX SDN BHD</v>
          </cell>
          <cell r="D6798">
            <v>0</v>
          </cell>
          <cell r="E6798">
            <v>0</v>
          </cell>
          <cell r="F6798">
            <v>0</v>
          </cell>
          <cell r="G6798">
            <v>0</v>
          </cell>
        </row>
        <row r="6799">
          <cell r="A6799" t="str">
            <v>55-04-01-0176</v>
          </cell>
          <cell r="B6799">
            <v>0</v>
          </cell>
          <cell r="C6799" t="str">
            <v xml:space="preserve">  MANUEL DE MAGALHAES</v>
          </cell>
          <cell r="D6799">
            <v>0</v>
          </cell>
          <cell r="E6799">
            <v>0</v>
          </cell>
          <cell r="F6799">
            <v>0</v>
          </cell>
          <cell r="G6799">
            <v>0</v>
          </cell>
        </row>
        <row r="6800">
          <cell r="A6800" t="str">
            <v>55-04-01-0177</v>
          </cell>
          <cell r="B6800">
            <v>0</v>
          </cell>
          <cell r="C6800" t="str">
            <v xml:space="preserve">  SURYALAKSHMI COTTON MILLS LTD.</v>
          </cell>
          <cell r="D6800">
            <v>0</v>
          </cell>
          <cell r="E6800">
            <v>0</v>
          </cell>
          <cell r="F6800">
            <v>0</v>
          </cell>
          <cell r="G6800">
            <v>0</v>
          </cell>
        </row>
        <row r="6801">
          <cell r="A6801" t="str">
            <v>55-04-01-0178</v>
          </cell>
          <cell r="B6801">
            <v>0</v>
          </cell>
          <cell r="C6801" t="str">
            <v xml:space="preserve">  GLOBAL YARNS CO., LTD.</v>
          </cell>
          <cell r="D6801">
            <v>0</v>
          </cell>
          <cell r="E6801">
            <v>0</v>
          </cell>
          <cell r="F6801">
            <v>0</v>
          </cell>
          <cell r="G6801">
            <v>0</v>
          </cell>
        </row>
        <row r="6802">
          <cell r="A6802" t="str">
            <v>55-04-01-0179</v>
          </cell>
          <cell r="B6802">
            <v>0</v>
          </cell>
          <cell r="C6802" t="str">
            <v xml:space="preserve">  SOUTH EAST TEXTILE CO., LTD.</v>
          </cell>
          <cell r="D6802">
            <v>0</v>
          </cell>
          <cell r="E6802">
            <v>0</v>
          </cell>
          <cell r="F6802">
            <v>0</v>
          </cell>
          <cell r="G6802">
            <v>0</v>
          </cell>
        </row>
        <row r="6803">
          <cell r="A6803" t="str">
            <v>55-04-01-0180</v>
          </cell>
          <cell r="B6803">
            <v>0</v>
          </cell>
          <cell r="C6803" t="str">
            <v xml:space="preserve">  PUNGHAN CO., LTD.</v>
          </cell>
          <cell r="D6803">
            <v>0</v>
          </cell>
          <cell r="E6803">
            <v>0</v>
          </cell>
          <cell r="F6803">
            <v>0</v>
          </cell>
          <cell r="G6803">
            <v>0</v>
          </cell>
        </row>
        <row r="6804">
          <cell r="A6804" t="str">
            <v>55-04-01-0183</v>
          </cell>
          <cell r="B6804">
            <v>0</v>
          </cell>
          <cell r="C6804" t="str">
            <v xml:space="preserve">  NOBLAND INTERNATIONAL INC</v>
          </cell>
          <cell r="D6804">
            <v>0</v>
          </cell>
          <cell r="E6804">
            <v>0</v>
          </cell>
          <cell r="F6804">
            <v>0</v>
          </cell>
          <cell r="G6804">
            <v>0</v>
          </cell>
        </row>
        <row r="6805">
          <cell r="A6805" t="str">
            <v>55-04-01-0184</v>
          </cell>
          <cell r="B6805">
            <v>0</v>
          </cell>
          <cell r="C6805" t="str">
            <v xml:space="preserve">  YOUNG SHIN INDUSTRIAL CO., LTD.</v>
          </cell>
          <cell r="D6805">
            <v>0</v>
          </cell>
          <cell r="E6805">
            <v>0</v>
          </cell>
          <cell r="F6805">
            <v>0</v>
          </cell>
          <cell r="G6805">
            <v>0</v>
          </cell>
        </row>
        <row r="6806">
          <cell r="A6806" t="str">
            <v>55-04-01-0185</v>
          </cell>
          <cell r="B6806">
            <v>0</v>
          </cell>
          <cell r="C6806" t="str">
            <v xml:space="preserve">  HYUN DONG CO., LTD.</v>
          </cell>
          <cell r="D6806">
            <v>0</v>
          </cell>
          <cell r="E6806">
            <v>0</v>
          </cell>
          <cell r="F6806">
            <v>0</v>
          </cell>
          <cell r="G6806">
            <v>0</v>
          </cell>
        </row>
        <row r="6807">
          <cell r="A6807" t="str">
            <v>55-04-01-0186</v>
          </cell>
          <cell r="B6807">
            <v>0</v>
          </cell>
          <cell r="C6807" t="str">
            <v xml:space="preserve">  PAIK INCORPORATED</v>
          </cell>
          <cell r="D6807">
            <v>0</v>
          </cell>
          <cell r="E6807">
            <v>0</v>
          </cell>
          <cell r="F6807">
            <v>0</v>
          </cell>
          <cell r="G6807">
            <v>0</v>
          </cell>
        </row>
        <row r="6808">
          <cell r="A6808" t="str">
            <v>55-04-01-0187</v>
          </cell>
          <cell r="B6808">
            <v>0</v>
          </cell>
          <cell r="C6808" t="str">
            <v xml:space="preserve">  MIAS FASHION MFG CO, INC.</v>
          </cell>
          <cell r="D6808">
            <v>0</v>
          </cell>
          <cell r="E6808">
            <v>0</v>
          </cell>
          <cell r="F6808">
            <v>0</v>
          </cell>
          <cell r="G6808">
            <v>0</v>
          </cell>
        </row>
        <row r="6809">
          <cell r="A6809" t="str">
            <v>55-04-01-0189</v>
          </cell>
          <cell r="B6809">
            <v>0</v>
          </cell>
          <cell r="C6809" t="str">
            <v xml:space="preserve">  BANENG INDUSTRIES</v>
          </cell>
          <cell r="D6809">
            <v>0</v>
          </cell>
          <cell r="E6809">
            <v>0</v>
          </cell>
          <cell r="F6809">
            <v>0</v>
          </cell>
          <cell r="G6809">
            <v>0</v>
          </cell>
        </row>
        <row r="6810">
          <cell r="A6810" t="str">
            <v>55-04-01-0190</v>
          </cell>
          <cell r="B6810">
            <v>0</v>
          </cell>
          <cell r="C6810" t="str">
            <v xml:space="preserve">  HEE WON IND CO., LTD.</v>
          </cell>
          <cell r="D6810">
            <v>0</v>
          </cell>
          <cell r="E6810">
            <v>0</v>
          </cell>
          <cell r="F6810">
            <v>0</v>
          </cell>
          <cell r="G6810">
            <v>0</v>
          </cell>
        </row>
        <row r="6811">
          <cell r="A6811" t="str">
            <v>55-04-01-0191</v>
          </cell>
          <cell r="B6811">
            <v>0</v>
          </cell>
          <cell r="C6811" t="str">
            <v xml:space="preserve">  LEONG HENG TRADING AND MFG PTE LTD</v>
          </cell>
          <cell r="D6811">
            <v>0</v>
          </cell>
          <cell r="E6811">
            <v>0</v>
          </cell>
          <cell r="F6811">
            <v>0</v>
          </cell>
          <cell r="G6811">
            <v>0</v>
          </cell>
        </row>
        <row r="6812">
          <cell r="A6812" t="str">
            <v>55-04-01-0192</v>
          </cell>
          <cell r="B6812">
            <v>0</v>
          </cell>
          <cell r="C6812" t="str">
            <v xml:space="preserve">  RUENTEX INDUSTRIES LIMITED</v>
          </cell>
          <cell r="D6812">
            <v>0</v>
          </cell>
          <cell r="E6812">
            <v>0</v>
          </cell>
          <cell r="F6812">
            <v>0</v>
          </cell>
          <cell r="G6812">
            <v>0</v>
          </cell>
        </row>
        <row r="6813">
          <cell r="A6813" t="str">
            <v>55-04-01-0193</v>
          </cell>
          <cell r="B6813">
            <v>0</v>
          </cell>
          <cell r="C6813" t="str">
            <v xml:space="preserve">  BELL TEXTILE</v>
          </cell>
          <cell r="D6813">
            <v>0</v>
          </cell>
          <cell r="E6813">
            <v>0</v>
          </cell>
          <cell r="F6813">
            <v>0</v>
          </cell>
          <cell r="G6813">
            <v>0</v>
          </cell>
        </row>
        <row r="6814">
          <cell r="A6814" t="str">
            <v>55-04-01-0194</v>
          </cell>
          <cell r="B6814">
            <v>0</v>
          </cell>
          <cell r="C6814" t="str">
            <v xml:space="preserve">  WUXI HIGH-NEW TECH INDUSTRIAL</v>
          </cell>
          <cell r="D6814">
            <v>0</v>
          </cell>
          <cell r="E6814">
            <v>0</v>
          </cell>
          <cell r="F6814">
            <v>0</v>
          </cell>
          <cell r="G6814">
            <v>0</v>
          </cell>
        </row>
        <row r="6815">
          <cell r="A6815" t="str">
            <v>55-04-01-0195</v>
          </cell>
          <cell r="B6815">
            <v>0</v>
          </cell>
          <cell r="C6815" t="str">
            <v xml:space="preserve">  WEIL BROTHERS &amp; STREN LTD.</v>
          </cell>
          <cell r="D6815">
            <v>0</v>
          </cell>
          <cell r="E6815">
            <v>0</v>
          </cell>
          <cell r="F6815">
            <v>0</v>
          </cell>
          <cell r="G6815">
            <v>0</v>
          </cell>
        </row>
        <row r="6816">
          <cell r="A6816" t="str">
            <v>55-04-01-0196</v>
          </cell>
          <cell r="B6816">
            <v>0</v>
          </cell>
          <cell r="C6816" t="str">
            <v xml:space="preserve">  KOSMETYOZNE WYROBY BAWEINLANE SPZ</v>
          </cell>
          <cell r="D6816">
            <v>0</v>
          </cell>
          <cell r="E6816">
            <v>0</v>
          </cell>
          <cell r="F6816">
            <v>0</v>
          </cell>
          <cell r="G6816">
            <v>0</v>
          </cell>
        </row>
        <row r="6817">
          <cell r="A6817" t="str">
            <v>55-04-01-0198</v>
          </cell>
          <cell r="B6817">
            <v>0</v>
          </cell>
          <cell r="C6817" t="str">
            <v xml:space="preserve">  SAM BO DYEING N FINISHING CO., LTD.</v>
          </cell>
          <cell r="D6817">
            <v>0</v>
          </cell>
          <cell r="E6817">
            <v>0</v>
          </cell>
          <cell r="F6817">
            <v>0</v>
          </cell>
          <cell r="G6817">
            <v>0</v>
          </cell>
        </row>
        <row r="6818">
          <cell r="A6818" t="str">
            <v>55-04-01-0199</v>
          </cell>
          <cell r="B6818">
            <v>0</v>
          </cell>
          <cell r="C6818" t="str">
            <v xml:space="preserve">  SOUTH ASIA TEXTILE INDUSTRIES PTE</v>
          </cell>
          <cell r="D6818">
            <v>0</v>
          </cell>
          <cell r="E6818">
            <v>0</v>
          </cell>
          <cell r="F6818">
            <v>0</v>
          </cell>
          <cell r="G6818">
            <v>0</v>
          </cell>
        </row>
        <row r="6819">
          <cell r="A6819" t="str">
            <v>55-04-01-0200</v>
          </cell>
          <cell r="B6819">
            <v>0</v>
          </cell>
          <cell r="C6819" t="str">
            <v xml:space="preserve">  AARVEE DENIMS AND EXPORTS LTD.</v>
          </cell>
          <cell r="D6819">
            <v>0</v>
          </cell>
          <cell r="E6819">
            <v>0</v>
          </cell>
          <cell r="F6819">
            <v>0</v>
          </cell>
          <cell r="G6819">
            <v>0</v>
          </cell>
        </row>
        <row r="6820">
          <cell r="A6820" t="str">
            <v>55-04-01-0202</v>
          </cell>
          <cell r="B6820">
            <v>0</v>
          </cell>
          <cell r="C6820" t="str">
            <v xml:space="preserve">  TEX TEAM SRL</v>
          </cell>
          <cell r="D6820">
            <v>0</v>
          </cell>
          <cell r="E6820">
            <v>0</v>
          </cell>
          <cell r="F6820">
            <v>0</v>
          </cell>
          <cell r="G6820">
            <v>0</v>
          </cell>
        </row>
        <row r="6821">
          <cell r="A6821" t="str">
            <v>55-04-01-0203</v>
          </cell>
          <cell r="B6821">
            <v>0</v>
          </cell>
          <cell r="C6821" t="str">
            <v xml:space="preserve">  B ZONE CO LTD</v>
          </cell>
          <cell r="D6821">
            <v>0</v>
          </cell>
          <cell r="E6821">
            <v>0</v>
          </cell>
          <cell r="F6821">
            <v>0</v>
          </cell>
          <cell r="G6821">
            <v>0</v>
          </cell>
        </row>
        <row r="6822">
          <cell r="A6822" t="str">
            <v>55-04-01-0204</v>
          </cell>
          <cell r="B6822">
            <v>0</v>
          </cell>
          <cell r="C6822" t="str">
            <v xml:space="preserve">  EASBO LIMITED</v>
          </cell>
          <cell r="D6822">
            <v>0</v>
          </cell>
          <cell r="E6822">
            <v>0</v>
          </cell>
          <cell r="F6822">
            <v>0</v>
          </cell>
          <cell r="G6822">
            <v>0</v>
          </cell>
        </row>
        <row r="6823">
          <cell r="A6823" t="str">
            <v>55-04-01-0205</v>
          </cell>
          <cell r="B6823">
            <v>0</v>
          </cell>
          <cell r="C6823" t="str">
            <v xml:space="preserve">  IUAN NUNG INDUSTRIAL CO. LTD.</v>
          </cell>
          <cell r="D6823">
            <v>0</v>
          </cell>
          <cell r="E6823">
            <v>0</v>
          </cell>
          <cell r="F6823">
            <v>0</v>
          </cell>
          <cell r="G6823">
            <v>0</v>
          </cell>
        </row>
        <row r="6824">
          <cell r="A6824" t="str">
            <v>55-04-01-0206</v>
          </cell>
          <cell r="B6824">
            <v>0</v>
          </cell>
          <cell r="C6824" t="str">
            <v xml:space="preserve">  HYUN CHANG TEXTILE CO., LTD.</v>
          </cell>
          <cell r="D6824">
            <v>0</v>
          </cell>
          <cell r="E6824">
            <v>0</v>
          </cell>
          <cell r="F6824">
            <v>0</v>
          </cell>
          <cell r="G6824">
            <v>0</v>
          </cell>
        </row>
        <row r="6825">
          <cell r="A6825" t="str">
            <v>55-04-01-0207</v>
          </cell>
          <cell r="B6825">
            <v>0</v>
          </cell>
          <cell r="C6825" t="str">
            <v xml:space="preserve">  SHANGHAI MET IMP AND EXP CO, LTD.</v>
          </cell>
          <cell r="D6825">
            <v>0</v>
          </cell>
          <cell r="E6825">
            <v>0</v>
          </cell>
          <cell r="F6825">
            <v>0</v>
          </cell>
          <cell r="G6825">
            <v>0</v>
          </cell>
        </row>
        <row r="6826">
          <cell r="A6826" t="str">
            <v>55-04-01-0208</v>
          </cell>
          <cell r="B6826">
            <v>0</v>
          </cell>
          <cell r="C6826" t="str">
            <v xml:space="preserve">  CHORI CO, LTD.</v>
          </cell>
          <cell r="D6826">
            <v>0</v>
          </cell>
          <cell r="E6826">
            <v>0</v>
          </cell>
          <cell r="F6826">
            <v>0</v>
          </cell>
          <cell r="G6826">
            <v>0</v>
          </cell>
        </row>
        <row r="6827">
          <cell r="A6827" t="str">
            <v>55-04-01-0209</v>
          </cell>
          <cell r="B6827">
            <v>0</v>
          </cell>
          <cell r="C6827" t="str">
            <v xml:space="preserve">  IMOZZIMATURA PAOLA SRL</v>
          </cell>
          <cell r="D6827">
            <v>0</v>
          </cell>
          <cell r="E6827">
            <v>0</v>
          </cell>
          <cell r="F6827">
            <v>0</v>
          </cell>
          <cell r="G6827">
            <v>0</v>
          </cell>
        </row>
        <row r="6828">
          <cell r="A6828" t="str">
            <v>55-04-01-0210</v>
          </cell>
          <cell r="B6828">
            <v>0</v>
          </cell>
          <cell r="C6828" t="str">
            <v xml:space="preserve">  KOREA FEDERATION</v>
          </cell>
          <cell r="D6828">
            <v>0</v>
          </cell>
          <cell r="E6828">
            <v>0</v>
          </cell>
          <cell r="F6828">
            <v>0</v>
          </cell>
          <cell r="G6828">
            <v>0</v>
          </cell>
        </row>
        <row r="6829">
          <cell r="A6829" t="str">
            <v>55-04-01-0211</v>
          </cell>
          <cell r="B6829">
            <v>0</v>
          </cell>
          <cell r="C6829" t="str">
            <v xml:space="preserve">  JKN INTERNATIONAL</v>
          </cell>
          <cell r="D6829">
            <v>0</v>
          </cell>
          <cell r="E6829">
            <v>0</v>
          </cell>
          <cell r="F6829">
            <v>0</v>
          </cell>
          <cell r="G6829">
            <v>0</v>
          </cell>
        </row>
        <row r="6830">
          <cell r="A6830" t="str">
            <v>55-04-01-0212</v>
          </cell>
          <cell r="B6830">
            <v>0</v>
          </cell>
          <cell r="C6830" t="str">
            <v xml:space="preserve">  DONG A TEXTILE - GARMENT COMPANY</v>
          </cell>
          <cell r="D6830">
            <v>0</v>
          </cell>
          <cell r="E6830">
            <v>0</v>
          </cell>
          <cell r="F6830">
            <v>0</v>
          </cell>
          <cell r="G6830">
            <v>0</v>
          </cell>
        </row>
        <row r="6831">
          <cell r="A6831" t="str">
            <v>55-04-01-0213</v>
          </cell>
          <cell r="B6831">
            <v>0</v>
          </cell>
          <cell r="C6831" t="str">
            <v xml:space="preserve">  MANTAFIL SPA</v>
          </cell>
          <cell r="D6831">
            <v>0</v>
          </cell>
          <cell r="E6831">
            <v>0</v>
          </cell>
          <cell r="F6831">
            <v>0</v>
          </cell>
          <cell r="G6831">
            <v>0</v>
          </cell>
        </row>
        <row r="6832">
          <cell r="A6832" t="str">
            <v>55-04-01-0215</v>
          </cell>
          <cell r="B6832">
            <v>0</v>
          </cell>
          <cell r="C6832" t="str">
            <v xml:space="preserve">  ZORLU LINEN</v>
          </cell>
          <cell r="D6832">
            <v>0</v>
          </cell>
          <cell r="E6832">
            <v>0</v>
          </cell>
          <cell r="F6832">
            <v>0</v>
          </cell>
          <cell r="G6832">
            <v>0</v>
          </cell>
        </row>
        <row r="6833">
          <cell r="A6833" t="str">
            <v>55-04-01-0216</v>
          </cell>
          <cell r="B6833">
            <v>0</v>
          </cell>
          <cell r="C6833" t="str">
            <v xml:space="preserve">  USA KNIT INC</v>
          </cell>
          <cell r="D6833">
            <v>0</v>
          </cell>
          <cell r="E6833">
            <v>0</v>
          </cell>
          <cell r="F6833">
            <v>0</v>
          </cell>
          <cell r="G6833">
            <v>0</v>
          </cell>
        </row>
        <row r="6834">
          <cell r="A6834" t="str">
            <v>55-04-01-0217</v>
          </cell>
          <cell r="B6834">
            <v>0</v>
          </cell>
          <cell r="C6834" t="str">
            <v xml:space="preserve">  DONGWOO TEXTILE CO., LTD.</v>
          </cell>
          <cell r="D6834">
            <v>0</v>
          </cell>
          <cell r="E6834">
            <v>0</v>
          </cell>
          <cell r="F6834">
            <v>0</v>
          </cell>
          <cell r="G6834">
            <v>0</v>
          </cell>
        </row>
        <row r="6835">
          <cell r="A6835" t="str">
            <v>55-04-01-0218</v>
          </cell>
          <cell r="B6835">
            <v>0</v>
          </cell>
          <cell r="C6835" t="str">
            <v xml:space="preserve">  MARUBENI TEXTILE ASIA LTD.</v>
          </cell>
          <cell r="D6835">
            <v>0</v>
          </cell>
          <cell r="E6835">
            <v>0</v>
          </cell>
          <cell r="F6835">
            <v>0</v>
          </cell>
          <cell r="G6835">
            <v>0</v>
          </cell>
        </row>
        <row r="6836">
          <cell r="A6836" t="str">
            <v>55-04-01-0219</v>
          </cell>
          <cell r="B6836">
            <v>0</v>
          </cell>
          <cell r="C6836" t="str">
            <v xml:space="preserve">  OLIMPIAS SPA</v>
          </cell>
          <cell r="D6836">
            <v>0</v>
          </cell>
          <cell r="E6836">
            <v>0</v>
          </cell>
          <cell r="F6836">
            <v>0</v>
          </cell>
          <cell r="G6836">
            <v>0</v>
          </cell>
        </row>
        <row r="6837">
          <cell r="A6837" t="str">
            <v>55-04-01-0220</v>
          </cell>
          <cell r="B6837">
            <v>0</v>
          </cell>
          <cell r="C6837" t="str">
            <v xml:space="preserve">  INDUSTRIAL MARIN TEXTIL S.L CTRA.</v>
          </cell>
          <cell r="D6837">
            <v>0</v>
          </cell>
          <cell r="E6837">
            <v>0</v>
          </cell>
          <cell r="F6837">
            <v>0</v>
          </cell>
          <cell r="G6837">
            <v>0</v>
          </cell>
        </row>
        <row r="6838">
          <cell r="A6838" t="str">
            <v>55-04-01-0221</v>
          </cell>
          <cell r="B6838">
            <v>0</v>
          </cell>
          <cell r="C6838" t="str">
            <v xml:space="preserve">  SOMELOS FIAFIO</v>
          </cell>
          <cell r="D6838">
            <v>0</v>
          </cell>
          <cell r="E6838">
            <v>0</v>
          </cell>
          <cell r="F6838">
            <v>0</v>
          </cell>
          <cell r="G6838">
            <v>0</v>
          </cell>
        </row>
        <row r="6839">
          <cell r="A6839" t="str">
            <v>55-04-01-0222</v>
          </cell>
          <cell r="B6839">
            <v>0</v>
          </cell>
          <cell r="C6839" t="str">
            <v xml:space="preserve">  HANSAE CO LTD</v>
          </cell>
          <cell r="D6839">
            <v>0</v>
          </cell>
          <cell r="E6839">
            <v>0</v>
          </cell>
          <cell r="F6839">
            <v>0</v>
          </cell>
          <cell r="G6839">
            <v>0</v>
          </cell>
        </row>
        <row r="6840">
          <cell r="A6840" t="str">
            <v>55-04-01-0223</v>
          </cell>
          <cell r="B6840">
            <v>0</v>
          </cell>
          <cell r="C6840" t="str">
            <v xml:space="preserve">  ASAL TEKSTIL SANAYI VE TICARET LIMITED</v>
          </cell>
          <cell r="D6840">
            <v>0</v>
          </cell>
          <cell r="E6840">
            <v>0</v>
          </cell>
          <cell r="F6840">
            <v>0</v>
          </cell>
          <cell r="G6840">
            <v>0</v>
          </cell>
        </row>
        <row r="6841">
          <cell r="A6841" t="str">
            <v>55-04-01-0224</v>
          </cell>
          <cell r="B6841">
            <v>0</v>
          </cell>
          <cell r="C6841" t="str">
            <v xml:space="preserve">  REIG MARTI S A CTRA.</v>
          </cell>
          <cell r="D6841">
            <v>0</v>
          </cell>
          <cell r="E6841">
            <v>0</v>
          </cell>
          <cell r="F6841">
            <v>0</v>
          </cell>
          <cell r="G6841">
            <v>0</v>
          </cell>
        </row>
        <row r="6842">
          <cell r="A6842" t="str">
            <v>55-04-01-0225</v>
          </cell>
          <cell r="B6842">
            <v>0</v>
          </cell>
          <cell r="C6842" t="str">
            <v xml:space="preserve">  HOF GARN GMBH</v>
          </cell>
          <cell r="D6842">
            <v>0</v>
          </cell>
          <cell r="E6842">
            <v>0</v>
          </cell>
          <cell r="F6842">
            <v>0</v>
          </cell>
          <cell r="G6842">
            <v>0</v>
          </cell>
        </row>
        <row r="6843">
          <cell r="A6843" t="str">
            <v>55-04-01-0226</v>
          </cell>
          <cell r="B6843">
            <v>0</v>
          </cell>
          <cell r="C6843" t="str">
            <v xml:space="preserve">  CLEARWIN LTD</v>
          </cell>
          <cell r="D6843">
            <v>0</v>
          </cell>
          <cell r="E6843">
            <v>0</v>
          </cell>
          <cell r="F6843">
            <v>0</v>
          </cell>
          <cell r="G6843">
            <v>0</v>
          </cell>
        </row>
        <row r="6844">
          <cell r="A6844" t="str">
            <v>55-04-01-0227</v>
          </cell>
          <cell r="B6844">
            <v>0</v>
          </cell>
          <cell r="C6844" t="str">
            <v xml:space="preserve">  PT.NEW MINATEX</v>
          </cell>
          <cell r="D6844">
            <v>0</v>
          </cell>
          <cell r="E6844">
            <v>0</v>
          </cell>
          <cell r="F6844">
            <v>0</v>
          </cell>
          <cell r="G6844">
            <v>0</v>
          </cell>
        </row>
        <row r="6845">
          <cell r="A6845" t="str">
            <v>55-04-01-0228</v>
          </cell>
          <cell r="B6845">
            <v>0</v>
          </cell>
          <cell r="C6845" t="str">
            <v xml:space="preserve">  SUN YARN TEXTILE CO. LTD.</v>
          </cell>
          <cell r="D6845">
            <v>0</v>
          </cell>
          <cell r="E6845">
            <v>0</v>
          </cell>
          <cell r="F6845">
            <v>0</v>
          </cell>
          <cell r="G6845">
            <v>0</v>
          </cell>
        </row>
        <row r="6846">
          <cell r="A6846" t="str">
            <v>55-04-01-0229</v>
          </cell>
          <cell r="B6846">
            <v>0</v>
          </cell>
          <cell r="C6846" t="str">
            <v xml:space="preserve">  FILVER SRL VIA DELL'ARTIGIANATO</v>
          </cell>
          <cell r="D6846">
            <v>0</v>
          </cell>
          <cell r="E6846">
            <v>0</v>
          </cell>
          <cell r="F6846">
            <v>0</v>
          </cell>
          <cell r="G6846">
            <v>0</v>
          </cell>
        </row>
        <row r="6847">
          <cell r="A6847" t="str">
            <v>55-04-01-0230</v>
          </cell>
          <cell r="B6847">
            <v>0</v>
          </cell>
          <cell r="C6847" t="str">
            <v xml:space="preserve">  S.A.MATERIAS DE RECUPERACION</v>
          </cell>
          <cell r="D6847">
            <v>0</v>
          </cell>
          <cell r="E6847">
            <v>0</v>
          </cell>
          <cell r="F6847">
            <v>0</v>
          </cell>
          <cell r="G6847">
            <v>0</v>
          </cell>
        </row>
        <row r="6848">
          <cell r="A6848" t="str">
            <v>55-04-01-0233</v>
          </cell>
          <cell r="B6848">
            <v>0</v>
          </cell>
          <cell r="C6848" t="str">
            <v xml:space="preserve">  CHEMITEX S.A</v>
          </cell>
          <cell r="D6848">
            <v>0</v>
          </cell>
          <cell r="E6848">
            <v>0</v>
          </cell>
          <cell r="F6848">
            <v>0</v>
          </cell>
          <cell r="G6848">
            <v>0</v>
          </cell>
        </row>
        <row r="6849">
          <cell r="A6849" t="str">
            <v>55-04-01-0234</v>
          </cell>
          <cell r="B6849">
            <v>0</v>
          </cell>
          <cell r="C6849" t="str">
            <v xml:space="preserve">  DEGERMENCI ORGANIZE BANAYI BOLGESI</v>
          </cell>
          <cell r="D6849">
            <v>0</v>
          </cell>
          <cell r="E6849">
            <v>0</v>
          </cell>
          <cell r="F6849">
            <v>0</v>
          </cell>
          <cell r="G6849">
            <v>0</v>
          </cell>
        </row>
        <row r="6850">
          <cell r="A6850" t="str">
            <v>55-04-01-0235</v>
          </cell>
          <cell r="B6850">
            <v>0</v>
          </cell>
          <cell r="C6850" t="str">
            <v xml:space="preserve">  RAINBOW DENIM LTD.</v>
          </cell>
          <cell r="D6850">
            <v>0</v>
          </cell>
          <cell r="E6850">
            <v>0</v>
          </cell>
          <cell r="F6850">
            <v>0</v>
          </cell>
          <cell r="G6850">
            <v>0</v>
          </cell>
        </row>
        <row r="6851">
          <cell r="A6851" t="str">
            <v>55-04-01-0236</v>
          </cell>
          <cell r="B6851">
            <v>0</v>
          </cell>
          <cell r="C6851" t="str">
            <v xml:space="preserve">  MONDIAL</v>
          </cell>
          <cell r="D6851">
            <v>0</v>
          </cell>
          <cell r="E6851">
            <v>0</v>
          </cell>
          <cell r="F6851">
            <v>0</v>
          </cell>
          <cell r="G6851">
            <v>0</v>
          </cell>
        </row>
        <row r="6852">
          <cell r="A6852" t="str">
            <v>55-04-01-0237</v>
          </cell>
          <cell r="B6852">
            <v>0</v>
          </cell>
          <cell r="C6852" t="str">
            <v xml:space="preserve">  ASHIMA LTD</v>
          </cell>
          <cell r="D6852">
            <v>0</v>
          </cell>
          <cell r="E6852">
            <v>0</v>
          </cell>
          <cell r="F6852">
            <v>0</v>
          </cell>
          <cell r="G6852">
            <v>0</v>
          </cell>
        </row>
        <row r="6853">
          <cell r="A6853" t="str">
            <v>55-04-01-0238</v>
          </cell>
          <cell r="B6853">
            <v>0</v>
          </cell>
          <cell r="C6853" t="str">
            <v xml:space="preserve">  CHUNG NAN TEXTILE CO LTD</v>
          </cell>
          <cell r="D6853">
            <v>0</v>
          </cell>
          <cell r="E6853">
            <v>0</v>
          </cell>
          <cell r="F6853">
            <v>0</v>
          </cell>
          <cell r="G6853">
            <v>0</v>
          </cell>
        </row>
        <row r="6854">
          <cell r="A6854" t="str">
            <v>55-04-01-0239</v>
          </cell>
          <cell r="B6854">
            <v>0</v>
          </cell>
          <cell r="C6854" t="str">
            <v xml:space="preserve">  HISAR TEKSTIL</v>
          </cell>
          <cell r="D6854">
            <v>0</v>
          </cell>
          <cell r="E6854">
            <v>0</v>
          </cell>
          <cell r="F6854">
            <v>0</v>
          </cell>
          <cell r="G6854">
            <v>0</v>
          </cell>
        </row>
        <row r="6855">
          <cell r="A6855" t="str">
            <v>55-04-01-0241</v>
          </cell>
          <cell r="B6855">
            <v>0</v>
          </cell>
          <cell r="C6855" t="str">
            <v xml:space="preserve">  EMIL COTONI SPA</v>
          </cell>
          <cell r="D6855">
            <v>0</v>
          </cell>
          <cell r="E6855">
            <v>0</v>
          </cell>
          <cell r="F6855">
            <v>0</v>
          </cell>
          <cell r="G6855">
            <v>0</v>
          </cell>
        </row>
        <row r="6856">
          <cell r="A6856" t="str">
            <v>55-04-01-0243</v>
          </cell>
          <cell r="B6856">
            <v>0</v>
          </cell>
          <cell r="C6856" t="str">
            <v xml:space="preserve">  MONDIAL SPA</v>
          </cell>
          <cell r="D6856">
            <v>0</v>
          </cell>
          <cell r="E6856">
            <v>0</v>
          </cell>
          <cell r="F6856">
            <v>0</v>
          </cell>
          <cell r="G6856">
            <v>0</v>
          </cell>
        </row>
        <row r="6857">
          <cell r="A6857" t="str">
            <v>55-04-01-0244</v>
          </cell>
          <cell r="B6857">
            <v>0</v>
          </cell>
          <cell r="C6857" t="str">
            <v xml:space="preserve">  R-KAY TEXTILES LIMITED</v>
          </cell>
          <cell r="D6857">
            <v>0</v>
          </cell>
          <cell r="E6857">
            <v>0</v>
          </cell>
          <cell r="F6857">
            <v>0</v>
          </cell>
          <cell r="G6857">
            <v>0</v>
          </cell>
        </row>
        <row r="6858">
          <cell r="A6858" t="str">
            <v>55-04-01-0245</v>
          </cell>
          <cell r="B6858">
            <v>0</v>
          </cell>
          <cell r="C6858" t="str">
            <v xml:space="preserve">  KOFIFA TRADING COMPANY  {IZMIR BASM}</v>
          </cell>
          <cell r="D6858">
            <v>0</v>
          </cell>
          <cell r="E6858">
            <v>0</v>
          </cell>
          <cell r="F6858">
            <v>0</v>
          </cell>
          <cell r="G6858">
            <v>0</v>
          </cell>
        </row>
        <row r="6859">
          <cell r="A6859" t="str">
            <v>55-04-01-0246</v>
          </cell>
          <cell r="B6859">
            <v>0</v>
          </cell>
          <cell r="C6859" t="str">
            <v xml:space="preserve">  IPEKYOLU TEKSTIL A.S</v>
          </cell>
          <cell r="D6859">
            <v>0</v>
          </cell>
          <cell r="E6859">
            <v>0</v>
          </cell>
          <cell r="F6859">
            <v>0</v>
          </cell>
          <cell r="G6859">
            <v>0</v>
          </cell>
        </row>
        <row r="6860">
          <cell r="A6860" t="str">
            <v>55-04-01-0247</v>
          </cell>
          <cell r="B6860">
            <v>0</v>
          </cell>
          <cell r="C6860" t="str">
            <v xml:space="preserve">  DE LICACY INDUSTRIAL CO., LTD</v>
          </cell>
          <cell r="D6860">
            <v>0</v>
          </cell>
          <cell r="E6860">
            <v>0</v>
          </cell>
          <cell r="F6860">
            <v>0</v>
          </cell>
          <cell r="G6860">
            <v>0</v>
          </cell>
        </row>
        <row r="6861">
          <cell r="A6861" t="str">
            <v>55-04-01-0248</v>
          </cell>
          <cell r="B6861">
            <v>0</v>
          </cell>
          <cell r="C6861" t="str">
            <v xml:space="preserve">  VIS CO FIL SRL VIA NUORO</v>
          </cell>
          <cell r="D6861">
            <v>0</v>
          </cell>
          <cell r="E6861">
            <v>0</v>
          </cell>
          <cell r="F6861">
            <v>0</v>
          </cell>
          <cell r="G6861">
            <v>0</v>
          </cell>
        </row>
        <row r="6862">
          <cell r="A6862" t="str">
            <v>55-04-01-0249</v>
          </cell>
          <cell r="B6862">
            <v>0</v>
          </cell>
          <cell r="C6862" t="str">
            <v xml:space="preserve">  FILTRADE</v>
          </cell>
          <cell r="D6862">
            <v>0</v>
          </cell>
          <cell r="E6862">
            <v>0</v>
          </cell>
          <cell r="F6862">
            <v>0</v>
          </cell>
          <cell r="G6862">
            <v>0</v>
          </cell>
        </row>
        <row r="6863">
          <cell r="A6863" t="str">
            <v>55-04-01-0250</v>
          </cell>
          <cell r="B6863">
            <v>0</v>
          </cell>
          <cell r="C6863" t="str">
            <v xml:space="preserve">  TRC CANDIANI</v>
          </cell>
          <cell r="D6863">
            <v>0</v>
          </cell>
          <cell r="E6863">
            <v>0</v>
          </cell>
          <cell r="F6863">
            <v>0</v>
          </cell>
          <cell r="G6863">
            <v>0</v>
          </cell>
        </row>
        <row r="6864">
          <cell r="A6864" t="str">
            <v>55-04-01-0251</v>
          </cell>
          <cell r="B6864">
            <v>0</v>
          </cell>
          <cell r="C6864" t="str">
            <v xml:space="preserve">  B.AHLERS &amp; SOHN</v>
          </cell>
          <cell r="D6864">
            <v>0</v>
          </cell>
          <cell r="E6864">
            <v>0</v>
          </cell>
          <cell r="F6864">
            <v>0</v>
          </cell>
          <cell r="G6864">
            <v>0</v>
          </cell>
        </row>
        <row r="6865">
          <cell r="A6865" t="str">
            <v>55-04-01-0252</v>
          </cell>
          <cell r="B6865">
            <v>0</v>
          </cell>
          <cell r="C6865" t="str">
            <v xml:space="preserve">  LA COTONAD</v>
          </cell>
          <cell r="D6865">
            <v>0</v>
          </cell>
          <cell r="E6865">
            <v>0</v>
          </cell>
          <cell r="F6865">
            <v>0</v>
          </cell>
          <cell r="G6865">
            <v>0</v>
          </cell>
        </row>
        <row r="6866">
          <cell r="A6866" t="str">
            <v>55-04-01-0253</v>
          </cell>
          <cell r="B6866">
            <v>0</v>
          </cell>
          <cell r="C6866" t="str">
            <v xml:space="preserve">  THE LUMEN GROUP INC</v>
          </cell>
          <cell r="D6866">
            <v>0</v>
          </cell>
          <cell r="E6866">
            <v>0</v>
          </cell>
          <cell r="F6866">
            <v>0</v>
          </cell>
          <cell r="G6866">
            <v>0</v>
          </cell>
        </row>
        <row r="6867">
          <cell r="A6867" t="str">
            <v>55-04-01-0254</v>
          </cell>
          <cell r="B6867">
            <v>0</v>
          </cell>
          <cell r="C6867" t="str">
            <v xml:space="preserve">  DURTAS TEKSTIL SAN VE</v>
          </cell>
          <cell r="D6867">
            <v>0</v>
          </cell>
          <cell r="E6867">
            <v>0</v>
          </cell>
          <cell r="F6867">
            <v>0</v>
          </cell>
          <cell r="G6867">
            <v>0</v>
          </cell>
        </row>
        <row r="6868">
          <cell r="A6868" t="str">
            <v>55-04-01-0255</v>
          </cell>
          <cell r="B6868">
            <v>0</v>
          </cell>
          <cell r="C6868" t="str">
            <v xml:space="preserve">  YESIM SATIS MAGAZALARI</v>
          </cell>
          <cell r="D6868">
            <v>0</v>
          </cell>
          <cell r="E6868">
            <v>0</v>
          </cell>
          <cell r="F6868">
            <v>0</v>
          </cell>
          <cell r="G6868">
            <v>0</v>
          </cell>
        </row>
        <row r="6869">
          <cell r="A6869" t="str">
            <v>55-04-01-0256</v>
          </cell>
          <cell r="B6869">
            <v>0</v>
          </cell>
          <cell r="C6869" t="str">
            <v xml:space="preserve">  MOON-KWANG INDUSRIAL CO</v>
          </cell>
          <cell r="D6869">
            <v>0</v>
          </cell>
          <cell r="E6869">
            <v>0</v>
          </cell>
          <cell r="F6869">
            <v>0</v>
          </cell>
          <cell r="G6869">
            <v>0</v>
          </cell>
        </row>
        <row r="6870">
          <cell r="A6870" t="str">
            <v>55-04-01-0257</v>
          </cell>
          <cell r="B6870">
            <v>0</v>
          </cell>
          <cell r="C6870" t="str">
            <v xml:space="preserve">  WAH HONG ENTERPRISES PTY</v>
          </cell>
          <cell r="D6870">
            <v>0</v>
          </cell>
          <cell r="E6870">
            <v>0</v>
          </cell>
          <cell r="F6870">
            <v>0</v>
          </cell>
          <cell r="G6870">
            <v>0</v>
          </cell>
        </row>
        <row r="6871">
          <cell r="A6871" t="str">
            <v>55-04-01-0258</v>
          </cell>
          <cell r="B6871">
            <v>0</v>
          </cell>
          <cell r="C6871" t="str">
            <v xml:space="preserve">  ADRIA DI MATRELELLI GIANLUCA VIA ITLAY</v>
          </cell>
          <cell r="D6871">
            <v>0</v>
          </cell>
          <cell r="E6871">
            <v>0</v>
          </cell>
          <cell r="F6871">
            <v>0</v>
          </cell>
          <cell r="G6871">
            <v>0</v>
          </cell>
        </row>
        <row r="6872">
          <cell r="A6872" t="str">
            <v>55-04-01-0259</v>
          </cell>
          <cell r="B6872">
            <v>0</v>
          </cell>
          <cell r="C6872" t="str">
            <v xml:space="preserve">  F.LLI PIATTI SPA VIA SAN FRANCESCO</v>
          </cell>
          <cell r="D6872">
            <v>0</v>
          </cell>
          <cell r="E6872">
            <v>0</v>
          </cell>
          <cell r="F6872">
            <v>0</v>
          </cell>
          <cell r="G6872">
            <v>0</v>
          </cell>
        </row>
        <row r="6873">
          <cell r="A6873" t="str">
            <v>55-04-01-0260</v>
          </cell>
          <cell r="B6873">
            <v>0</v>
          </cell>
          <cell r="C6873" t="str">
            <v xml:space="preserve">  DRAPLANE SPA VIA DEL MOLINUZZO</v>
          </cell>
          <cell r="D6873">
            <v>0</v>
          </cell>
          <cell r="E6873">
            <v>0</v>
          </cell>
          <cell r="F6873">
            <v>0</v>
          </cell>
          <cell r="G6873">
            <v>0</v>
          </cell>
        </row>
        <row r="6874">
          <cell r="A6874" t="str">
            <v>55-04-01-0261</v>
          </cell>
          <cell r="B6874">
            <v>0</v>
          </cell>
          <cell r="C6874" t="str">
            <v xml:space="preserve">  HA EUN ENT. LTD.    &lt;KOREA TOWELS&gt;</v>
          </cell>
          <cell r="D6874">
            <v>0</v>
          </cell>
          <cell r="E6874">
            <v>0</v>
          </cell>
          <cell r="F6874">
            <v>0</v>
          </cell>
          <cell r="G6874">
            <v>0</v>
          </cell>
        </row>
        <row r="6875">
          <cell r="A6875" t="str">
            <v>55-04-01-0262</v>
          </cell>
          <cell r="B6875">
            <v>0</v>
          </cell>
          <cell r="C6875" t="str">
            <v xml:space="preserve">  ITALEDENIM SPA</v>
          </cell>
          <cell r="D6875">
            <v>0</v>
          </cell>
          <cell r="E6875">
            <v>0</v>
          </cell>
          <cell r="F6875">
            <v>0</v>
          </cell>
          <cell r="G6875">
            <v>0</v>
          </cell>
        </row>
        <row r="6876">
          <cell r="A6876" t="str">
            <v>55-04-01-0263</v>
          </cell>
          <cell r="B6876">
            <v>0</v>
          </cell>
          <cell r="C6876" t="str">
            <v xml:space="preserve">  FANTASTIC GARMENTS LIMITED</v>
          </cell>
          <cell r="D6876">
            <v>0</v>
          </cell>
          <cell r="E6876">
            <v>0</v>
          </cell>
          <cell r="F6876">
            <v>0</v>
          </cell>
          <cell r="G6876">
            <v>0</v>
          </cell>
        </row>
        <row r="6877">
          <cell r="A6877" t="str">
            <v>55-04-01-0264</v>
          </cell>
          <cell r="B6877">
            <v>0</v>
          </cell>
          <cell r="C6877" t="str">
            <v xml:space="preserve">  FEDERATION OF SEOUL KNITTING IND. COOP</v>
          </cell>
          <cell r="D6877">
            <v>0</v>
          </cell>
          <cell r="E6877">
            <v>0</v>
          </cell>
          <cell r="F6877">
            <v>0</v>
          </cell>
          <cell r="G6877">
            <v>0</v>
          </cell>
        </row>
        <row r="6878">
          <cell r="A6878" t="str">
            <v>55-04-01-0265</v>
          </cell>
          <cell r="B6878">
            <v>0</v>
          </cell>
          <cell r="C6878" t="str">
            <v xml:space="preserve">  PILLOWTEX CORPORATION</v>
          </cell>
          <cell r="D6878">
            <v>0</v>
          </cell>
          <cell r="E6878">
            <v>0</v>
          </cell>
          <cell r="F6878">
            <v>0</v>
          </cell>
          <cell r="G6878">
            <v>0</v>
          </cell>
        </row>
        <row r="6879">
          <cell r="A6879" t="str">
            <v>55-04-01-0266</v>
          </cell>
          <cell r="B6879">
            <v>0</v>
          </cell>
          <cell r="C6879" t="str">
            <v xml:space="preserve">  VICTOR HERMELIN</v>
          </cell>
          <cell r="D6879">
            <v>0</v>
          </cell>
          <cell r="E6879">
            <v>0</v>
          </cell>
          <cell r="F6879">
            <v>0</v>
          </cell>
          <cell r="G6879">
            <v>0</v>
          </cell>
        </row>
        <row r="6880">
          <cell r="A6880" t="str">
            <v>55-04-01-0267</v>
          </cell>
          <cell r="B6880">
            <v>0</v>
          </cell>
          <cell r="C6880" t="str">
            <v xml:space="preserve">  UNATSAN ULISLARARASI NAK.TIC VE SAN LT</v>
          </cell>
          <cell r="D6880">
            <v>0</v>
          </cell>
          <cell r="E6880">
            <v>0</v>
          </cell>
          <cell r="F6880">
            <v>0</v>
          </cell>
          <cell r="G6880">
            <v>0</v>
          </cell>
        </row>
        <row r="6881">
          <cell r="A6881" t="str">
            <v>55-04-01-0268</v>
          </cell>
          <cell r="B6881">
            <v>0</v>
          </cell>
          <cell r="C6881" t="str">
            <v xml:space="preserve">  YANGA SRL VIA MONTE</v>
          </cell>
          <cell r="D6881">
            <v>0</v>
          </cell>
          <cell r="E6881">
            <v>0</v>
          </cell>
          <cell r="F6881">
            <v>0</v>
          </cell>
          <cell r="G6881">
            <v>0</v>
          </cell>
        </row>
        <row r="6882">
          <cell r="A6882" t="str">
            <v>55-04-01-0269</v>
          </cell>
          <cell r="B6882">
            <v>0</v>
          </cell>
          <cell r="C6882" t="str">
            <v xml:space="preserve">  SAVIOR ART</v>
          </cell>
          <cell r="D6882">
            <v>0</v>
          </cell>
          <cell r="E6882">
            <v>0</v>
          </cell>
          <cell r="F6882">
            <v>0</v>
          </cell>
          <cell r="G6882">
            <v>0</v>
          </cell>
        </row>
        <row r="6883">
          <cell r="A6883" t="str">
            <v>55-04-01-0271</v>
          </cell>
          <cell r="B6883">
            <v>0</v>
          </cell>
          <cell r="C6883" t="str">
            <v xml:space="preserve">  AKAYTCKS</v>
          </cell>
          <cell r="D6883">
            <v>0</v>
          </cell>
          <cell r="E6883">
            <v>0</v>
          </cell>
          <cell r="F6883">
            <v>0</v>
          </cell>
          <cell r="G6883">
            <v>0</v>
          </cell>
        </row>
        <row r="6884">
          <cell r="A6884" t="str">
            <v>55-04-01-0272</v>
          </cell>
          <cell r="B6884">
            <v>0</v>
          </cell>
          <cell r="C6884" t="str">
            <v xml:space="preserve">  P.T. CHORI INDONESIA</v>
          </cell>
          <cell r="D6884">
            <v>0</v>
          </cell>
          <cell r="E6884">
            <v>0</v>
          </cell>
          <cell r="F6884">
            <v>0</v>
          </cell>
          <cell r="G6884">
            <v>0</v>
          </cell>
        </row>
        <row r="6885">
          <cell r="A6885" t="str">
            <v>55-04-01-0273</v>
          </cell>
          <cell r="B6885">
            <v>0</v>
          </cell>
          <cell r="C6885" t="str">
            <v xml:space="preserve">  AQUASAVA DOO GORENJESAVSKA</v>
          </cell>
          <cell r="D6885">
            <v>0</v>
          </cell>
          <cell r="E6885">
            <v>0</v>
          </cell>
          <cell r="F6885">
            <v>0</v>
          </cell>
          <cell r="G6885">
            <v>0</v>
          </cell>
        </row>
        <row r="6886">
          <cell r="A6886" t="str">
            <v>55-04-01-0274</v>
          </cell>
          <cell r="B6886">
            <v>0</v>
          </cell>
          <cell r="C6886" t="str">
            <v xml:space="preserve">  YAGI AND CO.</v>
          </cell>
          <cell r="D6886">
            <v>0</v>
          </cell>
          <cell r="E6886">
            <v>0</v>
          </cell>
          <cell r="F6886">
            <v>0</v>
          </cell>
          <cell r="G6886">
            <v>0</v>
          </cell>
        </row>
        <row r="6887">
          <cell r="A6887" t="str">
            <v>55-04-01-0275</v>
          </cell>
          <cell r="B6887">
            <v>0</v>
          </cell>
          <cell r="C6887" t="str">
            <v xml:space="preserve">  PARKSTAR DEVELOPMENT LIMITED</v>
          </cell>
          <cell r="D6887">
            <v>0</v>
          </cell>
          <cell r="E6887">
            <v>0</v>
          </cell>
          <cell r="F6887">
            <v>0</v>
          </cell>
          <cell r="G6887">
            <v>0</v>
          </cell>
        </row>
        <row r="6888">
          <cell r="A6888" t="str">
            <v>55-04-01-0276</v>
          </cell>
          <cell r="B6888">
            <v>0</v>
          </cell>
          <cell r="C6888" t="str">
            <v xml:space="preserve">  HUNG YUEN TAT TRADING CO</v>
          </cell>
          <cell r="D6888">
            <v>0</v>
          </cell>
          <cell r="E6888">
            <v>0</v>
          </cell>
          <cell r="F6888">
            <v>0</v>
          </cell>
          <cell r="G6888">
            <v>0</v>
          </cell>
        </row>
        <row r="6889">
          <cell r="A6889" t="str">
            <v>55-04-01-0277</v>
          </cell>
          <cell r="B6889">
            <v>0</v>
          </cell>
          <cell r="C6889" t="str">
            <v xml:space="preserve">  POLOTEX MARKETING</v>
          </cell>
          <cell r="D6889">
            <v>0</v>
          </cell>
          <cell r="E6889">
            <v>0</v>
          </cell>
          <cell r="F6889">
            <v>0</v>
          </cell>
          <cell r="G6889">
            <v>0</v>
          </cell>
        </row>
        <row r="6890">
          <cell r="A6890" t="str">
            <v>55-04-01-0278</v>
          </cell>
          <cell r="B6890">
            <v>0</v>
          </cell>
          <cell r="C6890" t="str">
            <v xml:space="preserve">  WIDE WAY TEXTILE LIMITED</v>
          </cell>
          <cell r="D6890">
            <v>0</v>
          </cell>
          <cell r="E6890">
            <v>0</v>
          </cell>
          <cell r="F6890">
            <v>0</v>
          </cell>
          <cell r="G6890">
            <v>0</v>
          </cell>
        </row>
        <row r="6891">
          <cell r="A6891" t="str">
            <v>55-04-01-0279</v>
          </cell>
          <cell r="B6891">
            <v>0</v>
          </cell>
          <cell r="C6891" t="str">
            <v xml:space="preserve">  SBW LIMITED</v>
          </cell>
          <cell r="D6891">
            <v>0</v>
          </cell>
          <cell r="E6891">
            <v>0</v>
          </cell>
          <cell r="F6891">
            <v>0</v>
          </cell>
          <cell r="G6891">
            <v>0</v>
          </cell>
        </row>
        <row r="6892">
          <cell r="A6892" t="str">
            <v>55-04-01-0280</v>
          </cell>
          <cell r="B6892">
            <v>0</v>
          </cell>
          <cell r="C6892" t="str">
            <v xml:space="preserve">  DUEMILASORZ SRL. VIA DELL</v>
          </cell>
          <cell r="D6892">
            <v>0</v>
          </cell>
          <cell r="E6892">
            <v>0</v>
          </cell>
          <cell r="F6892">
            <v>0</v>
          </cell>
          <cell r="G6892">
            <v>0</v>
          </cell>
        </row>
        <row r="6893">
          <cell r="A6893" t="str">
            <v>55-04-01-0281</v>
          </cell>
          <cell r="B6893">
            <v>0</v>
          </cell>
          <cell r="C6893" t="str">
            <v xml:space="preserve">  PRIDE MANUFACTURING (KARIM'S INTL.)</v>
          </cell>
          <cell r="D6893">
            <v>0</v>
          </cell>
          <cell r="E6893">
            <v>0</v>
          </cell>
          <cell r="F6893">
            <v>0</v>
          </cell>
          <cell r="G6893">
            <v>0</v>
          </cell>
        </row>
        <row r="6894">
          <cell r="A6894" t="str">
            <v>55-04-01-0282</v>
          </cell>
          <cell r="B6894">
            <v>0</v>
          </cell>
          <cell r="C6894" t="str">
            <v xml:space="preserve">  MR. YANG WEI DONG</v>
          </cell>
          <cell r="D6894">
            <v>0</v>
          </cell>
          <cell r="E6894">
            <v>0</v>
          </cell>
          <cell r="F6894">
            <v>0</v>
          </cell>
          <cell r="G6894">
            <v>0</v>
          </cell>
        </row>
        <row r="6895">
          <cell r="A6895" t="str">
            <v>55-04-01-0283</v>
          </cell>
          <cell r="B6895">
            <v>0</v>
          </cell>
          <cell r="C6895" t="str">
            <v xml:space="preserve">  TURKUAZ TEKSTIL SANAYI VE TICARET A.S.</v>
          </cell>
          <cell r="D6895">
            <v>0</v>
          </cell>
          <cell r="E6895">
            <v>0</v>
          </cell>
          <cell r="F6895">
            <v>0</v>
          </cell>
          <cell r="G6895">
            <v>0</v>
          </cell>
        </row>
        <row r="6896">
          <cell r="A6896" t="str">
            <v>55-04-01-0284</v>
          </cell>
          <cell r="B6896">
            <v>0</v>
          </cell>
          <cell r="C6896" t="str">
            <v xml:space="preserve">  GUNES TEKSTIL PAZARLAMA SANAYI VE TICA</v>
          </cell>
          <cell r="D6896">
            <v>0</v>
          </cell>
          <cell r="E6896">
            <v>0</v>
          </cell>
          <cell r="F6896">
            <v>0</v>
          </cell>
          <cell r="G6896">
            <v>0</v>
          </cell>
        </row>
        <row r="6897">
          <cell r="A6897" t="str">
            <v>55-04-01-0285</v>
          </cell>
          <cell r="B6897">
            <v>0</v>
          </cell>
          <cell r="C6897" t="str">
            <v xml:space="preserve">  FRAME TEXTILE GROUP</v>
          </cell>
          <cell r="D6897">
            <v>0</v>
          </cell>
          <cell r="E6897">
            <v>0</v>
          </cell>
          <cell r="F6897">
            <v>0</v>
          </cell>
          <cell r="G6897">
            <v>0</v>
          </cell>
        </row>
        <row r="6898">
          <cell r="A6898" t="str">
            <v>55-04-01-0286</v>
          </cell>
          <cell r="B6898">
            <v>0</v>
          </cell>
          <cell r="C6898" t="str">
            <v xml:space="preserve">  NESA TEKSTIL SANAYI VE TICARET A.S.</v>
          </cell>
          <cell r="D6898">
            <v>0</v>
          </cell>
          <cell r="E6898">
            <v>0</v>
          </cell>
          <cell r="F6898">
            <v>0</v>
          </cell>
          <cell r="G6898">
            <v>0</v>
          </cell>
        </row>
        <row r="6899">
          <cell r="A6899" t="str">
            <v>55-04-01-0287</v>
          </cell>
          <cell r="B6899">
            <v>0</v>
          </cell>
          <cell r="C6899" t="str">
            <v xml:space="preserve">  KIE AND KIE WORLD CO LTD</v>
          </cell>
          <cell r="D6899">
            <v>0</v>
          </cell>
          <cell r="E6899">
            <v>0</v>
          </cell>
          <cell r="F6899">
            <v>0</v>
          </cell>
          <cell r="G6899">
            <v>0</v>
          </cell>
        </row>
        <row r="6900">
          <cell r="A6900" t="str">
            <v>55-04-01-0288</v>
          </cell>
          <cell r="B6900">
            <v>0</v>
          </cell>
          <cell r="C6900" t="str">
            <v xml:space="preserve">  CUKUROVA SANAYI T.A.S</v>
          </cell>
          <cell r="D6900">
            <v>0</v>
          </cell>
          <cell r="E6900">
            <v>0</v>
          </cell>
          <cell r="F6900">
            <v>0</v>
          </cell>
          <cell r="G6900">
            <v>0</v>
          </cell>
        </row>
        <row r="6901">
          <cell r="A6901" t="str">
            <v>55-04-01-0289</v>
          </cell>
          <cell r="B6901">
            <v>0</v>
          </cell>
          <cell r="C6901" t="str">
            <v xml:space="preserve">  LANIFICO BELLUCCI</v>
          </cell>
          <cell r="D6901">
            <v>0</v>
          </cell>
          <cell r="E6901">
            <v>0</v>
          </cell>
          <cell r="F6901">
            <v>0</v>
          </cell>
          <cell r="G6901">
            <v>0</v>
          </cell>
        </row>
        <row r="6902">
          <cell r="A6902" t="str">
            <v>55-04-01-0290</v>
          </cell>
          <cell r="B6902">
            <v>0</v>
          </cell>
          <cell r="C6902" t="str">
            <v xml:space="preserve">  ROYAL CROWNTEX INTNL</v>
          </cell>
          <cell r="D6902">
            <v>0</v>
          </cell>
          <cell r="E6902">
            <v>0</v>
          </cell>
          <cell r="F6902">
            <v>0</v>
          </cell>
          <cell r="G6902">
            <v>0</v>
          </cell>
        </row>
        <row r="6903">
          <cell r="A6903" t="str">
            <v>55-04-01-0291</v>
          </cell>
          <cell r="B6903">
            <v>0</v>
          </cell>
          <cell r="C6903" t="str">
            <v xml:space="preserve">  JIN SUNG K AND S CO , LTD</v>
          </cell>
          <cell r="D6903">
            <v>0</v>
          </cell>
          <cell r="E6903">
            <v>0</v>
          </cell>
          <cell r="F6903">
            <v>0</v>
          </cell>
          <cell r="G6903">
            <v>0</v>
          </cell>
        </row>
        <row r="6904">
          <cell r="A6904" t="str">
            <v>55-04-01-0292</v>
          </cell>
          <cell r="B6904">
            <v>0</v>
          </cell>
          <cell r="C6904" t="str">
            <v xml:space="preserve">  BO SEONG TOWEL</v>
          </cell>
          <cell r="D6904">
            <v>0</v>
          </cell>
          <cell r="E6904">
            <v>0</v>
          </cell>
          <cell r="F6904">
            <v>0</v>
          </cell>
          <cell r="G6904">
            <v>0</v>
          </cell>
        </row>
        <row r="6905">
          <cell r="A6905" t="str">
            <v>55-04-01-0293</v>
          </cell>
          <cell r="B6905">
            <v>0</v>
          </cell>
          <cell r="C6905" t="str">
            <v xml:space="preserve">  DAEGU N GYEONGBUK TEXTILE WEAVING INDU</v>
          </cell>
          <cell r="D6905">
            <v>0</v>
          </cell>
          <cell r="E6905">
            <v>0</v>
          </cell>
          <cell r="F6905">
            <v>0</v>
          </cell>
          <cell r="G6905">
            <v>0</v>
          </cell>
        </row>
        <row r="6906">
          <cell r="A6906" t="str">
            <v>55-04-01-0294</v>
          </cell>
          <cell r="B6906">
            <v>0</v>
          </cell>
          <cell r="C6906" t="str">
            <v xml:space="preserve">  EKPEN TEKSTIL</v>
          </cell>
          <cell r="D6906">
            <v>0</v>
          </cell>
          <cell r="E6906">
            <v>0</v>
          </cell>
          <cell r="F6906">
            <v>0</v>
          </cell>
          <cell r="G6906">
            <v>0</v>
          </cell>
        </row>
        <row r="6907">
          <cell r="A6907" t="str">
            <v>55-04-01-0295</v>
          </cell>
          <cell r="B6907">
            <v>0</v>
          </cell>
          <cell r="C6907" t="str">
            <v xml:space="preserve">  SERVIFIOS LDA</v>
          </cell>
          <cell r="D6907">
            <v>0</v>
          </cell>
          <cell r="E6907">
            <v>0</v>
          </cell>
          <cell r="F6907">
            <v>0</v>
          </cell>
          <cell r="G6907">
            <v>0</v>
          </cell>
        </row>
        <row r="6908">
          <cell r="A6908" t="str">
            <v>55-04-01-0296</v>
          </cell>
          <cell r="B6908">
            <v>0</v>
          </cell>
          <cell r="C6908" t="str">
            <v xml:space="preserve">  CV. TIGA SINAR CEMERLANG</v>
          </cell>
          <cell r="D6908">
            <v>0</v>
          </cell>
          <cell r="E6908">
            <v>0</v>
          </cell>
          <cell r="F6908">
            <v>0</v>
          </cell>
          <cell r="G6908">
            <v>0</v>
          </cell>
        </row>
        <row r="6909">
          <cell r="A6909" t="str">
            <v>55-04-01-0297</v>
          </cell>
          <cell r="B6909">
            <v>0</v>
          </cell>
          <cell r="C6909" t="str">
            <v xml:space="preserve">  SUNG WOO CO., LTD</v>
          </cell>
          <cell r="D6909">
            <v>0</v>
          </cell>
          <cell r="E6909">
            <v>0</v>
          </cell>
          <cell r="F6909">
            <v>0</v>
          </cell>
          <cell r="G6909">
            <v>0</v>
          </cell>
        </row>
        <row r="6910">
          <cell r="A6910" t="str">
            <v>55-04-01-0298</v>
          </cell>
          <cell r="B6910">
            <v>0</v>
          </cell>
          <cell r="C6910" t="str">
            <v xml:space="preserve">  BEZSAN TEKSTIL SAN.VE TIC. A.S.</v>
          </cell>
          <cell r="D6910">
            <v>0</v>
          </cell>
          <cell r="E6910">
            <v>0</v>
          </cell>
          <cell r="F6910">
            <v>0</v>
          </cell>
          <cell r="G6910">
            <v>0</v>
          </cell>
        </row>
        <row r="6911">
          <cell r="A6911" t="str">
            <v>55-04-01-0299</v>
          </cell>
          <cell r="B6911">
            <v>0</v>
          </cell>
          <cell r="C6911" t="str">
            <v xml:space="preserve">  GABEL INDUSTRIA TESSILE SPA</v>
          </cell>
          <cell r="D6911">
            <v>0</v>
          </cell>
          <cell r="E6911">
            <v>0</v>
          </cell>
          <cell r="F6911">
            <v>0</v>
          </cell>
          <cell r="G6911">
            <v>0</v>
          </cell>
        </row>
        <row r="6912">
          <cell r="A6912" t="str">
            <v>55-04-01-0300</v>
          </cell>
          <cell r="B6912">
            <v>0</v>
          </cell>
          <cell r="C6912" t="str">
            <v xml:space="preserve">  CHOI'S INDUSTRIAL CO., LTD</v>
          </cell>
          <cell r="D6912">
            <v>0</v>
          </cell>
          <cell r="E6912">
            <v>0</v>
          </cell>
          <cell r="F6912">
            <v>0</v>
          </cell>
          <cell r="G6912">
            <v>0</v>
          </cell>
        </row>
        <row r="6913">
          <cell r="A6913" t="str">
            <v>55-04-01-0301</v>
          </cell>
          <cell r="B6913">
            <v>0</v>
          </cell>
          <cell r="C6913" t="str">
            <v xml:space="preserve">  COTONIFICIO VERBANESE SPA</v>
          </cell>
          <cell r="D6913">
            <v>0</v>
          </cell>
          <cell r="E6913">
            <v>0</v>
          </cell>
          <cell r="F6913">
            <v>0</v>
          </cell>
          <cell r="G6913">
            <v>0</v>
          </cell>
        </row>
        <row r="6914">
          <cell r="A6914" t="str">
            <v>55-04-01-0302</v>
          </cell>
          <cell r="B6914">
            <v>0</v>
          </cell>
          <cell r="C6914" t="str">
            <v xml:space="preserve">  ERTCKS KONFEKSIYON AS.,</v>
          </cell>
          <cell r="D6914">
            <v>0</v>
          </cell>
          <cell r="E6914">
            <v>0</v>
          </cell>
          <cell r="F6914">
            <v>0</v>
          </cell>
          <cell r="G6914">
            <v>0</v>
          </cell>
        </row>
        <row r="6915">
          <cell r="A6915" t="str">
            <v>55-04-01-0303</v>
          </cell>
          <cell r="B6915">
            <v>0</v>
          </cell>
          <cell r="C6915" t="str">
            <v xml:space="preserve">  SENCO INTERNATIONAL</v>
          </cell>
          <cell r="D6915">
            <v>0</v>
          </cell>
          <cell r="E6915">
            <v>0</v>
          </cell>
          <cell r="F6915">
            <v>0</v>
          </cell>
          <cell r="G6915">
            <v>0</v>
          </cell>
        </row>
        <row r="6916">
          <cell r="A6916" t="str">
            <v>55-04-01-0304</v>
          </cell>
          <cell r="B6916">
            <v>0</v>
          </cell>
          <cell r="C6916" t="str">
            <v xml:space="preserve">  CARL WIN INTERNATIONAL LTD</v>
          </cell>
          <cell r="D6916">
            <v>0</v>
          </cell>
          <cell r="E6916">
            <v>0</v>
          </cell>
          <cell r="F6916">
            <v>0</v>
          </cell>
          <cell r="G6916">
            <v>0</v>
          </cell>
        </row>
        <row r="6917">
          <cell r="A6917" t="str">
            <v>55-04-01-0305</v>
          </cell>
          <cell r="B6917">
            <v>0</v>
          </cell>
          <cell r="C6917" t="str">
            <v xml:space="preserve">  HANTRADE YARN AND PIECE GOODS LTD.</v>
          </cell>
          <cell r="D6917">
            <v>0</v>
          </cell>
          <cell r="E6917">
            <v>0</v>
          </cell>
          <cell r="F6917">
            <v>0</v>
          </cell>
          <cell r="G6917">
            <v>0</v>
          </cell>
        </row>
        <row r="6918">
          <cell r="A6918" t="str">
            <v>55-04-01-0306</v>
          </cell>
          <cell r="B6918">
            <v>0</v>
          </cell>
          <cell r="C6918" t="str">
            <v xml:space="preserve">  ANTONIO DE ALMEIDA + FILHOS TEXTEIS SA</v>
          </cell>
          <cell r="D6918">
            <v>0</v>
          </cell>
          <cell r="E6918">
            <v>0</v>
          </cell>
          <cell r="F6918">
            <v>0</v>
          </cell>
          <cell r="G6918">
            <v>0</v>
          </cell>
        </row>
        <row r="6919">
          <cell r="A6919" t="str">
            <v>55-04-01-0307</v>
          </cell>
          <cell r="B6919">
            <v>0</v>
          </cell>
          <cell r="C6919" t="str">
            <v xml:space="preserve">  RAJA UCHINO CO., LTD.</v>
          </cell>
          <cell r="D6919">
            <v>0</v>
          </cell>
          <cell r="E6919">
            <v>0</v>
          </cell>
          <cell r="F6919">
            <v>0</v>
          </cell>
          <cell r="G6919">
            <v>0</v>
          </cell>
        </row>
        <row r="6920">
          <cell r="A6920" t="str">
            <v>55-04-01-0308</v>
          </cell>
          <cell r="B6920">
            <v>0</v>
          </cell>
          <cell r="C6920" t="str">
            <v xml:space="preserve">  CV. CAHAYA RAYA JAYA</v>
          </cell>
          <cell r="D6920">
            <v>0</v>
          </cell>
          <cell r="E6920">
            <v>0</v>
          </cell>
          <cell r="F6920">
            <v>0</v>
          </cell>
          <cell r="G6920">
            <v>0</v>
          </cell>
        </row>
        <row r="6921">
          <cell r="A6921" t="str">
            <v>55-04-01-0309</v>
          </cell>
          <cell r="B6921">
            <v>0</v>
          </cell>
          <cell r="C6921" t="str">
            <v xml:space="preserve">  COVERFIBRE SPA</v>
          </cell>
          <cell r="D6921">
            <v>0</v>
          </cell>
          <cell r="E6921">
            <v>0</v>
          </cell>
          <cell r="F6921">
            <v>0</v>
          </cell>
          <cell r="G6921">
            <v>0</v>
          </cell>
        </row>
        <row r="6922">
          <cell r="A6922" t="str">
            <v>55-04-01-0310</v>
          </cell>
          <cell r="B6922">
            <v>0</v>
          </cell>
          <cell r="C6922" t="str">
            <v xml:space="preserve">  TIV U.K. LIMITED</v>
          </cell>
          <cell r="D6922">
            <v>0</v>
          </cell>
          <cell r="E6922">
            <v>0</v>
          </cell>
          <cell r="F6922">
            <v>0</v>
          </cell>
          <cell r="G6922">
            <v>0</v>
          </cell>
        </row>
        <row r="6923">
          <cell r="A6923" t="str">
            <v>55-04-01-0311</v>
          </cell>
          <cell r="B6923">
            <v>0</v>
          </cell>
          <cell r="C6923" t="str">
            <v xml:space="preserve">  PRESTO MANAGEMENT PTE LTD.</v>
          </cell>
          <cell r="D6923">
            <v>0</v>
          </cell>
          <cell r="E6923">
            <v>0</v>
          </cell>
          <cell r="F6923">
            <v>0</v>
          </cell>
          <cell r="G6923">
            <v>0</v>
          </cell>
        </row>
        <row r="6924">
          <cell r="A6924" t="str">
            <v>55-04-01-0312</v>
          </cell>
          <cell r="B6924">
            <v>0</v>
          </cell>
          <cell r="C6924" t="str">
            <v xml:space="preserve">  CARL WEISKE GMBH AND CO</v>
          </cell>
          <cell r="D6924">
            <v>0</v>
          </cell>
          <cell r="E6924">
            <v>0</v>
          </cell>
          <cell r="F6924">
            <v>0</v>
          </cell>
          <cell r="G6924">
            <v>0</v>
          </cell>
        </row>
        <row r="6925">
          <cell r="A6925" t="str">
            <v>55-04-01-0313</v>
          </cell>
          <cell r="B6925">
            <v>0</v>
          </cell>
          <cell r="C6925" t="str">
            <v xml:space="preserve">  H.T. BARMA LTD.,</v>
          </cell>
          <cell r="D6925">
            <v>0</v>
          </cell>
          <cell r="E6925">
            <v>0</v>
          </cell>
          <cell r="F6925">
            <v>0</v>
          </cell>
          <cell r="G6925">
            <v>0</v>
          </cell>
        </row>
        <row r="6926">
          <cell r="A6926" t="str">
            <v>55-04-01-0314</v>
          </cell>
          <cell r="B6926">
            <v>0</v>
          </cell>
          <cell r="C6926" t="str">
            <v xml:space="preserve">  KLOPMAN INTERNTIONAL SPA</v>
          </cell>
          <cell r="D6926">
            <v>0</v>
          </cell>
          <cell r="E6926">
            <v>0</v>
          </cell>
          <cell r="F6926">
            <v>0</v>
          </cell>
          <cell r="G6926">
            <v>0</v>
          </cell>
        </row>
        <row r="6927">
          <cell r="A6927" t="str">
            <v>55-04-01-0315</v>
          </cell>
          <cell r="B6927">
            <v>0</v>
          </cell>
          <cell r="C6927" t="str">
            <v xml:space="preserve">  KEYWIN TRADING LIMITED</v>
          </cell>
          <cell r="D6927">
            <v>0</v>
          </cell>
          <cell r="E6927">
            <v>0</v>
          </cell>
          <cell r="F6927">
            <v>0</v>
          </cell>
          <cell r="G6927">
            <v>0</v>
          </cell>
        </row>
        <row r="6928">
          <cell r="A6928" t="str">
            <v>55-04-01-0316</v>
          </cell>
          <cell r="B6928">
            <v>0</v>
          </cell>
          <cell r="C6928" t="str">
            <v xml:space="preserve">  CHEIL INDUSTRIES INC.</v>
          </cell>
          <cell r="D6928">
            <v>0</v>
          </cell>
          <cell r="E6928">
            <v>0</v>
          </cell>
          <cell r="F6928">
            <v>0</v>
          </cell>
          <cell r="G6928">
            <v>0</v>
          </cell>
        </row>
        <row r="6929">
          <cell r="A6929" t="str">
            <v>55-04-01-0317</v>
          </cell>
          <cell r="B6929">
            <v>0</v>
          </cell>
          <cell r="C6929" t="str">
            <v xml:space="preserve">  LA PREPARACION TEXTIL S.A CL</v>
          </cell>
          <cell r="D6929">
            <v>0</v>
          </cell>
          <cell r="E6929">
            <v>0</v>
          </cell>
          <cell r="F6929">
            <v>0</v>
          </cell>
          <cell r="G6929">
            <v>0</v>
          </cell>
        </row>
        <row r="6930">
          <cell r="A6930" t="str">
            <v>55-04-01-0318</v>
          </cell>
          <cell r="B6930">
            <v>0</v>
          </cell>
          <cell r="C6930" t="str">
            <v xml:space="preserve">  ELKOTEKS ELASTIK KOMBINE IPLIKLER TEKS</v>
          </cell>
          <cell r="D6930">
            <v>0</v>
          </cell>
          <cell r="E6930">
            <v>0</v>
          </cell>
          <cell r="F6930">
            <v>0</v>
          </cell>
          <cell r="G6930">
            <v>0</v>
          </cell>
        </row>
        <row r="6931">
          <cell r="A6931" t="str">
            <v>55-04-01-0319</v>
          </cell>
          <cell r="B6931">
            <v>0</v>
          </cell>
          <cell r="C6931" t="str">
            <v xml:space="preserve">  NUR TEKSTIL LTD.</v>
          </cell>
          <cell r="D6931">
            <v>0</v>
          </cell>
          <cell r="E6931">
            <v>0</v>
          </cell>
          <cell r="F6931">
            <v>0</v>
          </cell>
          <cell r="G6931">
            <v>0</v>
          </cell>
        </row>
        <row r="6932">
          <cell r="A6932" t="str">
            <v>55-04-01-0320</v>
          </cell>
          <cell r="B6932">
            <v>0</v>
          </cell>
          <cell r="C6932" t="str">
            <v xml:space="preserve">  FORTUNE EXIM,</v>
          </cell>
          <cell r="D6932">
            <v>0</v>
          </cell>
          <cell r="E6932">
            <v>0</v>
          </cell>
          <cell r="F6932">
            <v>0</v>
          </cell>
          <cell r="G6932">
            <v>0</v>
          </cell>
        </row>
        <row r="6933">
          <cell r="A6933" t="str">
            <v>55-04-01-0321</v>
          </cell>
          <cell r="B6933">
            <v>0</v>
          </cell>
          <cell r="C6933" t="str">
            <v xml:space="preserve">  GRUPPO GF SRL VIA DEI CONFINI</v>
          </cell>
          <cell r="D6933">
            <v>0</v>
          </cell>
          <cell r="E6933">
            <v>0</v>
          </cell>
          <cell r="F6933">
            <v>0</v>
          </cell>
          <cell r="G6933">
            <v>0</v>
          </cell>
        </row>
        <row r="6934">
          <cell r="A6934" t="str">
            <v>55-04-01-0322</v>
          </cell>
          <cell r="B6934">
            <v>0</v>
          </cell>
          <cell r="C6934" t="str">
            <v xml:space="preserve">  ITOCHU CORPORATION OSARN</v>
          </cell>
          <cell r="D6934">
            <v>0</v>
          </cell>
          <cell r="E6934">
            <v>0</v>
          </cell>
          <cell r="F6934">
            <v>0</v>
          </cell>
          <cell r="G6934">
            <v>0</v>
          </cell>
        </row>
        <row r="6935">
          <cell r="A6935" t="str">
            <v>55-04-01-0323</v>
          </cell>
          <cell r="B6935">
            <v>0</v>
          </cell>
          <cell r="C6935" t="str">
            <v xml:space="preserve">  KINDLY TEXTILE CO. LTD</v>
          </cell>
          <cell r="D6935">
            <v>0</v>
          </cell>
          <cell r="E6935">
            <v>0</v>
          </cell>
          <cell r="F6935">
            <v>0</v>
          </cell>
          <cell r="G6935">
            <v>0</v>
          </cell>
        </row>
        <row r="6936">
          <cell r="A6936" t="str">
            <v>55-04-01-0324</v>
          </cell>
          <cell r="B6936">
            <v>0</v>
          </cell>
          <cell r="C6936" t="str">
            <v xml:space="preserve">  KIAN NAN TRADING CO. LTD</v>
          </cell>
          <cell r="D6936">
            <v>0</v>
          </cell>
          <cell r="E6936">
            <v>0</v>
          </cell>
          <cell r="F6936">
            <v>0</v>
          </cell>
          <cell r="G6936">
            <v>0</v>
          </cell>
        </row>
        <row r="6937">
          <cell r="A6937" t="str">
            <v>55-04-01-0325</v>
          </cell>
          <cell r="B6937">
            <v>0</v>
          </cell>
          <cell r="C6937" t="str">
            <v xml:space="preserve">  MUTUAL WELL INV. LTD</v>
          </cell>
          <cell r="D6937">
            <v>0</v>
          </cell>
          <cell r="E6937">
            <v>0</v>
          </cell>
          <cell r="F6937">
            <v>0</v>
          </cell>
          <cell r="G6937">
            <v>0</v>
          </cell>
        </row>
        <row r="6938">
          <cell r="A6938" t="str">
            <v>55-04-01-0326</v>
          </cell>
          <cell r="B6938">
            <v>0</v>
          </cell>
          <cell r="C6938" t="str">
            <v xml:space="preserve">  KWONG HING KNITTING FABRIC TRADING CO</v>
          </cell>
          <cell r="D6938">
            <v>0</v>
          </cell>
          <cell r="E6938">
            <v>0</v>
          </cell>
          <cell r="F6938">
            <v>0</v>
          </cell>
          <cell r="G6938">
            <v>0</v>
          </cell>
        </row>
        <row r="6939">
          <cell r="A6939" t="str">
            <v>55-04-01-0327</v>
          </cell>
          <cell r="B6939">
            <v>0</v>
          </cell>
          <cell r="C6939" t="str">
            <v xml:space="preserve">  BAYTUR S.A.</v>
          </cell>
          <cell r="D6939">
            <v>0</v>
          </cell>
          <cell r="E6939">
            <v>0</v>
          </cell>
          <cell r="F6939">
            <v>0</v>
          </cell>
          <cell r="G6939">
            <v>0</v>
          </cell>
        </row>
        <row r="6940">
          <cell r="A6940" t="str">
            <v>55-04-01-0328</v>
          </cell>
          <cell r="B6940">
            <v>0</v>
          </cell>
          <cell r="C6940" t="str">
            <v xml:space="preserve">  WINTEX</v>
          </cell>
          <cell r="D6940">
            <v>0</v>
          </cell>
          <cell r="E6940">
            <v>0</v>
          </cell>
          <cell r="F6940">
            <v>0</v>
          </cell>
          <cell r="G6940">
            <v>0</v>
          </cell>
        </row>
        <row r="6941">
          <cell r="A6941" t="str">
            <v>55-04-01-0329</v>
          </cell>
          <cell r="B6941">
            <v>0</v>
          </cell>
          <cell r="C6941" t="str">
            <v xml:space="preserve">  ITOCHU INTERNATIONAL INC. NEW YORK</v>
          </cell>
          <cell r="D6941">
            <v>0</v>
          </cell>
          <cell r="E6941">
            <v>0</v>
          </cell>
          <cell r="F6941">
            <v>0</v>
          </cell>
          <cell r="G6941">
            <v>0</v>
          </cell>
        </row>
        <row r="6942">
          <cell r="A6942" t="str">
            <v>55-04-01-0330</v>
          </cell>
          <cell r="B6942">
            <v>0</v>
          </cell>
          <cell r="C6942" t="str">
            <v xml:space="preserve">  SHINSUNG TONGSANG CO., LTD</v>
          </cell>
          <cell r="D6942">
            <v>0</v>
          </cell>
          <cell r="E6942">
            <v>0</v>
          </cell>
          <cell r="F6942">
            <v>0</v>
          </cell>
          <cell r="G6942">
            <v>0</v>
          </cell>
        </row>
        <row r="6943">
          <cell r="A6943" t="str">
            <v>55-04-01-0331</v>
          </cell>
          <cell r="B6943">
            <v>0</v>
          </cell>
          <cell r="C6943" t="str">
            <v xml:space="preserve">  TESSILPIAVE SPA</v>
          </cell>
          <cell r="D6943">
            <v>0</v>
          </cell>
          <cell r="E6943">
            <v>0</v>
          </cell>
          <cell r="F6943">
            <v>0</v>
          </cell>
          <cell r="G6943">
            <v>0</v>
          </cell>
        </row>
        <row r="6944">
          <cell r="A6944" t="str">
            <v>55-04-01-0332</v>
          </cell>
          <cell r="B6944">
            <v>0</v>
          </cell>
          <cell r="C6944" t="str">
            <v xml:space="preserve">  TUMTEKS TEKSTIL SANAYI</v>
          </cell>
          <cell r="D6944">
            <v>0</v>
          </cell>
          <cell r="E6944">
            <v>0</v>
          </cell>
          <cell r="F6944">
            <v>0</v>
          </cell>
          <cell r="G6944">
            <v>0</v>
          </cell>
        </row>
        <row r="6945">
          <cell r="A6945" t="str">
            <v>55-04-01-0333</v>
          </cell>
          <cell r="B6945">
            <v>0</v>
          </cell>
          <cell r="C6945" t="str">
            <v xml:space="preserve">  ILSHIN SPINNING CO., LTD</v>
          </cell>
          <cell r="D6945">
            <v>0</v>
          </cell>
          <cell r="E6945">
            <v>0</v>
          </cell>
          <cell r="F6945">
            <v>0</v>
          </cell>
          <cell r="G6945">
            <v>0</v>
          </cell>
        </row>
        <row r="6946">
          <cell r="A6946" t="str">
            <v>55-04-01-0334</v>
          </cell>
          <cell r="B6946">
            <v>0</v>
          </cell>
          <cell r="C6946" t="str">
            <v xml:space="preserve">  WAH WAI FUNG COTTON YARN COMPANY</v>
          </cell>
          <cell r="D6946">
            <v>0</v>
          </cell>
          <cell r="E6946">
            <v>0</v>
          </cell>
          <cell r="F6946">
            <v>0</v>
          </cell>
          <cell r="G6946">
            <v>0</v>
          </cell>
        </row>
        <row r="6947">
          <cell r="A6947" t="str">
            <v>55-04-01-0335</v>
          </cell>
          <cell r="B6947">
            <v>0</v>
          </cell>
          <cell r="C6947" t="str">
            <v xml:space="preserve">  KANE TOP CO.,</v>
          </cell>
          <cell r="D6947">
            <v>0</v>
          </cell>
          <cell r="E6947">
            <v>0</v>
          </cell>
          <cell r="F6947">
            <v>0</v>
          </cell>
          <cell r="G6947">
            <v>0</v>
          </cell>
        </row>
        <row r="6948">
          <cell r="A6948" t="str">
            <v>55-04-01-0336</v>
          </cell>
          <cell r="B6948">
            <v>0</v>
          </cell>
          <cell r="C6948" t="str">
            <v xml:space="preserve">  SEO-IL CO.,LTD</v>
          </cell>
          <cell r="D6948">
            <v>0</v>
          </cell>
          <cell r="E6948">
            <v>0</v>
          </cell>
          <cell r="F6948">
            <v>0</v>
          </cell>
          <cell r="G6948">
            <v>0</v>
          </cell>
        </row>
        <row r="6949">
          <cell r="A6949" t="str">
            <v>55-04-01-0337</v>
          </cell>
          <cell r="B6949">
            <v>0</v>
          </cell>
          <cell r="C6949" t="str">
            <v xml:space="preserve">  AKURUN TEKSTIL SAN.VE TIC AS</v>
          </cell>
          <cell r="D6949">
            <v>0</v>
          </cell>
          <cell r="E6949">
            <v>0</v>
          </cell>
          <cell r="F6949">
            <v>0</v>
          </cell>
          <cell r="G6949">
            <v>0</v>
          </cell>
        </row>
        <row r="6950">
          <cell r="A6950" t="str">
            <v>55-04-01-0338</v>
          </cell>
          <cell r="B6950">
            <v>0</v>
          </cell>
          <cell r="C6950" t="str">
            <v xml:space="preserve">  I.T.V. INDUSTRIA TESSILE DEL</v>
          </cell>
          <cell r="D6950">
            <v>0</v>
          </cell>
          <cell r="E6950">
            <v>0</v>
          </cell>
          <cell r="F6950">
            <v>0</v>
          </cell>
          <cell r="G6950">
            <v>0</v>
          </cell>
        </row>
        <row r="6951">
          <cell r="A6951" t="str">
            <v>55-04-01-0339</v>
          </cell>
          <cell r="B6951">
            <v>0</v>
          </cell>
          <cell r="C6951" t="str">
            <v xml:space="preserve">  MOUNTAIN VALLEY TRADING LLC.</v>
          </cell>
          <cell r="D6951">
            <v>0</v>
          </cell>
          <cell r="E6951">
            <v>0</v>
          </cell>
          <cell r="F6951">
            <v>0</v>
          </cell>
          <cell r="G6951">
            <v>0</v>
          </cell>
        </row>
        <row r="6952">
          <cell r="A6952" t="str">
            <v>55-04-01-0340</v>
          </cell>
          <cell r="B6952">
            <v>0</v>
          </cell>
          <cell r="C6952" t="str">
            <v xml:space="preserve">  SUNKYUNG TOWEL CO.</v>
          </cell>
          <cell r="D6952">
            <v>0</v>
          </cell>
          <cell r="E6952">
            <v>0</v>
          </cell>
          <cell r="F6952">
            <v>0</v>
          </cell>
          <cell r="G6952">
            <v>0</v>
          </cell>
        </row>
        <row r="6953">
          <cell r="A6953" t="str">
            <v>55-04-01-0341</v>
          </cell>
          <cell r="B6953">
            <v>0</v>
          </cell>
          <cell r="C6953" t="str">
            <v xml:space="preserve">  JIANGSU LIANFA IMP &amp; EXP CO., LTD</v>
          </cell>
          <cell r="D6953">
            <v>0</v>
          </cell>
          <cell r="E6953">
            <v>0</v>
          </cell>
          <cell r="F6953">
            <v>0</v>
          </cell>
          <cell r="G6953">
            <v>0</v>
          </cell>
        </row>
        <row r="6954">
          <cell r="A6954" t="str">
            <v>55-04-01-0342</v>
          </cell>
          <cell r="B6954">
            <v>0</v>
          </cell>
          <cell r="C6954" t="str">
            <v xml:space="preserve">  LANIFICIO CANGIOLI 1859 SPA</v>
          </cell>
          <cell r="D6954">
            <v>0</v>
          </cell>
          <cell r="E6954">
            <v>0</v>
          </cell>
          <cell r="F6954">
            <v>0</v>
          </cell>
          <cell r="G6954">
            <v>0</v>
          </cell>
        </row>
        <row r="6955">
          <cell r="A6955" t="str">
            <v>55-04-01-0343</v>
          </cell>
          <cell r="B6955">
            <v>0</v>
          </cell>
          <cell r="C6955" t="str">
            <v xml:space="preserve">  TANSER TEKSTIL VE YATIRIM</v>
          </cell>
          <cell r="D6955">
            <v>0</v>
          </cell>
          <cell r="E6955">
            <v>0</v>
          </cell>
          <cell r="F6955">
            <v>0</v>
          </cell>
          <cell r="G6955">
            <v>0</v>
          </cell>
        </row>
        <row r="6956">
          <cell r="A6956" t="str">
            <v>55-04-01-0344</v>
          </cell>
          <cell r="B6956">
            <v>0</v>
          </cell>
          <cell r="C6956" t="str">
            <v xml:space="preserve">  GREAT HONOUR INTERNATIONAL LTD</v>
          </cell>
          <cell r="D6956">
            <v>0</v>
          </cell>
          <cell r="E6956">
            <v>0</v>
          </cell>
          <cell r="F6956">
            <v>0</v>
          </cell>
          <cell r="G6956">
            <v>0</v>
          </cell>
        </row>
        <row r="6957">
          <cell r="A6957" t="str">
            <v>55-04-01-0345</v>
          </cell>
          <cell r="B6957">
            <v>0</v>
          </cell>
          <cell r="C6957" t="str">
            <v xml:space="preserve">  SARAIVA PACHECO- PROD.COM</v>
          </cell>
          <cell r="D6957">
            <v>0</v>
          </cell>
          <cell r="E6957">
            <v>0</v>
          </cell>
          <cell r="F6957">
            <v>0</v>
          </cell>
          <cell r="G6957">
            <v>0</v>
          </cell>
        </row>
        <row r="6958">
          <cell r="A6958" t="str">
            <v>55-04-01-0346</v>
          </cell>
          <cell r="B6958">
            <v>0</v>
          </cell>
          <cell r="C6958" t="str">
            <v xml:space="preserve">  LAVANDERIA LAMBARDA INDUSTRIA</v>
          </cell>
          <cell r="D6958">
            <v>0</v>
          </cell>
          <cell r="E6958">
            <v>0</v>
          </cell>
          <cell r="F6958">
            <v>0</v>
          </cell>
          <cell r="G6958">
            <v>0</v>
          </cell>
        </row>
        <row r="6959">
          <cell r="A6959" t="str">
            <v>55-04-01-0347</v>
          </cell>
          <cell r="B6959">
            <v>0</v>
          </cell>
          <cell r="C6959" t="str">
            <v xml:space="preserve">  ASLAN TEKSTIL ORGANIZE SANAYI</v>
          </cell>
          <cell r="D6959">
            <v>0</v>
          </cell>
          <cell r="E6959">
            <v>0</v>
          </cell>
          <cell r="F6959">
            <v>0</v>
          </cell>
          <cell r="G6959">
            <v>0</v>
          </cell>
        </row>
        <row r="6960">
          <cell r="A6960" t="str">
            <v>55-04-01-0348</v>
          </cell>
          <cell r="B6960">
            <v>0</v>
          </cell>
          <cell r="C6960" t="str">
            <v xml:space="preserve">  TESSITURA MONTI S.P.A.</v>
          </cell>
          <cell r="D6960">
            <v>0</v>
          </cell>
          <cell r="E6960">
            <v>0</v>
          </cell>
          <cell r="F6960">
            <v>0</v>
          </cell>
          <cell r="G6960">
            <v>0</v>
          </cell>
        </row>
        <row r="6961">
          <cell r="A6961" t="str">
            <v>55-04-01-0349</v>
          </cell>
          <cell r="B6961">
            <v>0</v>
          </cell>
          <cell r="C6961" t="str">
            <v xml:space="preserve">  TARIQ INTERNATIONAL FZE,</v>
          </cell>
          <cell r="D6961">
            <v>0</v>
          </cell>
          <cell r="E6961">
            <v>0</v>
          </cell>
          <cell r="F6961">
            <v>0</v>
          </cell>
          <cell r="G6961">
            <v>0</v>
          </cell>
        </row>
        <row r="6962">
          <cell r="A6962" t="str">
            <v>55-04-01-0350</v>
          </cell>
          <cell r="B6962">
            <v>0</v>
          </cell>
          <cell r="C6962" t="str">
            <v xml:space="preserve">  MANIFATTURA VALCALEPIO SPL.,</v>
          </cell>
          <cell r="D6962">
            <v>0</v>
          </cell>
          <cell r="E6962">
            <v>0</v>
          </cell>
          <cell r="F6962">
            <v>0</v>
          </cell>
          <cell r="G6962">
            <v>0</v>
          </cell>
        </row>
        <row r="6963">
          <cell r="A6963" t="str">
            <v>55-04-01-0351</v>
          </cell>
          <cell r="B6963">
            <v>0</v>
          </cell>
          <cell r="C6963" t="str">
            <v xml:space="preserve">  SAN-A TRADING CO., LTD.</v>
          </cell>
          <cell r="D6963">
            <v>0</v>
          </cell>
          <cell r="E6963">
            <v>0</v>
          </cell>
          <cell r="F6963">
            <v>0</v>
          </cell>
          <cell r="G6963">
            <v>0</v>
          </cell>
        </row>
        <row r="6964">
          <cell r="A6964" t="str">
            <v>55-04-01-0352</v>
          </cell>
          <cell r="B6964">
            <v>0</v>
          </cell>
          <cell r="C6964" t="str">
            <v xml:space="preserve">  TEVIZ TEXTIL VIZELA SA</v>
          </cell>
          <cell r="D6964">
            <v>0</v>
          </cell>
          <cell r="E6964">
            <v>0</v>
          </cell>
          <cell r="F6964">
            <v>0</v>
          </cell>
          <cell r="G6964">
            <v>0</v>
          </cell>
        </row>
        <row r="6965">
          <cell r="A6965" t="str">
            <v>55-04-01-0353</v>
          </cell>
          <cell r="B6965">
            <v>0</v>
          </cell>
          <cell r="C6965" t="str">
            <v xml:space="preserve">  JORGE DANIEL - MALHAS</v>
          </cell>
          <cell r="D6965">
            <v>0</v>
          </cell>
          <cell r="E6965">
            <v>0</v>
          </cell>
          <cell r="F6965">
            <v>0</v>
          </cell>
          <cell r="G6965">
            <v>0</v>
          </cell>
        </row>
        <row r="6966">
          <cell r="A6966" t="str">
            <v>55-04-01-0354</v>
          </cell>
          <cell r="B6966">
            <v>0</v>
          </cell>
          <cell r="C6966" t="str">
            <v xml:space="preserve">  Q.S.P SRL</v>
          </cell>
          <cell r="D6966">
            <v>0</v>
          </cell>
          <cell r="E6966">
            <v>0</v>
          </cell>
          <cell r="F6966">
            <v>0</v>
          </cell>
          <cell r="G6966">
            <v>0</v>
          </cell>
        </row>
        <row r="6967">
          <cell r="A6967" t="str">
            <v>55-04-01-0355</v>
          </cell>
          <cell r="B6967">
            <v>0</v>
          </cell>
          <cell r="C6967" t="str">
            <v xml:space="preserve">  CV. BANDUNG DJAJA TEXTILE MILLS</v>
          </cell>
          <cell r="D6967">
            <v>0</v>
          </cell>
          <cell r="E6967">
            <v>0</v>
          </cell>
          <cell r="F6967">
            <v>0</v>
          </cell>
          <cell r="G6967">
            <v>0</v>
          </cell>
        </row>
        <row r="6968">
          <cell r="A6968" t="str">
            <v>55-04-01-0356</v>
          </cell>
          <cell r="B6968">
            <v>0</v>
          </cell>
          <cell r="C6968" t="str">
            <v xml:space="preserve">  BARNHARDT MANUFACTURING COMPANY</v>
          </cell>
          <cell r="D6968">
            <v>0</v>
          </cell>
          <cell r="E6968">
            <v>0</v>
          </cell>
          <cell r="F6968">
            <v>0</v>
          </cell>
          <cell r="G6968">
            <v>0</v>
          </cell>
        </row>
        <row r="6969">
          <cell r="A6969" t="str">
            <v>55-04-01-0357</v>
          </cell>
          <cell r="B6969">
            <v>0</v>
          </cell>
          <cell r="C6969" t="str">
            <v xml:space="preserve">  KIND DIS TICARET LTD.</v>
          </cell>
          <cell r="D6969">
            <v>0</v>
          </cell>
          <cell r="E6969">
            <v>0</v>
          </cell>
          <cell r="F6969">
            <v>0</v>
          </cell>
          <cell r="G6969">
            <v>0</v>
          </cell>
        </row>
        <row r="6970">
          <cell r="A6970" t="str">
            <v>55-04-01-0358</v>
          </cell>
          <cell r="B6970">
            <v>0</v>
          </cell>
          <cell r="C6970" t="str">
            <v xml:space="preserve">  RAYMOND LIMITED, DENIM DIVISON,</v>
          </cell>
          <cell r="D6970">
            <v>0</v>
          </cell>
          <cell r="E6970">
            <v>0</v>
          </cell>
          <cell r="F6970">
            <v>0</v>
          </cell>
          <cell r="G6970">
            <v>0</v>
          </cell>
        </row>
        <row r="6971">
          <cell r="A6971" t="str">
            <v>55-04-01-0359</v>
          </cell>
          <cell r="B6971">
            <v>0</v>
          </cell>
          <cell r="C6971" t="str">
            <v xml:space="preserve">  TESSITURA CARLO BASSETTI SPA</v>
          </cell>
          <cell r="D6971">
            <v>0</v>
          </cell>
          <cell r="E6971">
            <v>0</v>
          </cell>
          <cell r="F6971">
            <v>0</v>
          </cell>
          <cell r="G6971">
            <v>0</v>
          </cell>
        </row>
        <row r="6972">
          <cell r="A6972" t="str">
            <v>55-04-01-0360</v>
          </cell>
          <cell r="B6972">
            <v>0</v>
          </cell>
          <cell r="C6972" t="str">
            <v xml:space="preserve">  T.B.M. SPA</v>
          </cell>
          <cell r="D6972">
            <v>0</v>
          </cell>
          <cell r="E6972">
            <v>0</v>
          </cell>
          <cell r="F6972">
            <v>0</v>
          </cell>
          <cell r="G6972">
            <v>0</v>
          </cell>
        </row>
        <row r="6973">
          <cell r="A6973" t="str">
            <v>55-04-01-0361</v>
          </cell>
          <cell r="B6973">
            <v>0</v>
          </cell>
          <cell r="C6973" t="str">
            <v xml:space="preserve">  LUCKY GARMENTS FACTORY CO LTD.</v>
          </cell>
          <cell r="D6973">
            <v>0</v>
          </cell>
          <cell r="E6973">
            <v>0</v>
          </cell>
          <cell r="F6973">
            <v>0</v>
          </cell>
          <cell r="G6973">
            <v>0</v>
          </cell>
        </row>
        <row r="6974">
          <cell r="A6974" t="str">
            <v>55-04-01-0362</v>
          </cell>
          <cell r="B6974">
            <v>0</v>
          </cell>
          <cell r="C6974" t="str">
            <v xml:space="preserve">  SERAFIM PEREIRA LDA LUG.</v>
          </cell>
          <cell r="D6974">
            <v>0</v>
          </cell>
          <cell r="E6974">
            <v>0</v>
          </cell>
          <cell r="F6974">
            <v>0</v>
          </cell>
          <cell r="G6974">
            <v>0</v>
          </cell>
        </row>
        <row r="6975">
          <cell r="A6975" t="str">
            <v>55-04-01-0364</v>
          </cell>
          <cell r="B6975">
            <v>0</v>
          </cell>
          <cell r="C6975" t="str">
            <v xml:space="preserve">  SANG-AH TRADING CO., LTD.</v>
          </cell>
          <cell r="D6975">
            <v>0</v>
          </cell>
          <cell r="E6975">
            <v>0</v>
          </cell>
          <cell r="F6975">
            <v>0</v>
          </cell>
          <cell r="G6975">
            <v>0</v>
          </cell>
        </row>
        <row r="6976">
          <cell r="A6976" t="str">
            <v>55-04-01-0365</v>
          </cell>
          <cell r="B6976">
            <v>0</v>
          </cell>
          <cell r="C6976" t="str">
            <v xml:space="preserve">  KAIPING PANTHER TEXTILE CO. LTD.</v>
          </cell>
          <cell r="D6976">
            <v>0</v>
          </cell>
          <cell r="E6976">
            <v>0</v>
          </cell>
          <cell r="F6976">
            <v>0</v>
          </cell>
          <cell r="G6976">
            <v>0</v>
          </cell>
        </row>
        <row r="6977">
          <cell r="A6977" t="str">
            <v>55-04-01-0366</v>
          </cell>
          <cell r="B6977">
            <v>0</v>
          </cell>
          <cell r="C6977" t="str">
            <v xml:space="preserve">  ODENA DE FILATS SL</v>
          </cell>
          <cell r="D6977">
            <v>0</v>
          </cell>
          <cell r="E6977">
            <v>0</v>
          </cell>
          <cell r="F6977">
            <v>0</v>
          </cell>
          <cell r="G6977">
            <v>0</v>
          </cell>
        </row>
        <row r="6978">
          <cell r="A6978" t="str">
            <v>55-04-01-0367</v>
          </cell>
          <cell r="B6978">
            <v>0</v>
          </cell>
          <cell r="C6978" t="str">
            <v xml:space="preserve">  VANGUARD INDUSTRIES (PVT) LTD</v>
          </cell>
          <cell r="D6978">
            <v>0</v>
          </cell>
          <cell r="E6978">
            <v>0</v>
          </cell>
          <cell r="F6978">
            <v>0</v>
          </cell>
          <cell r="G6978">
            <v>0</v>
          </cell>
        </row>
        <row r="6979">
          <cell r="A6979" t="str">
            <v>55-04-01-0369</v>
          </cell>
          <cell r="B6979">
            <v>0</v>
          </cell>
          <cell r="C6979" t="str">
            <v xml:space="preserve">  WINITEX INVESTMENT CO., LTD</v>
          </cell>
          <cell r="D6979">
            <v>0</v>
          </cell>
          <cell r="E6979">
            <v>0</v>
          </cell>
          <cell r="F6979">
            <v>0</v>
          </cell>
          <cell r="G6979">
            <v>0</v>
          </cell>
        </row>
        <row r="6980">
          <cell r="A6980" t="str">
            <v>55-04-01-0370</v>
          </cell>
          <cell r="B6980">
            <v>0</v>
          </cell>
          <cell r="C6980" t="str">
            <v xml:space="preserve">  I - HWA INDUSTRIAL CO., LTD.</v>
          </cell>
          <cell r="D6980">
            <v>0</v>
          </cell>
          <cell r="E6980">
            <v>0</v>
          </cell>
          <cell r="F6980">
            <v>0</v>
          </cell>
          <cell r="G6980">
            <v>0</v>
          </cell>
        </row>
        <row r="6981">
          <cell r="A6981" t="str">
            <v>55-04-01-0371</v>
          </cell>
          <cell r="B6981">
            <v>0</v>
          </cell>
          <cell r="C6981" t="str">
            <v xml:space="preserve">  AQUAFABRIC SRL VIA TRIESTE 12</v>
          </cell>
          <cell r="D6981">
            <v>0</v>
          </cell>
          <cell r="E6981">
            <v>0</v>
          </cell>
          <cell r="F6981">
            <v>0</v>
          </cell>
          <cell r="G6981">
            <v>0</v>
          </cell>
        </row>
        <row r="6982">
          <cell r="A6982" t="str">
            <v>55-04-01-0372</v>
          </cell>
          <cell r="B6982">
            <v>0</v>
          </cell>
          <cell r="C6982" t="str">
            <v xml:space="preserve">  DENIM DE L'ILE LIMITED.</v>
          </cell>
          <cell r="D6982">
            <v>0</v>
          </cell>
          <cell r="E6982">
            <v>0</v>
          </cell>
          <cell r="F6982">
            <v>0</v>
          </cell>
          <cell r="G6982">
            <v>0</v>
          </cell>
        </row>
        <row r="6983">
          <cell r="A6983" t="str">
            <v>55-04-01-0373</v>
          </cell>
          <cell r="B6983">
            <v>0</v>
          </cell>
          <cell r="C6983" t="str">
            <v xml:space="preserve">  SOCIEDADE TEXTIL MOSTEIRO</v>
          </cell>
          <cell r="D6983">
            <v>0</v>
          </cell>
          <cell r="E6983">
            <v>0</v>
          </cell>
          <cell r="F6983">
            <v>0</v>
          </cell>
          <cell r="G6983">
            <v>0</v>
          </cell>
        </row>
        <row r="6984">
          <cell r="A6984" t="str">
            <v>55-04-01-0374</v>
          </cell>
          <cell r="B6984">
            <v>0</v>
          </cell>
          <cell r="C6984" t="str">
            <v xml:space="preserve">  TORUNSKIE ZAKLADY MATERIALOW OPATUNKOW</v>
          </cell>
          <cell r="D6984">
            <v>0</v>
          </cell>
          <cell r="E6984">
            <v>0</v>
          </cell>
          <cell r="F6984">
            <v>0</v>
          </cell>
          <cell r="G6984">
            <v>0</v>
          </cell>
        </row>
        <row r="6985">
          <cell r="A6985" t="str">
            <v>55-04-01-0375</v>
          </cell>
          <cell r="B6985">
            <v>0</v>
          </cell>
          <cell r="C6985" t="str">
            <v xml:space="preserve">  BATI BASMA SANAYI A.S.</v>
          </cell>
          <cell r="D6985">
            <v>0</v>
          </cell>
          <cell r="E6985">
            <v>0</v>
          </cell>
          <cell r="F6985">
            <v>0</v>
          </cell>
          <cell r="G6985">
            <v>0</v>
          </cell>
        </row>
        <row r="6986">
          <cell r="A6986" t="str">
            <v>55-04-01-0376</v>
          </cell>
          <cell r="B6986">
            <v>0</v>
          </cell>
          <cell r="C6986" t="str">
            <v xml:space="preserve">  ITOCHU TAIWAN CORPORATION</v>
          </cell>
          <cell r="D6986">
            <v>0</v>
          </cell>
          <cell r="E6986">
            <v>0</v>
          </cell>
          <cell r="F6986">
            <v>0</v>
          </cell>
          <cell r="G6986">
            <v>0</v>
          </cell>
        </row>
        <row r="6987">
          <cell r="A6987" t="str">
            <v>55-04-01-0377</v>
          </cell>
          <cell r="B6987">
            <v>0</v>
          </cell>
          <cell r="C6987" t="str">
            <v xml:space="preserve">  HANG HING WEAVING FACTORY LIMITED</v>
          </cell>
          <cell r="D6987">
            <v>0</v>
          </cell>
          <cell r="E6987">
            <v>0</v>
          </cell>
          <cell r="F6987">
            <v>0</v>
          </cell>
          <cell r="G6987">
            <v>0</v>
          </cell>
        </row>
        <row r="6988">
          <cell r="A6988" t="str">
            <v>55-04-01-0379</v>
          </cell>
          <cell r="B6988">
            <v>0</v>
          </cell>
          <cell r="C6988" t="str">
            <v xml:space="preserve">  IM INTERNATIONAL (AUST) PTY LTD.</v>
          </cell>
          <cell r="D6988">
            <v>0</v>
          </cell>
          <cell r="E6988">
            <v>0</v>
          </cell>
          <cell r="F6988">
            <v>0</v>
          </cell>
          <cell r="G6988">
            <v>0</v>
          </cell>
        </row>
        <row r="6989">
          <cell r="A6989" t="str">
            <v>55-04-01-0380</v>
          </cell>
          <cell r="B6989">
            <v>0</v>
          </cell>
          <cell r="C6989" t="str">
            <v xml:space="preserve">  SPA COTONIFICO HONEGGER VIA MARCONI</v>
          </cell>
          <cell r="D6989">
            <v>0</v>
          </cell>
          <cell r="E6989">
            <v>0</v>
          </cell>
          <cell r="F6989">
            <v>0</v>
          </cell>
          <cell r="G6989">
            <v>0</v>
          </cell>
        </row>
        <row r="6990">
          <cell r="A6990" t="str">
            <v>55-04-01-0381</v>
          </cell>
          <cell r="B6990">
            <v>0</v>
          </cell>
          <cell r="C6990" t="str">
            <v xml:space="preserve">  GOHER TEXTIL CALELLA S.A.</v>
          </cell>
          <cell r="D6990">
            <v>0</v>
          </cell>
          <cell r="E6990">
            <v>0</v>
          </cell>
          <cell r="F6990">
            <v>0</v>
          </cell>
          <cell r="G6990">
            <v>0</v>
          </cell>
        </row>
        <row r="6991">
          <cell r="A6991" t="str">
            <v>55-04-01-0382</v>
          </cell>
          <cell r="B6991">
            <v>0</v>
          </cell>
          <cell r="C6991" t="str">
            <v xml:space="preserve">  PT. TRI DHARMA UTAMA</v>
          </cell>
          <cell r="D6991">
            <v>0</v>
          </cell>
          <cell r="E6991">
            <v>0</v>
          </cell>
          <cell r="F6991">
            <v>0</v>
          </cell>
          <cell r="G6991">
            <v>0</v>
          </cell>
        </row>
        <row r="6992">
          <cell r="A6992" t="str">
            <v>55-04-01-0383</v>
          </cell>
          <cell r="B6992">
            <v>0</v>
          </cell>
          <cell r="C6992" t="str">
            <v xml:space="preserve">  ARMA PAMUK SANAYI VE TICARET LTD.</v>
          </cell>
          <cell r="D6992">
            <v>0</v>
          </cell>
          <cell r="E6992">
            <v>0</v>
          </cell>
          <cell r="F6992">
            <v>0</v>
          </cell>
          <cell r="G6992">
            <v>0</v>
          </cell>
        </row>
        <row r="6993">
          <cell r="A6993" t="str">
            <v>55-04-01-1000</v>
          </cell>
          <cell r="B6993">
            <v>0</v>
          </cell>
          <cell r="C6993" t="str">
            <v xml:space="preserve">  BILLS RECEIVABLE -EXPORT</v>
          </cell>
          <cell r="D6993">
            <v>269906553.77999997</v>
          </cell>
          <cell r="E6993">
            <v>0</v>
          </cell>
          <cell r="F6993">
            <v>0</v>
          </cell>
          <cell r="G6993">
            <v>0</v>
          </cell>
        </row>
        <row r="6994">
          <cell r="A6994" t="str">
            <v>55-05</v>
          </cell>
          <cell r="B6994">
            <v>0</v>
          </cell>
          <cell r="C6994" t="str">
            <v>**TRADE DEBTOR-WASTE</v>
          </cell>
          <cell r="D6994">
            <v>2941621</v>
          </cell>
          <cell r="E6994">
            <v>0</v>
          </cell>
          <cell r="F6994">
            <v>2964795</v>
          </cell>
          <cell r="G6994">
            <v>23174</v>
          </cell>
        </row>
        <row r="6995">
          <cell r="A6995" t="str">
            <v>55-05-03</v>
          </cell>
          <cell r="B6995">
            <v>23174</v>
          </cell>
          <cell r="C6995" t="str">
            <v>***A.G.CORPORATION</v>
          </cell>
          <cell r="D6995">
            <v>0</v>
          </cell>
          <cell r="E6995">
            <v>0</v>
          </cell>
          <cell r="F6995">
            <v>0</v>
          </cell>
          <cell r="G6995">
            <v>0</v>
          </cell>
        </row>
        <row r="6996">
          <cell r="A6996" t="str">
            <v>55-05-03-0001</v>
          </cell>
          <cell r="B6996">
            <v>0</v>
          </cell>
          <cell r="C6996" t="str">
            <v xml:space="preserve">  SHAFI SPINNING MILLS</v>
          </cell>
          <cell r="D6996">
            <v>0</v>
          </cell>
          <cell r="E6996">
            <v>0</v>
          </cell>
          <cell r="F6996">
            <v>0</v>
          </cell>
          <cell r="G6996">
            <v>0</v>
          </cell>
        </row>
        <row r="6997">
          <cell r="A6997" t="str">
            <v>55-05-03-0002</v>
          </cell>
          <cell r="B6997">
            <v>0</v>
          </cell>
          <cell r="C6997" t="str">
            <v xml:space="preserve">  QADIR KOTEX</v>
          </cell>
          <cell r="D6997">
            <v>0</v>
          </cell>
          <cell r="E6997">
            <v>0</v>
          </cell>
          <cell r="F6997">
            <v>0</v>
          </cell>
          <cell r="G6997">
            <v>0</v>
          </cell>
        </row>
        <row r="6998">
          <cell r="A6998" t="str">
            <v>55-05-03-0003</v>
          </cell>
          <cell r="B6998">
            <v>0</v>
          </cell>
          <cell r="C6998" t="str">
            <v xml:space="preserve">  SUFI TEXTILE  (PVT) LIMITED</v>
          </cell>
          <cell r="D6998">
            <v>0</v>
          </cell>
          <cell r="E6998">
            <v>0</v>
          </cell>
          <cell r="F6998">
            <v>0</v>
          </cell>
          <cell r="G6998">
            <v>0</v>
          </cell>
        </row>
        <row r="6999">
          <cell r="A6999" t="str">
            <v>55-05-03-0004</v>
          </cell>
          <cell r="B6999">
            <v>0</v>
          </cell>
          <cell r="C6999" t="str">
            <v xml:space="preserve">  A.G.COPRORATION.</v>
          </cell>
          <cell r="D6999">
            <v>0</v>
          </cell>
          <cell r="E6999">
            <v>0</v>
          </cell>
          <cell r="F6999">
            <v>0</v>
          </cell>
          <cell r="G6999">
            <v>0</v>
          </cell>
        </row>
        <row r="7000">
          <cell r="A7000" t="str">
            <v>55-05-03-0005</v>
          </cell>
          <cell r="B7000">
            <v>0</v>
          </cell>
          <cell r="C7000" t="str">
            <v xml:space="preserve">  HAJI MUHAMMAD YAQOOB COTTON FACTORY</v>
          </cell>
          <cell r="D7000">
            <v>0</v>
          </cell>
          <cell r="E7000">
            <v>0</v>
          </cell>
          <cell r="F7000">
            <v>0</v>
          </cell>
          <cell r="G7000">
            <v>0</v>
          </cell>
        </row>
        <row r="7001">
          <cell r="A7001" t="str">
            <v>55-05-03-0006</v>
          </cell>
          <cell r="B7001">
            <v>0</v>
          </cell>
          <cell r="C7001" t="str">
            <v xml:space="preserve">  BILAWAR KHAN COTTON FACTORY</v>
          </cell>
          <cell r="D7001">
            <v>0</v>
          </cell>
          <cell r="E7001">
            <v>0</v>
          </cell>
          <cell r="F7001">
            <v>0</v>
          </cell>
          <cell r="G7001">
            <v>0</v>
          </cell>
        </row>
        <row r="7002">
          <cell r="A7002" t="str">
            <v>55-05-03-0007</v>
          </cell>
          <cell r="B7002">
            <v>0</v>
          </cell>
          <cell r="C7002" t="str">
            <v xml:space="preserve">  IMDADULLAH COTTON FACTORY</v>
          </cell>
          <cell r="D7002">
            <v>0</v>
          </cell>
          <cell r="E7002">
            <v>0</v>
          </cell>
          <cell r="F7002">
            <v>0</v>
          </cell>
          <cell r="G7002">
            <v>0</v>
          </cell>
        </row>
        <row r="7003">
          <cell r="A7003" t="str">
            <v>55-05-03-0008</v>
          </cell>
          <cell r="B7003">
            <v>0</v>
          </cell>
          <cell r="C7003" t="str">
            <v xml:space="preserve">  G.M.COTTON (PVT) LIMITED</v>
          </cell>
          <cell r="D7003">
            <v>0</v>
          </cell>
          <cell r="E7003">
            <v>0</v>
          </cell>
          <cell r="F7003">
            <v>0</v>
          </cell>
          <cell r="G7003">
            <v>0</v>
          </cell>
        </row>
        <row r="7004">
          <cell r="A7004" t="str">
            <v>55-05-03-0009</v>
          </cell>
          <cell r="B7004">
            <v>0</v>
          </cell>
          <cell r="C7004" t="str">
            <v xml:space="preserve">  MUHAMMAD UMER COTTON WASTE FACTORY</v>
          </cell>
          <cell r="D7004">
            <v>0</v>
          </cell>
          <cell r="E7004">
            <v>0</v>
          </cell>
          <cell r="F7004">
            <v>0</v>
          </cell>
          <cell r="G7004">
            <v>0</v>
          </cell>
        </row>
        <row r="7005">
          <cell r="A7005" t="str">
            <v>55-05-03-0010</v>
          </cell>
          <cell r="B7005">
            <v>0</v>
          </cell>
          <cell r="C7005" t="str">
            <v xml:space="preserve">  S.FAZAL ELLAHI &amp; SONS (PVT) LIMITED</v>
          </cell>
          <cell r="D7005">
            <v>0</v>
          </cell>
          <cell r="E7005">
            <v>0</v>
          </cell>
          <cell r="F7005">
            <v>0</v>
          </cell>
          <cell r="G7005">
            <v>0</v>
          </cell>
        </row>
        <row r="7006">
          <cell r="A7006" t="str">
            <v>55-05-03-0011</v>
          </cell>
          <cell r="B7006">
            <v>0</v>
          </cell>
          <cell r="C7006" t="str">
            <v xml:space="preserve">  YAN TEXTILE INDUSTRIES (PVT) LTD.</v>
          </cell>
          <cell r="D7006">
            <v>0</v>
          </cell>
          <cell r="E7006">
            <v>0</v>
          </cell>
          <cell r="F7006">
            <v>0</v>
          </cell>
          <cell r="G7006">
            <v>0</v>
          </cell>
        </row>
        <row r="7007">
          <cell r="A7007" t="str">
            <v>55-05-03-0012</v>
          </cell>
          <cell r="B7007">
            <v>0</v>
          </cell>
          <cell r="C7007" t="str">
            <v xml:space="preserve">  SHOAIB SALAMAN TEXTILE MILLS</v>
          </cell>
          <cell r="D7007">
            <v>0</v>
          </cell>
          <cell r="E7007">
            <v>0</v>
          </cell>
          <cell r="F7007">
            <v>0</v>
          </cell>
          <cell r="G7007">
            <v>0</v>
          </cell>
        </row>
        <row r="7008">
          <cell r="A7008" t="str">
            <v>55-05-03-0013</v>
          </cell>
          <cell r="B7008">
            <v>0</v>
          </cell>
          <cell r="C7008" t="str">
            <v xml:space="preserve">  AHSAN SONS (PVT) LIMITED</v>
          </cell>
          <cell r="D7008">
            <v>0</v>
          </cell>
          <cell r="E7008">
            <v>0</v>
          </cell>
          <cell r="F7008">
            <v>0</v>
          </cell>
          <cell r="G7008">
            <v>0</v>
          </cell>
        </row>
        <row r="7009">
          <cell r="A7009" t="str">
            <v>55-05-03-0014</v>
          </cell>
          <cell r="B7009">
            <v>0</v>
          </cell>
          <cell r="C7009" t="str">
            <v xml:space="preserve">  FAROOQ AHMED COTTON MILLS</v>
          </cell>
          <cell r="D7009">
            <v>0</v>
          </cell>
          <cell r="E7009">
            <v>0</v>
          </cell>
          <cell r="F7009">
            <v>0</v>
          </cell>
          <cell r="G7009">
            <v>0</v>
          </cell>
        </row>
        <row r="7010">
          <cell r="A7010" t="str">
            <v>55-05-03-0015</v>
          </cell>
          <cell r="B7010">
            <v>0</v>
          </cell>
          <cell r="C7010" t="str">
            <v xml:space="preserve">  BASHIR AHMED COTTON WASTE</v>
          </cell>
          <cell r="D7010">
            <v>0</v>
          </cell>
          <cell r="E7010">
            <v>0</v>
          </cell>
          <cell r="F7010">
            <v>0</v>
          </cell>
          <cell r="G7010">
            <v>0</v>
          </cell>
        </row>
        <row r="7011">
          <cell r="A7011" t="str">
            <v>55-05-03-0016</v>
          </cell>
          <cell r="B7011">
            <v>0</v>
          </cell>
          <cell r="C7011" t="str">
            <v xml:space="preserve">  ZUBEDA ENTERPRISES</v>
          </cell>
          <cell r="D7011">
            <v>0</v>
          </cell>
          <cell r="E7011">
            <v>0</v>
          </cell>
          <cell r="F7011">
            <v>0</v>
          </cell>
          <cell r="G7011">
            <v>0</v>
          </cell>
        </row>
        <row r="7012">
          <cell r="A7012" t="str">
            <v>55-05-03-0017</v>
          </cell>
          <cell r="B7012">
            <v>0</v>
          </cell>
          <cell r="C7012" t="str">
            <v xml:space="preserve">  FAHAD JAVAID SPINNING MILLS</v>
          </cell>
          <cell r="D7012">
            <v>0</v>
          </cell>
          <cell r="E7012">
            <v>0</v>
          </cell>
          <cell r="F7012">
            <v>0</v>
          </cell>
          <cell r="G7012">
            <v>0</v>
          </cell>
        </row>
        <row r="7013">
          <cell r="A7013" t="str">
            <v>55-05-03-0018</v>
          </cell>
          <cell r="B7013">
            <v>0</v>
          </cell>
          <cell r="C7013" t="str">
            <v xml:space="preserve">  AKBAR ALI</v>
          </cell>
          <cell r="D7013">
            <v>0</v>
          </cell>
          <cell r="E7013">
            <v>0</v>
          </cell>
          <cell r="F7013">
            <v>0</v>
          </cell>
          <cell r="G7013">
            <v>0</v>
          </cell>
        </row>
        <row r="7014">
          <cell r="A7014" t="str">
            <v>55-05-03-0019</v>
          </cell>
          <cell r="B7014">
            <v>0</v>
          </cell>
          <cell r="C7014" t="str">
            <v xml:space="preserve">  IHSAN SONS TEXTILE (PVT) LIMITED</v>
          </cell>
          <cell r="D7014">
            <v>0</v>
          </cell>
          <cell r="E7014">
            <v>0</v>
          </cell>
          <cell r="F7014">
            <v>0</v>
          </cell>
          <cell r="G7014">
            <v>0</v>
          </cell>
        </row>
        <row r="7015">
          <cell r="A7015" t="str">
            <v>55-05-03-0020</v>
          </cell>
          <cell r="B7015">
            <v>0</v>
          </cell>
          <cell r="C7015" t="str">
            <v xml:space="preserve">  BHATI COTTON LINKS</v>
          </cell>
          <cell r="D7015">
            <v>0</v>
          </cell>
          <cell r="E7015">
            <v>0</v>
          </cell>
          <cell r="F7015">
            <v>0</v>
          </cell>
          <cell r="G7015">
            <v>0</v>
          </cell>
        </row>
        <row r="7016">
          <cell r="A7016" t="str">
            <v>55-05-03-0021</v>
          </cell>
          <cell r="B7016">
            <v>0</v>
          </cell>
          <cell r="C7016" t="str">
            <v xml:space="preserve">  BHATTI COTTON LINKS</v>
          </cell>
          <cell r="D7016">
            <v>0</v>
          </cell>
          <cell r="E7016">
            <v>0</v>
          </cell>
          <cell r="F7016">
            <v>0</v>
          </cell>
          <cell r="G7016">
            <v>0</v>
          </cell>
        </row>
        <row r="7017">
          <cell r="A7017" t="str">
            <v>55-05-03-0022</v>
          </cell>
          <cell r="B7017">
            <v>0</v>
          </cell>
          <cell r="C7017" t="str">
            <v xml:space="preserve">  BALAJ TEXTILE MILLS LIMITED</v>
          </cell>
          <cell r="D7017">
            <v>0</v>
          </cell>
          <cell r="E7017">
            <v>0</v>
          </cell>
          <cell r="F7017">
            <v>0</v>
          </cell>
          <cell r="G7017">
            <v>0</v>
          </cell>
        </row>
        <row r="7018">
          <cell r="A7018" t="str">
            <v>55-05-03-0023</v>
          </cell>
          <cell r="B7018">
            <v>0</v>
          </cell>
          <cell r="C7018" t="str">
            <v xml:space="preserve">  WHITE GOLD COTTON WASTE FACTORY</v>
          </cell>
          <cell r="D7018">
            <v>0</v>
          </cell>
          <cell r="E7018">
            <v>0</v>
          </cell>
          <cell r="F7018">
            <v>0</v>
          </cell>
          <cell r="G7018">
            <v>0</v>
          </cell>
        </row>
        <row r="7019">
          <cell r="A7019" t="str">
            <v>55-05-03-0024</v>
          </cell>
          <cell r="B7019">
            <v>0</v>
          </cell>
          <cell r="C7019" t="str">
            <v xml:space="preserve">  BASHIR AHMED COTTON WASTE FACTORY</v>
          </cell>
          <cell r="D7019">
            <v>0</v>
          </cell>
          <cell r="E7019">
            <v>0</v>
          </cell>
          <cell r="F7019">
            <v>0</v>
          </cell>
          <cell r="G7019">
            <v>0</v>
          </cell>
        </row>
        <row r="7020">
          <cell r="A7020" t="str">
            <v>55-05-03-0025</v>
          </cell>
          <cell r="B7020">
            <v>0</v>
          </cell>
          <cell r="C7020" t="str">
            <v xml:space="preserve">  WISAL KAMAL FABRICS</v>
          </cell>
          <cell r="D7020">
            <v>0</v>
          </cell>
          <cell r="E7020">
            <v>0</v>
          </cell>
          <cell r="F7020">
            <v>0</v>
          </cell>
          <cell r="G7020">
            <v>0</v>
          </cell>
        </row>
        <row r="7021">
          <cell r="A7021" t="str">
            <v>55-05-03-0026</v>
          </cell>
          <cell r="B7021">
            <v>0</v>
          </cell>
          <cell r="C7021" t="str">
            <v xml:space="preserve">  PALWASHA INDUSTRIES (PVT) LIMITED</v>
          </cell>
          <cell r="D7021">
            <v>0</v>
          </cell>
          <cell r="E7021">
            <v>0</v>
          </cell>
          <cell r="F7021">
            <v>0</v>
          </cell>
          <cell r="G7021">
            <v>0</v>
          </cell>
        </row>
        <row r="7022">
          <cell r="A7022" t="str">
            <v>55-05-03-0027</v>
          </cell>
          <cell r="B7022">
            <v>0</v>
          </cell>
          <cell r="C7022" t="str">
            <v xml:space="preserve">  QAZI TEXTILE MILLS</v>
          </cell>
          <cell r="D7022">
            <v>0</v>
          </cell>
          <cell r="E7022">
            <v>0</v>
          </cell>
          <cell r="F7022">
            <v>0</v>
          </cell>
          <cell r="G7022">
            <v>0</v>
          </cell>
        </row>
        <row r="7023">
          <cell r="A7023" t="str">
            <v>55-05-03-0028</v>
          </cell>
          <cell r="B7023">
            <v>0</v>
          </cell>
          <cell r="C7023" t="str">
            <v xml:space="preserve">  MEEZAN TEXTILE INDUSTRIES</v>
          </cell>
          <cell r="D7023">
            <v>0</v>
          </cell>
          <cell r="E7023">
            <v>0</v>
          </cell>
          <cell r="F7023">
            <v>0</v>
          </cell>
          <cell r="G7023">
            <v>0</v>
          </cell>
        </row>
        <row r="7024">
          <cell r="A7024" t="str">
            <v>55-05-03-0029</v>
          </cell>
          <cell r="B7024">
            <v>0</v>
          </cell>
          <cell r="C7024" t="str">
            <v xml:space="preserve">  AREKHA  TEXTILE MILLS</v>
          </cell>
          <cell r="D7024">
            <v>0</v>
          </cell>
          <cell r="E7024">
            <v>0</v>
          </cell>
          <cell r="F7024">
            <v>0</v>
          </cell>
          <cell r="G7024">
            <v>0</v>
          </cell>
        </row>
        <row r="7025">
          <cell r="A7025" t="str">
            <v>55-05-03-0030</v>
          </cell>
          <cell r="B7025">
            <v>0</v>
          </cell>
          <cell r="C7025" t="str">
            <v xml:space="preserve">  AWAIS QURNI SPINNING MILLS</v>
          </cell>
          <cell r="D7025">
            <v>0</v>
          </cell>
          <cell r="E7025">
            <v>0</v>
          </cell>
          <cell r="F7025">
            <v>0</v>
          </cell>
          <cell r="G7025">
            <v>0</v>
          </cell>
        </row>
        <row r="7026">
          <cell r="A7026" t="str">
            <v>55-05-03-0031</v>
          </cell>
          <cell r="B7026">
            <v>0</v>
          </cell>
          <cell r="C7026" t="str">
            <v xml:space="preserve">  NEELI BAR TEXTILE MILLS</v>
          </cell>
          <cell r="D7026">
            <v>0</v>
          </cell>
          <cell r="E7026">
            <v>0</v>
          </cell>
          <cell r="F7026">
            <v>0</v>
          </cell>
          <cell r="G7026">
            <v>0</v>
          </cell>
        </row>
        <row r="7027">
          <cell r="A7027" t="str">
            <v>55-05-03-0032</v>
          </cell>
          <cell r="B7027">
            <v>0</v>
          </cell>
          <cell r="C7027" t="str">
            <v xml:space="preserve">  PUNJAB COTTON WASTE FACTORY</v>
          </cell>
          <cell r="D7027">
            <v>0</v>
          </cell>
          <cell r="E7027">
            <v>0</v>
          </cell>
          <cell r="F7027">
            <v>0</v>
          </cell>
          <cell r="G7027">
            <v>0</v>
          </cell>
        </row>
        <row r="7028">
          <cell r="A7028" t="str">
            <v>55-05-03-0033</v>
          </cell>
          <cell r="B7028">
            <v>0</v>
          </cell>
          <cell r="C7028" t="str">
            <v xml:space="preserve">  AREKHA TEXTILE MILLS</v>
          </cell>
          <cell r="D7028">
            <v>0</v>
          </cell>
          <cell r="E7028">
            <v>0</v>
          </cell>
          <cell r="F7028">
            <v>0</v>
          </cell>
          <cell r="G7028">
            <v>0</v>
          </cell>
        </row>
        <row r="7029">
          <cell r="A7029" t="str">
            <v>55-05-03-0034</v>
          </cell>
          <cell r="B7029">
            <v>0</v>
          </cell>
          <cell r="C7029" t="str">
            <v xml:space="preserve">  AL-MADINA SPINNING INDUSTRIES</v>
          </cell>
          <cell r="D7029">
            <v>0</v>
          </cell>
          <cell r="E7029">
            <v>0</v>
          </cell>
          <cell r="F7029">
            <v>0</v>
          </cell>
          <cell r="G7029">
            <v>0</v>
          </cell>
        </row>
        <row r="7030">
          <cell r="A7030" t="str">
            <v>55-05-03-0035</v>
          </cell>
          <cell r="B7030">
            <v>0</v>
          </cell>
          <cell r="C7030" t="str">
            <v xml:space="preserve">  SHAMA COTTON YARN COMPANY</v>
          </cell>
          <cell r="D7030">
            <v>0</v>
          </cell>
          <cell r="E7030">
            <v>0</v>
          </cell>
          <cell r="F7030">
            <v>0</v>
          </cell>
          <cell r="G7030">
            <v>0</v>
          </cell>
        </row>
        <row r="7031">
          <cell r="A7031" t="str">
            <v>55-05-03-0036</v>
          </cell>
          <cell r="B7031">
            <v>0</v>
          </cell>
          <cell r="C7031" t="str">
            <v xml:space="preserve">  HAMAD COTTON WASTE FACTORY</v>
          </cell>
          <cell r="D7031">
            <v>0</v>
          </cell>
          <cell r="E7031">
            <v>0</v>
          </cell>
          <cell r="F7031">
            <v>0</v>
          </cell>
          <cell r="G7031">
            <v>0</v>
          </cell>
        </row>
        <row r="7032">
          <cell r="A7032" t="str">
            <v>55-05-03-0037</v>
          </cell>
          <cell r="B7032">
            <v>0</v>
          </cell>
          <cell r="C7032" t="str">
            <v xml:space="preserve">  SAMIJA TEXTILE MILLS</v>
          </cell>
          <cell r="D7032">
            <v>0</v>
          </cell>
          <cell r="E7032">
            <v>0</v>
          </cell>
          <cell r="F7032">
            <v>0</v>
          </cell>
          <cell r="G7032">
            <v>0</v>
          </cell>
        </row>
        <row r="7033">
          <cell r="A7033" t="str">
            <v>55-05-03-0038</v>
          </cell>
          <cell r="B7033">
            <v>0</v>
          </cell>
          <cell r="C7033" t="str">
            <v xml:space="preserve">  ALI HAQ SPINNING MILLS LIMITED</v>
          </cell>
          <cell r="D7033">
            <v>0</v>
          </cell>
          <cell r="E7033">
            <v>0</v>
          </cell>
          <cell r="F7033">
            <v>0</v>
          </cell>
          <cell r="G7033">
            <v>0</v>
          </cell>
        </row>
        <row r="7034">
          <cell r="A7034" t="str">
            <v>55-05-03-0039</v>
          </cell>
          <cell r="B7034">
            <v>0</v>
          </cell>
          <cell r="C7034" t="str">
            <v xml:space="preserve">  INSAF SPINNING MILLS</v>
          </cell>
          <cell r="D7034">
            <v>0</v>
          </cell>
          <cell r="E7034">
            <v>0</v>
          </cell>
          <cell r="F7034">
            <v>0</v>
          </cell>
          <cell r="G7034">
            <v>0</v>
          </cell>
        </row>
        <row r="7035">
          <cell r="A7035" t="str">
            <v>55-05-03-0040</v>
          </cell>
          <cell r="B7035">
            <v>0</v>
          </cell>
          <cell r="C7035" t="str">
            <v xml:space="preserve">  LAL BASHIR COTTON WASTE FACTORY</v>
          </cell>
          <cell r="D7035">
            <v>0</v>
          </cell>
          <cell r="E7035">
            <v>0</v>
          </cell>
          <cell r="F7035">
            <v>0</v>
          </cell>
          <cell r="G7035">
            <v>0</v>
          </cell>
        </row>
        <row r="7036">
          <cell r="A7036" t="str">
            <v>55-05-03-0041</v>
          </cell>
          <cell r="B7036">
            <v>0</v>
          </cell>
          <cell r="C7036" t="str">
            <v xml:space="preserve">  RAIWIND CORPORATION</v>
          </cell>
          <cell r="D7036">
            <v>0</v>
          </cell>
          <cell r="E7036">
            <v>0</v>
          </cell>
          <cell r="F7036">
            <v>0</v>
          </cell>
          <cell r="G7036">
            <v>0</v>
          </cell>
        </row>
        <row r="7037">
          <cell r="A7037" t="str">
            <v>55-05-03-0042</v>
          </cell>
          <cell r="B7037">
            <v>0</v>
          </cell>
          <cell r="C7037" t="str">
            <v xml:space="preserve">  IMTIAZ TEXTILE MILLS</v>
          </cell>
          <cell r="D7037">
            <v>0</v>
          </cell>
          <cell r="E7037">
            <v>0</v>
          </cell>
          <cell r="F7037">
            <v>0</v>
          </cell>
          <cell r="G7037">
            <v>0</v>
          </cell>
        </row>
        <row r="7038">
          <cell r="A7038" t="str">
            <v>55-05-03-0043</v>
          </cell>
          <cell r="B7038">
            <v>0</v>
          </cell>
          <cell r="C7038" t="str">
            <v xml:space="preserve">  S.Q.TEXTILE MILLS</v>
          </cell>
          <cell r="D7038">
            <v>0</v>
          </cell>
          <cell r="E7038">
            <v>0</v>
          </cell>
          <cell r="F7038">
            <v>0</v>
          </cell>
          <cell r="G7038">
            <v>0</v>
          </cell>
        </row>
        <row r="7039">
          <cell r="A7039" t="str">
            <v>55-05-03-0044</v>
          </cell>
          <cell r="B7039">
            <v>0</v>
          </cell>
          <cell r="C7039" t="str">
            <v xml:space="preserve">  QAZI YARN (PVT) LIMITED</v>
          </cell>
          <cell r="D7039">
            <v>0</v>
          </cell>
          <cell r="E7039">
            <v>0</v>
          </cell>
          <cell r="F7039">
            <v>0</v>
          </cell>
          <cell r="G7039">
            <v>0</v>
          </cell>
        </row>
        <row r="7040">
          <cell r="A7040" t="str">
            <v>55-05-03-0045</v>
          </cell>
          <cell r="B7040">
            <v>0</v>
          </cell>
          <cell r="C7040" t="str">
            <v xml:space="preserve">  PAK COTTON WASTE MARCHANT</v>
          </cell>
          <cell r="D7040">
            <v>0</v>
          </cell>
          <cell r="E7040">
            <v>0</v>
          </cell>
          <cell r="F7040">
            <v>0</v>
          </cell>
          <cell r="G7040">
            <v>0</v>
          </cell>
        </row>
        <row r="7041">
          <cell r="A7041" t="str">
            <v>55-05-03-0046</v>
          </cell>
          <cell r="B7041">
            <v>0</v>
          </cell>
          <cell r="C7041" t="str">
            <v xml:space="preserve">  MADNI SPINNING MILLS</v>
          </cell>
          <cell r="D7041">
            <v>0</v>
          </cell>
          <cell r="E7041">
            <v>0</v>
          </cell>
          <cell r="F7041">
            <v>0</v>
          </cell>
          <cell r="G7041">
            <v>0</v>
          </cell>
        </row>
        <row r="7042">
          <cell r="A7042" t="str">
            <v>55-05-03-0047</v>
          </cell>
          <cell r="B7042">
            <v>0</v>
          </cell>
          <cell r="C7042" t="str">
            <v xml:space="preserve">  AREEHA (PVT) LTD.</v>
          </cell>
          <cell r="D7042">
            <v>0</v>
          </cell>
          <cell r="E7042">
            <v>0</v>
          </cell>
          <cell r="F7042">
            <v>0</v>
          </cell>
          <cell r="G7042">
            <v>0</v>
          </cell>
        </row>
        <row r="7043">
          <cell r="A7043" t="str">
            <v>55-05-03-0048</v>
          </cell>
          <cell r="B7043">
            <v>0</v>
          </cell>
          <cell r="C7043" t="str">
            <v xml:space="preserve">  A.A.INTERNATIONAL</v>
          </cell>
          <cell r="D7043">
            <v>0</v>
          </cell>
          <cell r="E7043">
            <v>0</v>
          </cell>
          <cell r="F7043">
            <v>0</v>
          </cell>
          <cell r="G7043">
            <v>0</v>
          </cell>
        </row>
        <row r="7044">
          <cell r="A7044" t="str">
            <v>55-05-03-0049</v>
          </cell>
          <cell r="B7044">
            <v>0</v>
          </cell>
          <cell r="C7044" t="str">
            <v xml:space="preserve">  NOMI SPINNING MILLS</v>
          </cell>
          <cell r="D7044">
            <v>0</v>
          </cell>
          <cell r="E7044">
            <v>0</v>
          </cell>
          <cell r="F7044">
            <v>0</v>
          </cell>
          <cell r="G7044">
            <v>0</v>
          </cell>
        </row>
        <row r="7045">
          <cell r="A7045" t="str">
            <v>55-05-03-0050</v>
          </cell>
          <cell r="B7045">
            <v>0</v>
          </cell>
          <cell r="C7045" t="str">
            <v xml:space="preserve">  ABDULLAH TEXTILE MILLS (PVT) LTD.</v>
          </cell>
          <cell r="D7045">
            <v>0</v>
          </cell>
          <cell r="E7045">
            <v>0</v>
          </cell>
          <cell r="F7045">
            <v>0</v>
          </cell>
          <cell r="G7045">
            <v>0</v>
          </cell>
        </row>
        <row r="7046">
          <cell r="A7046" t="str">
            <v>55-05-03-0051</v>
          </cell>
          <cell r="B7046">
            <v>0</v>
          </cell>
          <cell r="C7046" t="str">
            <v xml:space="preserve">  TARIQ SPINNING</v>
          </cell>
          <cell r="D7046">
            <v>0</v>
          </cell>
          <cell r="E7046">
            <v>0</v>
          </cell>
          <cell r="F7046">
            <v>0</v>
          </cell>
          <cell r="G7046">
            <v>0</v>
          </cell>
        </row>
        <row r="7047">
          <cell r="A7047" t="str">
            <v>55-05-03-0052</v>
          </cell>
          <cell r="B7047">
            <v>0</v>
          </cell>
          <cell r="C7047" t="str">
            <v xml:space="preserve">  ABDULLAH TEXTILE MILLS (PRIVATE) LIMIT</v>
          </cell>
          <cell r="D7047">
            <v>0</v>
          </cell>
          <cell r="E7047">
            <v>0</v>
          </cell>
          <cell r="F7047">
            <v>0</v>
          </cell>
          <cell r="G7047">
            <v>0</v>
          </cell>
        </row>
        <row r="7048">
          <cell r="A7048" t="str">
            <v>55-05-03-0053</v>
          </cell>
          <cell r="B7048">
            <v>0</v>
          </cell>
          <cell r="C7048" t="str">
            <v xml:space="preserve">  M.I.CONCERN</v>
          </cell>
          <cell r="D7048">
            <v>0</v>
          </cell>
          <cell r="E7048">
            <v>0</v>
          </cell>
          <cell r="F7048">
            <v>0</v>
          </cell>
          <cell r="G7048">
            <v>0</v>
          </cell>
        </row>
        <row r="7049">
          <cell r="A7049" t="str">
            <v>55-05-03-0054</v>
          </cell>
          <cell r="B7049">
            <v>0</v>
          </cell>
          <cell r="C7049" t="str">
            <v xml:space="preserve">  AKBAR UMER SPINNING MILLS (PVT) LIMITE</v>
          </cell>
          <cell r="D7049">
            <v>0</v>
          </cell>
          <cell r="E7049">
            <v>0</v>
          </cell>
          <cell r="F7049">
            <v>0</v>
          </cell>
          <cell r="G7049">
            <v>0</v>
          </cell>
        </row>
        <row r="7050">
          <cell r="A7050" t="str">
            <v>55-05-03-0055</v>
          </cell>
          <cell r="B7050">
            <v>0</v>
          </cell>
          <cell r="C7050" t="str">
            <v xml:space="preserve">  GHULAM FARID COTTON WASTE FACTORY</v>
          </cell>
          <cell r="D7050">
            <v>0</v>
          </cell>
          <cell r="E7050">
            <v>0</v>
          </cell>
          <cell r="F7050">
            <v>0</v>
          </cell>
          <cell r="G7050">
            <v>0</v>
          </cell>
        </row>
        <row r="7051">
          <cell r="A7051" t="str">
            <v>55-05-03-0056</v>
          </cell>
          <cell r="B7051">
            <v>0</v>
          </cell>
          <cell r="C7051" t="str">
            <v xml:space="preserve">  MUKKARAM MUZAM COTTON WASTE FACTORY</v>
          </cell>
          <cell r="D7051">
            <v>0</v>
          </cell>
          <cell r="E7051">
            <v>0</v>
          </cell>
          <cell r="F7051">
            <v>0</v>
          </cell>
          <cell r="G7051">
            <v>0</v>
          </cell>
        </row>
        <row r="7052">
          <cell r="A7052" t="str">
            <v>55-05-03-0057</v>
          </cell>
          <cell r="B7052">
            <v>0</v>
          </cell>
          <cell r="C7052" t="str">
            <v xml:space="preserve">  KHAWAJA TRADERS</v>
          </cell>
          <cell r="D7052">
            <v>0</v>
          </cell>
          <cell r="E7052">
            <v>0</v>
          </cell>
          <cell r="F7052">
            <v>0</v>
          </cell>
          <cell r="G7052">
            <v>0</v>
          </cell>
        </row>
        <row r="7053">
          <cell r="A7053" t="str">
            <v>55-05-03-0058</v>
          </cell>
          <cell r="B7053">
            <v>0</v>
          </cell>
          <cell r="C7053" t="str">
            <v xml:space="preserve">  THAKADAR MUHAMMAD SALEEM</v>
          </cell>
          <cell r="D7053">
            <v>0</v>
          </cell>
          <cell r="E7053">
            <v>0</v>
          </cell>
          <cell r="F7053">
            <v>0</v>
          </cell>
          <cell r="G7053">
            <v>0</v>
          </cell>
        </row>
        <row r="7054">
          <cell r="A7054" t="str">
            <v>55-05-03-0059</v>
          </cell>
          <cell r="B7054">
            <v>0</v>
          </cell>
          <cell r="C7054" t="str">
            <v xml:space="preserve">  NEW SHAHEEN COTTON FACTORY</v>
          </cell>
          <cell r="D7054">
            <v>0</v>
          </cell>
          <cell r="E7054">
            <v>0</v>
          </cell>
          <cell r="F7054">
            <v>0</v>
          </cell>
          <cell r="G7054">
            <v>0</v>
          </cell>
        </row>
        <row r="7055">
          <cell r="A7055" t="str">
            <v>55-05-03-0060</v>
          </cell>
          <cell r="B7055">
            <v>0</v>
          </cell>
          <cell r="C7055" t="str">
            <v xml:space="preserve">  NARGIS TEXTILE MILLS</v>
          </cell>
          <cell r="D7055">
            <v>0</v>
          </cell>
          <cell r="E7055">
            <v>0</v>
          </cell>
          <cell r="F7055">
            <v>0</v>
          </cell>
          <cell r="G7055">
            <v>0</v>
          </cell>
        </row>
        <row r="7056">
          <cell r="A7056" t="str">
            <v>55-05-03-0061</v>
          </cell>
          <cell r="B7056">
            <v>0</v>
          </cell>
          <cell r="C7056" t="str">
            <v xml:space="preserve">  ASIA SPINNING MILLS</v>
          </cell>
          <cell r="D7056">
            <v>0</v>
          </cell>
          <cell r="E7056">
            <v>0</v>
          </cell>
          <cell r="F7056">
            <v>0</v>
          </cell>
          <cell r="G7056">
            <v>0</v>
          </cell>
        </row>
        <row r="7057">
          <cell r="A7057" t="str">
            <v>55-05-03-0062</v>
          </cell>
          <cell r="B7057">
            <v>0</v>
          </cell>
          <cell r="C7057" t="str">
            <v xml:space="preserve">  ATARA TARPAULINE &amp; TEXTILE MILLS</v>
          </cell>
          <cell r="D7057">
            <v>0</v>
          </cell>
          <cell r="E7057">
            <v>0</v>
          </cell>
          <cell r="F7057">
            <v>0</v>
          </cell>
          <cell r="G7057">
            <v>0</v>
          </cell>
        </row>
        <row r="7058">
          <cell r="A7058" t="str">
            <v>55-05-03-0063</v>
          </cell>
          <cell r="B7058">
            <v>0</v>
          </cell>
          <cell r="C7058" t="str">
            <v xml:space="preserve">  ASHRAF TEXTILES</v>
          </cell>
          <cell r="D7058">
            <v>0</v>
          </cell>
          <cell r="E7058">
            <v>0</v>
          </cell>
          <cell r="F7058">
            <v>0</v>
          </cell>
          <cell r="G7058">
            <v>0</v>
          </cell>
        </row>
        <row r="7059">
          <cell r="A7059" t="str">
            <v>55-05-03-0064</v>
          </cell>
          <cell r="B7059">
            <v>0</v>
          </cell>
          <cell r="C7059" t="str">
            <v xml:space="preserve">  SHAH COTTON WASTE PROCESSING INDUSTRIE</v>
          </cell>
          <cell r="D7059">
            <v>0</v>
          </cell>
          <cell r="E7059">
            <v>0</v>
          </cell>
          <cell r="F7059">
            <v>0</v>
          </cell>
          <cell r="G7059">
            <v>0</v>
          </cell>
        </row>
        <row r="7060">
          <cell r="A7060" t="str">
            <v>55-05-03-0065</v>
          </cell>
          <cell r="B7060">
            <v>0</v>
          </cell>
          <cell r="C7060" t="str">
            <v xml:space="preserve">  ABU BAKAR TEXTILE MILLS</v>
          </cell>
          <cell r="D7060">
            <v>0</v>
          </cell>
          <cell r="E7060">
            <v>0</v>
          </cell>
          <cell r="F7060">
            <v>0</v>
          </cell>
          <cell r="G7060">
            <v>0</v>
          </cell>
        </row>
        <row r="7061">
          <cell r="A7061" t="str">
            <v>55-05-03-0066</v>
          </cell>
          <cell r="B7061">
            <v>0</v>
          </cell>
          <cell r="C7061" t="str">
            <v xml:space="preserve">  ZIA-UL-QAMAR SPINNING MILLS (PVT) LTD.</v>
          </cell>
          <cell r="D7061">
            <v>0</v>
          </cell>
          <cell r="E7061">
            <v>0</v>
          </cell>
          <cell r="F7061">
            <v>0</v>
          </cell>
          <cell r="G7061">
            <v>0</v>
          </cell>
        </row>
        <row r="7062">
          <cell r="A7062" t="str">
            <v>55-05-03-0067</v>
          </cell>
          <cell r="B7062">
            <v>0</v>
          </cell>
          <cell r="C7062" t="str">
            <v xml:space="preserve">  SHAHBAZ GARMENTS (PVT) LTD</v>
          </cell>
          <cell r="D7062">
            <v>0</v>
          </cell>
          <cell r="E7062">
            <v>0</v>
          </cell>
          <cell r="F7062">
            <v>0</v>
          </cell>
          <cell r="G7062">
            <v>0</v>
          </cell>
        </row>
        <row r="7063">
          <cell r="A7063" t="str">
            <v>55-05-03-0068</v>
          </cell>
          <cell r="B7063">
            <v>0</v>
          </cell>
          <cell r="C7063" t="str">
            <v xml:space="preserve">  HASSAN COTTON WASTE FACTORY</v>
          </cell>
          <cell r="D7063">
            <v>0</v>
          </cell>
          <cell r="E7063">
            <v>0</v>
          </cell>
          <cell r="F7063">
            <v>0</v>
          </cell>
          <cell r="G7063">
            <v>0</v>
          </cell>
        </row>
        <row r="7064">
          <cell r="A7064" t="str">
            <v>55-05-03-0069</v>
          </cell>
          <cell r="B7064">
            <v>0</v>
          </cell>
          <cell r="C7064" t="str">
            <v xml:space="preserve">  A.D &amp; SONS COTTON WASTE</v>
          </cell>
          <cell r="D7064">
            <v>0</v>
          </cell>
          <cell r="E7064">
            <v>0</v>
          </cell>
          <cell r="F7064">
            <v>0</v>
          </cell>
          <cell r="G7064">
            <v>0</v>
          </cell>
        </row>
        <row r="7065">
          <cell r="A7065" t="str">
            <v>55-05-03-0070</v>
          </cell>
          <cell r="B7065">
            <v>0</v>
          </cell>
          <cell r="C7065" t="str">
            <v xml:space="preserve">  EID MOHAMMAD COTTON INDUSTRIES</v>
          </cell>
          <cell r="D7065">
            <v>0</v>
          </cell>
          <cell r="E7065">
            <v>0</v>
          </cell>
          <cell r="F7065">
            <v>0</v>
          </cell>
          <cell r="G7065">
            <v>0</v>
          </cell>
        </row>
        <row r="7066">
          <cell r="A7066" t="str">
            <v>55-05-03-0071</v>
          </cell>
          <cell r="B7066">
            <v>0</v>
          </cell>
          <cell r="C7066" t="str">
            <v xml:space="preserve">  A.R. ENTERPRISES</v>
          </cell>
          <cell r="D7066">
            <v>0</v>
          </cell>
          <cell r="E7066">
            <v>0</v>
          </cell>
          <cell r="F7066">
            <v>0</v>
          </cell>
          <cell r="G7066">
            <v>0</v>
          </cell>
        </row>
        <row r="7067">
          <cell r="A7067" t="str">
            <v>55-05-03-0072</v>
          </cell>
          <cell r="B7067">
            <v>0</v>
          </cell>
          <cell r="C7067" t="str">
            <v xml:space="preserve">  TERBELLA COTTON MILLS</v>
          </cell>
          <cell r="D7067">
            <v>0</v>
          </cell>
          <cell r="E7067">
            <v>0</v>
          </cell>
          <cell r="F7067">
            <v>0</v>
          </cell>
          <cell r="G7067">
            <v>0</v>
          </cell>
        </row>
        <row r="7068">
          <cell r="A7068" t="str">
            <v>55-05-03-0073</v>
          </cell>
          <cell r="B7068">
            <v>0</v>
          </cell>
          <cell r="C7068" t="str">
            <v xml:space="preserve">  AL-MUQEET COTTON WASTE</v>
          </cell>
          <cell r="D7068">
            <v>0</v>
          </cell>
          <cell r="E7068">
            <v>0</v>
          </cell>
          <cell r="F7068">
            <v>0</v>
          </cell>
          <cell r="G7068">
            <v>0</v>
          </cell>
        </row>
        <row r="7069">
          <cell r="A7069" t="str">
            <v>55-05-03-0074</v>
          </cell>
          <cell r="B7069">
            <v>0</v>
          </cell>
          <cell r="C7069" t="str">
            <v xml:space="preserve">  ANEES TEXTILE MILLS</v>
          </cell>
          <cell r="D7069">
            <v>0</v>
          </cell>
          <cell r="E7069">
            <v>0</v>
          </cell>
          <cell r="F7069">
            <v>0</v>
          </cell>
          <cell r="G7069">
            <v>0</v>
          </cell>
        </row>
        <row r="7070">
          <cell r="A7070" t="str">
            <v>55-05-03-0075</v>
          </cell>
          <cell r="B7070">
            <v>0</v>
          </cell>
          <cell r="C7070" t="str">
            <v xml:space="preserve">  CHIRAGH TEXTILE MILLS</v>
          </cell>
          <cell r="D7070">
            <v>0</v>
          </cell>
          <cell r="E7070">
            <v>0</v>
          </cell>
          <cell r="F7070">
            <v>0</v>
          </cell>
          <cell r="G7070">
            <v>0</v>
          </cell>
        </row>
        <row r="7071">
          <cell r="A7071" t="str">
            <v>55-05-03-0076</v>
          </cell>
          <cell r="B7071">
            <v>0</v>
          </cell>
          <cell r="C7071" t="str">
            <v xml:space="preserve">  M.ASGHAR COTTON INDUSTRIES LIMITED</v>
          </cell>
          <cell r="D7071">
            <v>0</v>
          </cell>
          <cell r="E7071">
            <v>0</v>
          </cell>
          <cell r="F7071">
            <v>0</v>
          </cell>
          <cell r="G7071">
            <v>0</v>
          </cell>
        </row>
        <row r="7072">
          <cell r="A7072" t="str">
            <v>55-05-03-0077</v>
          </cell>
          <cell r="B7072">
            <v>0</v>
          </cell>
          <cell r="C7072" t="str">
            <v xml:space="preserve">  HAJVARY TEXTILE TRADERS</v>
          </cell>
          <cell r="D7072">
            <v>0</v>
          </cell>
          <cell r="E7072">
            <v>0</v>
          </cell>
          <cell r="F7072">
            <v>0</v>
          </cell>
          <cell r="G7072">
            <v>0</v>
          </cell>
        </row>
        <row r="7073">
          <cell r="A7073" t="str">
            <v>55-05-03-0078</v>
          </cell>
          <cell r="B7073">
            <v>0</v>
          </cell>
          <cell r="C7073" t="str">
            <v xml:space="preserve">  SUFI REHMAN TEXTILE MILLS</v>
          </cell>
          <cell r="D7073">
            <v>0</v>
          </cell>
          <cell r="E7073">
            <v>0</v>
          </cell>
          <cell r="F7073">
            <v>0</v>
          </cell>
          <cell r="G7073">
            <v>0</v>
          </cell>
        </row>
        <row r="7074">
          <cell r="A7074" t="str">
            <v>55-05-03-0079</v>
          </cell>
          <cell r="B7074">
            <v>0</v>
          </cell>
          <cell r="C7074" t="str">
            <v xml:space="preserve">  COTTON YARN (PVT) LTD</v>
          </cell>
          <cell r="D7074">
            <v>0</v>
          </cell>
          <cell r="E7074">
            <v>0</v>
          </cell>
          <cell r="F7074">
            <v>0</v>
          </cell>
          <cell r="G7074">
            <v>0</v>
          </cell>
        </row>
        <row r="7075">
          <cell r="A7075" t="str">
            <v>55-05-03-0080</v>
          </cell>
          <cell r="B7075">
            <v>0</v>
          </cell>
          <cell r="C7075" t="str">
            <v xml:space="preserve">  NAQSH-E-LASANI SPINNING INDUSTRIES</v>
          </cell>
          <cell r="D7075">
            <v>0</v>
          </cell>
          <cell r="E7075">
            <v>0</v>
          </cell>
          <cell r="F7075">
            <v>0</v>
          </cell>
          <cell r="G7075">
            <v>0</v>
          </cell>
        </row>
        <row r="7076">
          <cell r="A7076" t="str">
            <v>55-05-03-0081</v>
          </cell>
          <cell r="B7076">
            <v>0</v>
          </cell>
          <cell r="C7076" t="str">
            <v xml:space="preserve">  NOOR INDUSTRIES</v>
          </cell>
          <cell r="D7076">
            <v>0</v>
          </cell>
          <cell r="E7076">
            <v>0</v>
          </cell>
          <cell r="F7076">
            <v>0</v>
          </cell>
          <cell r="G7076">
            <v>0</v>
          </cell>
        </row>
        <row r="7077">
          <cell r="A7077" t="str">
            <v>55-05-03-0082</v>
          </cell>
          <cell r="B7077">
            <v>0</v>
          </cell>
          <cell r="C7077" t="str">
            <v xml:space="preserve">  BASHEER INDUSTRIES</v>
          </cell>
          <cell r="D7077">
            <v>0</v>
          </cell>
          <cell r="E7077">
            <v>0</v>
          </cell>
          <cell r="F7077">
            <v>0</v>
          </cell>
          <cell r="G7077">
            <v>0</v>
          </cell>
        </row>
        <row r="7078">
          <cell r="A7078" t="str">
            <v>55-05-25</v>
          </cell>
          <cell r="B7078">
            <v>0</v>
          </cell>
          <cell r="C7078" t="str">
            <v>***SAID WALI</v>
          </cell>
          <cell r="D7078">
            <v>0</v>
          </cell>
          <cell r="E7078">
            <v>0</v>
          </cell>
          <cell r="F7078">
            <v>0</v>
          </cell>
          <cell r="G7078">
            <v>0</v>
          </cell>
        </row>
        <row r="7079">
          <cell r="A7079" t="str">
            <v>55-05-25-0001</v>
          </cell>
          <cell r="B7079">
            <v>0</v>
          </cell>
          <cell r="C7079" t="str">
            <v xml:space="preserve">  MUHAMMAD ANWAR &amp; BROTHERS</v>
          </cell>
          <cell r="D7079">
            <v>0</v>
          </cell>
          <cell r="E7079">
            <v>0</v>
          </cell>
          <cell r="F7079">
            <v>0</v>
          </cell>
          <cell r="G7079">
            <v>0</v>
          </cell>
        </row>
        <row r="7080">
          <cell r="A7080" t="str">
            <v>55-05-25-0002</v>
          </cell>
          <cell r="B7080">
            <v>0</v>
          </cell>
          <cell r="C7080" t="str">
            <v xml:space="preserve">  ALI HAQ SPINNING MILLS</v>
          </cell>
          <cell r="D7080">
            <v>0</v>
          </cell>
          <cell r="E7080">
            <v>0</v>
          </cell>
          <cell r="F7080">
            <v>0</v>
          </cell>
          <cell r="G7080">
            <v>0</v>
          </cell>
        </row>
        <row r="7081">
          <cell r="A7081" t="str">
            <v>55-05-25-0003</v>
          </cell>
          <cell r="B7081">
            <v>0</v>
          </cell>
          <cell r="C7081" t="str">
            <v xml:space="preserve">  SHAMA COTTON YARN COMPANY</v>
          </cell>
          <cell r="D7081">
            <v>0</v>
          </cell>
          <cell r="E7081">
            <v>0</v>
          </cell>
          <cell r="F7081">
            <v>0</v>
          </cell>
          <cell r="G7081">
            <v>0</v>
          </cell>
        </row>
        <row r="7082">
          <cell r="A7082" t="str">
            <v>55-05-25-0004</v>
          </cell>
          <cell r="B7082">
            <v>0</v>
          </cell>
          <cell r="C7082" t="str">
            <v xml:space="preserve">  SAID WALI</v>
          </cell>
          <cell r="D7082">
            <v>0</v>
          </cell>
          <cell r="E7082">
            <v>0</v>
          </cell>
          <cell r="F7082">
            <v>0</v>
          </cell>
          <cell r="G7082">
            <v>0</v>
          </cell>
        </row>
        <row r="7083">
          <cell r="A7083" t="str">
            <v>55-05-30</v>
          </cell>
          <cell r="B7083">
            <v>0</v>
          </cell>
          <cell r="C7083" t="str">
            <v>***SHAH COTTON WASTE PROCESSING INDUSTRI</v>
          </cell>
          <cell r="D7083">
            <v>2964795</v>
          </cell>
          <cell r="E7083">
            <v>0</v>
          </cell>
          <cell r="F7083">
            <v>2964795</v>
          </cell>
          <cell r="G7083">
            <v>0</v>
          </cell>
        </row>
        <row r="7084">
          <cell r="A7084" t="str">
            <v>55-05-30-0001</v>
          </cell>
          <cell r="B7084">
            <v>0</v>
          </cell>
          <cell r="C7084" t="str">
            <v xml:space="preserve">  SHAH COTTON WASTE PROCESSING INDUSTRIE</v>
          </cell>
          <cell r="D7084">
            <v>92409</v>
          </cell>
          <cell r="E7084">
            <v>0</v>
          </cell>
          <cell r="F7084">
            <v>0</v>
          </cell>
          <cell r="G7084">
            <v>0</v>
          </cell>
        </row>
        <row r="7085">
          <cell r="A7085" t="str">
            <v>55-05-30-0002</v>
          </cell>
          <cell r="B7085">
            <v>0</v>
          </cell>
          <cell r="C7085" t="str">
            <v xml:space="preserve">  IHSAN SONS (PVT) LIMITED</v>
          </cell>
          <cell r="D7085">
            <v>0</v>
          </cell>
          <cell r="E7085">
            <v>0</v>
          </cell>
          <cell r="F7085">
            <v>0</v>
          </cell>
          <cell r="G7085">
            <v>0</v>
          </cell>
        </row>
        <row r="7086">
          <cell r="A7086" t="str">
            <v>55-05-30-0003</v>
          </cell>
          <cell r="B7086">
            <v>0</v>
          </cell>
          <cell r="C7086" t="str">
            <v xml:space="preserve">  YAN TEXTILE INDUSTRIES (PVT) LIMITED</v>
          </cell>
          <cell r="D7086">
            <v>101842</v>
          </cell>
          <cell r="E7086">
            <v>0</v>
          </cell>
          <cell r="F7086">
            <v>0</v>
          </cell>
          <cell r="G7086">
            <v>0</v>
          </cell>
        </row>
        <row r="7087">
          <cell r="A7087" t="str">
            <v>55-05-30-0004</v>
          </cell>
          <cell r="B7087">
            <v>0</v>
          </cell>
          <cell r="C7087" t="str">
            <v xml:space="preserve">  SHAMA COTTON YARN COMPANY</v>
          </cell>
          <cell r="D7087">
            <v>0</v>
          </cell>
          <cell r="E7087">
            <v>0</v>
          </cell>
          <cell r="F7087">
            <v>0</v>
          </cell>
          <cell r="G7087">
            <v>0</v>
          </cell>
        </row>
        <row r="7088">
          <cell r="A7088" t="str">
            <v>55-05-30-0005</v>
          </cell>
          <cell r="B7088">
            <v>0</v>
          </cell>
          <cell r="C7088" t="str">
            <v xml:space="preserve">  TARIQ SPINNING</v>
          </cell>
          <cell r="D7088">
            <v>0</v>
          </cell>
          <cell r="E7088">
            <v>0</v>
          </cell>
          <cell r="F7088">
            <v>0</v>
          </cell>
          <cell r="G7088">
            <v>0</v>
          </cell>
        </row>
        <row r="7089">
          <cell r="A7089" t="str">
            <v>55-05-30-0006</v>
          </cell>
          <cell r="B7089">
            <v>0</v>
          </cell>
          <cell r="C7089" t="str">
            <v xml:space="preserve">  SHOAIB SALAMAN TEXTILE MILLS</v>
          </cell>
          <cell r="D7089">
            <v>0</v>
          </cell>
          <cell r="E7089">
            <v>0</v>
          </cell>
          <cell r="F7089">
            <v>0</v>
          </cell>
          <cell r="G7089">
            <v>0</v>
          </cell>
        </row>
        <row r="7090">
          <cell r="A7090" t="str">
            <v>55-05-30-0007</v>
          </cell>
          <cell r="B7090">
            <v>0</v>
          </cell>
          <cell r="C7090" t="str">
            <v xml:space="preserve">  IMTIAZ TEXTILE MILLS</v>
          </cell>
          <cell r="D7090">
            <v>2770544</v>
          </cell>
          <cell r="E7090">
            <v>0</v>
          </cell>
          <cell r="F7090">
            <v>0</v>
          </cell>
          <cell r="G7090">
            <v>0</v>
          </cell>
        </row>
        <row r="7091">
          <cell r="A7091" t="str">
            <v>55-05-30-0008</v>
          </cell>
          <cell r="B7091">
            <v>0</v>
          </cell>
          <cell r="C7091" t="str">
            <v xml:space="preserve">  M.ASGHAR COTTON INDUSTRIES LIMITED</v>
          </cell>
          <cell r="D7091">
            <v>0</v>
          </cell>
          <cell r="E7091">
            <v>0</v>
          </cell>
          <cell r="F7091">
            <v>0</v>
          </cell>
          <cell r="G7091">
            <v>0</v>
          </cell>
        </row>
        <row r="7092">
          <cell r="A7092" t="str">
            <v>55-05-30-0009</v>
          </cell>
          <cell r="B7092">
            <v>0</v>
          </cell>
          <cell r="C7092" t="str">
            <v xml:space="preserve">  AL-MUQEET COTTON WASTE</v>
          </cell>
          <cell r="D7092">
            <v>0</v>
          </cell>
          <cell r="E7092">
            <v>0</v>
          </cell>
          <cell r="F7092">
            <v>0</v>
          </cell>
          <cell r="G7092">
            <v>0</v>
          </cell>
        </row>
        <row r="7093">
          <cell r="A7093" t="str">
            <v>55-05-30-0010</v>
          </cell>
          <cell r="B7093">
            <v>0</v>
          </cell>
          <cell r="C7093" t="str">
            <v xml:space="preserve">  QAZI YARN PVT LTD.</v>
          </cell>
          <cell r="D7093">
            <v>0</v>
          </cell>
          <cell r="E7093">
            <v>0</v>
          </cell>
          <cell r="F7093">
            <v>0</v>
          </cell>
          <cell r="G7093">
            <v>0</v>
          </cell>
        </row>
        <row r="7094">
          <cell r="A7094" t="str">
            <v>55-05-30-0011</v>
          </cell>
          <cell r="B7094">
            <v>0</v>
          </cell>
          <cell r="C7094" t="str">
            <v xml:space="preserve">  COTTON YARN (PVT) LTD</v>
          </cell>
          <cell r="D7094">
            <v>0</v>
          </cell>
          <cell r="E7094">
            <v>0</v>
          </cell>
          <cell r="F7094">
            <v>0</v>
          </cell>
          <cell r="G7094">
            <v>0</v>
          </cell>
        </row>
        <row r="7095">
          <cell r="A7095" t="str">
            <v>55-05-30-0012</v>
          </cell>
          <cell r="B7095">
            <v>0</v>
          </cell>
          <cell r="C7095" t="str">
            <v xml:space="preserve">  ANEES TEXTILE</v>
          </cell>
          <cell r="D7095">
            <v>0</v>
          </cell>
          <cell r="E7095">
            <v>0</v>
          </cell>
          <cell r="F7095">
            <v>0</v>
          </cell>
          <cell r="G7095">
            <v>0</v>
          </cell>
        </row>
        <row r="7096">
          <cell r="A7096" t="str">
            <v>55-05-30-0013</v>
          </cell>
          <cell r="B7096">
            <v>0</v>
          </cell>
          <cell r="C7096" t="str">
            <v xml:space="preserve">  NOOR INDUSTRIES</v>
          </cell>
          <cell r="D7096">
            <v>0</v>
          </cell>
          <cell r="E7096">
            <v>0</v>
          </cell>
          <cell r="F7096">
            <v>0</v>
          </cell>
          <cell r="G7096">
            <v>0</v>
          </cell>
        </row>
        <row r="7097">
          <cell r="A7097" t="str">
            <v>55-05-30-0014</v>
          </cell>
          <cell r="B7097">
            <v>0</v>
          </cell>
          <cell r="C7097" t="str">
            <v xml:space="preserve">  BASHEER INDUSTRIES</v>
          </cell>
          <cell r="D7097">
            <v>0</v>
          </cell>
          <cell r="E7097">
            <v>0</v>
          </cell>
          <cell r="F7097">
            <v>0</v>
          </cell>
          <cell r="G7097">
            <v>0</v>
          </cell>
        </row>
        <row r="7098">
          <cell r="A7098" t="str">
            <v>55-05-30-0015</v>
          </cell>
          <cell r="B7098">
            <v>0</v>
          </cell>
          <cell r="C7098" t="str">
            <v xml:space="preserve">  PAK SILVER FIBRE CO.,</v>
          </cell>
          <cell r="D7098">
            <v>0</v>
          </cell>
          <cell r="E7098">
            <v>0</v>
          </cell>
          <cell r="F7098">
            <v>0</v>
          </cell>
          <cell r="G7098">
            <v>0</v>
          </cell>
        </row>
        <row r="7099">
          <cell r="A7099" t="str">
            <v>55-05-30-0016</v>
          </cell>
          <cell r="B7099">
            <v>0</v>
          </cell>
          <cell r="C7099" t="str">
            <v xml:space="preserve">  PRUDENTIAL ENTERPRISES</v>
          </cell>
          <cell r="D7099">
            <v>0</v>
          </cell>
          <cell r="E7099">
            <v>0</v>
          </cell>
          <cell r="F7099">
            <v>0</v>
          </cell>
          <cell r="G7099">
            <v>0</v>
          </cell>
        </row>
        <row r="7100">
          <cell r="A7100" t="str">
            <v>55-05-30-0017</v>
          </cell>
          <cell r="B7100">
            <v>0</v>
          </cell>
          <cell r="C7100" t="str">
            <v xml:space="preserve">  NOOR SPINNING (PVT) LTD.</v>
          </cell>
          <cell r="D7100">
            <v>0</v>
          </cell>
          <cell r="E7100">
            <v>0</v>
          </cell>
          <cell r="F7100">
            <v>0</v>
          </cell>
          <cell r="G7100">
            <v>0</v>
          </cell>
        </row>
        <row r="7101">
          <cell r="A7101" t="str">
            <v>55-05-30-0018</v>
          </cell>
          <cell r="B7101">
            <v>0</v>
          </cell>
          <cell r="C7101" t="str">
            <v xml:space="preserve">  ITTEHAD INDUSTRIES</v>
          </cell>
          <cell r="D7101">
            <v>0</v>
          </cell>
          <cell r="E7101">
            <v>0</v>
          </cell>
          <cell r="F7101">
            <v>0</v>
          </cell>
          <cell r="G7101">
            <v>0</v>
          </cell>
        </row>
        <row r="7102">
          <cell r="A7102" t="str">
            <v>55-05-30-0019</v>
          </cell>
          <cell r="B7102">
            <v>0</v>
          </cell>
          <cell r="C7102" t="str">
            <v xml:space="preserve">  NARGIS TEXTILE MILLS</v>
          </cell>
          <cell r="D7102">
            <v>0</v>
          </cell>
          <cell r="E7102">
            <v>0</v>
          </cell>
          <cell r="F7102">
            <v>0</v>
          </cell>
          <cell r="G7102">
            <v>0</v>
          </cell>
        </row>
        <row r="7103">
          <cell r="A7103" t="str">
            <v>55-05-30-0020</v>
          </cell>
          <cell r="B7103">
            <v>0</v>
          </cell>
          <cell r="C7103" t="str">
            <v xml:space="preserve">  ABDULLAH TEXTILE MILLS (PRIVATE) LIMIT</v>
          </cell>
          <cell r="D7103">
            <v>0</v>
          </cell>
          <cell r="E7103">
            <v>0</v>
          </cell>
          <cell r="F7103">
            <v>0</v>
          </cell>
          <cell r="G7103">
            <v>0</v>
          </cell>
        </row>
        <row r="7104">
          <cell r="A7104" t="str">
            <v>55-05-30-0021</v>
          </cell>
          <cell r="B7104">
            <v>0</v>
          </cell>
          <cell r="C7104" t="str">
            <v xml:space="preserve">  AL - HAMAD SPINNING MILLS (PVT) LTD</v>
          </cell>
          <cell r="D7104">
            <v>0</v>
          </cell>
          <cell r="E7104">
            <v>0</v>
          </cell>
          <cell r="F7104">
            <v>0</v>
          </cell>
          <cell r="G7104">
            <v>0</v>
          </cell>
        </row>
        <row r="7105">
          <cell r="A7105" t="str">
            <v>55-05-40</v>
          </cell>
          <cell r="B7105">
            <v>0</v>
          </cell>
          <cell r="C7105" t="str">
            <v>***FEROZE TEXTILE MILLS</v>
          </cell>
          <cell r="D7105">
            <v>0</v>
          </cell>
          <cell r="E7105">
            <v>0</v>
          </cell>
          <cell r="F7105">
            <v>0</v>
          </cell>
          <cell r="G7105">
            <v>0</v>
          </cell>
        </row>
        <row r="7106">
          <cell r="A7106" t="str">
            <v>55-05-40-0001</v>
          </cell>
          <cell r="B7106">
            <v>0</v>
          </cell>
          <cell r="C7106" t="str">
            <v xml:space="preserve">  FRIENDSHIP TEXTILE MILLS (PVT) LIMITED</v>
          </cell>
          <cell r="D7106">
            <v>0</v>
          </cell>
          <cell r="E7106">
            <v>0</v>
          </cell>
          <cell r="F7106">
            <v>0</v>
          </cell>
          <cell r="G7106">
            <v>0</v>
          </cell>
        </row>
        <row r="7107">
          <cell r="A7107" t="str">
            <v>55-05-41</v>
          </cell>
          <cell r="B7107">
            <v>0</v>
          </cell>
          <cell r="C7107" t="str">
            <v>***HAIDER</v>
          </cell>
          <cell r="D7107">
            <v>0</v>
          </cell>
          <cell r="E7107">
            <v>0</v>
          </cell>
          <cell r="F7107">
            <v>0</v>
          </cell>
          <cell r="G7107">
            <v>0</v>
          </cell>
        </row>
        <row r="7108">
          <cell r="A7108" t="str">
            <v>55-05-41-0001</v>
          </cell>
          <cell r="B7108">
            <v>0</v>
          </cell>
          <cell r="C7108" t="str">
            <v xml:space="preserve">  HAIDER</v>
          </cell>
          <cell r="D7108">
            <v>0</v>
          </cell>
          <cell r="E7108">
            <v>0</v>
          </cell>
          <cell r="F7108">
            <v>0</v>
          </cell>
          <cell r="G7108">
            <v>0</v>
          </cell>
        </row>
        <row r="7109">
          <cell r="A7109" t="str">
            <v>55-05-41-0002</v>
          </cell>
          <cell r="B7109">
            <v>0</v>
          </cell>
          <cell r="C7109" t="str">
            <v xml:space="preserve">  IHSAN SONS TEXTILE (PVT) LIMITED</v>
          </cell>
          <cell r="D7109">
            <v>0</v>
          </cell>
          <cell r="E7109">
            <v>0</v>
          </cell>
          <cell r="F7109">
            <v>0</v>
          </cell>
          <cell r="G7109">
            <v>0</v>
          </cell>
        </row>
        <row r="7110">
          <cell r="A7110" t="str">
            <v>55-05-50</v>
          </cell>
          <cell r="B7110">
            <v>0</v>
          </cell>
          <cell r="C7110" t="str">
            <v>***SARDAR PAPER CONE</v>
          </cell>
          <cell r="D7110">
            <v>0</v>
          </cell>
          <cell r="E7110">
            <v>0</v>
          </cell>
          <cell r="F7110">
            <v>0</v>
          </cell>
          <cell r="G7110">
            <v>0</v>
          </cell>
        </row>
        <row r="7111">
          <cell r="A7111" t="str">
            <v>55-05-50-0001</v>
          </cell>
          <cell r="B7111">
            <v>0</v>
          </cell>
          <cell r="C7111" t="str">
            <v xml:space="preserve">  SARDAR PAPER CONE</v>
          </cell>
          <cell r="D7111">
            <v>0</v>
          </cell>
          <cell r="E7111">
            <v>0</v>
          </cell>
          <cell r="F7111">
            <v>0</v>
          </cell>
          <cell r="G7111">
            <v>0</v>
          </cell>
        </row>
        <row r="7112">
          <cell r="A7112" t="str">
            <v>55-05-50-0002</v>
          </cell>
          <cell r="B7112">
            <v>0</v>
          </cell>
          <cell r="C7112" t="str">
            <v xml:space="preserve">  MEEZAN TEXTILE INDUSTRIES</v>
          </cell>
          <cell r="D7112">
            <v>0</v>
          </cell>
          <cell r="E7112">
            <v>0</v>
          </cell>
          <cell r="F7112">
            <v>0</v>
          </cell>
          <cell r="G7112">
            <v>0</v>
          </cell>
        </row>
        <row r="7113">
          <cell r="A7113" t="str">
            <v>55-05-50-0003</v>
          </cell>
          <cell r="B7113">
            <v>0</v>
          </cell>
          <cell r="C7113" t="str">
            <v xml:space="preserve">  AL-MADINA SPINNING INDUSTRIES (PVT) LT</v>
          </cell>
          <cell r="D7113">
            <v>0</v>
          </cell>
          <cell r="E7113">
            <v>0</v>
          </cell>
          <cell r="F7113">
            <v>0</v>
          </cell>
          <cell r="G7113">
            <v>0</v>
          </cell>
        </row>
        <row r="7114">
          <cell r="A7114" t="str">
            <v>55-05-50-0004</v>
          </cell>
          <cell r="B7114">
            <v>0</v>
          </cell>
          <cell r="C7114" t="str">
            <v xml:space="preserve">  QADIR KOTEX</v>
          </cell>
          <cell r="D7114">
            <v>0</v>
          </cell>
          <cell r="E7114">
            <v>0</v>
          </cell>
          <cell r="F7114">
            <v>0</v>
          </cell>
          <cell r="G7114">
            <v>0</v>
          </cell>
        </row>
        <row r="7115">
          <cell r="A7115" t="str">
            <v>55-05-50-0005</v>
          </cell>
          <cell r="B7115">
            <v>0</v>
          </cell>
          <cell r="C7115" t="str">
            <v xml:space="preserve">  BASHIR AHMED COTTON WASTE FACTORY</v>
          </cell>
          <cell r="D7115">
            <v>0</v>
          </cell>
          <cell r="E7115">
            <v>0</v>
          </cell>
          <cell r="F7115">
            <v>0</v>
          </cell>
          <cell r="G7115">
            <v>0</v>
          </cell>
        </row>
        <row r="7116">
          <cell r="A7116" t="str">
            <v>55-05-50-0006</v>
          </cell>
          <cell r="B7116">
            <v>0</v>
          </cell>
          <cell r="C7116" t="str">
            <v xml:space="preserve">  NASEEM SPINNING MILLS</v>
          </cell>
          <cell r="D7116">
            <v>0</v>
          </cell>
          <cell r="E7116">
            <v>0</v>
          </cell>
          <cell r="F7116">
            <v>0</v>
          </cell>
          <cell r="G7116">
            <v>0</v>
          </cell>
        </row>
        <row r="7117">
          <cell r="A7117" t="str">
            <v>55-05-50-0007</v>
          </cell>
          <cell r="B7117">
            <v>0</v>
          </cell>
          <cell r="C7117" t="str">
            <v xml:space="preserve">  AWAIS QURNI SPINNING MILLS</v>
          </cell>
          <cell r="D7117">
            <v>0</v>
          </cell>
          <cell r="E7117">
            <v>0</v>
          </cell>
          <cell r="F7117">
            <v>0</v>
          </cell>
          <cell r="G7117">
            <v>0</v>
          </cell>
        </row>
        <row r="7118">
          <cell r="A7118" t="str">
            <v>55-05-50-0008</v>
          </cell>
          <cell r="B7118">
            <v>0</v>
          </cell>
          <cell r="C7118" t="str">
            <v xml:space="preserve">  LASANI COTTON WASTE MERCHANT</v>
          </cell>
          <cell r="D7118">
            <v>0</v>
          </cell>
          <cell r="E7118">
            <v>0</v>
          </cell>
          <cell r="F7118">
            <v>0</v>
          </cell>
          <cell r="G7118">
            <v>0</v>
          </cell>
        </row>
        <row r="7119">
          <cell r="A7119" t="str">
            <v>55-05-50-0009</v>
          </cell>
          <cell r="B7119">
            <v>0</v>
          </cell>
          <cell r="C7119" t="str">
            <v xml:space="preserve">  M.I.TEXTILE MILLS</v>
          </cell>
          <cell r="D7119">
            <v>0</v>
          </cell>
          <cell r="E7119">
            <v>0</v>
          </cell>
          <cell r="F7119">
            <v>0</v>
          </cell>
          <cell r="G7119">
            <v>0</v>
          </cell>
        </row>
        <row r="7120">
          <cell r="A7120" t="str">
            <v>55-05-50-0010</v>
          </cell>
          <cell r="B7120">
            <v>0</v>
          </cell>
          <cell r="C7120" t="str">
            <v xml:space="preserve">  JAMAL TEXTILE INDUSTRIES QASOOR.</v>
          </cell>
          <cell r="D7120">
            <v>0</v>
          </cell>
          <cell r="E7120">
            <v>0</v>
          </cell>
          <cell r="F7120">
            <v>0</v>
          </cell>
          <cell r="G7120">
            <v>0</v>
          </cell>
        </row>
        <row r="7121">
          <cell r="A7121" t="str">
            <v>55-05-50-0011</v>
          </cell>
          <cell r="B7121">
            <v>0</v>
          </cell>
          <cell r="C7121" t="str">
            <v xml:space="preserve">  BHATTI COTTON LINKS</v>
          </cell>
          <cell r="D7121">
            <v>0</v>
          </cell>
          <cell r="E7121">
            <v>0</v>
          </cell>
          <cell r="F7121">
            <v>0</v>
          </cell>
          <cell r="G7121">
            <v>0</v>
          </cell>
        </row>
        <row r="7122">
          <cell r="A7122" t="str">
            <v>55-05-50-0012</v>
          </cell>
          <cell r="B7122">
            <v>0</v>
          </cell>
          <cell r="C7122" t="str">
            <v xml:space="preserve">  GOLDEN COTTON WASTE FACTORY</v>
          </cell>
          <cell r="D7122">
            <v>0</v>
          </cell>
          <cell r="E7122">
            <v>0</v>
          </cell>
          <cell r="F7122">
            <v>0</v>
          </cell>
          <cell r="G7122">
            <v>0</v>
          </cell>
        </row>
        <row r="7123">
          <cell r="A7123" t="str">
            <v>55-05-50-0013</v>
          </cell>
          <cell r="B7123">
            <v>0</v>
          </cell>
          <cell r="C7123" t="str">
            <v xml:space="preserve">  SUFI TEXTILE MILLS</v>
          </cell>
          <cell r="D7123">
            <v>0</v>
          </cell>
          <cell r="E7123">
            <v>0</v>
          </cell>
          <cell r="F7123">
            <v>0</v>
          </cell>
          <cell r="G7123">
            <v>0</v>
          </cell>
        </row>
        <row r="7124">
          <cell r="A7124" t="str">
            <v>55-05-50-0014</v>
          </cell>
          <cell r="B7124">
            <v>0</v>
          </cell>
          <cell r="C7124" t="str">
            <v xml:space="preserve">  HAMADI CHACHA CORPORATION</v>
          </cell>
          <cell r="D7124">
            <v>0</v>
          </cell>
          <cell r="E7124">
            <v>0</v>
          </cell>
          <cell r="F7124">
            <v>0</v>
          </cell>
          <cell r="G7124">
            <v>0</v>
          </cell>
        </row>
        <row r="7125">
          <cell r="A7125" t="str">
            <v>55-05-50-0015</v>
          </cell>
          <cell r="B7125">
            <v>0</v>
          </cell>
          <cell r="C7125" t="str">
            <v xml:space="preserve">  MUHAMMAD UMER COTTON WASTE FACTORY</v>
          </cell>
          <cell r="D7125">
            <v>0</v>
          </cell>
          <cell r="E7125">
            <v>0</v>
          </cell>
          <cell r="F7125">
            <v>0</v>
          </cell>
          <cell r="G7125">
            <v>0</v>
          </cell>
        </row>
        <row r="7126">
          <cell r="A7126" t="str">
            <v>55-05-50-0016</v>
          </cell>
          <cell r="B7126">
            <v>0</v>
          </cell>
          <cell r="C7126" t="str">
            <v xml:space="preserve">  M.ASGHAR COTTON INDUSTRIES LIMITED</v>
          </cell>
          <cell r="D7126">
            <v>0</v>
          </cell>
          <cell r="E7126">
            <v>0</v>
          </cell>
          <cell r="F7126">
            <v>0</v>
          </cell>
          <cell r="G7126">
            <v>0</v>
          </cell>
        </row>
        <row r="7127">
          <cell r="A7127" t="str">
            <v>55-05-50-0017</v>
          </cell>
          <cell r="B7127">
            <v>0</v>
          </cell>
          <cell r="C7127" t="str">
            <v xml:space="preserve">  YAN TEXTILE INDUSTRIES (PVT) LIMITED</v>
          </cell>
          <cell r="D7127">
            <v>0</v>
          </cell>
          <cell r="E7127">
            <v>0</v>
          </cell>
          <cell r="F7127">
            <v>0</v>
          </cell>
          <cell r="G7127">
            <v>0</v>
          </cell>
        </row>
        <row r="7128">
          <cell r="A7128" t="str">
            <v>55-05-50-0018</v>
          </cell>
          <cell r="B7128">
            <v>0</v>
          </cell>
          <cell r="C7128" t="str">
            <v xml:space="preserve">  SHAMA COTTON YARN COMPANY</v>
          </cell>
          <cell r="D7128">
            <v>0</v>
          </cell>
          <cell r="E7128">
            <v>0</v>
          </cell>
          <cell r="F7128">
            <v>0</v>
          </cell>
          <cell r="G7128">
            <v>0</v>
          </cell>
        </row>
        <row r="7129">
          <cell r="A7129" t="str">
            <v>55-05-50-0019</v>
          </cell>
          <cell r="B7129">
            <v>0</v>
          </cell>
          <cell r="C7129" t="str">
            <v xml:space="preserve">  ELLAHI TRADERS</v>
          </cell>
          <cell r="D7129">
            <v>0</v>
          </cell>
          <cell r="E7129">
            <v>0</v>
          </cell>
          <cell r="F7129">
            <v>0</v>
          </cell>
          <cell r="G7129">
            <v>0</v>
          </cell>
        </row>
        <row r="7130">
          <cell r="A7130" t="str">
            <v>55-05-53</v>
          </cell>
          <cell r="B7130">
            <v>0</v>
          </cell>
          <cell r="C7130" t="str">
            <v>***IMTIAZ TEXTILE MILLS</v>
          </cell>
          <cell r="D7130">
            <v>0</v>
          </cell>
          <cell r="E7130">
            <v>19455</v>
          </cell>
          <cell r="F7130">
            <v>0</v>
          </cell>
          <cell r="G7130">
            <v>19455</v>
          </cell>
        </row>
        <row r="7131">
          <cell r="A7131" t="str">
            <v>55-05-53-0001</v>
          </cell>
          <cell r="B7131">
            <v>19455</v>
          </cell>
          <cell r="C7131" t="str">
            <v xml:space="preserve">  IMTIAZ TEXITLE MILLS</v>
          </cell>
          <cell r="D7131">
            <v>0</v>
          </cell>
          <cell r="E7131">
            <v>0</v>
          </cell>
          <cell r="F7131">
            <v>0</v>
          </cell>
          <cell r="G7131">
            <v>0</v>
          </cell>
        </row>
        <row r="7132">
          <cell r="A7132" t="str">
            <v>55-05-53-0002</v>
          </cell>
          <cell r="B7132">
            <v>0</v>
          </cell>
          <cell r="C7132" t="str">
            <v xml:space="preserve">  MOHAMMAD ANWAR AND BROTHERS</v>
          </cell>
          <cell r="D7132">
            <v>0</v>
          </cell>
          <cell r="E7132">
            <v>0</v>
          </cell>
          <cell r="F7132">
            <v>0</v>
          </cell>
          <cell r="G7132">
            <v>0</v>
          </cell>
        </row>
        <row r="7133">
          <cell r="A7133" t="str">
            <v>55-05-53-0003</v>
          </cell>
          <cell r="B7133">
            <v>0</v>
          </cell>
          <cell r="C7133" t="str">
            <v xml:space="preserve">  ASHRAF TEXTILES</v>
          </cell>
          <cell r="D7133">
            <v>0</v>
          </cell>
          <cell r="E7133">
            <v>0</v>
          </cell>
          <cell r="F7133">
            <v>0</v>
          </cell>
          <cell r="G7133">
            <v>0</v>
          </cell>
        </row>
        <row r="7134">
          <cell r="A7134" t="str">
            <v>55-05-53-0004</v>
          </cell>
          <cell r="B7134">
            <v>0</v>
          </cell>
          <cell r="C7134" t="str">
            <v xml:space="preserve">  M.ASGHAR COTTON INDUSTRIES LIMITED</v>
          </cell>
          <cell r="D7134">
            <v>0</v>
          </cell>
          <cell r="E7134">
            <v>0</v>
          </cell>
          <cell r="F7134">
            <v>0</v>
          </cell>
          <cell r="G7134">
            <v>0</v>
          </cell>
        </row>
        <row r="7135">
          <cell r="A7135" t="str">
            <v>55-05-53-0005</v>
          </cell>
          <cell r="B7135">
            <v>0</v>
          </cell>
          <cell r="C7135" t="str">
            <v xml:space="preserve">  BADAR SPINNING MILLS</v>
          </cell>
          <cell r="D7135">
            <v>0</v>
          </cell>
          <cell r="E7135">
            <v>0</v>
          </cell>
          <cell r="F7135">
            <v>0</v>
          </cell>
          <cell r="G7135">
            <v>0</v>
          </cell>
        </row>
        <row r="7136">
          <cell r="A7136" t="str">
            <v>55-05-53-0006</v>
          </cell>
          <cell r="B7136">
            <v>0</v>
          </cell>
          <cell r="C7136" t="str">
            <v xml:space="preserve">  WISAL KAMAL FABRICS</v>
          </cell>
          <cell r="D7136">
            <v>0</v>
          </cell>
          <cell r="E7136">
            <v>0</v>
          </cell>
          <cell r="F7136">
            <v>0</v>
          </cell>
          <cell r="G7136">
            <v>0</v>
          </cell>
        </row>
        <row r="7137">
          <cell r="A7137" t="str">
            <v>55-05-53-0007</v>
          </cell>
          <cell r="B7137">
            <v>0</v>
          </cell>
          <cell r="C7137" t="str">
            <v xml:space="preserve">  AL-MADINA SPINNING (PVT) LTD.</v>
          </cell>
          <cell r="D7137">
            <v>0</v>
          </cell>
          <cell r="E7137">
            <v>0</v>
          </cell>
          <cell r="F7137">
            <v>0</v>
          </cell>
          <cell r="G7137">
            <v>0</v>
          </cell>
        </row>
        <row r="7138">
          <cell r="A7138" t="str">
            <v>55-05-53-0008</v>
          </cell>
          <cell r="B7138">
            <v>0</v>
          </cell>
          <cell r="C7138" t="str">
            <v xml:space="preserve">  ELAHI TEXTILE PRODUCTS</v>
          </cell>
          <cell r="D7138">
            <v>0</v>
          </cell>
          <cell r="E7138">
            <v>0</v>
          </cell>
          <cell r="F7138">
            <v>0</v>
          </cell>
          <cell r="G7138">
            <v>0</v>
          </cell>
        </row>
        <row r="7139">
          <cell r="A7139" t="str">
            <v>55-05-53-0009</v>
          </cell>
          <cell r="B7139">
            <v>0</v>
          </cell>
          <cell r="C7139" t="str">
            <v xml:space="preserve">  BASHARAT SALEEM &amp; COMPANY</v>
          </cell>
          <cell r="D7139">
            <v>0</v>
          </cell>
          <cell r="E7139">
            <v>0</v>
          </cell>
          <cell r="F7139">
            <v>0</v>
          </cell>
          <cell r="G7139">
            <v>0</v>
          </cell>
        </row>
        <row r="7140">
          <cell r="A7140" t="str">
            <v>55-05-53-0010</v>
          </cell>
          <cell r="B7140">
            <v>0</v>
          </cell>
          <cell r="C7140" t="str">
            <v xml:space="preserve">  AL-HAMD SPINNING (PVT) LTD.</v>
          </cell>
          <cell r="D7140">
            <v>0</v>
          </cell>
          <cell r="E7140">
            <v>12980</v>
          </cell>
          <cell r="F7140">
            <v>0</v>
          </cell>
          <cell r="G7140">
            <v>0</v>
          </cell>
        </row>
        <row r="7141">
          <cell r="A7141" t="str">
            <v>55-05-53-0011</v>
          </cell>
          <cell r="B7141">
            <v>0</v>
          </cell>
          <cell r="C7141" t="str">
            <v xml:space="preserve">  TARIQ SPINNING</v>
          </cell>
          <cell r="D7141">
            <v>0</v>
          </cell>
          <cell r="E7141">
            <v>0</v>
          </cell>
          <cell r="F7141">
            <v>0</v>
          </cell>
          <cell r="G7141">
            <v>0</v>
          </cell>
        </row>
        <row r="7142">
          <cell r="A7142" t="str">
            <v>55-05-53-0012</v>
          </cell>
          <cell r="B7142">
            <v>0</v>
          </cell>
          <cell r="C7142" t="str">
            <v xml:space="preserve">  MEEZAN TEXTILE INDUSTRIES</v>
          </cell>
          <cell r="D7142">
            <v>0</v>
          </cell>
          <cell r="E7142">
            <v>0</v>
          </cell>
          <cell r="F7142">
            <v>0</v>
          </cell>
          <cell r="G7142">
            <v>0</v>
          </cell>
        </row>
        <row r="7143">
          <cell r="A7143" t="str">
            <v>55-05-53-0013</v>
          </cell>
          <cell r="B7143">
            <v>0</v>
          </cell>
          <cell r="C7143" t="str">
            <v xml:space="preserve">  J.K COTTON WASTE FACTORY</v>
          </cell>
          <cell r="D7143">
            <v>0</v>
          </cell>
          <cell r="E7143">
            <v>0</v>
          </cell>
          <cell r="F7143">
            <v>0</v>
          </cell>
          <cell r="G7143">
            <v>0</v>
          </cell>
        </row>
        <row r="7144">
          <cell r="A7144" t="str">
            <v>55-05-53-0014</v>
          </cell>
          <cell r="B7144">
            <v>0</v>
          </cell>
          <cell r="C7144" t="str">
            <v xml:space="preserve">  ANEES TEXTILE MILLS</v>
          </cell>
          <cell r="D7144">
            <v>0</v>
          </cell>
          <cell r="E7144">
            <v>6475</v>
          </cell>
          <cell r="F7144">
            <v>0</v>
          </cell>
          <cell r="G7144">
            <v>0</v>
          </cell>
        </row>
        <row r="7145">
          <cell r="A7145" t="str">
            <v>55-05-53-0015</v>
          </cell>
          <cell r="B7145">
            <v>0</v>
          </cell>
          <cell r="C7145" t="str">
            <v xml:space="preserve">  SHOAIB SALMAN TEXTILE MILLS</v>
          </cell>
          <cell r="D7145">
            <v>0</v>
          </cell>
          <cell r="E7145">
            <v>0</v>
          </cell>
          <cell r="F7145">
            <v>0</v>
          </cell>
          <cell r="G7145">
            <v>0</v>
          </cell>
        </row>
        <row r="7146">
          <cell r="A7146" t="str">
            <v>55-05-53-0016</v>
          </cell>
          <cell r="B7146">
            <v>0</v>
          </cell>
          <cell r="C7146" t="str">
            <v xml:space="preserve">  ATARA TARPAULINES &amp; TEXTILES</v>
          </cell>
          <cell r="D7146">
            <v>0</v>
          </cell>
          <cell r="E7146">
            <v>0</v>
          </cell>
          <cell r="F7146">
            <v>0</v>
          </cell>
          <cell r="G7146">
            <v>0</v>
          </cell>
        </row>
        <row r="7147">
          <cell r="A7147" t="str">
            <v>55-05-53-0017</v>
          </cell>
          <cell r="B7147">
            <v>0</v>
          </cell>
          <cell r="C7147" t="str">
            <v xml:space="preserve">  SHAH COTTON WASTE PROCESSING INDUSTRIE</v>
          </cell>
          <cell r="D7147">
            <v>0</v>
          </cell>
          <cell r="E7147">
            <v>0</v>
          </cell>
          <cell r="F7147">
            <v>0</v>
          </cell>
          <cell r="G7147">
            <v>0</v>
          </cell>
        </row>
        <row r="7148">
          <cell r="A7148" t="str">
            <v>55-05-53-0018</v>
          </cell>
          <cell r="B7148">
            <v>0</v>
          </cell>
          <cell r="C7148" t="str">
            <v xml:space="preserve">  NAZEER AHMED COTTON WASTE FACTORY</v>
          </cell>
          <cell r="D7148">
            <v>0</v>
          </cell>
          <cell r="E7148">
            <v>0</v>
          </cell>
          <cell r="F7148">
            <v>0</v>
          </cell>
          <cell r="G7148">
            <v>0</v>
          </cell>
        </row>
        <row r="7149">
          <cell r="A7149" t="str">
            <v>55-05-53-0019</v>
          </cell>
          <cell r="B7149">
            <v>0</v>
          </cell>
          <cell r="C7149" t="str">
            <v xml:space="preserve">  HAJI MOHAMMAD ISMAIL MILLS LTD.</v>
          </cell>
          <cell r="D7149">
            <v>0</v>
          </cell>
          <cell r="E7149">
            <v>0</v>
          </cell>
          <cell r="F7149">
            <v>0</v>
          </cell>
          <cell r="G7149">
            <v>0</v>
          </cell>
        </row>
        <row r="7150">
          <cell r="A7150" t="str">
            <v>55-05-54</v>
          </cell>
          <cell r="B7150">
            <v>0</v>
          </cell>
          <cell r="C7150" t="str">
            <v>***RAINBOW INDUSTRIES FAISALABAD</v>
          </cell>
          <cell r="D7150">
            <v>0</v>
          </cell>
          <cell r="E7150">
            <v>0</v>
          </cell>
          <cell r="F7150">
            <v>0</v>
          </cell>
          <cell r="G7150">
            <v>0</v>
          </cell>
        </row>
        <row r="7151">
          <cell r="A7151" t="str">
            <v>55-05-54-0001</v>
          </cell>
          <cell r="B7151">
            <v>0</v>
          </cell>
          <cell r="C7151" t="str">
            <v xml:space="preserve">  RAINBOW INDUSTRIES FAISALABAD</v>
          </cell>
          <cell r="D7151">
            <v>0</v>
          </cell>
          <cell r="E7151">
            <v>0</v>
          </cell>
          <cell r="F7151">
            <v>0</v>
          </cell>
          <cell r="G7151">
            <v>0</v>
          </cell>
        </row>
        <row r="7152">
          <cell r="A7152" t="str">
            <v>55-05-54-0002</v>
          </cell>
          <cell r="B7152">
            <v>0</v>
          </cell>
          <cell r="C7152" t="str">
            <v xml:space="preserve">  SHOAIB SALMAN TEXTILE MILLS</v>
          </cell>
          <cell r="D7152">
            <v>0</v>
          </cell>
          <cell r="E7152">
            <v>0</v>
          </cell>
          <cell r="F7152">
            <v>0</v>
          </cell>
          <cell r="G7152">
            <v>0</v>
          </cell>
        </row>
        <row r="7153">
          <cell r="A7153" t="str">
            <v>55-05-54-0003</v>
          </cell>
          <cell r="B7153">
            <v>0</v>
          </cell>
          <cell r="C7153" t="str">
            <v xml:space="preserve">  AL-HAMD SPINNING (PVT) LTD.</v>
          </cell>
          <cell r="D7153">
            <v>0</v>
          </cell>
          <cell r="E7153">
            <v>0</v>
          </cell>
          <cell r="F7153">
            <v>0</v>
          </cell>
          <cell r="G7153">
            <v>0</v>
          </cell>
        </row>
        <row r="7154">
          <cell r="A7154" t="str">
            <v>55-05-54-0004</v>
          </cell>
          <cell r="B7154">
            <v>0</v>
          </cell>
          <cell r="C7154" t="str">
            <v xml:space="preserve">  AL-HAMED COTTON WASTE FACTORY</v>
          </cell>
          <cell r="D7154">
            <v>0</v>
          </cell>
          <cell r="E7154">
            <v>0</v>
          </cell>
          <cell r="F7154">
            <v>0</v>
          </cell>
          <cell r="G7154">
            <v>0</v>
          </cell>
        </row>
        <row r="7155">
          <cell r="A7155" t="str">
            <v>55-05-54-0005</v>
          </cell>
          <cell r="B7155">
            <v>0</v>
          </cell>
          <cell r="C7155" t="str">
            <v xml:space="preserve">  MUHAMMAD ANWAR &amp; BROTHERS</v>
          </cell>
          <cell r="D7155">
            <v>0</v>
          </cell>
          <cell r="E7155">
            <v>0</v>
          </cell>
          <cell r="F7155">
            <v>0</v>
          </cell>
          <cell r="G7155">
            <v>0</v>
          </cell>
        </row>
        <row r="7156">
          <cell r="A7156" t="str">
            <v>55-05-54-0006</v>
          </cell>
          <cell r="B7156">
            <v>0</v>
          </cell>
          <cell r="C7156" t="str">
            <v xml:space="preserve">  TRITEX COTTON MILLS LIMITED</v>
          </cell>
          <cell r="D7156">
            <v>0</v>
          </cell>
          <cell r="E7156">
            <v>0</v>
          </cell>
          <cell r="F7156">
            <v>0</v>
          </cell>
          <cell r="G7156">
            <v>0</v>
          </cell>
        </row>
        <row r="7157">
          <cell r="A7157" t="str">
            <v>55-05-55</v>
          </cell>
          <cell r="B7157">
            <v>0</v>
          </cell>
          <cell r="C7157" t="str">
            <v>***TANVEER AHMED</v>
          </cell>
          <cell r="D7157">
            <v>0</v>
          </cell>
          <cell r="E7157">
            <v>0</v>
          </cell>
          <cell r="F7157">
            <v>0</v>
          </cell>
          <cell r="G7157">
            <v>0</v>
          </cell>
        </row>
        <row r="7158">
          <cell r="A7158" t="str">
            <v>55-05-55-0001</v>
          </cell>
          <cell r="B7158">
            <v>0</v>
          </cell>
          <cell r="C7158" t="str">
            <v xml:space="preserve">  PAUL CORPORATION (PVT) LIMITED</v>
          </cell>
          <cell r="D7158">
            <v>0</v>
          </cell>
          <cell r="E7158">
            <v>0</v>
          </cell>
          <cell r="F7158">
            <v>0</v>
          </cell>
          <cell r="G7158">
            <v>0</v>
          </cell>
        </row>
        <row r="7159">
          <cell r="A7159" t="str">
            <v>55-05-61</v>
          </cell>
          <cell r="B7159">
            <v>0</v>
          </cell>
          <cell r="C7159" t="str">
            <v>***UNI PAK</v>
          </cell>
          <cell r="D7159">
            <v>0</v>
          </cell>
          <cell r="E7159">
            <v>0</v>
          </cell>
          <cell r="F7159">
            <v>0</v>
          </cell>
          <cell r="G7159">
            <v>0</v>
          </cell>
        </row>
        <row r="7160">
          <cell r="A7160" t="str">
            <v>55-05-61-0001</v>
          </cell>
          <cell r="B7160">
            <v>0</v>
          </cell>
          <cell r="C7160" t="str">
            <v xml:space="preserve">  UNI PAK</v>
          </cell>
          <cell r="D7160">
            <v>0</v>
          </cell>
          <cell r="E7160">
            <v>0</v>
          </cell>
          <cell r="F7160">
            <v>0</v>
          </cell>
          <cell r="G7160">
            <v>0</v>
          </cell>
        </row>
        <row r="7161">
          <cell r="A7161" t="str">
            <v>55-05-61-0002</v>
          </cell>
          <cell r="B7161">
            <v>0</v>
          </cell>
          <cell r="C7161" t="str">
            <v xml:space="preserve">  CARE DISTRIBUTION SYSTEM (PVT) LTD</v>
          </cell>
          <cell r="D7161">
            <v>0</v>
          </cell>
          <cell r="E7161">
            <v>0</v>
          </cell>
          <cell r="F7161">
            <v>0</v>
          </cell>
          <cell r="G7161">
            <v>0</v>
          </cell>
        </row>
        <row r="7162">
          <cell r="A7162" t="str">
            <v>55-05-61-0003</v>
          </cell>
          <cell r="B7162">
            <v>0</v>
          </cell>
          <cell r="C7162" t="str">
            <v xml:space="preserve">  S. FAZAL ELLAHI AND SONS</v>
          </cell>
          <cell r="D7162">
            <v>0</v>
          </cell>
          <cell r="E7162">
            <v>0</v>
          </cell>
          <cell r="F7162">
            <v>0</v>
          </cell>
          <cell r="G7162">
            <v>0</v>
          </cell>
        </row>
        <row r="7163">
          <cell r="A7163" t="str">
            <v>55-05-61-0004</v>
          </cell>
          <cell r="B7163">
            <v>0</v>
          </cell>
          <cell r="C7163" t="str">
            <v xml:space="preserve">  QUETTA TEXTILE MILLS LIMITED</v>
          </cell>
          <cell r="D7163">
            <v>0</v>
          </cell>
          <cell r="E7163">
            <v>0</v>
          </cell>
          <cell r="F7163">
            <v>0</v>
          </cell>
          <cell r="G7163">
            <v>0</v>
          </cell>
        </row>
        <row r="7164">
          <cell r="A7164" t="str">
            <v>55-05-61-0005</v>
          </cell>
          <cell r="B7164">
            <v>0</v>
          </cell>
          <cell r="C7164" t="str">
            <v xml:space="preserve">  FAITH INTERNATIONAL</v>
          </cell>
          <cell r="D7164">
            <v>0</v>
          </cell>
          <cell r="E7164">
            <v>0</v>
          </cell>
          <cell r="F7164">
            <v>0</v>
          </cell>
          <cell r="G7164">
            <v>0</v>
          </cell>
        </row>
        <row r="7165">
          <cell r="A7165" t="str">
            <v>55-05-61-0006</v>
          </cell>
          <cell r="B7165">
            <v>0</v>
          </cell>
          <cell r="C7165" t="str">
            <v xml:space="preserve">  SONIJA TEXTILE MILLS</v>
          </cell>
          <cell r="D7165">
            <v>0</v>
          </cell>
          <cell r="E7165">
            <v>0</v>
          </cell>
          <cell r="F7165">
            <v>0</v>
          </cell>
          <cell r="G7165">
            <v>0</v>
          </cell>
        </row>
        <row r="7166">
          <cell r="A7166" t="str">
            <v>55-05-61-0007</v>
          </cell>
          <cell r="B7166">
            <v>0</v>
          </cell>
          <cell r="C7166" t="str">
            <v xml:space="preserve">  NATIONAL ABSORBENT COTTON MILLS CO.</v>
          </cell>
          <cell r="D7166">
            <v>0</v>
          </cell>
          <cell r="E7166">
            <v>0</v>
          </cell>
          <cell r="F7166">
            <v>0</v>
          </cell>
          <cell r="G7166">
            <v>0</v>
          </cell>
        </row>
        <row r="7167">
          <cell r="A7167" t="str">
            <v>55-05-61-0008</v>
          </cell>
          <cell r="B7167">
            <v>0</v>
          </cell>
          <cell r="C7167" t="str">
            <v xml:space="preserve">  MEAZAN INDUSTRIES (PVT) LTD.,</v>
          </cell>
          <cell r="D7167">
            <v>0</v>
          </cell>
          <cell r="E7167">
            <v>0</v>
          </cell>
          <cell r="F7167">
            <v>0</v>
          </cell>
          <cell r="G7167">
            <v>0</v>
          </cell>
        </row>
        <row r="7168">
          <cell r="A7168" t="str">
            <v>55-05-66</v>
          </cell>
          <cell r="B7168">
            <v>0</v>
          </cell>
          <cell r="C7168" t="str">
            <v>***MEAZAN INDUSTRIES (PVT) LTD.</v>
          </cell>
          <cell r="D7168">
            <v>0</v>
          </cell>
          <cell r="E7168">
            <v>0</v>
          </cell>
          <cell r="F7168">
            <v>0</v>
          </cell>
          <cell r="G7168">
            <v>0</v>
          </cell>
        </row>
        <row r="7169">
          <cell r="A7169" t="str">
            <v>55-05-66-0001</v>
          </cell>
          <cell r="B7169">
            <v>0</v>
          </cell>
          <cell r="C7169" t="str">
            <v xml:space="preserve">  MEAZAN INDUSTRIES (PVT) LTD.</v>
          </cell>
          <cell r="D7169">
            <v>0</v>
          </cell>
          <cell r="E7169">
            <v>0</v>
          </cell>
          <cell r="F7169">
            <v>0</v>
          </cell>
          <cell r="G7169">
            <v>0</v>
          </cell>
        </row>
        <row r="7170">
          <cell r="A7170" t="str">
            <v>55-05-70</v>
          </cell>
          <cell r="B7170">
            <v>0</v>
          </cell>
          <cell r="C7170" t="str">
            <v>***MARSHAL TRADERS</v>
          </cell>
          <cell r="D7170">
            <v>0</v>
          </cell>
          <cell r="E7170">
            <v>0</v>
          </cell>
          <cell r="F7170">
            <v>0</v>
          </cell>
          <cell r="G7170">
            <v>0</v>
          </cell>
        </row>
        <row r="7171">
          <cell r="A7171" t="str">
            <v>55-05-70-0001</v>
          </cell>
          <cell r="B7171">
            <v>0</v>
          </cell>
          <cell r="C7171" t="str">
            <v xml:space="preserve">  MARSHAL TRADERS COTTON WASTE</v>
          </cell>
          <cell r="D7171">
            <v>0</v>
          </cell>
          <cell r="E7171">
            <v>0</v>
          </cell>
          <cell r="F7171">
            <v>0</v>
          </cell>
          <cell r="G7171">
            <v>0</v>
          </cell>
        </row>
        <row r="7172">
          <cell r="A7172" t="str">
            <v>55-05-87</v>
          </cell>
          <cell r="B7172">
            <v>0</v>
          </cell>
          <cell r="C7172" t="str">
            <v>***DOST SONS COTTON MILLS (PVT) LTD.</v>
          </cell>
          <cell r="D7172">
            <v>0</v>
          </cell>
          <cell r="E7172">
            <v>0</v>
          </cell>
          <cell r="F7172">
            <v>0</v>
          </cell>
          <cell r="G7172">
            <v>0</v>
          </cell>
        </row>
        <row r="7173">
          <cell r="A7173" t="str">
            <v>55-05-87-0001</v>
          </cell>
          <cell r="B7173">
            <v>0</v>
          </cell>
          <cell r="C7173" t="str">
            <v xml:space="preserve">  DOST SONS COTTON MILLS (PVT) LTD.</v>
          </cell>
          <cell r="D7173">
            <v>0</v>
          </cell>
          <cell r="E7173">
            <v>0</v>
          </cell>
          <cell r="F7173">
            <v>0</v>
          </cell>
          <cell r="G7173">
            <v>0</v>
          </cell>
        </row>
        <row r="7174">
          <cell r="A7174" t="str">
            <v>55-05-98</v>
          </cell>
          <cell r="B7174">
            <v>0</v>
          </cell>
          <cell r="C7174" t="str">
            <v>***JAMIL WASTE BROKER</v>
          </cell>
          <cell r="D7174">
            <v>0</v>
          </cell>
          <cell r="E7174">
            <v>3719</v>
          </cell>
          <cell r="F7174">
            <v>0</v>
          </cell>
          <cell r="G7174">
            <v>3719</v>
          </cell>
        </row>
        <row r="7175">
          <cell r="A7175" t="str">
            <v>55-05-98-0124</v>
          </cell>
          <cell r="B7175">
            <v>3719</v>
          </cell>
          <cell r="C7175" t="str">
            <v xml:space="preserve">  STAR COTTON CORPORATION (PVT) LTD</v>
          </cell>
          <cell r="D7175">
            <v>0</v>
          </cell>
          <cell r="E7175">
            <v>3719</v>
          </cell>
          <cell r="F7175">
            <v>0</v>
          </cell>
          <cell r="G7175">
            <v>0</v>
          </cell>
        </row>
        <row r="7176">
          <cell r="A7176" t="str">
            <v>55-05-99</v>
          </cell>
          <cell r="B7176">
            <v>0</v>
          </cell>
          <cell r="C7176" t="str">
            <v>***</v>
          </cell>
          <cell r="D7176">
            <v>0</v>
          </cell>
          <cell r="E7176">
            <v>0</v>
          </cell>
          <cell r="F7176">
            <v>0</v>
          </cell>
          <cell r="G7176">
            <v>0</v>
          </cell>
        </row>
        <row r="7177">
          <cell r="A7177" t="str">
            <v>55-05-99-0001</v>
          </cell>
          <cell r="B7177">
            <v>0</v>
          </cell>
          <cell r="C7177" t="str">
            <v xml:space="preserve">  TALIB HUSSAIN WASTE DEALER FAISALABAD</v>
          </cell>
          <cell r="D7177">
            <v>0</v>
          </cell>
          <cell r="E7177">
            <v>0</v>
          </cell>
          <cell r="F7177">
            <v>0</v>
          </cell>
          <cell r="G7177">
            <v>0</v>
          </cell>
        </row>
        <row r="7178">
          <cell r="A7178" t="str">
            <v>55-05-99-0002</v>
          </cell>
          <cell r="B7178">
            <v>0</v>
          </cell>
          <cell r="C7178" t="str">
            <v xml:space="preserve">  MUHAMMAD ISMAIL TRADERS</v>
          </cell>
          <cell r="D7178">
            <v>0</v>
          </cell>
          <cell r="E7178">
            <v>0</v>
          </cell>
          <cell r="F7178">
            <v>0</v>
          </cell>
          <cell r="G7178">
            <v>0</v>
          </cell>
        </row>
        <row r="7179">
          <cell r="A7179" t="str">
            <v>55-05-99-0006</v>
          </cell>
          <cell r="B7179">
            <v>0</v>
          </cell>
          <cell r="C7179" t="str">
            <v xml:space="preserve">  A ONE SPINNING MILLS.</v>
          </cell>
          <cell r="D7179">
            <v>0</v>
          </cell>
          <cell r="E7179">
            <v>0</v>
          </cell>
          <cell r="F7179">
            <v>0</v>
          </cell>
          <cell r="G7179">
            <v>0</v>
          </cell>
        </row>
        <row r="7180">
          <cell r="A7180" t="str">
            <v>55-05-99-0007</v>
          </cell>
          <cell r="B7180">
            <v>0</v>
          </cell>
          <cell r="C7180" t="str">
            <v xml:space="preserve">  PAUL CORPORATION (PVT) LIMITED</v>
          </cell>
          <cell r="D7180">
            <v>0</v>
          </cell>
          <cell r="E7180">
            <v>0</v>
          </cell>
          <cell r="F7180">
            <v>0</v>
          </cell>
          <cell r="G7180">
            <v>0</v>
          </cell>
        </row>
        <row r="7181">
          <cell r="A7181" t="str">
            <v>55-05-99-0010</v>
          </cell>
          <cell r="B7181">
            <v>0</v>
          </cell>
          <cell r="C7181" t="str">
            <v xml:space="preserve">  SHAMA COTTON YARN COMPANY</v>
          </cell>
          <cell r="D7181">
            <v>0</v>
          </cell>
          <cell r="E7181">
            <v>0</v>
          </cell>
          <cell r="F7181">
            <v>0</v>
          </cell>
          <cell r="G7181">
            <v>0</v>
          </cell>
        </row>
        <row r="7182">
          <cell r="A7182" t="str">
            <v>55-05-99-0011</v>
          </cell>
          <cell r="B7182">
            <v>0</v>
          </cell>
          <cell r="C7182" t="str">
            <v xml:space="preserve">  HASSAN TRADERS</v>
          </cell>
          <cell r="D7182">
            <v>0</v>
          </cell>
          <cell r="E7182">
            <v>0</v>
          </cell>
          <cell r="F7182">
            <v>0</v>
          </cell>
          <cell r="G7182">
            <v>0</v>
          </cell>
        </row>
        <row r="7183">
          <cell r="A7183" t="str">
            <v>55-05-99-0013</v>
          </cell>
          <cell r="B7183">
            <v>0</v>
          </cell>
          <cell r="C7183" t="str">
            <v xml:space="preserve">  A.A.INTERNATIONAL</v>
          </cell>
          <cell r="D7183">
            <v>0</v>
          </cell>
          <cell r="E7183">
            <v>0</v>
          </cell>
          <cell r="F7183">
            <v>0</v>
          </cell>
          <cell r="G7183">
            <v>0</v>
          </cell>
        </row>
        <row r="7184">
          <cell r="A7184" t="str">
            <v>55-05-99-0016</v>
          </cell>
          <cell r="B7184">
            <v>0</v>
          </cell>
          <cell r="C7184" t="str">
            <v xml:space="preserve">  S.Q TEXTILE MILLS</v>
          </cell>
          <cell r="D7184">
            <v>0</v>
          </cell>
          <cell r="E7184">
            <v>0</v>
          </cell>
          <cell r="F7184">
            <v>0</v>
          </cell>
          <cell r="G7184">
            <v>0</v>
          </cell>
        </row>
        <row r="7185">
          <cell r="A7185" t="str">
            <v>55-05-99-0017</v>
          </cell>
          <cell r="B7185">
            <v>0</v>
          </cell>
          <cell r="C7185" t="str">
            <v xml:space="preserve">  S.FAZAL ELLAHI &amp; SONS (PVT) LIMITED</v>
          </cell>
          <cell r="D7185">
            <v>0</v>
          </cell>
          <cell r="E7185">
            <v>0</v>
          </cell>
          <cell r="F7185">
            <v>0</v>
          </cell>
          <cell r="G7185">
            <v>0</v>
          </cell>
        </row>
        <row r="7186">
          <cell r="A7186" t="str">
            <v>55-05-99-0018</v>
          </cell>
          <cell r="B7186">
            <v>0</v>
          </cell>
          <cell r="C7186" t="str">
            <v xml:space="preserve">  SHAFI SPINNING MILLS</v>
          </cell>
          <cell r="D7186">
            <v>0</v>
          </cell>
          <cell r="E7186">
            <v>0</v>
          </cell>
          <cell r="F7186">
            <v>0</v>
          </cell>
          <cell r="G7186">
            <v>0</v>
          </cell>
        </row>
        <row r="7187">
          <cell r="A7187" t="str">
            <v>55-05-99-0019</v>
          </cell>
          <cell r="B7187">
            <v>0</v>
          </cell>
          <cell r="C7187" t="str">
            <v xml:space="preserve">  NASEEM SPINNING MILLS</v>
          </cell>
          <cell r="D7187">
            <v>0</v>
          </cell>
          <cell r="E7187">
            <v>0</v>
          </cell>
          <cell r="F7187">
            <v>0</v>
          </cell>
          <cell r="G7187">
            <v>0</v>
          </cell>
        </row>
        <row r="7188">
          <cell r="A7188" t="str">
            <v>55-05-99-0021</v>
          </cell>
          <cell r="B7188">
            <v>0</v>
          </cell>
          <cell r="C7188" t="str">
            <v xml:space="preserve">  M.I.TEXTILE MILLS</v>
          </cell>
          <cell r="D7188">
            <v>0</v>
          </cell>
          <cell r="E7188">
            <v>0</v>
          </cell>
          <cell r="F7188">
            <v>0</v>
          </cell>
          <cell r="G7188">
            <v>0</v>
          </cell>
        </row>
        <row r="7189">
          <cell r="A7189" t="str">
            <v>55-05-99-0022</v>
          </cell>
          <cell r="B7189">
            <v>0</v>
          </cell>
          <cell r="C7189" t="str">
            <v xml:space="preserve">  QADIR KOTEX</v>
          </cell>
          <cell r="D7189">
            <v>0</v>
          </cell>
          <cell r="E7189">
            <v>0</v>
          </cell>
          <cell r="F7189">
            <v>0</v>
          </cell>
          <cell r="G7189">
            <v>0</v>
          </cell>
        </row>
        <row r="7190">
          <cell r="A7190" t="str">
            <v>55-05-99-0032</v>
          </cell>
          <cell r="B7190">
            <v>0</v>
          </cell>
          <cell r="C7190" t="str">
            <v xml:space="preserve">  SARDAR PAPER CONE (PVT) LTD.</v>
          </cell>
          <cell r="D7190">
            <v>0</v>
          </cell>
          <cell r="E7190">
            <v>0</v>
          </cell>
          <cell r="F7190">
            <v>0</v>
          </cell>
          <cell r="G7190">
            <v>0</v>
          </cell>
        </row>
        <row r="7191">
          <cell r="A7191" t="str">
            <v>55-05-99-0039</v>
          </cell>
          <cell r="B7191">
            <v>0</v>
          </cell>
          <cell r="C7191" t="str">
            <v xml:space="preserve">  HI-TEC SPINNING MILLS</v>
          </cell>
          <cell r="D7191">
            <v>0</v>
          </cell>
          <cell r="E7191">
            <v>0</v>
          </cell>
          <cell r="F7191">
            <v>0</v>
          </cell>
          <cell r="G7191">
            <v>0</v>
          </cell>
        </row>
        <row r="7192">
          <cell r="A7192" t="str">
            <v>55-05-99-0061</v>
          </cell>
          <cell r="B7192">
            <v>0</v>
          </cell>
          <cell r="C7192" t="str">
            <v xml:space="preserve">  NEELUM TEXTILE MILLS (PVT) LIMITED</v>
          </cell>
          <cell r="D7192">
            <v>0</v>
          </cell>
          <cell r="E7192">
            <v>0</v>
          </cell>
          <cell r="F7192">
            <v>0</v>
          </cell>
          <cell r="G7192">
            <v>0</v>
          </cell>
        </row>
        <row r="7193">
          <cell r="A7193" t="str">
            <v>55-05-99-0063</v>
          </cell>
          <cell r="B7193">
            <v>0</v>
          </cell>
          <cell r="C7193" t="str">
            <v xml:space="preserve">  DIAMOND SAEED  &amp; COMPANY</v>
          </cell>
          <cell r="D7193">
            <v>0</v>
          </cell>
          <cell r="E7193">
            <v>0</v>
          </cell>
          <cell r="F7193">
            <v>0</v>
          </cell>
          <cell r="G7193">
            <v>0</v>
          </cell>
        </row>
        <row r="7194">
          <cell r="A7194" t="str">
            <v>55-05-99-0066</v>
          </cell>
          <cell r="B7194">
            <v>0</v>
          </cell>
          <cell r="C7194" t="str">
            <v xml:space="preserve">  STAR COTTON CORPORATION (PVT) LTD</v>
          </cell>
          <cell r="D7194">
            <v>0</v>
          </cell>
          <cell r="E7194">
            <v>0</v>
          </cell>
          <cell r="F7194">
            <v>0</v>
          </cell>
          <cell r="G7194">
            <v>0</v>
          </cell>
        </row>
        <row r="7195">
          <cell r="A7195" t="str">
            <v>55-05-99-0074</v>
          </cell>
          <cell r="B7195">
            <v>0</v>
          </cell>
          <cell r="C7195" t="str">
            <v xml:space="preserve">  BHATI COTTN LINKS</v>
          </cell>
          <cell r="D7195">
            <v>0</v>
          </cell>
          <cell r="E7195">
            <v>0</v>
          </cell>
          <cell r="F7195">
            <v>0</v>
          </cell>
          <cell r="G7195">
            <v>0</v>
          </cell>
        </row>
        <row r="7196">
          <cell r="A7196" t="str">
            <v>55-05-99-0076</v>
          </cell>
          <cell r="B7196">
            <v>0</v>
          </cell>
          <cell r="C7196" t="str">
            <v xml:space="preserve">  QAZI TEXTILE MILLS</v>
          </cell>
          <cell r="D7196">
            <v>0</v>
          </cell>
          <cell r="E7196">
            <v>0</v>
          </cell>
          <cell r="F7196">
            <v>0</v>
          </cell>
          <cell r="G7196">
            <v>0</v>
          </cell>
        </row>
        <row r="7197">
          <cell r="A7197" t="str">
            <v>55-05-99-0077</v>
          </cell>
          <cell r="B7197">
            <v>0</v>
          </cell>
          <cell r="C7197" t="str">
            <v xml:space="preserve">  MEEZAN TEXTILE INDUSTRIES</v>
          </cell>
          <cell r="D7197">
            <v>0</v>
          </cell>
          <cell r="E7197">
            <v>0</v>
          </cell>
          <cell r="F7197">
            <v>0</v>
          </cell>
          <cell r="G7197">
            <v>0</v>
          </cell>
        </row>
        <row r="7198">
          <cell r="A7198" t="str">
            <v>55-05-99-0080</v>
          </cell>
          <cell r="B7198">
            <v>0</v>
          </cell>
          <cell r="C7198" t="str">
            <v xml:space="preserve">  BHATTI COTTON WASTE FACTORY</v>
          </cell>
          <cell r="D7198">
            <v>0</v>
          </cell>
          <cell r="E7198">
            <v>0</v>
          </cell>
          <cell r="F7198">
            <v>0</v>
          </cell>
          <cell r="G7198">
            <v>0</v>
          </cell>
        </row>
        <row r="7199">
          <cell r="A7199" t="str">
            <v>55-05-99-0081</v>
          </cell>
          <cell r="B7199">
            <v>0</v>
          </cell>
          <cell r="C7199" t="str">
            <v xml:space="preserve">  BASHIR AHMED COTTON WASTE FACTORY</v>
          </cell>
          <cell r="D7199">
            <v>0</v>
          </cell>
          <cell r="E7199">
            <v>0</v>
          </cell>
          <cell r="F7199">
            <v>0</v>
          </cell>
          <cell r="G7199">
            <v>0</v>
          </cell>
        </row>
        <row r="7200">
          <cell r="A7200" t="str">
            <v>55-05-99-0082</v>
          </cell>
          <cell r="B7200">
            <v>0</v>
          </cell>
          <cell r="C7200" t="str">
            <v xml:space="preserve">  SADIA INDUSTRIES (PVT) LIMITED</v>
          </cell>
          <cell r="D7200">
            <v>0</v>
          </cell>
          <cell r="E7200">
            <v>0</v>
          </cell>
          <cell r="F7200">
            <v>0</v>
          </cell>
          <cell r="G7200">
            <v>0</v>
          </cell>
        </row>
        <row r="7201">
          <cell r="A7201" t="str">
            <v>55-05-99-0083</v>
          </cell>
          <cell r="B7201">
            <v>0</v>
          </cell>
          <cell r="C7201" t="str">
            <v xml:space="preserve">  TAHIR TRADERS</v>
          </cell>
          <cell r="D7201">
            <v>0</v>
          </cell>
          <cell r="E7201">
            <v>0</v>
          </cell>
          <cell r="F7201">
            <v>0</v>
          </cell>
          <cell r="G7201">
            <v>0</v>
          </cell>
        </row>
        <row r="7202">
          <cell r="A7202" t="str">
            <v>55-05-99-0084</v>
          </cell>
          <cell r="B7202">
            <v>0</v>
          </cell>
          <cell r="C7202" t="str">
            <v xml:space="preserve">  REHMAT WAZIR TEXTILE MILLS  LIMITED</v>
          </cell>
          <cell r="D7202">
            <v>0</v>
          </cell>
          <cell r="E7202">
            <v>0</v>
          </cell>
          <cell r="F7202">
            <v>0</v>
          </cell>
          <cell r="G7202">
            <v>0</v>
          </cell>
        </row>
        <row r="7203">
          <cell r="A7203" t="str">
            <v>55-05-99-0085</v>
          </cell>
          <cell r="B7203">
            <v>0</v>
          </cell>
          <cell r="C7203" t="str">
            <v xml:space="preserve">  LASANI COTTON WASTE MERCHANT</v>
          </cell>
          <cell r="D7203">
            <v>0</v>
          </cell>
          <cell r="E7203">
            <v>0</v>
          </cell>
          <cell r="F7203">
            <v>0</v>
          </cell>
          <cell r="G7203">
            <v>0</v>
          </cell>
        </row>
        <row r="7204">
          <cell r="A7204" t="str">
            <v>55-05-99-0086</v>
          </cell>
          <cell r="B7204">
            <v>0</v>
          </cell>
          <cell r="C7204" t="str">
            <v xml:space="preserve">  AL-MADINA SPINNING INDUSTRIES (PVT) LT</v>
          </cell>
          <cell r="D7204">
            <v>0</v>
          </cell>
          <cell r="E7204">
            <v>0</v>
          </cell>
          <cell r="F7204">
            <v>0</v>
          </cell>
          <cell r="G7204">
            <v>0</v>
          </cell>
        </row>
        <row r="7205">
          <cell r="A7205" t="str">
            <v>55-05-99-0087</v>
          </cell>
          <cell r="B7205">
            <v>0</v>
          </cell>
          <cell r="C7205" t="str">
            <v xml:space="preserve">  M/S DOOSA COTTON &amp; GENERAL TRADING (PV</v>
          </cell>
          <cell r="D7205">
            <v>0</v>
          </cell>
          <cell r="E7205">
            <v>0</v>
          </cell>
          <cell r="F7205">
            <v>0</v>
          </cell>
          <cell r="G7205">
            <v>0</v>
          </cell>
        </row>
        <row r="7206">
          <cell r="A7206" t="str">
            <v>55-05-99-0091</v>
          </cell>
          <cell r="B7206">
            <v>0</v>
          </cell>
          <cell r="C7206" t="str">
            <v xml:space="preserve">  IMTIAZ TEXTILE MILLS</v>
          </cell>
          <cell r="D7206">
            <v>0</v>
          </cell>
          <cell r="E7206">
            <v>0</v>
          </cell>
          <cell r="F7206">
            <v>0</v>
          </cell>
          <cell r="G7206">
            <v>0</v>
          </cell>
        </row>
        <row r="7207">
          <cell r="A7207" t="str">
            <v>55-05-99-0094</v>
          </cell>
          <cell r="B7207">
            <v>0</v>
          </cell>
          <cell r="C7207" t="str">
            <v xml:space="preserve">  MUHAMMAD UMER COTTON WASTE FACTORU</v>
          </cell>
          <cell r="D7207">
            <v>0</v>
          </cell>
          <cell r="E7207">
            <v>0</v>
          </cell>
          <cell r="F7207">
            <v>0</v>
          </cell>
          <cell r="G7207">
            <v>0</v>
          </cell>
        </row>
        <row r="7208">
          <cell r="A7208" t="str">
            <v>55-05-99-0095</v>
          </cell>
          <cell r="B7208">
            <v>0</v>
          </cell>
          <cell r="C7208" t="str">
            <v xml:space="preserve">  GHULAM FARID COTTON WASTE FACTORY</v>
          </cell>
          <cell r="D7208">
            <v>0</v>
          </cell>
          <cell r="E7208">
            <v>0</v>
          </cell>
          <cell r="F7208">
            <v>0</v>
          </cell>
          <cell r="G7208">
            <v>0</v>
          </cell>
        </row>
        <row r="7209">
          <cell r="A7209" t="str">
            <v>55-05-99-0117</v>
          </cell>
          <cell r="B7209">
            <v>0</v>
          </cell>
          <cell r="C7209" t="str">
            <v xml:space="preserve">  HILAL CORPORATION (PVT) LIMITED</v>
          </cell>
          <cell r="D7209">
            <v>0</v>
          </cell>
          <cell r="E7209">
            <v>0</v>
          </cell>
          <cell r="F7209">
            <v>0</v>
          </cell>
          <cell r="G7209">
            <v>0</v>
          </cell>
        </row>
        <row r="7210">
          <cell r="A7210" t="str">
            <v>55-06</v>
          </cell>
          <cell r="B7210">
            <v>0</v>
          </cell>
          <cell r="C7210" t="str">
            <v>**SCRAPE SALES</v>
          </cell>
          <cell r="D7210">
            <v>0</v>
          </cell>
          <cell r="E7210">
            <v>127558.68</v>
          </cell>
          <cell r="F7210">
            <v>0</v>
          </cell>
          <cell r="G7210">
            <v>127558.68</v>
          </cell>
        </row>
        <row r="7211">
          <cell r="A7211" t="str">
            <v>55-06-01</v>
          </cell>
          <cell r="B7211">
            <v>127558.625</v>
          </cell>
          <cell r="C7211" t="str">
            <v>***SCRAPE SALES</v>
          </cell>
          <cell r="D7211">
            <v>0</v>
          </cell>
          <cell r="E7211">
            <v>127558.68</v>
          </cell>
          <cell r="F7211">
            <v>0</v>
          </cell>
          <cell r="G7211">
            <v>127558.68</v>
          </cell>
        </row>
        <row r="7212">
          <cell r="A7212" t="str">
            <v>55-06-01-0001</v>
          </cell>
          <cell r="B7212">
            <v>127558.625</v>
          </cell>
          <cell r="C7212" t="str">
            <v xml:space="preserve">  MUHAMMAD JALIL</v>
          </cell>
          <cell r="D7212">
            <v>0</v>
          </cell>
          <cell r="E7212">
            <v>0</v>
          </cell>
          <cell r="F7212">
            <v>0</v>
          </cell>
          <cell r="G7212">
            <v>0</v>
          </cell>
        </row>
        <row r="7213">
          <cell r="A7213" t="str">
            <v>55-06-01-0002</v>
          </cell>
          <cell r="B7213">
            <v>0</v>
          </cell>
          <cell r="C7213" t="str">
            <v xml:space="preserve">  SHAHID COTTON FACTORY OKARA</v>
          </cell>
          <cell r="D7213">
            <v>0</v>
          </cell>
          <cell r="E7213">
            <v>0</v>
          </cell>
          <cell r="F7213">
            <v>0</v>
          </cell>
          <cell r="G7213">
            <v>0</v>
          </cell>
        </row>
        <row r="7214">
          <cell r="A7214" t="str">
            <v>55-06-01-0003</v>
          </cell>
          <cell r="B7214">
            <v>0</v>
          </cell>
          <cell r="C7214" t="str">
            <v xml:space="preserve">  FAZAL-E-RAHIM GANDAF</v>
          </cell>
          <cell r="D7214">
            <v>0</v>
          </cell>
          <cell r="E7214">
            <v>0</v>
          </cell>
          <cell r="F7214">
            <v>0</v>
          </cell>
          <cell r="G7214">
            <v>0</v>
          </cell>
        </row>
        <row r="7215">
          <cell r="A7215" t="str">
            <v>55-06-01-0004</v>
          </cell>
          <cell r="B7215">
            <v>0</v>
          </cell>
          <cell r="C7215" t="str">
            <v xml:space="preserve">  M.LUQMAN AND CO</v>
          </cell>
          <cell r="D7215">
            <v>0</v>
          </cell>
          <cell r="E7215">
            <v>0</v>
          </cell>
          <cell r="F7215">
            <v>0</v>
          </cell>
          <cell r="G7215">
            <v>0</v>
          </cell>
        </row>
        <row r="7216">
          <cell r="A7216" t="str">
            <v>55-06-01-0005</v>
          </cell>
          <cell r="B7216">
            <v>0</v>
          </cell>
          <cell r="C7216" t="str">
            <v xml:space="preserve">  REHMAN BUCHA</v>
          </cell>
          <cell r="D7216">
            <v>0</v>
          </cell>
          <cell r="E7216">
            <v>0</v>
          </cell>
          <cell r="F7216">
            <v>0</v>
          </cell>
          <cell r="G7216">
            <v>0</v>
          </cell>
        </row>
        <row r="7217">
          <cell r="A7217" t="str">
            <v>55-06-01-0006</v>
          </cell>
          <cell r="B7217">
            <v>0</v>
          </cell>
          <cell r="C7217" t="str">
            <v xml:space="preserve">  ALI GOHAR WASTE DEALER SWABI.</v>
          </cell>
          <cell r="D7217">
            <v>0</v>
          </cell>
          <cell r="E7217">
            <v>0</v>
          </cell>
          <cell r="F7217">
            <v>0</v>
          </cell>
          <cell r="G7217">
            <v>0</v>
          </cell>
        </row>
        <row r="7218">
          <cell r="A7218" t="str">
            <v>55-06-01-0007</v>
          </cell>
          <cell r="B7218">
            <v>0</v>
          </cell>
          <cell r="C7218" t="str">
            <v xml:space="preserve">  MUHAMED YOUSAF WASTE DEALER</v>
          </cell>
          <cell r="D7218">
            <v>0</v>
          </cell>
          <cell r="E7218">
            <v>0</v>
          </cell>
          <cell r="F7218">
            <v>0</v>
          </cell>
          <cell r="G7218">
            <v>0</v>
          </cell>
        </row>
        <row r="7219">
          <cell r="A7219" t="str">
            <v>55-06-01-0008</v>
          </cell>
          <cell r="B7219">
            <v>0</v>
          </cell>
          <cell r="C7219" t="str">
            <v xml:space="preserve">  SYED UMER SHAH SWABI.</v>
          </cell>
          <cell r="D7219">
            <v>0</v>
          </cell>
          <cell r="E7219">
            <v>0</v>
          </cell>
          <cell r="F7219">
            <v>0</v>
          </cell>
          <cell r="G7219">
            <v>0</v>
          </cell>
        </row>
        <row r="7220">
          <cell r="A7220" t="str">
            <v>55-06-01-0009</v>
          </cell>
          <cell r="B7220">
            <v>0</v>
          </cell>
          <cell r="C7220" t="str">
            <v xml:space="preserve">  MUHAMMAD SADDIQ GANDAF.</v>
          </cell>
          <cell r="D7220">
            <v>0</v>
          </cell>
          <cell r="E7220">
            <v>0</v>
          </cell>
          <cell r="F7220">
            <v>0</v>
          </cell>
          <cell r="G7220">
            <v>0</v>
          </cell>
        </row>
        <row r="7221">
          <cell r="A7221" t="str">
            <v>55-06-01-0010</v>
          </cell>
          <cell r="B7221">
            <v>0</v>
          </cell>
          <cell r="C7221" t="str">
            <v xml:space="preserve">  IMAM SHAH PESHAWAR SCRAP DEALER.</v>
          </cell>
          <cell r="D7221">
            <v>0</v>
          </cell>
          <cell r="E7221">
            <v>0</v>
          </cell>
          <cell r="F7221">
            <v>0</v>
          </cell>
          <cell r="G7221">
            <v>0</v>
          </cell>
        </row>
        <row r="7222">
          <cell r="A7222" t="str">
            <v>55-06-01-0011</v>
          </cell>
          <cell r="B7222">
            <v>0</v>
          </cell>
          <cell r="C7222" t="str">
            <v xml:space="preserve">  CHANN SHAH</v>
          </cell>
          <cell r="D7222">
            <v>0</v>
          </cell>
          <cell r="E7222">
            <v>0</v>
          </cell>
          <cell r="F7222">
            <v>0</v>
          </cell>
          <cell r="G7222">
            <v>0</v>
          </cell>
        </row>
        <row r="7223">
          <cell r="A7223" t="str">
            <v>55-06-01-0012</v>
          </cell>
          <cell r="B7223">
            <v>0</v>
          </cell>
          <cell r="C7223" t="str">
            <v xml:space="preserve">  MUHAMMAD BOOTA SCRAPE DELAER</v>
          </cell>
          <cell r="D7223">
            <v>0</v>
          </cell>
          <cell r="E7223">
            <v>0</v>
          </cell>
          <cell r="F7223">
            <v>0</v>
          </cell>
          <cell r="G7223">
            <v>0</v>
          </cell>
        </row>
        <row r="7224">
          <cell r="A7224" t="str">
            <v>55-06-01-0013</v>
          </cell>
          <cell r="B7224">
            <v>0</v>
          </cell>
          <cell r="C7224" t="str">
            <v xml:space="preserve">  ZARWALI CHARSADA SCRAP DEALER</v>
          </cell>
          <cell r="D7224">
            <v>0</v>
          </cell>
          <cell r="E7224">
            <v>0</v>
          </cell>
          <cell r="F7224">
            <v>0</v>
          </cell>
          <cell r="G7224">
            <v>0</v>
          </cell>
        </row>
        <row r="7225">
          <cell r="A7225" t="str">
            <v>55-06-01-0014</v>
          </cell>
          <cell r="B7225">
            <v>0</v>
          </cell>
          <cell r="C7225" t="str">
            <v xml:space="preserve">  MUHAAMMAD FAYYAZ SCRAPE DEALER</v>
          </cell>
          <cell r="D7225">
            <v>0</v>
          </cell>
          <cell r="E7225">
            <v>0</v>
          </cell>
          <cell r="F7225">
            <v>0</v>
          </cell>
          <cell r="G7225">
            <v>0</v>
          </cell>
        </row>
        <row r="7226">
          <cell r="A7226" t="str">
            <v>55-06-01-0015</v>
          </cell>
          <cell r="B7226">
            <v>0</v>
          </cell>
          <cell r="C7226" t="str">
            <v xml:space="preserve">  MUHAMMAD AYUB PESHAWAR SCRAPE DEALER</v>
          </cell>
          <cell r="D7226">
            <v>0</v>
          </cell>
          <cell r="E7226">
            <v>0</v>
          </cell>
          <cell r="F7226">
            <v>0</v>
          </cell>
          <cell r="G7226">
            <v>0</v>
          </cell>
        </row>
        <row r="7227">
          <cell r="A7227" t="str">
            <v>55-06-01-0016</v>
          </cell>
          <cell r="B7227">
            <v>0</v>
          </cell>
          <cell r="C7227" t="str">
            <v xml:space="preserve">  PALWASHA INDUSTRIES (PVT) LIMITED</v>
          </cell>
          <cell r="D7227">
            <v>0</v>
          </cell>
          <cell r="E7227">
            <v>0</v>
          </cell>
          <cell r="F7227">
            <v>0</v>
          </cell>
          <cell r="G7227">
            <v>0</v>
          </cell>
        </row>
        <row r="7228">
          <cell r="A7228" t="str">
            <v>55-06-01-0017</v>
          </cell>
          <cell r="B7228">
            <v>0</v>
          </cell>
          <cell r="C7228" t="str">
            <v xml:space="preserve">  LAL ZULFIQAR ALI SCRAPE DEALER</v>
          </cell>
          <cell r="D7228">
            <v>0</v>
          </cell>
          <cell r="E7228">
            <v>7000</v>
          </cell>
          <cell r="F7228">
            <v>0</v>
          </cell>
          <cell r="G7228">
            <v>0</v>
          </cell>
        </row>
        <row r="7229">
          <cell r="A7229" t="str">
            <v>55-06-01-0018</v>
          </cell>
          <cell r="B7229">
            <v>0</v>
          </cell>
          <cell r="C7229" t="str">
            <v xml:space="preserve">  RAUF GUL</v>
          </cell>
          <cell r="D7229">
            <v>0</v>
          </cell>
          <cell r="E7229">
            <v>0</v>
          </cell>
          <cell r="F7229">
            <v>0</v>
          </cell>
          <cell r="G7229">
            <v>0</v>
          </cell>
        </row>
        <row r="7230">
          <cell r="A7230" t="str">
            <v>55-06-01-0019</v>
          </cell>
          <cell r="B7230">
            <v>0</v>
          </cell>
          <cell r="C7230" t="str">
            <v xml:space="preserve">  MUHAMMAD AZEEM FAISALABAD.</v>
          </cell>
          <cell r="D7230">
            <v>0</v>
          </cell>
          <cell r="E7230">
            <v>0</v>
          </cell>
          <cell r="F7230">
            <v>0</v>
          </cell>
          <cell r="G7230">
            <v>0</v>
          </cell>
        </row>
        <row r="7231">
          <cell r="A7231" t="str">
            <v>55-06-01-0020</v>
          </cell>
          <cell r="B7231">
            <v>0</v>
          </cell>
          <cell r="C7231" t="str">
            <v xml:space="preserve">  SUNNY ENTERPRISES</v>
          </cell>
          <cell r="D7231">
            <v>0</v>
          </cell>
          <cell r="E7231">
            <v>0</v>
          </cell>
          <cell r="F7231">
            <v>0</v>
          </cell>
          <cell r="G7231">
            <v>0</v>
          </cell>
        </row>
        <row r="7232">
          <cell r="A7232" t="str">
            <v>55-06-01-0021</v>
          </cell>
          <cell r="B7232">
            <v>0</v>
          </cell>
          <cell r="C7232" t="str">
            <v xml:space="preserve">  NOSHAD ALI CAMP</v>
          </cell>
          <cell r="D7232">
            <v>0</v>
          </cell>
          <cell r="E7232">
            <v>0</v>
          </cell>
          <cell r="F7232">
            <v>0</v>
          </cell>
          <cell r="G7232">
            <v>0</v>
          </cell>
        </row>
        <row r="7233">
          <cell r="A7233" t="str">
            <v>55-06-01-0022</v>
          </cell>
          <cell r="B7233">
            <v>0</v>
          </cell>
          <cell r="C7233" t="str">
            <v xml:space="preserve">  AZANULLAH SCRAPE DEALER</v>
          </cell>
          <cell r="D7233">
            <v>0</v>
          </cell>
          <cell r="E7233">
            <v>0</v>
          </cell>
          <cell r="F7233">
            <v>0</v>
          </cell>
          <cell r="G7233">
            <v>0</v>
          </cell>
        </row>
        <row r="7234">
          <cell r="A7234" t="str">
            <v>55-06-01-0023</v>
          </cell>
          <cell r="B7234">
            <v>0</v>
          </cell>
          <cell r="C7234" t="str">
            <v xml:space="preserve">  ISRAR AHMED SCRAP DEALER</v>
          </cell>
          <cell r="D7234">
            <v>0</v>
          </cell>
          <cell r="E7234">
            <v>0</v>
          </cell>
          <cell r="F7234">
            <v>0</v>
          </cell>
          <cell r="G7234">
            <v>0</v>
          </cell>
        </row>
        <row r="7235">
          <cell r="A7235" t="str">
            <v>55-06-01-0024</v>
          </cell>
          <cell r="B7235">
            <v>0</v>
          </cell>
          <cell r="C7235" t="str">
            <v xml:space="preserve">  MUHAMMAD AYUB CAMP</v>
          </cell>
          <cell r="D7235">
            <v>0</v>
          </cell>
          <cell r="E7235">
            <v>0</v>
          </cell>
          <cell r="F7235">
            <v>0</v>
          </cell>
          <cell r="G7235">
            <v>0</v>
          </cell>
        </row>
        <row r="7236">
          <cell r="A7236" t="str">
            <v>55-06-01-0025</v>
          </cell>
          <cell r="B7236">
            <v>0</v>
          </cell>
          <cell r="C7236" t="str">
            <v xml:space="preserve">  ABDULLAH</v>
          </cell>
          <cell r="D7236">
            <v>0</v>
          </cell>
          <cell r="E7236">
            <v>0</v>
          </cell>
          <cell r="F7236">
            <v>0</v>
          </cell>
          <cell r="G7236">
            <v>0</v>
          </cell>
        </row>
        <row r="7237">
          <cell r="A7237" t="str">
            <v>55-06-01-0026</v>
          </cell>
          <cell r="B7237">
            <v>0</v>
          </cell>
          <cell r="C7237" t="str">
            <v xml:space="preserve">  TAHIR IQBAL SCRAPE DEALER</v>
          </cell>
          <cell r="D7237">
            <v>0</v>
          </cell>
          <cell r="E7237">
            <v>0</v>
          </cell>
          <cell r="F7237">
            <v>0</v>
          </cell>
          <cell r="G7237">
            <v>0</v>
          </cell>
        </row>
        <row r="7238">
          <cell r="A7238" t="str">
            <v>55-06-01-0027</v>
          </cell>
          <cell r="B7238">
            <v>0</v>
          </cell>
          <cell r="C7238" t="str">
            <v xml:space="preserve">  AZAM JAVAID FAISALABAD.</v>
          </cell>
          <cell r="D7238">
            <v>0</v>
          </cell>
          <cell r="E7238">
            <v>0</v>
          </cell>
          <cell r="F7238">
            <v>0</v>
          </cell>
          <cell r="G7238">
            <v>0</v>
          </cell>
        </row>
        <row r="7239">
          <cell r="A7239" t="str">
            <v>55-06-01-0028</v>
          </cell>
          <cell r="B7239">
            <v>0</v>
          </cell>
          <cell r="C7239" t="str">
            <v xml:space="preserve">  ABDUL RAUF CAMP.</v>
          </cell>
          <cell r="D7239">
            <v>0</v>
          </cell>
          <cell r="E7239">
            <v>0</v>
          </cell>
          <cell r="F7239">
            <v>0</v>
          </cell>
          <cell r="G7239">
            <v>0</v>
          </cell>
        </row>
        <row r="7240">
          <cell r="A7240" t="str">
            <v>55-06-01-0029</v>
          </cell>
          <cell r="B7240">
            <v>0</v>
          </cell>
          <cell r="C7240" t="str">
            <v xml:space="preserve">  CHAND KHAN SCRAPE DEALER</v>
          </cell>
          <cell r="D7240">
            <v>0</v>
          </cell>
          <cell r="E7240">
            <v>0</v>
          </cell>
          <cell r="F7240">
            <v>0</v>
          </cell>
          <cell r="G7240">
            <v>0</v>
          </cell>
        </row>
        <row r="7241">
          <cell r="A7241" t="str">
            <v>55-06-01-0030</v>
          </cell>
          <cell r="B7241">
            <v>0</v>
          </cell>
          <cell r="C7241" t="str">
            <v xml:space="preserve">  SALEEM ABBAS</v>
          </cell>
          <cell r="D7241">
            <v>0</v>
          </cell>
          <cell r="E7241">
            <v>0</v>
          </cell>
          <cell r="F7241">
            <v>0</v>
          </cell>
          <cell r="G7241">
            <v>0</v>
          </cell>
        </row>
        <row r="7242">
          <cell r="A7242" t="str">
            <v>55-06-01-0031</v>
          </cell>
          <cell r="B7242">
            <v>0</v>
          </cell>
          <cell r="C7242" t="str">
            <v xml:space="preserve">  MUSHTAQ AHMED FAISALABAD</v>
          </cell>
          <cell r="D7242">
            <v>0</v>
          </cell>
          <cell r="E7242">
            <v>0</v>
          </cell>
          <cell r="F7242">
            <v>0</v>
          </cell>
          <cell r="G7242">
            <v>0</v>
          </cell>
        </row>
        <row r="7243">
          <cell r="A7243" t="str">
            <v>55-06-01-0032</v>
          </cell>
          <cell r="B7243">
            <v>0</v>
          </cell>
          <cell r="C7243" t="str">
            <v xml:space="preserve">  MUHAMMAD NABI</v>
          </cell>
          <cell r="D7243">
            <v>0</v>
          </cell>
          <cell r="E7243">
            <v>0</v>
          </cell>
          <cell r="F7243">
            <v>0</v>
          </cell>
          <cell r="G7243">
            <v>0</v>
          </cell>
        </row>
        <row r="7244">
          <cell r="A7244" t="str">
            <v>55-06-01-0033</v>
          </cell>
          <cell r="B7244">
            <v>0</v>
          </cell>
          <cell r="C7244" t="str">
            <v xml:space="preserve">  ABDUL AZIZ FAISALABAD.</v>
          </cell>
          <cell r="D7244">
            <v>0</v>
          </cell>
          <cell r="E7244">
            <v>0</v>
          </cell>
          <cell r="F7244">
            <v>0</v>
          </cell>
          <cell r="G7244">
            <v>0</v>
          </cell>
        </row>
        <row r="7245">
          <cell r="A7245" t="str">
            <v>55-06-01-0034</v>
          </cell>
          <cell r="B7245">
            <v>0</v>
          </cell>
          <cell r="C7245" t="str">
            <v xml:space="preserve">  SHAH MUHAMMAD</v>
          </cell>
          <cell r="D7245">
            <v>0</v>
          </cell>
          <cell r="E7245">
            <v>0</v>
          </cell>
          <cell r="F7245">
            <v>0</v>
          </cell>
          <cell r="G7245">
            <v>0</v>
          </cell>
        </row>
        <row r="7246">
          <cell r="A7246" t="str">
            <v>55-06-01-0035</v>
          </cell>
          <cell r="B7246">
            <v>0</v>
          </cell>
          <cell r="C7246" t="str">
            <v xml:space="preserve">  MUHAMMAD ISRAR SAWABI.</v>
          </cell>
          <cell r="D7246">
            <v>0</v>
          </cell>
          <cell r="E7246">
            <v>0</v>
          </cell>
          <cell r="F7246">
            <v>0</v>
          </cell>
          <cell r="G7246">
            <v>0</v>
          </cell>
        </row>
        <row r="7247">
          <cell r="A7247" t="str">
            <v>55-06-01-0036</v>
          </cell>
          <cell r="B7247">
            <v>0</v>
          </cell>
          <cell r="C7247" t="str">
            <v xml:space="preserve">  ABDUL RAUF TOPI</v>
          </cell>
          <cell r="D7247">
            <v>0</v>
          </cell>
          <cell r="E7247">
            <v>0</v>
          </cell>
          <cell r="F7247">
            <v>0</v>
          </cell>
          <cell r="G7247">
            <v>0</v>
          </cell>
        </row>
        <row r="7248">
          <cell r="A7248" t="str">
            <v>55-06-01-0037</v>
          </cell>
          <cell r="B7248">
            <v>0</v>
          </cell>
          <cell r="C7248" t="str">
            <v xml:space="preserve">  AZIZ KHAN</v>
          </cell>
          <cell r="D7248">
            <v>0</v>
          </cell>
          <cell r="E7248">
            <v>0</v>
          </cell>
          <cell r="F7248">
            <v>0</v>
          </cell>
          <cell r="G7248">
            <v>0</v>
          </cell>
        </row>
        <row r="7249">
          <cell r="A7249" t="str">
            <v>55-06-01-0038</v>
          </cell>
          <cell r="B7249">
            <v>0</v>
          </cell>
          <cell r="C7249" t="str">
            <v xml:space="preserve">  RIAZUL HASSAN</v>
          </cell>
          <cell r="D7249">
            <v>0</v>
          </cell>
          <cell r="E7249">
            <v>0</v>
          </cell>
          <cell r="F7249">
            <v>0</v>
          </cell>
          <cell r="G7249">
            <v>0</v>
          </cell>
        </row>
        <row r="7250">
          <cell r="A7250" t="str">
            <v>55-06-01-0039</v>
          </cell>
          <cell r="B7250">
            <v>0</v>
          </cell>
          <cell r="C7250" t="str">
            <v xml:space="preserve">  ABDUL RAHEEM</v>
          </cell>
          <cell r="D7250">
            <v>0</v>
          </cell>
          <cell r="E7250">
            <v>0</v>
          </cell>
          <cell r="F7250">
            <v>0</v>
          </cell>
          <cell r="G7250">
            <v>0</v>
          </cell>
        </row>
        <row r="7251">
          <cell r="A7251" t="str">
            <v>55-06-01-0040</v>
          </cell>
          <cell r="B7251">
            <v>0</v>
          </cell>
          <cell r="C7251" t="str">
            <v xml:space="preserve">  ABDUL WAHEED FAISALABAD.</v>
          </cell>
          <cell r="D7251">
            <v>0</v>
          </cell>
          <cell r="E7251">
            <v>76203</v>
          </cell>
          <cell r="F7251">
            <v>0</v>
          </cell>
          <cell r="G7251">
            <v>0</v>
          </cell>
        </row>
        <row r="7252">
          <cell r="A7252" t="str">
            <v>55-06-01-0041</v>
          </cell>
          <cell r="B7252">
            <v>0</v>
          </cell>
          <cell r="C7252" t="str">
            <v xml:space="preserve">  NOOR MUHAMMAD CAMP</v>
          </cell>
          <cell r="D7252">
            <v>0</v>
          </cell>
          <cell r="E7252">
            <v>0</v>
          </cell>
          <cell r="F7252">
            <v>0</v>
          </cell>
          <cell r="G7252">
            <v>0</v>
          </cell>
        </row>
        <row r="7253">
          <cell r="A7253" t="str">
            <v>55-06-01-0042</v>
          </cell>
          <cell r="B7253">
            <v>0</v>
          </cell>
          <cell r="C7253" t="str">
            <v xml:space="preserve">  MUHAMMAD USMAN</v>
          </cell>
          <cell r="D7253">
            <v>0</v>
          </cell>
          <cell r="E7253">
            <v>0</v>
          </cell>
          <cell r="F7253">
            <v>0</v>
          </cell>
          <cell r="G7253">
            <v>0</v>
          </cell>
        </row>
        <row r="7254">
          <cell r="A7254" t="str">
            <v>55-06-01-0043</v>
          </cell>
          <cell r="B7254">
            <v>0</v>
          </cell>
          <cell r="C7254" t="str">
            <v xml:space="preserve">  MAZHAR HUSSAIN SCRAPE DEALER</v>
          </cell>
          <cell r="D7254">
            <v>0</v>
          </cell>
          <cell r="E7254">
            <v>0</v>
          </cell>
          <cell r="F7254">
            <v>0</v>
          </cell>
          <cell r="G7254">
            <v>0</v>
          </cell>
        </row>
        <row r="7255">
          <cell r="A7255" t="str">
            <v>55-06-01-0044</v>
          </cell>
          <cell r="B7255">
            <v>0</v>
          </cell>
          <cell r="C7255" t="str">
            <v xml:space="preserve">  ASAD ULLAH CAMP</v>
          </cell>
          <cell r="D7255">
            <v>0</v>
          </cell>
          <cell r="E7255">
            <v>0</v>
          </cell>
          <cell r="F7255">
            <v>0</v>
          </cell>
          <cell r="G7255">
            <v>0</v>
          </cell>
        </row>
        <row r="7256">
          <cell r="A7256" t="str">
            <v>55-06-01-0045</v>
          </cell>
          <cell r="B7256">
            <v>0</v>
          </cell>
          <cell r="C7256" t="str">
            <v xml:space="preserve">  AMIR REHMAN</v>
          </cell>
          <cell r="D7256">
            <v>0</v>
          </cell>
          <cell r="E7256">
            <v>0</v>
          </cell>
          <cell r="F7256">
            <v>0</v>
          </cell>
          <cell r="G7256">
            <v>0</v>
          </cell>
        </row>
        <row r="7257">
          <cell r="A7257" t="str">
            <v>55-06-01-0046</v>
          </cell>
          <cell r="B7257">
            <v>0</v>
          </cell>
          <cell r="C7257" t="str">
            <v xml:space="preserve">  ZAHID HUSSAIN</v>
          </cell>
          <cell r="D7257">
            <v>0</v>
          </cell>
          <cell r="E7257">
            <v>0</v>
          </cell>
          <cell r="F7257">
            <v>0</v>
          </cell>
          <cell r="G7257">
            <v>0</v>
          </cell>
        </row>
        <row r="7258">
          <cell r="A7258" t="str">
            <v>55-06-01-0047</v>
          </cell>
          <cell r="B7258">
            <v>0</v>
          </cell>
          <cell r="C7258" t="str">
            <v xml:space="preserve">  GUL MUHAMMAD SCRAPE DEALER</v>
          </cell>
          <cell r="D7258">
            <v>0</v>
          </cell>
          <cell r="E7258">
            <v>0</v>
          </cell>
          <cell r="F7258">
            <v>0</v>
          </cell>
          <cell r="G7258">
            <v>0</v>
          </cell>
        </row>
        <row r="7259">
          <cell r="A7259" t="str">
            <v>55-06-01-0048</v>
          </cell>
          <cell r="B7259">
            <v>0</v>
          </cell>
          <cell r="C7259" t="str">
            <v xml:space="preserve">  MUHAMMAD BILAL SCRAPE DEALER</v>
          </cell>
          <cell r="D7259">
            <v>0</v>
          </cell>
          <cell r="E7259">
            <v>0</v>
          </cell>
          <cell r="F7259">
            <v>0</v>
          </cell>
          <cell r="G7259">
            <v>0</v>
          </cell>
        </row>
        <row r="7260">
          <cell r="A7260" t="str">
            <v>55-06-01-0049</v>
          </cell>
          <cell r="B7260">
            <v>0</v>
          </cell>
          <cell r="C7260" t="str">
            <v xml:space="preserve">  QUTUB TEXTILE MILLS (PVT) LIMITED.</v>
          </cell>
          <cell r="D7260">
            <v>0</v>
          </cell>
          <cell r="E7260">
            <v>0</v>
          </cell>
          <cell r="F7260">
            <v>0</v>
          </cell>
          <cell r="G7260">
            <v>0</v>
          </cell>
        </row>
        <row r="7261">
          <cell r="A7261" t="str">
            <v>55-06-01-0050</v>
          </cell>
          <cell r="B7261">
            <v>0</v>
          </cell>
          <cell r="C7261" t="str">
            <v xml:space="preserve">  ILYAS KHAN</v>
          </cell>
          <cell r="D7261">
            <v>0</v>
          </cell>
          <cell r="E7261">
            <v>0</v>
          </cell>
          <cell r="F7261">
            <v>0</v>
          </cell>
          <cell r="G7261">
            <v>0</v>
          </cell>
        </row>
        <row r="7262">
          <cell r="A7262" t="str">
            <v>55-06-01-0051</v>
          </cell>
          <cell r="B7262">
            <v>0</v>
          </cell>
          <cell r="C7262" t="str">
            <v xml:space="preserve">  MUSHTAQ AHMED SCRAPE DELAER (RAIWAND)</v>
          </cell>
          <cell r="D7262">
            <v>0</v>
          </cell>
          <cell r="E7262">
            <v>0</v>
          </cell>
          <cell r="F7262">
            <v>0</v>
          </cell>
          <cell r="G7262">
            <v>0</v>
          </cell>
        </row>
        <row r="7263">
          <cell r="A7263" t="str">
            <v>55-06-01-0052</v>
          </cell>
          <cell r="B7263">
            <v>0</v>
          </cell>
          <cell r="C7263" t="str">
            <v xml:space="preserve">  HAROON UR RASHEED.</v>
          </cell>
          <cell r="D7263">
            <v>0</v>
          </cell>
          <cell r="E7263">
            <v>0</v>
          </cell>
          <cell r="F7263">
            <v>0</v>
          </cell>
          <cell r="G7263">
            <v>0</v>
          </cell>
        </row>
        <row r="7264">
          <cell r="A7264" t="str">
            <v>55-06-01-0053</v>
          </cell>
          <cell r="B7264">
            <v>0</v>
          </cell>
          <cell r="C7264" t="str">
            <v xml:space="preserve">  MUHAMMAD IQBAL BADHA</v>
          </cell>
          <cell r="D7264">
            <v>0</v>
          </cell>
          <cell r="E7264">
            <v>0</v>
          </cell>
          <cell r="F7264">
            <v>0</v>
          </cell>
          <cell r="G7264">
            <v>0</v>
          </cell>
        </row>
        <row r="7265">
          <cell r="A7265" t="str">
            <v>55-06-01-0054</v>
          </cell>
          <cell r="B7265">
            <v>0</v>
          </cell>
          <cell r="C7265" t="str">
            <v xml:space="preserve">  AMIN UR RASHEED</v>
          </cell>
          <cell r="D7265">
            <v>0</v>
          </cell>
          <cell r="E7265">
            <v>0</v>
          </cell>
          <cell r="F7265">
            <v>0</v>
          </cell>
          <cell r="G7265">
            <v>0</v>
          </cell>
        </row>
        <row r="7266">
          <cell r="A7266" t="str">
            <v>55-06-01-0055</v>
          </cell>
          <cell r="B7266">
            <v>0</v>
          </cell>
          <cell r="C7266" t="str">
            <v xml:space="preserve">  MALIK MANZOOR FAISALABAD.</v>
          </cell>
          <cell r="D7266">
            <v>0</v>
          </cell>
          <cell r="E7266">
            <v>0</v>
          </cell>
          <cell r="F7266">
            <v>0</v>
          </cell>
          <cell r="G7266">
            <v>0</v>
          </cell>
        </row>
        <row r="7267">
          <cell r="A7267" t="str">
            <v>55-06-01-0056</v>
          </cell>
          <cell r="B7267">
            <v>0</v>
          </cell>
          <cell r="C7267" t="str">
            <v xml:space="preserve">  HABIB UR REHMAN TOPI</v>
          </cell>
          <cell r="D7267">
            <v>0</v>
          </cell>
          <cell r="E7267">
            <v>0</v>
          </cell>
          <cell r="F7267">
            <v>0</v>
          </cell>
          <cell r="G7267">
            <v>0</v>
          </cell>
        </row>
        <row r="7268">
          <cell r="A7268" t="str">
            <v>55-06-01-0057</v>
          </cell>
          <cell r="B7268">
            <v>0</v>
          </cell>
          <cell r="C7268" t="str">
            <v xml:space="preserve">  SULTAN TRADERS FAISALABAD.</v>
          </cell>
          <cell r="D7268">
            <v>0</v>
          </cell>
          <cell r="E7268">
            <v>0</v>
          </cell>
          <cell r="F7268">
            <v>0</v>
          </cell>
          <cell r="G7268">
            <v>0</v>
          </cell>
        </row>
        <row r="7269">
          <cell r="A7269" t="str">
            <v>55-06-01-0058</v>
          </cell>
          <cell r="B7269">
            <v>0</v>
          </cell>
          <cell r="C7269" t="str">
            <v xml:space="preserve">  SULTAN GHANI</v>
          </cell>
          <cell r="D7269">
            <v>0</v>
          </cell>
          <cell r="E7269">
            <v>0</v>
          </cell>
          <cell r="F7269">
            <v>0</v>
          </cell>
          <cell r="G7269">
            <v>0</v>
          </cell>
        </row>
        <row r="7270">
          <cell r="A7270" t="str">
            <v>55-06-01-0059</v>
          </cell>
          <cell r="B7270">
            <v>0</v>
          </cell>
          <cell r="C7270" t="str">
            <v xml:space="preserve">  FAZAL WADOOD SCRAPE DEALER</v>
          </cell>
          <cell r="D7270">
            <v>0</v>
          </cell>
          <cell r="E7270">
            <v>0</v>
          </cell>
          <cell r="F7270">
            <v>0</v>
          </cell>
          <cell r="G7270">
            <v>0</v>
          </cell>
        </row>
        <row r="7271">
          <cell r="A7271" t="str">
            <v>55-06-01-0060</v>
          </cell>
          <cell r="B7271">
            <v>0</v>
          </cell>
          <cell r="C7271" t="str">
            <v xml:space="preserve">  ARSHAD MEHMOOD SCRAPE DEALER</v>
          </cell>
          <cell r="D7271">
            <v>0</v>
          </cell>
          <cell r="E7271">
            <v>0</v>
          </cell>
          <cell r="F7271">
            <v>0</v>
          </cell>
          <cell r="G7271">
            <v>0</v>
          </cell>
        </row>
        <row r="7272">
          <cell r="A7272" t="str">
            <v>55-06-01-0061</v>
          </cell>
          <cell r="B7272">
            <v>0</v>
          </cell>
          <cell r="C7272" t="str">
            <v xml:space="preserve">  JAVED IQBAL SCRAPE DEALER</v>
          </cell>
          <cell r="D7272">
            <v>0</v>
          </cell>
          <cell r="E7272">
            <v>0</v>
          </cell>
          <cell r="F7272">
            <v>0</v>
          </cell>
          <cell r="G7272">
            <v>0</v>
          </cell>
        </row>
        <row r="7273">
          <cell r="A7273" t="str">
            <v>55-06-01-0062</v>
          </cell>
          <cell r="B7273">
            <v>0</v>
          </cell>
          <cell r="C7273" t="str">
            <v xml:space="preserve">  FAISAL SHAH</v>
          </cell>
          <cell r="D7273">
            <v>0</v>
          </cell>
          <cell r="E7273">
            <v>0</v>
          </cell>
          <cell r="F7273">
            <v>0</v>
          </cell>
          <cell r="G7273">
            <v>0</v>
          </cell>
        </row>
        <row r="7274">
          <cell r="A7274" t="str">
            <v>55-06-01-0063</v>
          </cell>
          <cell r="B7274">
            <v>0</v>
          </cell>
          <cell r="C7274" t="str">
            <v xml:space="preserve">  MUHAMMAD JAVED</v>
          </cell>
          <cell r="D7274">
            <v>0</v>
          </cell>
          <cell r="E7274">
            <v>0</v>
          </cell>
          <cell r="F7274">
            <v>0</v>
          </cell>
          <cell r="G7274">
            <v>0</v>
          </cell>
        </row>
        <row r="7275">
          <cell r="A7275" t="str">
            <v>55-06-01-0064</v>
          </cell>
          <cell r="B7275">
            <v>0</v>
          </cell>
          <cell r="C7275" t="str">
            <v xml:space="preserve">  AL-NOOR OIL COMPANY</v>
          </cell>
          <cell r="D7275">
            <v>0</v>
          </cell>
          <cell r="E7275">
            <v>0</v>
          </cell>
          <cell r="F7275">
            <v>0</v>
          </cell>
          <cell r="G7275">
            <v>0</v>
          </cell>
        </row>
        <row r="7276">
          <cell r="A7276" t="str">
            <v>55-06-01-0065</v>
          </cell>
          <cell r="B7276">
            <v>0</v>
          </cell>
          <cell r="C7276" t="str">
            <v xml:space="preserve">  AMEER MUHAMMAD BEESAK SCRAP DEALER</v>
          </cell>
          <cell r="D7276">
            <v>0</v>
          </cell>
          <cell r="E7276">
            <v>0</v>
          </cell>
          <cell r="F7276">
            <v>0</v>
          </cell>
          <cell r="G7276">
            <v>0</v>
          </cell>
        </row>
        <row r="7277">
          <cell r="A7277" t="str">
            <v>55-06-01-0066</v>
          </cell>
          <cell r="B7277">
            <v>0</v>
          </cell>
          <cell r="C7277" t="str">
            <v xml:space="preserve">  MOOSA KHAN SCRAPE DEALER</v>
          </cell>
          <cell r="D7277">
            <v>0</v>
          </cell>
          <cell r="E7277">
            <v>0</v>
          </cell>
          <cell r="F7277">
            <v>0</v>
          </cell>
          <cell r="G7277">
            <v>0</v>
          </cell>
        </row>
        <row r="7278">
          <cell r="A7278" t="str">
            <v>55-06-01-0067</v>
          </cell>
          <cell r="B7278">
            <v>0</v>
          </cell>
          <cell r="C7278" t="str">
            <v xml:space="preserve">  KHUDA KHEL COTTON FACTORY</v>
          </cell>
          <cell r="D7278">
            <v>0</v>
          </cell>
          <cell r="E7278">
            <v>0</v>
          </cell>
          <cell r="F7278">
            <v>0</v>
          </cell>
          <cell r="G7278">
            <v>0</v>
          </cell>
        </row>
        <row r="7279">
          <cell r="A7279" t="str">
            <v>55-06-01-0068</v>
          </cell>
          <cell r="B7279">
            <v>0</v>
          </cell>
          <cell r="C7279" t="str">
            <v xml:space="preserve">  IMRAN ULLAH SCRAPE DEALER</v>
          </cell>
          <cell r="D7279">
            <v>0</v>
          </cell>
          <cell r="E7279">
            <v>0</v>
          </cell>
          <cell r="F7279">
            <v>0</v>
          </cell>
          <cell r="G7279">
            <v>0</v>
          </cell>
        </row>
        <row r="7280">
          <cell r="A7280" t="str">
            <v>55-06-01-0070</v>
          </cell>
          <cell r="B7280">
            <v>0</v>
          </cell>
          <cell r="C7280" t="str">
            <v xml:space="preserve">  ***</v>
          </cell>
          <cell r="D7280">
            <v>0</v>
          </cell>
          <cell r="E7280">
            <v>0</v>
          </cell>
          <cell r="F7280">
            <v>0</v>
          </cell>
          <cell r="G7280">
            <v>0</v>
          </cell>
        </row>
        <row r="7281">
          <cell r="A7281" t="str">
            <v>55-06-01-0071</v>
          </cell>
          <cell r="B7281">
            <v>0</v>
          </cell>
          <cell r="C7281" t="str">
            <v xml:space="preserve">  A.G CORPORATION</v>
          </cell>
          <cell r="D7281">
            <v>0</v>
          </cell>
          <cell r="E7281">
            <v>0</v>
          </cell>
          <cell r="F7281">
            <v>0</v>
          </cell>
          <cell r="G7281">
            <v>0</v>
          </cell>
        </row>
        <row r="7282">
          <cell r="A7282" t="str">
            <v>55-06-01-0072</v>
          </cell>
          <cell r="B7282">
            <v>0</v>
          </cell>
          <cell r="C7282" t="str">
            <v xml:space="preserve">  SAID FAROOSH CAMP</v>
          </cell>
          <cell r="D7282">
            <v>0</v>
          </cell>
          <cell r="E7282">
            <v>0</v>
          </cell>
          <cell r="F7282">
            <v>0</v>
          </cell>
          <cell r="G7282">
            <v>0</v>
          </cell>
        </row>
        <row r="7283">
          <cell r="A7283" t="str">
            <v>55-06-01-0073</v>
          </cell>
          <cell r="B7283">
            <v>0</v>
          </cell>
          <cell r="C7283" t="str">
            <v xml:space="preserve">  AL-NOOR TRADING</v>
          </cell>
          <cell r="D7283">
            <v>0</v>
          </cell>
          <cell r="E7283">
            <v>0</v>
          </cell>
          <cell r="F7283">
            <v>0</v>
          </cell>
          <cell r="G7283">
            <v>0</v>
          </cell>
        </row>
        <row r="7284">
          <cell r="A7284" t="str">
            <v>55-06-01-0074</v>
          </cell>
          <cell r="B7284">
            <v>0</v>
          </cell>
          <cell r="C7284" t="str">
            <v xml:space="preserve">  JEHANZEB KHAN SCRAPE DEALER</v>
          </cell>
          <cell r="D7284">
            <v>0</v>
          </cell>
          <cell r="E7284">
            <v>0</v>
          </cell>
          <cell r="F7284">
            <v>0</v>
          </cell>
          <cell r="G7284">
            <v>0</v>
          </cell>
        </row>
        <row r="7285">
          <cell r="A7285" t="str">
            <v>55-06-01-0075</v>
          </cell>
          <cell r="B7285">
            <v>0</v>
          </cell>
          <cell r="C7285" t="str">
            <v xml:space="preserve">  FAZAL SULTAN GUJRANWALA</v>
          </cell>
          <cell r="D7285">
            <v>0</v>
          </cell>
          <cell r="E7285">
            <v>0</v>
          </cell>
          <cell r="F7285">
            <v>0</v>
          </cell>
          <cell r="G7285">
            <v>0</v>
          </cell>
        </row>
        <row r="7286">
          <cell r="A7286" t="str">
            <v>55-06-01-0076</v>
          </cell>
          <cell r="B7286">
            <v>0</v>
          </cell>
          <cell r="C7286" t="str">
            <v xml:space="preserve">  MUHAMMAD GULZAR</v>
          </cell>
          <cell r="D7286">
            <v>0</v>
          </cell>
          <cell r="E7286">
            <v>0</v>
          </cell>
          <cell r="F7286">
            <v>0</v>
          </cell>
          <cell r="G7286">
            <v>0</v>
          </cell>
        </row>
        <row r="7287">
          <cell r="A7287" t="str">
            <v>55-06-01-0077</v>
          </cell>
          <cell r="B7287">
            <v>0</v>
          </cell>
          <cell r="C7287" t="str">
            <v xml:space="preserve">  JAMAL TRADERS SCRAPE DEALER</v>
          </cell>
          <cell r="D7287">
            <v>0</v>
          </cell>
          <cell r="E7287">
            <v>0</v>
          </cell>
          <cell r="F7287">
            <v>0</v>
          </cell>
          <cell r="G7287">
            <v>0</v>
          </cell>
        </row>
        <row r="7288">
          <cell r="A7288" t="str">
            <v>55-06-01-0078</v>
          </cell>
          <cell r="B7288">
            <v>0</v>
          </cell>
          <cell r="C7288" t="str">
            <v xml:space="preserve">  ALAM ZEB LAHORE</v>
          </cell>
          <cell r="D7288">
            <v>0</v>
          </cell>
          <cell r="E7288">
            <v>0</v>
          </cell>
          <cell r="F7288">
            <v>0</v>
          </cell>
          <cell r="G7288">
            <v>0</v>
          </cell>
        </row>
        <row r="7289">
          <cell r="A7289" t="str">
            <v>55-06-01-0079</v>
          </cell>
          <cell r="B7289">
            <v>0</v>
          </cell>
          <cell r="C7289" t="str">
            <v xml:space="preserve">  ALAM ZEB SCRAPE DEALER</v>
          </cell>
          <cell r="D7289">
            <v>0</v>
          </cell>
          <cell r="E7289">
            <v>0</v>
          </cell>
          <cell r="F7289">
            <v>0</v>
          </cell>
          <cell r="G7289">
            <v>0</v>
          </cell>
        </row>
        <row r="7290">
          <cell r="A7290" t="str">
            <v>55-06-01-0080</v>
          </cell>
          <cell r="B7290">
            <v>0</v>
          </cell>
          <cell r="C7290" t="str">
            <v xml:space="preserve">  SIRAJ CAMP SCRAPE DEALER</v>
          </cell>
          <cell r="D7290">
            <v>0</v>
          </cell>
          <cell r="E7290">
            <v>0</v>
          </cell>
          <cell r="F7290">
            <v>0</v>
          </cell>
          <cell r="G7290">
            <v>0</v>
          </cell>
        </row>
        <row r="7291">
          <cell r="A7291" t="str">
            <v>55-06-01-0081</v>
          </cell>
          <cell r="B7291">
            <v>0</v>
          </cell>
          <cell r="C7291" t="str">
            <v xml:space="preserve">  MUHAMMAD NAWAZ SCRAPE DEALER FAISALABA</v>
          </cell>
          <cell r="D7291">
            <v>0</v>
          </cell>
          <cell r="E7291">
            <v>0</v>
          </cell>
          <cell r="F7291">
            <v>0</v>
          </cell>
          <cell r="G7291">
            <v>0</v>
          </cell>
        </row>
        <row r="7292">
          <cell r="A7292" t="str">
            <v>55-06-01-0082</v>
          </cell>
          <cell r="B7292">
            <v>0</v>
          </cell>
          <cell r="C7292" t="str">
            <v xml:space="preserve">  MOULA BUKSH  SCRAPE DEALER</v>
          </cell>
          <cell r="D7292">
            <v>0</v>
          </cell>
          <cell r="E7292">
            <v>0</v>
          </cell>
          <cell r="F7292">
            <v>0</v>
          </cell>
          <cell r="G7292">
            <v>0</v>
          </cell>
        </row>
        <row r="7293">
          <cell r="A7293" t="str">
            <v>55-06-01-0083</v>
          </cell>
          <cell r="B7293">
            <v>0</v>
          </cell>
          <cell r="C7293" t="str">
            <v xml:space="preserve">  ISLAM SHAH SCRAPE DEALER</v>
          </cell>
          <cell r="D7293">
            <v>0</v>
          </cell>
          <cell r="E7293">
            <v>12303.68</v>
          </cell>
          <cell r="F7293">
            <v>0</v>
          </cell>
          <cell r="G7293">
            <v>0</v>
          </cell>
        </row>
        <row r="7294">
          <cell r="A7294" t="str">
            <v>55-06-01-0084</v>
          </cell>
          <cell r="B7294">
            <v>0</v>
          </cell>
          <cell r="C7294" t="str">
            <v xml:space="preserve">  KHAN ZAMAN SWABI</v>
          </cell>
          <cell r="D7294">
            <v>0</v>
          </cell>
          <cell r="E7294">
            <v>0</v>
          </cell>
          <cell r="F7294">
            <v>0</v>
          </cell>
          <cell r="G7294">
            <v>0</v>
          </cell>
        </row>
        <row r="7295">
          <cell r="A7295" t="str">
            <v>55-06-01-0085</v>
          </cell>
          <cell r="B7295">
            <v>0</v>
          </cell>
          <cell r="C7295" t="str">
            <v xml:space="preserve">  MUHAMMAD SIRAJ GADOON</v>
          </cell>
          <cell r="D7295">
            <v>0</v>
          </cell>
          <cell r="E7295">
            <v>0</v>
          </cell>
          <cell r="F7295">
            <v>0</v>
          </cell>
          <cell r="G7295">
            <v>0</v>
          </cell>
        </row>
        <row r="7296">
          <cell r="A7296" t="str">
            <v>55-06-01-0086</v>
          </cell>
          <cell r="B7296">
            <v>0</v>
          </cell>
          <cell r="C7296" t="str">
            <v xml:space="preserve">  HASSAN TRADERS</v>
          </cell>
          <cell r="D7296">
            <v>0</v>
          </cell>
          <cell r="E7296">
            <v>0</v>
          </cell>
          <cell r="F7296">
            <v>0</v>
          </cell>
          <cell r="G7296">
            <v>0</v>
          </cell>
        </row>
        <row r="7297">
          <cell r="A7297" t="str">
            <v>55-06-01-0087</v>
          </cell>
          <cell r="B7297">
            <v>0</v>
          </cell>
          <cell r="C7297" t="str">
            <v xml:space="preserve">  BURAN CAMP SCRAPE DEALER</v>
          </cell>
          <cell r="D7297">
            <v>0</v>
          </cell>
          <cell r="E7297">
            <v>0</v>
          </cell>
          <cell r="F7297">
            <v>0</v>
          </cell>
          <cell r="G7297">
            <v>0</v>
          </cell>
        </row>
        <row r="7298">
          <cell r="A7298" t="str">
            <v>55-06-01-0088</v>
          </cell>
          <cell r="B7298">
            <v>0</v>
          </cell>
          <cell r="C7298" t="str">
            <v xml:space="preserve">  NIAZ MUHAMMAD TOPI</v>
          </cell>
          <cell r="D7298">
            <v>0</v>
          </cell>
          <cell r="E7298">
            <v>0</v>
          </cell>
          <cell r="F7298">
            <v>0</v>
          </cell>
          <cell r="G7298">
            <v>0</v>
          </cell>
        </row>
        <row r="7299">
          <cell r="A7299" t="str">
            <v>55-06-01-0089</v>
          </cell>
          <cell r="B7299">
            <v>0</v>
          </cell>
          <cell r="C7299" t="str">
            <v xml:space="preserve">  FAZAL WADOOD SCRAPE DEALER</v>
          </cell>
          <cell r="D7299">
            <v>0</v>
          </cell>
          <cell r="E7299">
            <v>0</v>
          </cell>
          <cell r="F7299">
            <v>0</v>
          </cell>
          <cell r="G7299">
            <v>0</v>
          </cell>
        </row>
        <row r="7300">
          <cell r="A7300" t="str">
            <v>55-06-01-0090</v>
          </cell>
          <cell r="B7300">
            <v>0</v>
          </cell>
          <cell r="C7300" t="str">
            <v xml:space="preserve">  ASFAND YAR SWABI SCRAPE DEALER</v>
          </cell>
          <cell r="D7300">
            <v>0</v>
          </cell>
          <cell r="E7300">
            <v>0</v>
          </cell>
          <cell r="F7300">
            <v>0</v>
          </cell>
          <cell r="G7300">
            <v>0</v>
          </cell>
        </row>
        <row r="7301">
          <cell r="A7301" t="str">
            <v>55-06-01-0091</v>
          </cell>
          <cell r="B7301">
            <v>0</v>
          </cell>
          <cell r="C7301" t="str">
            <v xml:space="preserve">  SHER ZAMIN CAMP SCRAP DEALER</v>
          </cell>
          <cell r="D7301">
            <v>0</v>
          </cell>
          <cell r="E7301">
            <v>0</v>
          </cell>
          <cell r="F7301">
            <v>0</v>
          </cell>
          <cell r="G7301">
            <v>0</v>
          </cell>
        </row>
        <row r="7302">
          <cell r="A7302" t="str">
            <v>55-06-01-0092</v>
          </cell>
          <cell r="B7302">
            <v>0</v>
          </cell>
          <cell r="C7302" t="str">
            <v xml:space="preserve">  MOMIN KHAN SWABI SCRAPE DEALER</v>
          </cell>
          <cell r="D7302">
            <v>0</v>
          </cell>
          <cell r="E7302">
            <v>0</v>
          </cell>
          <cell r="F7302">
            <v>0</v>
          </cell>
          <cell r="G7302">
            <v>0</v>
          </cell>
        </row>
        <row r="7303">
          <cell r="A7303" t="str">
            <v>55-06-01-0093</v>
          </cell>
          <cell r="B7303">
            <v>0</v>
          </cell>
          <cell r="C7303" t="str">
            <v xml:space="preserve">  MUHAMMAD QASIM LAHORE SCRAP DEALER</v>
          </cell>
          <cell r="D7303">
            <v>0</v>
          </cell>
          <cell r="E7303">
            <v>0</v>
          </cell>
          <cell r="F7303">
            <v>0</v>
          </cell>
          <cell r="G7303">
            <v>0</v>
          </cell>
        </row>
        <row r="7304">
          <cell r="A7304" t="str">
            <v>55-06-01-0094</v>
          </cell>
          <cell r="B7304">
            <v>0</v>
          </cell>
          <cell r="C7304" t="str">
            <v xml:space="preserve">  AMMER MUHAMMAD TOPI</v>
          </cell>
          <cell r="D7304">
            <v>0</v>
          </cell>
          <cell r="E7304">
            <v>0</v>
          </cell>
          <cell r="F7304">
            <v>0</v>
          </cell>
          <cell r="G7304">
            <v>0</v>
          </cell>
        </row>
        <row r="7305">
          <cell r="A7305" t="str">
            <v>55-06-01-0095</v>
          </cell>
          <cell r="B7305">
            <v>0</v>
          </cell>
          <cell r="C7305" t="str">
            <v xml:space="preserve">  PALWASHA INDUSTRIES</v>
          </cell>
          <cell r="D7305">
            <v>0</v>
          </cell>
          <cell r="E7305">
            <v>0</v>
          </cell>
          <cell r="F7305">
            <v>0</v>
          </cell>
          <cell r="G7305">
            <v>0</v>
          </cell>
        </row>
        <row r="7306">
          <cell r="A7306" t="str">
            <v>55-06-01-0096</v>
          </cell>
          <cell r="B7306">
            <v>0</v>
          </cell>
          <cell r="C7306" t="str">
            <v xml:space="preserve">  MUHAMMAD QASIM LAHORE</v>
          </cell>
          <cell r="D7306">
            <v>0</v>
          </cell>
          <cell r="E7306">
            <v>0</v>
          </cell>
          <cell r="F7306">
            <v>0</v>
          </cell>
          <cell r="G7306">
            <v>0</v>
          </cell>
        </row>
        <row r="7307">
          <cell r="A7307" t="str">
            <v>55-06-01-0097</v>
          </cell>
          <cell r="B7307">
            <v>0</v>
          </cell>
          <cell r="C7307" t="str">
            <v xml:space="preserve">  SOHRAB KHAN TOPI SCRAPE DEALER</v>
          </cell>
          <cell r="D7307">
            <v>0</v>
          </cell>
          <cell r="E7307">
            <v>0</v>
          </cell>
          <cell r="F7307">
            <v>0</v>
          </cell>
          <cell r="G7307">
            <v>0</v>
          </cell>
        </row>
        <row r="7308">
          <cell r="A7308" t="str">
            <v>55-06-01-0098</v>
          </cell>
          <cell r="B7308">
            <v>0</v>
          </cell>
          <cell r="C7308" t="str">
            <v xml:space="preserve">  BURHAN CAMP</v>
          </cell>
          <cell r="D7308">
            <v>0</v>
          </cell>
          <cell r="E7308">
            <v>0</v>
          </cell>
          <cell r="F7308">
            <v>0</v>
          </cell>
          <cell r="G7308">
            <v>0</v>
          </cell>
        </row>
        <row r="7309">
          <cell r="A7309" t="str">
            <v>55-06-01-0099</v>
          </cell>
          <cell r="B7309">
            <v>0</v>
          </cell>
          <cell r="C7309" t="str">
            <v xml:space="preserve">  WAZIR KHAN CAMP</v>
          </cell>
          <cell r="D7309">
            <v>0</v>
          </cell>
          <cell r="E7309">
            <v>0</v>
          </cell>
          <cell r="F7309">
            <v>0</v>
          </cell>
          <cell r="G7309">
            <v>0</v>
          </cell>
        </row>
        <row r="7310">
          <cell r="A7310" t="str">
            <v>55-06-01-0100</v>
          </cell>
          <cell r="B7310">
            <v>0</v>
          </cell>
          <cell r="C7310" t="str">
            <v xml:space="preserve">  ETBAR SHAH GADOON</v>
          </cell>
          <cell r="D7310">
            <v>0</v>
          </cell>
          <cell r="E7310">
            <v>0</v>
          </cell>
          <cell r="F7310">
            <v>0</v>
          </cell>
          <cell r="G7310">
            <v>0</v>
          </cell>
        </row>
        <row r="7311">
          <cell r="A7311" t="str">
            <v>55-06-01-0101</v>
          </cell>
          <cell r="B7311">
            <v>0</v>
          </cell>
          <cell r="C7311" t="str">
            <v xml:space="preserve">  ABDUL HAKEEM SCRAPE DEALER GADOON</v>
          </cell>
          <cell r="D7311">
            <v>0</v>
          </cell>
          <cell r="E7311">
            <v>0</v>
          </cell>
          <cell r="F7311">
            <v>0</v>
          </cell>
          <cell r="G7311">
            <v>0</v>
          </cell>
        </row>
        <row r="7312">
          <cell r="A7312" t="str">
            <v>55-06-01-0102</v>
          </cell>
          <cell r="B7312">
            <v>0</v>
          </cell>
          <cell r="C7312" t="str">
            <v xml:space="preserve">  ASGHAR ALI FAISALABAD</v>
          </cell>
          <cell r="D7312">
            <v>0</v>
          </cell>
          <cell r="E7312">
            <v>0</v>
          </cell>
          <cell r="F7312">
            <v>0</v>
          </cell>
          <cell r="G7312">
            <v>0</v>
          </cell>
        </row>
        <row r="7313">
          <cell r="A7313" t="str">
            <v>55-06-01-0103</v>
          </cell>
          <cell r="B7313">
            <v>0</v>
          </cell>
          <cell r="C7313" t="str">
            <v xml:space="preserve">  MUHAMMAD AKRAM FAISALABAD.</v>
          </cell>
          <cell r="D7313">
            <v>0</v>
          </cell>
          <cell r="E7313">
            <v>0</v>
          </cell>
          <cell r="F7313">
            <v>0</v>
          </cell>
          <cell r="G7313">
            <v>0</v>
          </cell>
        </row>
        <row r="7314">
          <cell r="A7314" t="str">
            <v>55-06-01-0104</v>
          </cell>
          <cell r="B7314">
            <v>0</v>
          </cell>
          <cell r="C7314" t="str">
            <v xml:space="preserve">  PIR MUHAMMAD KHAN SWABI</v>
          </cell>
          <cell r="D7314">
            <v>0</v>
          </cell>
          <cell r="E7314">
            <v>0</v>
          </cell>
          <cell r="F7314">
            <v>0</v>
          </cell>
          <cell r="G7314">
            <v>0</v>
          </cell>
        </row>
        <row r="7315">
          <cell r="A7315" t="str">
            <v>55-06-01-0105</v>
          </cell>
          <cell r="B7315">
            <v>0</v>
          </cell>
          <cell r="C7315" t="str">
            <v xml:space="preserve">  NAZEER GUL CAMP SCRAPE DEALER</v>
          </cell>
          <cell r="D7315">
            <v>0</v>
          </cell>
          <cell r="E7315">
            <v>0</v>
          </cell>
          <cell r="F7315">
            <v>0</v>
          </cell>
          <cell r="G7315">
            <v>0</v>
          </cell>
        </row>
        <row r="7316">
          <cell r="A7316" t="str">
            <v>55-06-01-0106</v>
          </cell>
          <cell r="B7316">
            <v>0</v>
          </cell>
          <cell r="C7316" t="str">
            <v xml:space="preserve">  MUHAMMAD TAHIR TOPI (SCRAPE DEALER)</v>
          </cell>
          <cell r="D7316">
            <v>0</v>
          </cell>
          <cell r="E7316">
            <v>0</v>
          </cell>
          <cell r="F7316">
            <v>0</v>
          </cell>
          <cell r="G7316">
            <v>0</v>
          </cell>
        </row>
        <row r="7317">
          <cell r="A7317" t="str">
            <v>55-06-01-0107</v>
          </cell>
          <cell r="B7317">
            <v>0</v>
          </cell>
          <cell r="C7317" t="str">
            <v xml:space="preserve">  RASHID AHMED SCRAPE DEALER</v>
          </cell>
          <cell r="D7317">
            <v>0</v>
          </cell>
          <cell r="E7317">
            <v>0</v>
          </cell>
          <cell r="F7317">
            <v>0</v>
          </cell>
          <cell r="G7317">
            <v>0</v>
          </cell>
        </row>
        <row r="7318">
          <cell r="A7318" t="str">
            <v>55-06-01-0108</v>
          </cell>
          <cell r="B7318">
            <v>0</v>
          </cell>
          <cell r="C7318" t="str">
            <v xml:space="preserve">  KHUSHAL KHAN SCRAPE DEALER</v>
          </cell>
          <cell r="D7318">
            <v>0</v>
          </cell>
          <cell r="E7318">
            <v>0</v>
          </cell>
          <cell r="F7318">
            <v>0</v>
          </cell>
          <cell r="G7318">
            <v>0</v>
          </cell>
        </row>
        <row r="7319">
          <cell r="A7319" t="str">
            <v>55-06-01-0109</v>
          </cell>
          <cell r="B7319">
            <v>0</v>
          </cell>
          <cell r="C7319" t="str">
            <v xml:space="preserve">  NIAZ TRADING COMPANY</v>
          </cell>
          <cell r="D7319">
            <v>0</v>
          </cell>
          <cell r="E7319">
            <v>0</v>
          </cell>
          <cell r="F7319">
            <v>0</v>
          </cell>
          <cell r="G7319">
            <v>0</v>
          </cell>
        </row>
        <row r="7320">
          <cell r="A7320" t="str">
            <v>55-06-01-0110</v>
          </cell>
          <cell r="B7320">
            <v>0</v>
          </cell>
          <cell r="C7320" t="str">
            <v xml:space="preserve">  MUHAMMAD ZAMURD</v>
          </cell>
          <cell r="D7320">
            <v>0</v>
          </cell>
          <cell r="E7320">
            <v>0</v>
          </cell>
          <cell r="F7320">
            <v>0</v>
          </cell>
          <cell r="G7320">
            <v>0</v>
          </cell>
        </row>
        <row r="7321">
          <cell r="A7321" t="str">
            <v>55-06-01-0111</v>
          </cell>
          <cell r="B7321">
            <v>0</v>
          </cell>
          <cell r="C7321" t="str">
            <v xml:space="preserve">  MUHAMMAD IFTIKHAR</v>
          </cell>
          <cell r="D7321">
            <v>0</v>
          </cell>
          <cell r="E7321">
            <v>0</v>
          </cell>
          <cell r="F7321">
            <v>0</v>
          </cell>
          <cell r="G7321">
            <v>0</v>
          </cell>
        </row>
        <row r="7322">
          <cell r="A7322" t="str">
            <v>55-06-01-0112</v>
          </cell>
          <cell r="B7322">
            <v>0</v>
          </cell>
          <cell r="C7322" t="str">
            <v xml:space="preserve">  JAMAL DIN CAMP</v>
          </cell>
          <cell r="D7322">
            <v>0</v>
          </cell>
          <cell r="E7322">
            <v>0</v>
          </cell>
          <cell r="F7322">
            <v>0</v>
          </cell>
          <cell r="G7322">
            <v>0</v>
          </cell>
        </row>
        <row r="7323">
          <cell r="A7323" t="str">
            <v>55-06-01-0113</v>
          </cell>
          <cell r="B7323">
            <v>0</v>
          </cell>
          <cell r="C7323" t="str">
            <v xml:space="preserve">  MUHAMMAD LATEEF</v>
          </cell>
          <cell r="D7323">
            <v>0</v>
          </cell>
          <cell r="E7323">
            <v>0</v>
          </cell>
          <cell r="F7323">
            <v>0</v>
          </cell>
          <cell r="G7323">
            <v>0</v>
          </cell>
        </row>
        <row r="7324">
          <cell r="A7324" t="str">
            <v>55-06-01-0114</v>
          </cell>
          <cell r="B7324">
            <v>0</v>
          </cell>
          <cell r="C7324" t="str">
            <v xml:space="preserve">  JAMAL UD DIN</v>
          </cell>
          <cell r="D7324">
            <v>0</v>
          </cell>
          <cell r="E7324">
            <v>0</v>
          </cell>
          <cell r="F7324">
            <v>0</v>
          </cell>
          <cell r="G7324">
            <v>0</v>
          </cell>
        </row>
        <row r="7325">
          <cell r="A7325" t="str">
            <v>55-06-01-0115</v>
          </cell>
          <cell r="B7325">
            <v>0</v>
          </cell>
          <cell r="C7325" t="str">
            <v xml:space="preserve">  GUL FRAZ KHAN</v>
          </cell>
          <cell r="D7325">
            <v>0</v>
          </cell>
          <cell r="E7325">
            <v>0</v>
          </cell>
          <cell r="F7325">
            <v>0</v>
          </cell>
          <cell r="G7325">
            <v>0</v>
          </cell>
        </row>
        <row r="7326">
          <cell r="A7326" t="str">
            <v>55-06-01-0116</v>
          </cell>
          <cell r="B7326">
            <v>0</v>
          </cell>
          <cell r="C7326" t="str">
            <v xml:space="preserve">  ALI ZAMAN SCRAPE DEALER GANDAF</v>
          </cell>
          <cell r="D7326">
            <v>0</v>
          </cell>
          <cell r="E7326">
            <v>0</v>
          </cell>
          <cell r="F7326">
            <v>0</v>
          </cell>
          <cell r="G7326">
            <v>0</v>
          </cell>
        </row>
        <row r="7327">
          <cell r="A7327" t="str">
            <v>55-06-01-0117</v>
          </cell>
          <cell r="B7327">
            <v>0</v>
          </cell>
          <cell r="C7327" t="str">
            <v xml:space="preserve">  BONAIR COTTON WASTE FACTORY BONAIR</v>
          </cell>
          <cell r="D7327">
            <v>0</v>
          </cell>
          <cell r="E7327">
            <v>0</v>
          </cell>
          <cell r="F7327">
            <v>0</v>
          </cell>
          <cell r="G7327">
            <v>0</v>
          </cell>
        </row>
        <row r="7328">
          <cell r="A7328" t="str">
            <v>55-06-01-0119</v>
          </cell>
          <cell r="B7328">
            <v>0</v>
          </cell>
          <cell r="C7328" t="str">
            <v xml:space="preserve">  FAZIL KHAN C/O GTM (SECURITY)</v>
          </cell>
          <cell r="D7328">
            <v>0</v>
          </cell>
          <cell r="E7328">
            <v>0</v>
          </cell>
          <cell r="F7328">
            <v>0</v>
          </cell>
          <cell r="G7328">
            <v>0</v>
          </cell>
        </row>
        <row r="7329">
          <cell r="A7329" t="str">
            <v>55-06-01-0120</v>
          </cell>
          <cell r="B7329">
            <v>0</v>
          </cell>
          <cell r="C7329" t="str">
            <v xml:space="preserve">  A.R.ENTERPRISES</v>
          </cell>
          <cell r="D7329">
            <v>0</v>
          </cell>
          <cell r="E7329">
            <v>0</v>
          </cell>
          <cell r="F7329">
            <v>0</v>
          </cell>
          <cell r="G7329">
            <v>0</v>
          </cell>
        </row>
        <row r="7330">
          <cell r="A7330" t="str">
            <v>55-06-01-0121</v>
          </cell>
          <cell r="B7330">
            <v>0</v>
          </cell>
          <cell r="C7330" t="str">
            <v xml:space="preserve">  SAGHEER AHMED SCRAPE DEALER</v>
          </cell>
          <cell r="D7330">
            <v>0</v>
          </cell>
          <cell r="E7330">
            <v>0</v>
          </cell>
          <cell r="F7330">
            <v>0</v>
          </cell>
          <cell r="G7330">
            <v>0</v>
          </cell>
        </row>
        <row r="7331">
          <cell r="A7331" t="str">
            <v>55-06-01-0122</v>
          </cell>
          <cell r="B7331">
            <v>0</v>
          </cell>
          <cell r="C7331" t="str">
            <v xml:space="preserve">  AKHTAR ALI</v>
          </cell>
          <cell r="D7331">
            <v>0</v>
          </cell>
          <cell r="E7331">
            <v>0</v>
          </cell>
          <cell r="F7331">
            <v>0</v>
          </cell>
          <cell r="G7331">
            <v>0</v>
          </cell>
        </row>
        <row r="7332">
          <cell r="A7332" t="str">
            <v>55-06-01-0123</v>
          </cell>
          <cell r="B7332">
            <v>0</v>
          </cell>
          <cell r="C7332" t="str">
            <v xml:space="preserve">  MUHAMMAD MUSTAFA</v>
          </cell>
          <cell r="D7332">
            <v>0</v>
          </cell>
          <cell r="E7332">
            <v>0</v>
          </cell>
          <cell r="F7332">
            <v>0</v>
          </cell>
          <cell r="G7332">
            <v>0</v>
          </cell>
        </row>
        <row r="7333">
          <cell r="A7333" t="str">
            <v>55-06-01-0124</v>
          </cell>
          <cell r="B7333">
            <v>0</v>
          </cell>
          <cell r="C7333" t="str">
            <v xml:space="preserve">  PAKISTAN PAPER CONE FAISALABAD.</v>
          </cell>
          <cell r="D7333">
            <v>0</v>
          </cell>
          <cell r="E7333">
            <v>0</v>
          </cell>
          <cell r="F7333">
            <v>0</v>
          </cell>
          <cell r="G7333">
            <v>0</v>
          </cell>
        </row>
        <row r="7334">
          <cell r="A7334" t="str">
            <v>55-06-01-0125</v>
          </cell>
          <cell r="B7334">
            <v>0</v>
          </cell>
          <cell r="C7334" t="str">
            <v xml:space="preserve">  AHMED KHAN FAISALABAD</v>
          </cell>
          <cell r="D7334">
            <v>0</v>
          </cell>
          <cell r="E7334">
            <v>0</v>
          </cell>
          <cell r="F7334">
            <v>0</v>
          </cell>
          <cell r="G7334">
            <v>0</v>
          </cell>
        </row>
        <row r="7335">
          <cell r="A7335" t="str">
            <v>55-06-01-0126</v>
          </cell>
          <cell r="B7335">
            <v>0</v>
          </cell>
          <cell r="C7335" t="str">
            <v xml:space="preserve">  TALIB HUSSAIN SCRAPE DEALER FAISALABAD</v>
          </cell>
          <cell r="D7335">
            <v>0</v>
          </cell>
          <cell r="E7335">
            <v>0</v>
          </cell>
          <cell r="F7335">
            <v>0</v>
          </cell>
          <cell r="G7335">
            <v>0</v>
          </cell>
        </row>
        <row r="7336">
          <cell r="A7336" t="str">
            <v>55-06-01-0127</v>
          </cell>
          <cell r="B7336">
            <v>0</v>
          </cell>
          <cell r="C7336" t="str">
            <v xml:space="preserve">  ALLAH BAKHSH C/O GTM # 2</v>
          </cell>
          <cell r="D7336">
            <v>0</v>
          </cell>
          <cell r="E7336">
            <v>0</v>
          </cell>
          <cell r="F7336">
            <v>0</v>
          </cell>
          <cell r="G7336">
            <v>0</v>
          </cell>
        </row>
        <row r="7337">
          <cell r="A7337" t="str">
            <v>55-06-01-0128</v>
          </cell>
          <cell r="B7337">
            <v>0</v>
          </cell>
          <cell r="C7337" t="str">
            <v xml:space="preserve">  BAHADAR ALI HEAD JOBBER</v>
          </cell>
          <cell r="D7337">
            <v>0</v>
          </cell>
          <cell r="E7337">
            <v>0</v>
          </cell>
          <cell r="F7337">
            <v>0</v>
          </cell>
          <cell r="G7337">
            <v>0</v>
          </cell>
        </row>
        <row r="7338">
          <cell r="A7338" t="str">
            <v>55-06-01-0129</v>
          </cell>
          <cell r="B7338">
            <v>0</v>
          </cell>
          <cell r="C7338" t="str">
            <v xml:space="preserve">  MUHABBAT KHAN PACKING CONTRACTOR</v>
          </cell>
          <cell r="D7338">
            <v>0</v>
          </cell>
          <cell r="E7338">
            <v>0</v>
          </cell>
          <cell r="F7338">
            <v>0</v>
          </cell>
          <cell r="G7338">
            <v>0</v>
          </cell>
        </row>
        <row r="7339">
          <cell r="A7339" t="str">
            <v>55-06-01-0130</v>
          </cell>
          <cell r="B7339">
            <v>0</v>
          </cell>
          <cell r="C7339" t="str">
            <v xml:space="preserve">  HIZBUL AMIN C/O GTML</v>
          </cell>
          <cell r="D7339">
            <v>0</v>
          </cell>
          <cell r="E7339">
            <v>0</v>
          </cell>
          <cell r="F7339">
            <v>0</v>
          </cell>
          <cell r="G7339">
            <v>0</v>
          </cell>
        </row>
        <row r="7340">
          <cell r="A7340" t="str">
            <v>55-06-01-0131</v>
          </cell>
          <cell r="B7340">
            <v>0</v>
          </cell>
          <cell r="C7340" t="str">
            <v xml:space="preserve">  AL-JADOON GENERAL ORDER SUPPLIERS</v>
          </cell>
          <cell r="D7340">
            <v>0</v>
          </cell>
          <cell r="E7340">
            <v>0</v>
          </cell>
          <cell r="F7340">
            <v>0</v>
          </cell>
          <cell r="G7340">
            <v>0</v>
          </cell>
        </row>
        <row r="7341">
          <cell r="A7341" t="str">
            <v>55-06-01-0132</v>
          </cell>
          <cell r="B7341">
            <v>0</v>
          </cell>
          <cell r="C7341" t="str">
            <v xml:space="preserve">  MUHAMMAD ASHRAF LAHORE SCRAPE DEALER</v>
          </cell>
          <cell r="D7341">
            <v>0</v>
          </cell>
          <cell r="E7341">
            <v>0</v>
          </cell>
          <cell r="F7341">
            <v>0</v>
          </cell>
          <cell r="G7341">
            <v>0</v>
          </cell>
        </row>
        <row r="7342">
          <cell r="A7342" t="str">
            <v>55-06-01-0133</v>
          </cell>
          <cell r="B7342">
            <v>0</v>
          </cell>
          <cell r="C7342" t="str">
            <v xml:space="preserve">  MUHAMMAD SALIM SCRAPE DEALER (TOPI)</v>
          </cell>
          <cell r="D7342">
            <v>0</v>
          </cell>
          <cell r="E7342">
            <v>0</v>
          </cell>
          <cell r="F7342">
            <v>0</v>
          </cell>
          <cell r="G7342">
            <v>0</v>
          </cell>
        </row>
        <row r="7343">
          <cell r="A7343" t="str">
            <v>55-06-01-0134</v>
          </cell>
          <cell r="B7343">
            <v>0</v>
          </cell>
          <cell r="C7343" t="str">
            <v xml:space="preserve">  QADEEM SHAH SCRAPE DEALER</v>
          </cell>
          <cell r="D7343">
            <v>0</v>
          </cell>
          <cell r="E7343">
            <v>0</v>
          </cell>
          <cell r="F7343">
            <v>0</v>
          </cell>
          <cell r="G7343">
            <v>0</v>
          </cell>
        </row>
        <row r="7344">
          <cell r="A7344" t="str">
            <v>55-06-01-0135</v>
          </cell>
          <cell r="B7344">
            <v>0</v>
          </cell>
          <cell r="C7344" t="str">
            <v xml:space="preserve">  FAHEEM DAD  CAMP</v>
          </cell>
          <cell r="D7344">
            <v>0</v>
          </cell>
          <cell r="E7344">
            <v>0</v>
          </cell>
          <cell r="F7344">
            <v>0</v>
          </cell>
          <cell r="G7344">
            <v>0</v>
          </cell>
        </row>
        <row r="7345">
          <cell r="A7345" t="str">
            <v>55-06-01-0136</v>
          </cell>
          <cell r="B7345">
            <v>0</v>
          </cell>
          <cell r="C7345" t="str">
            <v xml:space="preserve">  MUHAMMAD NAWAZ C/O GTM CONTRACTOR</v>
          </cell>
          <cell r="D7345">
            <v>0</v>
          </cell>
          <cell r="E7345">
            <v>0</v>
          </cell>
          <cell r="F7345">
            <v>0</v>
          </cell>
          <cell r="G7345">
            <v>0</v>
          </cell>
        </row>
        <row r="7346">
          <cell r="A7346" t="str">
            <v>55-06-01-0137</v>
          </cell>
          <cell r="B7346">
            <v>0</v>
          </cell>
          <cell r="C7346" t="str">
            <v xml:space="preserve">  MUHAMMAD ALI LAHORE</v>
          </cell>
          <cell r="D7346">
            <v>0</v>
          </cell>
          <cell r="E7346">
            <v>0</v>
          </cell>
          <cell r="F7346">
            <v>0</v>
          </cell>
          <cell r="G7346">
            <v>0</v>
          </cell>
        </row>
        <row r="7347">
          <cell r="A7347" t="str">
            <v>55-06-01-0138</v>
          </cell>
          <cell r="B7347">
            <v>0</v>
          </cell>
          <cell r="C7347" t="str">
            <v xml:space="preserve">  FAZAL KHAN C/O GTM SECURITY</v>
          </cell>
          <cell r="D7347">
            <v>0</v>
          </cell>
          <cell r="E7347">
            <v>0</v>
          </cell>
          <cell r="F7347">
            <v>0</v>
          </cell>
          <cell r="G7347">
            <v>0</v>
          </cell>
        </row>
        <row r="7348">
          <cell r="A7348" t="str">
            <v>55-06-01-0139</v>
          </cell>
          <cell r="B7348">
            <v>0</v>
          </cell>
          <cell r="C7348" t="str">
            <v xml:space="preserve">  ABDUL HAKEEM SCRAPE DEALER</v>
          </cell>
          <cell r="D7348">
            <v>0</v>
          </cell>
          <cell r="E7348">
            <v>0</v>
          </cell>
          <cell r="F7348">
            <v>0</v>
          </cell>
          <cell r="G7348">
            <v>0</v>
          </cell>
        </row>
        <row r="7349">
          <cell r="A7349" t="str">
            <v>55-06-01-0140</v>
          </cell>
          <cell r="B7349">
            <v>0</v>
          </cell>
          <cell r="C7349" t="str">
            <v xml:space="preserve">  ARSHAD MEHMOOD C/O G.T.M.</v>
          </cell>
          <cell r="D7349">
            <v>0</v>
          </cell>
          <cell r="E7349">
            <v>0</v>
          </cell>
          <cell r="F7349">
            <v>0</v>
          </cell>
          <cell r="G7349">
            <v>0</v>
          </cell>
        </row>
        <row r="7350">
          <cell r="A7350" t="str">
            <v>55-06-01-0141</v>
          </cell>
          <cell r="B7350">
            <v>0</v>
          </cell>
          <cell r="C7350" t="str">
            <v xml:space="preserve">  MUHAMMAD HUSSAIN SCRAP DEALER FSD.</v>
          </cell>
          <cell r="D7350">
            <v>0</v>
          </cell>
          <cell r="E7350">
            <v>0</v>
          </cell>
          <cell r="F7350">
            <v>0</v>
          </cell>
          <cell r="G7350">
            <v>0</v>
          </cell>
        </row>
        <row r="7351">
          <cell r="A7351" t="str">
            <v>55-06-01-0142</v>
          </cell>
          <cell r="B7351">
            <v>0</v>
          </cell>
          <cell r="C7351" t="str">
            <v xml:space="preserve">  DRIVER RIASAT GTML SCRAPE SALE</v>
          </cell>
          <cell r="D7351">
            <v>0</v>
          </cell>
          <cell r="E7351">
            <v>0</v>
          </cell>
          <cell r="F7351">
            <v>0</v>
          </cell>
          <cell r="G7351">
            <v>0</v>
          </cell>
        </row>
        <row r="7352">
          <cell r="A7352" t="str">
            <v>55-06-01-0143</v>
          </cell>
          <cell r="B7352">
            <v>0</v>
          </cell>
          <cell r="C7352" t="str">
            <v xml:space="preserve">  MUKAMIL SHAH TOPI SCRAPE DEALER</v>
          </cell>
          <cell r="D7352">
            <v>0</v>
          </cell>
          <cell r="E7352">
            <v>0</v>
          </cell>
          <cell r="F7352">
            <v>0</v>
          </cell>
          <cell r="G7352">
            <v>0</v>
          </cell>
        </row>
        <row r="7353">
          <cell r="A7353" t="str">
            <v>55-06-01-0144</v>
          </cell>
          <cell r="B7353">
            <v>0</v>
          </cell>
          <cell r="C7353" t="str">
            <v xml:space="preserve">  SHEIKH GULZAR LAHORE SCRAPE DEALER</v>
          </cell>
          <cell r="D7353">
            <v>0</v>
          </cell>
          <cell r="E7353">
            <v>0</v>
          </cell>
          <cell r="F7353">
            <v>0</v>
          </cell>
          <cell r="G7353">
            <v>0</v>
          </cell>
        </row>
        <row r="7354">
          <cell r="A7354" t="str">
            <v>55-06-01-0145</v>
          </cell>
          <cell r="B7354">
            <v>0</v>
          </cell>
          <cell r="C7354" t="str">
            <v xml:space="preserve">  MUHAMMAD BASHIR GTM SCRAPE DEALER</v>
          </cell>
          <cell r="D7354">
            <v>0</v>
          </cell>
          <cell r="E7354">
            <v>0</v>
          </cell>
          <cell r="F7354">
            <v>0</v>
          </cell>
          <cell r="G7354">
            <v>0</v>
          </cell>
        </row>
        <row r="7355">
          <cell r="A7355" t="str">
            <v>55-06-01-0146</v>
          </cell>
          <cell r="B7355">
            <v>0</v>
          </cell>
          <cell r="C7355" t="str">
            <v xml:space="preserve">  A.I.TRADERS FAISLABAD SCRAPE DEALER</v>
          </cell>
          <cell r="D7355">
            <v>0</v>
          </cell>
          <cell r="E7355">
            <v>52</v>
          </cell>
          <cell r="F7355">
            <v>0</v>
          </cell>
          <cell r="G7355">
            <v>0</v>
          </cell>
        </row>
        <row r="7356">
          <cell r="A7356" t="str">
            <v>55-06-01-0147</v>
          </cell>
          <cell r="B7356">
            <v>0</v>
          </cell>
          <cell r="C7356" t="str">
            <v xml:space="preserve">  MUHAMMAD TARIQ TOPI</v>
          </cell>
          <cell r="D7356">
            <v>0</v>
          </cell>
          <cell r="E7356">
            <v>0</v>
          </cell>
          <cell r="F7356">
            <v>0</v>
          </cell>
          <cell r="G7356">
            <v>0</v>
          </cell>
        </row>
        <row r="7357">
          <cell r="A7357" t="str">
            <v>55-06-01-0148</v>
          </cell>
          <cell r="B7357">
            <v>0</v>
          </cell>
          <cell r="C7357" t="str">
            <v xml:space="preserve">  WASEEM AHMED LAHORE</v>
          </cell>
          <cell r="D7357">
            <v>0</v>
          </cell>
          <cell r="E7357">
            <v>0</v>
          </cell>
          <cell r="F7357">
            <v>0</v>
          </cell>
          <cell r="G7357">
            <v>0</v>
          </cell>
        </row>
        <row r="7358">
          <cell r="A7358" t="str">
            <v>55-06-01-0149</v>
          </cell>
          <cell r="B7358">
            <v>0</v>
          </cell>
          <cell r="C7358" t="str">
            <v xml:space="preserve">  IMRAN C/O HBL SCRAPE REALER</v>
          </cell>
          <cell r="D7358">
            <v>0</v>
          </cell>
          <cell r="E7358">
            <v>0</v>
          </cell>
          <cell r="F7358">
            <v>0</v>
          </cell>
          <cell r="G7358">
            <v>0</v>
          </cell>
        </row>
        <row r="7359">
          <cell r="A7359" t="str">
            <v>55-06-01-0150</v>
          </cell>
          <cell r="B7359">
            <v>0</v>
          </cell>
          <cell r="C7359" t="str">
            <v xml:space="preserve">  WALYAT KHAN C/O GADOON M/STORE.</v>
          </cell>
          <cell r="D7359">
            <v>0</v>
          </cell>
          <cell r="E7359">
            <v>0</v>
          </cell>
          <cell r="F7359">
            <v>0</v>
          </cell>
          <cell r="G7359">
            <v>0</v>
          </cell>
        </row>
        <row r="7360">
          <cell r="A7360" t="str">
            <v>55-06-01-0151</v>
          </cell>
          <cell r="B7360">
            <v>0</v>
          </cell>
          <cell r="C7360" t="str">
            <v xml:space="preserve">  DILAWAR KHAN GADOON M/STORE</v>
          </cell>
          <cell r="D7360">
            <v>0</v>
          </cell>
          <cell r="E7360">
            <v>0</v>
          </cell>
          <cell r="F7360">
            <v>0</v>
          </cell>
          <cell r="G7360">
            <v>0</v>
          </cell>
        </row>
        <row r="7361">
          <cell r="A7361" t="str">
            <v>55-06-01-0152</v>
          </cell>
          <cell r="B7361">
            <v>0</v>
          </cell>
          <cell r="C7361" t="str">
            <v xml:space="preserve">  SAID ALI SHAH C/O G.T.M POWER PLANT</v>
          </cell>
          <cell r="D7361">
            <v>0</v>
          </cell>
          <cell r="E7361">
            <v>0</v>
          </cell>
          <cell r="F7361">
            <v>0</v>
          </cell>
          <cell r="G7361">
            <v>0</v>
          </cell>
        </row>
        <row r="7362">
          <cell r="A7362" t="str">
            <v>55-06-01-0153</v>
          </cell>
          <cell r="B7362">
            <v>0</v>
          </cell>
          <cell r="C7362" t="str">
            <v xml:space="preserve">  KHAISTA BAZ C/O GTM (SECURITY)</v>
          </cell>
          <cell r="D7362">
            <v>0</v>
          </cell>
          <cell r="E7362">
            <v>0</v>
          </cell>
          <cell r="F7362">
            <v>0</v>
          </cell>
          <cell r="G7362">
            <v>0</v>
          </cell>
        </row>
        <row r="7363">
          <cell r="A7363" t="str">
            <v>55-06-01-0154</v>
          </cell>
          <cell r="B7363">
            <v>0</v>
          </cell>
          <cell r="C7363" t="str">
            <v xml:space="preserve">  MALIK JAVED LAHORE (SCRAPE DEALER)</v>
          </cell>
          <cell r="D7363">
            <v>0</v>
          </cell>
          <cell r="E7363">
            <v>0</v>
          </cell>
          <cell r="F7363">
            <v>0</v>
          </cell>
          <cell r="G7363">
            <v>0</v>
          </cell>
        </row>
        <row r="7364">
          <cell r="A7364" t="str">
            <v>55-06-01-0155</v>
          </cell>
          <cell r="B7364">
            <v>0</v>
          </cell>
          <cell r="C7364" t="str">
            <v xml:space="preserve">  DR. ABDUL AZIZ C/O GTML</v>
          </cell>
          <cell r="D7364">
            <v>0</v>
          </cell>
          <cell r="E7364">
            <v>0</v>
          </cell>
          <cell r="F7364">
            <v>0</v>
          </cell>
          <cell r="G7364">
            <v>0</v>
          </cell>
        </row>
        <row r="7365">
          <cell r="A7365" t="str">
            <v>55-06-01-0156</v>
          </cell>
          <cell r="B7365">
            <v>0</v>
          </cell>
          <cell r="C7365" t="str">
            <v xml:space="preserve">  IZHAR PRIVATE LIMITED LAHORE</v>
          </cell>
          <cell r="D7365">
            <v>0</v>
          </cell>
          <cell r="E7365">
            <v>0</v>
          </cell>
          <cell r="F7365">
            <v>0</v>
          </cell>
          <cell r="G7365">
            <v>0</v>
          </cell>
        </row>
        <row r="7366">
          <cell r="A7366" t="str">
            <v>55-06-01-0157</v>
          </cell>
          <cell r="B7366">
            <v>0</v>
          </cell>
          <cell r="C7366" t="str">
            <v xml:space="preserve">  MUHAMMAD FAROOQ CAMP</v>
          </cell>
          <cell r="D7366">
            <v>0</v>
          </cell>
          <cell r="E7366">
            <v>0</v>
          </cell>
          <cell r="F7366">
            <v>0</v>
          </cell>
          <cell r="G7366">
            <v>0</v>
          </cell>
        </row>
        <row r="7367">
          <cell r="A7367" t="str">
            <v>55-06-01-0158</v>
          </cell>
          <cell r="B7367">
            <v>0</v>
          </cell>
          <cell r="C7367" t="str">
            <v xml:space="preserve">  FAZL-E-RABI TOPI</v>
          </cell>
          <cell r="D7367">
            <v>0</v>
          </cell>
          <cell r="E7367">
            <v>0</v>
          </cell>
          <cell r="F7367">
            <v>0</v>
          </cell>
          <cell r="G7367">
            <v>0</v>
          </cell>
        </row>
        <row r="7368">
          <cell r="A7368" t="str">
            <v>55-06-01-0159</v>
          </cell>
          <cell r="B7368">
            <v>0</v>
          </cell>
          <cell r="C7368" t="str">
            <v xml:space="preserve">  KA KA KHEL TRADERS NOWSHERA</v>
          </cell>
          <cell r="D7368">
            <v>0</v>
          </cell>
          <cell r="E7368">
            <v>0</v>
          </cell>
          <cell r="F7368">
            <v>0</v>
          </cell>
          <cell r="G7368">
            <v>0</v>
          </cell>
        </row>
        <row r="7369">
          <cell r="A7369" t="str">
            <v>55-06-01-0160</v>
          </cell>
          <cell r="B7369">
            <v>0</v>
          </cell>
          <cell r="C7369" t="str">
            <v xml:space="preserve">  JADOON TRADING COMPANY</v>
          </cell>
          <cell r="D7369">
            <v>0</v>
          </cell>
          <cell r="E7369">
            <v>0</v>
          </cell>
          <cell r="F7369">
            <v>0</v>
          </cell>
          <cell r="G7369">
            <v>0</v>
          </cell>
        </row>
        <row r="7370">
          <cell r="A7370" t="str">
            <v>55-06-01-0161</v>
          </cell>
          <cell r="B7370">
            <v>0</v>
          </cell>
          <cell r="C7370" t="str">
            <v xml:space="preserve">  NASIR KHAN CHARSADDA</v>
          </cell>
          <cell r="D7370">
            <v>0</v>
          </cell>
          <cell r="E7370">
            <v>0</v>
          </cell>
          <cell r="F7370">
            <v>0</v>
          </cell>
          <cell r="G7370">
            <v>0</v>
          </cell>
        </row>
        <row r="7371">
          <cell r="A7371" t="str">
            <v>55-06-01-0162</v>
          </cell>
          <cell r="B7371">
            <v>0</v>
          </cell>
          <cell r="C7371" t="str">
            <v xml:space="preserve">  MUHAMMAD ASIF GTM</v>
          </cell>
          <cell r="D7371">
            <v>0</v>
          </cell>
          <cell r="E7371">
            <v>0</v>
          </cell>
          <cell r="F7371">
            <v>0</v>
          </cell>
          <cell r="G7371">
            <v>0</v>
          </cell>
        </row>
        <row r="7372">
          <cell r="A7372" t="str">
            <v>55-06-01-0163</v>
          </cell>
          <cell r="B7372">
            <v>0</v>
          </cell>
          <cell r="C7372" t="str">
            <v xml:space="preserve">  MUHAMMAD AZAM C/O ELECTRIC M # 3</v>
          </cell>
          <cell r="D7372">
            <v>0</v>
          </cell>
          <cell r="E7372">
            <v>0</v>
          </cell>
          <cell r="F7372">
            <v>0</v>
          </cell>
          <cell r="G7372">
            <v>0</v>
          </cell>
        </row>
        <row r="7373">
          <cell r="A7373" t="str">
            <v>55-06-01-0164</v>
          </cell>
          <cell r="B7373">
            <v>0</v>
          </cell>
          <cell r="C7373" t="str">
            <v xml:space="preserve">  SARFARAZ GADOON</v>
          </cell>
          <cell r="D7373">
            <v>0</v>
          </cell>
          <cell r="E7373">
            <v>0</v>
          </cell>
          <cell r="F7373">
            <v>0</v>
          </cell>
          <cell r="G7373">
            <v>0</v>
          </cell>
        </row>
        <row r="7374">
          <cell r="A7374" t="str">
            <v>55-06-01-0165</v>
          </cell>
          <cell r="B7374">
            <v>0</v>
          </cell>
          <cell r="C7374" t="str">
            <v xml:space="preserve">  YOUSUF (ESSI)</v>
          </cell>
          <cell r="D7374">
            <v>0</v>
          </cell>
          <cell r="E7374">
            <v>0</v>
          </cell>
          <cell r="F7374">
            <v>0</v>
          </cell>
          <cell r="G7374">
            <v>0</v>
          </cell>
        </row>
        <row r="7375">
          <cell r="A7375" t="str">
            <v>55-06-01-0166</v>
          </cell>
          <cell r="B7375">
            <v>0</v>
          </cell>
          <cell r="C7375" t="str">
            <v xml:space="preserve">  JANAS KHAN C/O GTM</v>
          </cell>
          <cell r="D7375">
            <v>0</v>
          </cell>
          <cell r="E7375">
            <v>0</v>
          </cell>
          <cell r="F7375">
            <v>0</v>
          </cell>
          <cell r="G7375">
            <v>0</v>
          </cell>
        </row>
        <row r="7376">
          <cell r="A7376" t="str">
            <v>55-06-01-0167</v>
          </cell>
          <cell r="B7376">
            <v>0</v>
          </cell>
          <cell r="C7376" t="str">
            <v xml:space="preserve">  MUHAMMAD ASGHAR C/O G.T.M-4</v>
          </cell>
          <cell r="D7376">
            <v>0</v>
          </cell>
          <cell r="E7376">
            <v>0</v>
          </cell>
          <cell r="F7376">
            <v>0</v>
          </cell>
          <cell r="G7376">
            <v>0</v>
          </cell>
        </row>
        <row r="7377">
          <cell r="A7377" t="str">
            <v>55-06-01-0168</v>
          </cell>
          <cell r="B7377">
            <v>0</v>
          </cell>
          <cell r="C7377" t="str">
            <v xml:space="preserve">  WAHEEDULLAH SCRAPE DEALER</v>
          </cell>
          <cell r="D7377">
            <v>0</v>
          </cell>
          <cell r="E7377">
            <v>0</v>
          </cell>
          <cell r="F7377">
            <v>0</v>
          </cell>
          <cell r="G7377">
            <v>0</v>
          </cell>
        </row>
        <row r="7378">
          <cell r="A7378" t="str">
            <v>55-06-01-0170</v>
          </cell>
          <cell r="B7378">
            <v>0</v>
          </cell>
          <cell r="C7378" t="str">
            <v xml:space="preserve">  SIRAJ AKBAR GADOON</v>
          </cell>
          <cell r="D7378">
            <v>0</v>
          </cell>
          <cell r="E7378">
            <v>0</v>
          </cell>
          <cell r="F7378">
            <v>0</v>
          </cell>
          <cell r="G7378">
            <v>0</v>
          </cell>
        </row>
        <row r="7379">
          <cell r="A7379" t="str">
            <v>55-06-01-0171</v>
          </cell>
          <cell r="B7379">
            <v>0</v>
          </cell>
          <cell r="C7379" t="str">
            <v xml:space="preserve">  ABDUL QAYYAM C/O GTML M # 2</v>
          </cell>
          <cell r="D7379">
            <v>0</v>
          </cell>
          <cell r="E7379">
            <v>0</v>
          </cell>
          <cell r="F7379">
            <v>0</v>
          </cell>
          <cell r="G7379">
            <v>0</v>
          </cell>
        </row>
        <row r="7380">
          <cell r="A7380" t="str">
            <v>55-06-01-0172</v>
          </cell>
          <cell r="B7380">
            <v>0</v>
          </cell>
          <cell r="C7380" t="str">
            <v xml:space="preserve">  QASIM TRADERS LAHORE</v>
          </cell>
          <cell r="D7380">
            <v>0</v>
          </cell>
          <cell r="E7380">
            <v>0</v>
          </cell>
          <cell r="F7380">
            <v>0</v>
          </cell>
          <cell r="G7380">
            <v>0</v>
          </cell>
        </row>
        <row r="7381">
          <cell r="A7381" t="str">
            <v>55-06-01-0173</v>
          </cell>
          <cell r="B7381">
            <v>0</v>
          </cell>
          <cell r="C7381" t="str">
            <v xml:space="preserve">  HAMEED SHAH HARIPUR SCRAPE DEALER</v>
          </cell>
          <cell r="D7381">
            <v>0</v>
          </cell>
          <cell r="E7381">
            <v>0</v>
          </cell>
          <cell r="F7381">
            <v>0</v>
          </cell>
          <cell r="G7381">
            <v>0</v>
          </cell>
        </row>
        <row r="7382">
          <cell r="A7382" t="str">
            <v>55-06-01-0174</v>
          </cell>
          <cell r="B7382">
            <v>0</v>
          </cell>
          <cell r="C7382" t="str">
            <v xml:space="preserve">  RAAT KHAN HARI PUR</v>
          </cell>
          <cell r="D7382">
            <v>0</v>
          </cell>
          <cell r="E7382">
            <v>0</v>
          </cell>
          <cell r="F7382">
            <v>0</v>
          </cell>
          <cell r="G7382">
            <v>0</v>
          </cell>
        </row>
        <row r="7383">
          <cell r="A7383" t="str">
            <v>55-06-01-0175</v>
          </cell>
          <cell r="B7383">
            <v>0</v>
          </cell>
          <cell r="C7383" t="str">
            <v xml:space="preserve">  LAAM QADIR C/O GTM SECURITY</v>
          </cell>
          <cell r="D7383">
            <v>0</v>
          </cell>
          <cell r="E7383">
            <v>0</v>
          </cell>
          <cell r="F7383">
            <v>0</v>
          </cell>
          <cell r="G7383">
            <v>0</v>
          </cell>
        </row>
        <row r="7384">
          <cell r="A7384" t="str">
            <v>55-06-01-0176</v>
          </cell>
          <cell r="B7384">
            <v>0</v>
          </cell>
          <cell r="C7384" t="str">
            <v xml:space="preserve">  SHAHID SHARIF C/O GTM FOREMAN</v>
          </cell>
          <cell r="D7384">
            <v>0</v>
          </cell>
          <cell r="E7384">
            <v>0</v>
          </cell>
          <cell r="F7384">
            <v>0</v>
          </cell>
          <cell r="G7384">
            <v>0</v>
          </cell>
        </row>
        <row r="7385">
          <cell r="A7385" t="str">
            <v>55-06-01-0177</v>
          </cell>
          <cell r="B7385">
            <v>0</v>
          </cell>
          <cell r="C7385" t="str">
            <v xml:space="preserve">  MUHAMMAD TAYYAB C/O GTM</v>
          </cell>
          <cell r="D7385">
            <v>0</v>
          </cell>
          <cell r="E7385">
            <v>0</v>
          </cell>
          <cell r="F7385">
            <v>0</v>
          </cell>
          <cell r="G7385">
            <v>0</v>
          </cell>
        </row>
        <row r="7386">
          <cell r="A7386" t="str">
            <v>55-06-01-0178</v>
          </cell>
          <cell r="B7386">
            <v>0</v>
          </cell>
          <cell r="C7386" t="str">
            <v xml:space="preserve">  MUHKTAR AHMED C/O GTM RING</v>
          </cell>
          <cell r="D7386">
            <v>0</v>
          </cell>
          <cell r="E7386">
            <v>0</v>
          </cell>
          <cell r="F7386">
            <v>0</v>
          </cell>
          <cell r="G7386">
            <v>0</v>
          </cell>
        </row>
        <row r="7387">
          <cell r="A7387" t="str">
            <v>55-06-01-0179</v>
          </cell>
          <cell r="B7387">
            <v>0</v>
          </cell>
          <cell r="C7387" t="str">
            <v xml:space="preserve">  MUJAHID ABBAS C/O GTM (B.ROOM I)</v>
          </cell>
          <cell r="D7387">
            <v>0</v>
          </cell>
          <cell r="E7387">
            <v>0</v>
          </cell>
          <cell r="F7387">
            <v>0</v>
          </cell>
          <cell r="G7387">
            <v>0</v>
          </cell>
        </row>
        <row r="7388">
          <cell r="A7388" t="str">
            <v>55-06-01-0180</v>
          </cell>
          <cell r="B7388">
            <v>0</v>
          </cell>
          <cell r="C7388" t="str">
            <v xml:space="preserve">  ARSHAD IQBAL C/O GTM</v>
          </cell>
          <cell r="D7388">
            <v>0</v>
          </cell>
          <cell r="E7388">
            <v>0</v>
          </cell>
          <cell r="F7388">
            <v>0</v>
          </cell>
          <cell r="G7388">
            <v>0</v>
          </cell>
        </row>
        <row r="7389">
          <cell r="A7389" t="str">
            <v>55-06-01-0181</v>
          </cell>
          <cell r="B7389">
            <v>0</v>
          </cell>
          <cell r="C7389" t="str">
            <v xml:space="preserve">  HAZRAT GUL C/O GTM</v>
          </cell>
          <cell r="D7389">
            <v>0</v>
          </cell>
          <cell r="E7389">
            <v>0</v>
          </cell>
          <cell r="F7389">
            <v>0</v>
          </cell>
          <cell r="G7389">
            <v>0</v>
          </cell>
        </row>
        <row r="7390">
          <cell r="A7390" t="str">
            <v>55-06-01-0182</v>
          </cell>
          <cell r="B7390">
            <v>0</v>
          </cell>
          <cell r="C7390" t="str">
            <v xml:space="preserve">  AMEER REHMAN C/O GTM LHR OFFICE</v>
          </cell>
          <cell r="D7390">
            <v>0</v>
          </cell>
          <cell r="E7390">
            <v>0</v>
          </cell>
          <cell r="F7390">
            <v>0</v>
          </cell>
          <cell r="G7390">
            <v>0</v>
          </cell>
        </row>
        <row r="7391">
          <cell r="A7391" t="str">
            <v>55-06-01-0183</v>
          </cell>
          <cell r="B7391">
            <v>0</v>
          </cell>
          <cell r="C7391" t="str">
            <v xml:space="preserve">  FAZL-E-SUBHAN C/O GTMM (DESPATCH)</v>
          </cell>
          <cell r="D7391">
            <v>0</v>
          </cell>
          <cell r="E7391">
            <v>0</v>
          </cell>
          <cell r="F7391">
            <v>0</v>
          </cell>
          <cell r="G7391">
            <v>0</v>
          </cell>
        </row>
        <row r="7392">
          <cell r="A7392" t="str">
            <v>55-06-01-0184</v>
          </cell>
          <cell r="B7392">
            <v>0</v>
          </cell>
          <cell r="C7392" t="str">
            <v xml:space="preserve">  FAZL-E-HADI C/O GTM 2</v>
          </cell>
          <cell r="D7392">
            <v>0</v>
          </cell>
          <cell r="E7392">
            <v>0</v>
          </cell>
          <cell r="F7392">
            <v>0</v>
          </cell>
          <cell r="G7392">
            <v>0</v>
          </cell>
        </row>
        <row r="7393">
          <cell r="A7393" t="str">
            <v>55-06-01-0186</v>
          </cell>
          <cell r="B7393">
            <v>0</v>
          </cell>
          <cell r="C7393" t="str">
            <v xml:space="preserve">  AHMED DIN CAMP</v>
          </cell>
          <cell r="D7393">
            <v>0</v>
          </cell>
          <cell r="E7393">
            <v>0</v>
          </cell>
          <cell r="F7393">
            <v>0</v>
          </cell>
          <cell r="G7393">
            <v>0</v>
          </cell>
        </row>
        <row r="7394">
          <cell r="A7394" t="str">
            <v>55-06-01-0187</v>
          </cell>
          <cell r="B7394">
            <v>0</v>
          </cell>
          <cell r="C7394" t="str">
            <v xml:space="preserve">  SHAUKAT ALI C/O GTM</v>
          </cell>
          <cell r="D7394">
            <v>0</v>
          </cell>
          <cell r="E7394">
            <v>0</v>
          </cell>
          <cell r="F7394">
            <v>0</v>
          </cell>
          <cell r="G7394">
            <v>0</v>
          </cell>
        </row>
        <row r="7395">
          <cell r="A7395" t="str">
            <v>55-06-01-0188</v>
          </cell>
          <cell r="B7395">
            <v>0</v>
          </cell>
          <cell r="C7395" t="str">
            <v xml:space="preserve">  ZAMAN CAMP SCRAPE DEALER</v>
          </cell>
          <cell r="D7395">
            <v>0</v>
          </cell>
          <cell r="E7395">
            <v>0</v>
          </cell>
          <cell r="F7395">
            <v>0</v>
          </cell>
          <cell r="G7395">
            <v>0</v>
          </cell>
        </row>
        <row r="7396">
          <cell r="A7396" t="str">
            <v>55-06-01-0189</v>
          </cell>
          <cell r="B7396">
            <v>0</v>
          </cell>
          <cell r="C7396" t="str">
            <v xml:space="preserve">  GHULAM BASAR SB. MARDAN</v>
          </cell>
          <cell r="D7396">
            <v>0</v>
          </cell>
          <cell r="E7396">
            <v>0</v>
          </cell>
          <cell r="F7396">
            <v>0</v>
          </cell>
          <cell r="G7396">
            <v>0</v>
          </cell>
        </row>
        <row r="7397">
          <cell r="A7397" t="str">
            <v>55-06-01-0190</v>
          </cell>
          <cell r="B7397">
            <v>0</v>
          </cell>
          <cell r="C7397" t="str">
            <v xml:space="preserve">  MUHAMMAD SHOAIB CAMP SCRAPE DEALER</v>
          </cell>
          <cell r="D7397">
            <v>0</v>
          </cell>
          <cell r="E7397">
            <v>0</v>
          </cell>
          <cell r="F7397">
            <v>0</v>
          </cell>
          <cell r="G7397">
            <v>0</v>
          </cell>
        </row>
        <row r="7398">
          <cell r="A7398" t="str">
            <v>55-06-01-0191</v>
          </cell>
          <cell r="B7398">
            <v>0</v>
          </cell>
          <cell r="C7398" t="str">
            <v xml:space="preserve">  ZABIHULLAH CAMP SCRAPE DEALER</v>
          </cell>
          <cell r="D7398">
            <v>0</v>
          </cell>
          <cell r="E7398">
            <v>0</v>
          </cell>
          <cell r="F7398">
            <v>0</v>
          </cell>
          <cell r="G7398">
            <v>0</v>
          </cell>
        </row>
        <row r="7399">
          <cell r="A7399" t="str">
            <v>55-06-01-0192</v>
          </cell>
          <cell r="B7399">
            <v>0</v>
          </cell>
          <cell r="C7399" t="str">
            <v xml:space="preserve">  JAFAR ALI SHKHUPURA.</v>
          </cell>
          <cell r="D7399">
            <v>0</v>
          </cell>
          <cell r="E7399">
            <v>0</v>
          </cell>
          <cell r="F7399">
            <v>0</v>
          </cell>
          <cell r="G7399">
            <v>0</v>
          </cell>
        </row>
        <row r="7400">
          <cell r="A7400" t="str">
            <v>55-06-01-0193</v>
          </cell>
          <cell r="B7400">
            <v>0</v>
          </cell>
          <cell r="C7400" t="str">
            <v xml:space="preserve">  MUHAMMAD ALI  TOPI SCRAPE DEALER</v>
          </cell>
          <cell r="D7400">
            <v>0</v>
          </cell>
          <cell r="E7400">
            <v>25000</v>
          </cell>
          <cell r="F7400">
            <v>0</v>
          </cell>
          <cell r="G7400">
            <v>0</v>
          </cell>
        </row>
        <row r="7401">
          <cell r="A7401" t="str">
            <v>55-06-01-0194</v>
          </cell>
          <cell r="B7401">
            <v>0</v>
          </cell>
          <cell r="C7401" t="str">
            <v xml:space="preserve">  SCRAPE SALES TO COMPANY EMPLOYEES</v>
          </cell>
          <cell r="D7401">
            <v>0</v>
          </cell>
          <cell r="E7401">
            <v>0</v>
          </cell>
          <cell r="F7401">
            <v>0</v>
          </cell>
          <cell r="G7401">
            <v>0</v>
          </cell>
        </row>
        <row r="7402">
          <cell r="A7402" t="str">
            <v>55-06-01-0195</v>
          </cell>
          <cell r="B7402">
            <v>0</v>
          </cell>
          <cell r="C7402" t="str">
            <v xml:space="preserve">  KHALID MEHMOOD FAISALABAD</v>
          </cell>
          <cell r="D7402">
            <v>0</v>
          </cell>
          <cell r="E7402">
            <v>0</v>
          </cell>
          <cell r="F7402">
            <v>0</v>
          </cell>
          <cell r="G7402">
            <v>0</v>
          </cell>
        </row>
        <row r="7403">
          <cell r="A7403" t="str">
            <v>55-06-01-0196</v>
          </cell>
          <cell r="B7403">
            <v>0</v>
          </cell>
          <cell r="C7403" t="str">
            <v xml:space="preserve">  SALEEM SCRAPE DEALER</v>
          </cell>
          <cell r="D7403">
            <v>0</v>
          </cell>
          <cell r="E7403">
            <v>0</v>
          </cell>
          <cell r="F7403">
            <v>0</v>
          </cell>
          <cell r="G7403">
            <v>0</v>
          </cell>
        </row>
        <row r="7404">
          <cell r="A7404" t="str">
            <v>55-06-01-0197</v>
          </cell>
          <cell r="B7404">
            <v>0</v>
          </cell>
          <cell r="C7404" t="str">
            <v xml:space="preserve">  JAN MUHAMMAD SCRAPE DEALER</v>
          </cell>
          <cell r="D7404">
            <v>0</v>
          </cell>
          <cell r="E7404">
            <v>0</v>
          </cell>
          <cell r="F7404">
            <v>0</v>
          </cell>
          <cell r="G7404">
            <v>0</v>
          </cell>
        </row>
        <row r="7405">
          <cell r="A7405" t="str">
            <v>55-06-01-0198</v>
          </cell>
          <cell r="B7405">
            <v>0</v>
          </cell>
          <cell r="C7405" t="str">
            <v xml:space="preserve">  MUHAMMAD ISMAIL TRADERS</v>
          </cell>
          <cell r="D7405">
            <v>0</v>
          </cell>
          <cell r="E7405">
            <v>0</v>
          </cell>
          <cell r="F7405">
            <v>0</v>
          </cell>
          <cell r="G7405">
            <v>0</v>
          </cell>
        </row>
        <row r="7406">
          <cell r="A7406" t="str">
            <v>55-06-01-0199</v>
          </cell>
          <cell r="B7406">
            <v>0</v>
          </cell>
          <cell r="C7406" t="str">
            <v xml:space="preserve">  MUHAMMAD SHAFIQUE</v>
          </cell>
          <cell r="D7406">
            <v>0</v>
          </cell>
          <cell r="E7406">
            <v>0</v>
          </cell>
          <cell r="F7406">
            <v>0</v>
          </cell>
          <cell r="G7406">
            <v>0</v>
          </cell>
        </row>
        <row r="7407">
          <cell r="A7407" t="str">
            <v>55-06-01-0200</v>
          </cell>
          <cell r="B7407">
            <v>0</v>
          </cell>
          <cell r="C7407" t="str">
            <v xml:space="preserve">  MASHAAL TRADERS SWABI</v>
          </cell>
          <cell r="D7407">
            <v>0</v>
          </cell>
          <cell r="E7407">
            <v>0</v>
          </cell>
          <cell r="F7407">
            <v>0</v>
          </cell>
          <cell r="G7407">
            <v>0</v>
          </cell>
        </row>
        <row r="7408">
          <cell r="A7408" t="str">
            <v>55-06-01-0201</v>
          </cell>
          <cell r="B7408">
            <v>0</v>
          </cell>
          <cell r="C7408" t="str">
            <v xml:space="preserve">  WALLIULLAH CAMP</v>
          </cell>
          <cell r="D7408">
            <v>0</v>
          </cell>
          <cell r="E7408">
            <v>0</v>
          </cell>
          <cell r="F7408">
            <v>0</v>
          </cell>
          <cell r="G7408">
            <v>0</v>
          </cell>
        </row>
        <row r="7409">
          <cell r="A7409" t="str">
            <v>55-06-01-0202</v>
          </cell>
          <cell r="B7409">
            <v>0</v>
          </cell>
          <cell r="C7409" t="str">
            <v xml:space="preserve">  ZAHEER DAD KHAN GADOON</v>
          </cell>
          <cell r="D7409">
            <v>0</v>
          </cell>
          <cell r="E7409">
            <v>0</v>
          </cell>
          <cell r="F7409">
            <v>0</v>
          </cell>
          <cell r="G7409">
            <v>0</v>
          </cell>
        </row>
        <row r="7410">
          <cell r="A7410" t="str">
            <v>55-06-01-0203</v>
          </cell>
          <cell r="B7410">
            <v>0</v>
          </cell>
          <cell r="C7410" t="str">
            <v xml:space="preserve">  AMANAT ALI LAHORE</v>
          </cell>
          <cell r="D7410">
            <v>0</v>
          </cell>
          <cell r="E7410">
            <v>0</v>
          </cell>
          <cell r="F7410">
            <v>0</v>
          </cell>
          <cell r="G7410">
            <v>0</v>
          </cell>
        </row>
        <row r="7411">
          <cell r="A7411" t="str">
            <v>55-06-01-0204</v>
          </cell>
          <cell r="B7411">
            <v>0</v>
          </cell>
          <cell r="C7411" t="str">
            <v xml:space="preserve">  MUHAMMAD TARIQ GANDAF</v>
          </cell>
          <cell r="D7411">
            <v>0</v>
          </cell>
          <cell r="E7411">
            <v>0</v>
          </cell>
          <cell r="F7411">
            <v>0</v>
          </cell>
          <cell r="G7411">
            <v>0</v>
          </cell>
        </row>
        <row r="7412">
          <cell r="A7412" t="str">
            <v>55-06-01-0205</v>
          </cell>
          <cell r="B7412">
            <v>0</v>
          </cell>
          <cell r="C7412" t="str">
            <v xml:space="preserve">  ZARI ZIYAD KHAN</v>
          </cell>
          <cell r="D7412">
            <v>0</v>
          </cell>
          <cell r="E7412">
            <v>0</v>
          </cell>
          <cell r="F7412">
            <v>0</v>
          </cell>
          <cell r="G7412">
            <v>0</v>
          </cell>
        </row>
        <row r="7413">
          <cell r="A7413" t="str">
            <v>55-06-01-0206</v>
          </cell>
          <cell r="B7413">
            <v>0</v>
          </cell>
          <cell r="C7413" t="str">
            <v xml:space="preserve">  GUL ZAMEEN TOPI</v>
          </cell>
          <cell r="D7413">
            <v>0</v>
          </cell>
          <cell r="E7413">
            <v>0</v>
          </cell>
          <cell r="F7413">
            <v>0</v>
          </cell>
          <cell r="G7413">
            <v>0</v>
          </cell>
        </row>
        <row r="7414">
          <cell r="A7414" t="str">
            <v>55-06-01-0207</v>
          </cell>
          <cell r="B7414">
            <v>0</v>
          </cell>
          <cell r="C7414" t="str">
            <v xml:space="preserve">  ATIQ-UR-REHMAN FAISALABAD.</v>
          </cell>
          <cell r="D7414">
            <v>0</v>
          </cell>
          <cell r="E7414">
            <v>2000</v>
          </cell>
          <cell r="F7414">
            <v>0</v>
          </cell>
          <cell r="G7414">
            <v>0</v>
          </cell>
        </row>
        <row r="7415">
          <cell r="A7415" t="str">
            <v>55-06-01-0208</v>
          </cell>
          <cell r="B7415">
            <v>0</v>
          </cell>
          <cell r="C7415" t="str">
            <v xml:space="preserve">  ABDUL SATTAR SCRAPE DEALER</v>
          </cell>
          <cell r="D7415">
            <v>0</v>
          </cell>
          <cell r="E7415">
            <v>5000</v>
          </cell>
          <cell r="F7415">
            <v>0</v>
          </cell>
          <cell r="G7415">
            <v>0</v>
          </cell>
        </row>
        <row r="7416">
          <cell r="A7416" t="str">
            <v>55-06-01-0209</v>
          </cell>
          <cell r="B7416">
            <v>0</v>
          </cell>
          <cell r="C7416" t="str">
            <v xml:space="preserve">  HAJI SALEEM FAISALABAD SCRAPE DEALER</v>
          </cell>
          <cell r="D7416">
            <v>0</v>
          </cell>
          <cell r="E7416">
            <v>0</v>
          </cell>
          <cell r="F7416">
            <v>0</v>
          </cell>
          <cell r="G7416">
            <v>0</v>
          </cell>
        </row>
        <row r="7417">
          <cell r="A7417" t="str">
            <v>55-06-01-0210</v>
          </cell>
          <cell r="B7417">
            <v>0</v>
          </cell>
          <cell r="C7417" t="str">
            <v xml:space="preserve">  GUL BAHADUR MARGHAZ</v>
          </cell>
          <cell r="D7417">
            <v>0</v>
          </cell>
          <cell r="E7417">
            <v>0</v>
          </cell>
          <cell r="F7417">
            <v>0</v>
          </cell>
          <cell r="G7417">
            <v>0</v>
          </cell>
        </row>
        <row r="7418">
          <cell r="A7418" t="str">
            <v>55-06-01-0211</v>
          </cell>
          <cell r="B7418">
            <v>0</v>
          </cell>
          <cell r="C7418" t="str">
            <v xml:space="preserve">  HAMMAD TRADERS S.D.A.MARKET GADOON</v>
          </cell>
          <cell r="D7418">
            <v>0</v>
          </cell>
          <cell r="E7418">
            <v>0</v>
          </cell>
          <cell r="F7418">
            <v>0</v>
          </cell>
          <cell r="G7418">
            <v>0</v>
          </cell>
        </row>
        <row r="7419">
          <cell r="A7419" t="str">
            <v>55-06-01-0212</v>
          </cell>
          <cell r="B7419">
            <v>0</v>
          </cell>
          <cell r="C7419" t="str">
            <v xml:space="preserve">  BISMILLAH TEXTILE MILLS (PVT) LIMITED</v>
          </cell>
          <cell r="D7419">
            <v>0</v>
          </cell>
          <cell r="E7419">
            <v>0</v>
          </cell>
          <cell r="F7419">
            <v>0</v>
          </cell>
          <cell r="G7419">
            <v>0</v>
          </cell>
        </row>
        <row r="7420">
          <cell r="A7420" t="str">
            <v>55-06-01-0213</v>
          </cell>
          <cell r="B7420">
            <v>0</v>
          </cell>
          <cell r="C7420" t="str">
            <v xml:space="preserve">  MUHAMMAD AMJAD &amp; BROTHERS FAISALABAD</v>
          </cell>
          <cell r="D7420">
            <v>0</v>
          </cell>
          <cell r="E7420">
            <v>0</v>
          </cell>
          <cell r="F7420">
            <v>0</v>
          </cell>
          <cell r="G7420">
            <v>0</v>
          </cell>
        </row>
        <row r="7421">
          <cell r="A7421" t="str">
            <v>55-06-01-0214</v>
          </cell>
          <cell r="B7421">
            <v>0</v>
          </cell>
          <cell r="C7421" t="str">
            <v xml:space="preserve">  MOON LIGHT OIL TRADERS NOSHERA</v>
          </cell>
          <cell r="D7421">
            <v>0</v>
          </cell>
          <cell r="E7421">
            <v>0</v>
          </cell>
          <cell r="F7421">
            <v>0</v>
          </cell>
          <cell r="G7421">
            <v>0</v>
          </cell>
        </row>
        <row r="7422">
          <cell r="A7422" t="str">
            <v>55-06-99</v>
          </cell>
          <cell r="B7422">
            <v>0</v>
          </cell>
          <cell r="C7422" t="str">
            <v>***ABC</v>
          </cell>
          <cell r="D7422">
            <v>0</v>
          </cell>
          <cell r="E7422">
            <v>0</v>
          </cell>
          <cell r="F7422">
            <v>0</v>
          </cell>
          <cell r="G7422">
            <v>0</v>
          </cell>
        </row>
        <row r="7423">
          <cell r="A7423" t="str">
            <v>55-06-99-0001</v>
          </cell>
          <cell r="B7423">
            <v>0</v>
          </cell>
          <cell r="C7423" t="str">
            <v xml:space="preserve">  ABDUL SHAKOOR WASTE DEALER.</v>
          </cell>
          <cell r="D7423">
            <v>0</v>
          </cell>
          <cell r="E7423">
            <v>0</v>
          </cell>
          <cell r="F7423">
            <v>0</v>
          </cell>
          <cell r="G7423">
            <v>0</v>
          </cell>
        </row>
        <row r="7424">
          <cell r="A7424" t="str">
            <v>55-06-99-0002</v>
          </cell>
          <cell r="B7424">
            <v>0</v>
          </cell>
          <cell r="C7424" t="str">
            <v xml:space="preserve">  REHMAN BROTHERS.</v>
          </cell>
          <cell r="D7424">
            <v>0</v>
          </cell>
          <cell r="E7424">
            <v>0</v>
          </cell>
          <cell r="F7424">
            <v>0</v>
          </cell>
          <cell r="G7424">
            <v>0</v>
          </cell>
        </row>
        <row r="7425">
          <cell r="A7425" t="str">
            <v>55-06-99-0004</v>
          </cell>
          <cell r="B7425">
            <v>0</v>
          </cell>
          <cell r="C7425" t="str">
            <v xml:space="preserve">  XYZ</v>
          </cell>
          <cell r="D7425">
            <v>0</v>
          </cell>
          <cell r="E7425">
            <v>0</v>
          </cell>
          <cell r="F7425">
            <v>0</v>
          </cell>
          <cell r="G7425">
            <v>0</v>
          </cell>
        </row>
        <row r="7426">
          <cell r="A7426" t="str">
            <v>55-06-99-0005</v>
          </cell>
          <cell r="B7426">
            <v>0</v>
          </cell>
          <cell r="C7426" t="str">
            <v xml:space="preserve">  MUZAMMIL SHAH WASTE DEALER</v>
          </cell>
          <cell r="D7426">
            <v>0</v>
          </cell>
          <cell r="E7426">
            <v>0</v>
          </cell>
          <cell r="F7426">
            <v>0</v>
          </cell>
          <cell r="G7426">
            <v>0</v>
          </cell>
        </row>
        <row r="7427">
          <cell r="A7427" t="str">
            <v>55-06-99-0008</v>
          </cell>
          <cell r="B7427">
            <v>0</v>
          </cell>
          <cell r="C7427" t="str">
            <v xml:space="preserve">  LAL JAN GANDAF</v>
          </cell>
          <cell r="D7427">
            <v>0</v>
          </cell>
          <cell r="E7427">
            <v>0</v>
          </cell>
          <cell r="F7427">
            <v>0</v>
          </cell>
          <cell r="G7427">
            <v>0</v>
          </cell>
        </row>
        <row r="7428">
          <cell r="A7428" t="str">
            <v>55-06-99-0009</v>
          </cell>
          <cell r="B7428">
            <v>0</v>
          </cell>
          <cell r="C7428" t="str">
            <v xml:space="preserve">  ABDUL RAZZAK</v>
          </cell>
          <cell r="D7428">
            <v>0</v>
          </cell>
          <cell r="E7428">
            <v>0</v>
          </cell>
          <cell r="F7428">
            <v>0</v>
          </cell>
          <cell r="G7428">
            <v>0</v>
          </cell>
        </row>
        <row r="7429">
          <cell r="A7429" t="str">
            <v>55-06-99-0012</v>
          </cell>
          <cell r="B7429">
            <v>0</v>
          </cell>
          <cell r="C7429" t="str">
            <v xml:space="preserve">  TALIB HUSSAIN WASTE DEALER</v>
          </cell>
          <cell r="D7429">
            <v>0</v>
          </cell>
          <cell r="E7429">
            <v>0</v>
          </cell>
          <cell r="F7429">
            <v>0</v>
          </cell>
          <cell r="G7429">
            <v>0</v>
          </cell>
        </row>
        <row r="7430">
          <cell r="A7430" t="str">
            <v>55-06-99-0014</v>
          </cell>
          <cell r="B7430">
            <v>0</v>
          </cell>
          <cell r="C7430" t="str">
            <v xml:space="preserve">  SYED TRADERS</v>
          </cell>
          <cell r="D7430">
            <v>0</v>
          </cell>
          <cell r="E7430">
            <v>0</v>
          </cell>
          <cell r="F7430">
            <v>0</v>
          </cell>
          <cell r="G7430">
            <v>0</v>
          </cell>
        </row>
        <row r="7431">
          <cell r="A7431" t="str">
            <v>55-06-99-0015</v>
          </cell>
          <cell r="B7431">
            <v>0</v>
          </cell>
          <cell r="C7431" t="str">
            <v xml:space="preserve">  ALI CORPORATION</v>
          </cell>
          <cell r="D7431">
            <v>0</v>
          </cell>
          <cell r="E7431">
            <v>0</v>
          </cell>
          <cell r="F7431">
            <v>0</v>
          </cell>
          <cell r="G7431">
            <v>0</v>
          </cell>
        </row>
        <row r="7432">
          <cell r="A7432" t="str">
            <v>55-06-99-0016</v>
          </cell>
          <cell r="B7432">
            <v>0</v>
          </cell>
          <cell r="C7432" t="str">
            <v xml:space="preserve">  -</v>
          </cell>
          <cell r="D7432">
            <v>0</v>
          </cell>
          <cell r="E7432">
            <v>0</v>
          </cell>
          <cell r="F7432">
            <v>0</v>
          </cell>
          <cell r="G7432">
            <v>0</v>
          </cell>
        </row>
        <row r="7433">
          <cell r="A7433" t="str">
            <v>55-06-99-0021</v>
          </cell>
          <cell r="B7433">
            <v>0</v>
          </cell>
          <cell r="C7433" t="str">
            <v xml:space="preserve">  M.I. TEXTILE MILLS</v>
          </cell>
          <cell r="D7433">
            <v>0</v>
          </cell>
          <cell r="E7433">
            <v>0</v>
          </cell>
          <cell r="F7433">
            <v>0</v>
          </cell>
          <cell r="G7433">
            <v>0</v>
          </cell>
        </row>
        <row r="7434">
          <cell r="A7434" t="str">
            <v>55-06-99-0023</v>
          </cell>
          <cell r="B7434">
            <v>0</v>
          </cell>
          <cell r="C7434" t="str">
            <v xml:space="preserve">  AKBAR ALI FAISALABAD</v>
          </cell>
          <cell r="D7434">
            <v>0</v>
          </cell>
          <cell r="E7434">
            <v>0</v>
          </cell>
          <cell r="F7434">
            <v>0</v>
          </cell>
          <cell r="G7434">
            <v>0</v>
          </cell>
        </row>
        <row r="7435">
          <cell r="A7435" t="str">
            <v>55-06-99-0024</v>
          </cell>
          <cell r="B7435">
            <v>0</v>
          </cell>
          <cell r="C7435" t="str">
            <v xml:space="preserve">  MASLAUDDIN GADOON</v>
          </cell>
          <cell r="D7435">
            <v>0</v>
          </cell>
          <cell r="E7435">
            <v>0</v>
          </cell>
          <cell r="F7435">
            <v>0</v>
          </cell>
          <cell r="G7435">
            <v>0</v>
          </cell>
        </row>
        <row r="7436">
          <cell r="A7436" t="str">
            <v>55-06-99-0025</v>
          </cell>
          <cell r="B7436">
            <v>0</v>
          </cell>
          <cell r="C7436" t="str">
            <v xml:space="preserve">  JAMIL KHAN.</v>
          </cell>
          <cell r="D7436">
            <v>0</v>
          </cell>
          <cell r="E7436">
            <v>0</v>
          </cell>
          <cell r="F7436">
            <v>0</v>
          </cell>
          <cell r="G7436">
            <v>0</v>
          </cell>
        </row>
        <row r="7437">
          <cell r="A7437" t="str">
            <v>55-06-99-0026</v>
          </cell>
          <cell r="B7437">
            <v>0</v>
          </cell>
          <cell r="C7437" t="str">
            <v xml:space="preserve">  MOHAMMAD USMAN</v>
          </cell>
          <cell r="D7437">
            <v>0</v>
          </cell>
          <cell r="E7437">
            <v>0</v>
          </cell>
          <cell r="F7437">
            <v>0</v>
          </cell>
          <cell r="G7437">
            <v>0</v>
          </cell>
        </row>
        <row r="7438">
          <cell r="A7438" t="str">
            <v>55-06-99-0027</v>
          </cell>
          <cell r="B7438">
            <v>0</v>
          </cell>
          <cell r="C7438" t="str">
            <v xml:space="preserve">  AWAL KHAN</v>
          </cell>
          <cell r="D7438">
            <v>0</v>
          </cell>
          <cell r="E7438">
            <v>0</v>
          </cell>
          <cell r="F7438">
            <v>0</v>
          </cell>
          <cell r="G7438">
            <v>0</v>
          </cell>
        </row>
        <row r="7439">
          <cell r="A7439" t="str">
            <v>55-06-99-0028</v>
          </cell>
          <cell r="B7439">
            <v>0</v>
          </cell>
          <cell r="C7439" t="str">
            <v xml:space="preserve">  AMIR MOHAMMAD</v>
          </cell>
          <cell r="D7439">
            <v>0</v>
          </cell>
          <cell r="E7439">
            <v>0</v>
          </cell>
          <cell r="F7439">
            <v>0</v>
          </cell>
          <cell r="G7439">
            <v>0</v>
          </cell>
        </row>
        <row r="7440">
          <cell r="A7440" t="str">
            <v>55-06-99-0029</v>
          </cell>
          <cell r="B7440">
            <v>0</v>
          </cell>
          <cell r="C7440" t="str">
            <v xml:space="preserve">  AMIR REHMAN</v>
          </cell>
          <cell r="D7440">
            <v>0</v>
          </cell>
          <cell r="E7440">
            <v>0</v>
          </cell>
          <cell r="F7440">
            <v>0</v>
          </cell>
          <cell r="G7440">
            <v>0</v>
          </cell>
        </row>
        <row r="7441">
          <cell r="A7441" t="str">
            <v>55-06-99-0030</v>
          </cell>
          <cell r="B7441">
            <v>0</v>
          </cell>
          <cell r="C7441" t="str">
            <v xml:space="preserve">  NOWSHAD</v>
          </cell>
          <cell r="D7441">
            <v>0</v>
          </cell>
          <cell r="E7441">
            <v>0</v>
          </cell>
          <cell r="F7441">
            <v>0</v>
          </cell>
          <cell r="G7441">
            <v>0</v>
          </cell>
        </row>
        <row r="7442">
          <cell r="A7442" t="str">
            <v>55-06-99-0031</v>
          </cell>
          <cell r="B7442">
            <v>0</v>
          </cell>
          <cell r="C7442" t="str">
            <v xml:space="preserve">  MIR AFZAL</v>
          </cell>
          <cell r="D7442">
            <v>0</v>
          </cell>
          <cell r="E7442">
            <v>0</v>
          </cell>
          <cell r="F7442">
            <v>0</v>
          </cell>
          <cell r="G7442">
            <v>0</v>
          </cell>
        </row>
        <row r="7443">
          <cell r="A7443" t="str">
            <v>55-06-99-0033</v>
          </cell>
          <cell r="B7443">
            <v>0</v>
          </cell>
          <cell r="C7443" t="str">
            <v xml:space="preserve">  MUHAMMAD IJAZ</v>
          </cell>
          <cell r="D7443">
            <v>0</v>
          </cell>
          <cell r="E7443">
            <v>0</v>
          </cell>
          <cell r="F7443">
            <v>0</v>
          </cell>
          <cell r="G7443">
            <v>0</v>
          </cell>
        </row>
        <row r="7444">
          <cell r="A7444" t="str">
            <v>55-06-99-0034</v>
          </cell>
          <cell r="B7444">
            <v>0</v>
          </cell>
          <cell r="C7444" t="str">
            <v xml:space="preserve">  GHULAM MUSTAFA</v>
          </cell>
          <cell r="D7444">
            <v>0</v>
          </cell>
          <cell r="E7444">
            <v>0</v>
          </cell>
          <cell r="F7444">
            <v>0</v>
          </cell>
          <cell r="G7444">
            <v>0</v>
          </cell>
        </row>
        <row r="7445">
          <cell r="A7445" t="str">
            <v>55-06-99-0035</v>
          </cell>
          <cell r="B7445">
            <v>0</v>
          </cell>
          <cell r="C7445" t="str">
            <v xml:space="preserve">  IQBAL SHAH</v>
          </cell>
          <cell r="D7445">
            <v>0</v>
          </cell>
          <cell r="E7445">
            <v>0</v>
          </cell>
          <cell r="F7445">
            <v>0</v>
          </cell>
          <cell r="G7445">
            <v>0</v>
          </cell>
        </row>
        <row r="7446">
          <cell r="A7446" t="str">
            <v>55-06-99-0036</v>
          </cell>
          <cell r="B7446">
            <v>0</v>
          </cell>
          <cell r="C7446" t="str">
            <v xml:space="preserve">  MUHAMMAD AKRAM</v>
          </cell>
          <cell r="D7446">
            <v>0</v>
          </cell>
          <cell r="E7446">
            <v>0</v>
          </cell>
          <cell r="F7446">
            <v>0</v>
          </cell>
          <cell r="G7446">
            <v>0</v>
          </cell>
        </row>
        <row r="7447">
          <cell r="A7447" t="str">
            <v>55-06-99-0037</v>
          </cell>
          <cell r="B7447">
            <v>0</v>
          </cell>
          <cell r="C7447" t="str">
            <v xml:space="preserve">  MUHAMMAD SHEROZ</v>
          </cell>
          <cell r="D7447">
            <v>0</v>
          </cell>
          <cell r="E7447">
            <v>0</v>
          </cell>
          <cell r="F7447">
            <v>0</v>
          </cell>
          <cell r="G7447">
            <v>0</v>
          </cell>
        </row>
        <row r="7448">
          <cell r="A7448" t="str">
            <v>55-06-99-0038</v>
          </cell>
          <cell r="B7448">
            <v>0</v>
          </cell>
          <cell r="C7448" t="str">
            <v xml:space="preserve">  MUHAMMED NAEEM  SCAPE DEALER RUSTAM</v>
          </cell>
          <cell r="D7448">
            <v>0</v>
          </cell>
          <cell r="E7448">
            <v>0</v>
          </cell>
          <cell r="F7448">
            <v>0</v>
          </cell>
          <cell r="G7448">
            <v>0</v>
          </cell>
        </row>
        <row r="7449">
          <cell r="A7449" t="str">
            <v>55-06-99-0041</v>
          </cell>
          <cell r="B7449">
            <v>0</v>
          </cell>
          <cell r="C7449" t="str">
            <v xml:space="preserve">  SAEED AHMED PESHWAR.</v>
          </cell>
          <cell r="D7449">
            <v>0</v>
          </cell>
          <cell r="E7449">
            <v>0</v>
          </cell>
          <cell r="F7449">
            <v>0</v>
          </cell>
          <cell r="G7449">
            <v>0</v>
          </cell>
        </row>
        <row r="7450">
          <cell r="A7450" t="str">
            <v>55-06-99-0042</v>
          </cell>
          <cell r="B7450">
            <v>0</v>
          </cell>
          <cell r="C7450" t="str">
            <v xml:space="preserve">  SHAMS CAMP</v>
          </cell>
          <cell r="D7450">
            <v>0</v>
          </cell>
          <cell r="E7450">
            <v>0</v>
          </cell>
          <cell r="F7450">
            <v>0</v>
          </cell>
          <cell r="G7450">
            <v>0</v>
          </cell>
        </row>
        <row r="7451">
          <cell r="A7451" t="str">
            <v>55-06-99-0043</v>
          </cell>
          <cell r="B7451">
            <v>0</v>
          </cell>
          <cell r="C7451" t="str">
            <v xml:space="preserve">  MOHAMMAD RAMZAN</v>
          </cell>
          <cell r="D7451">
            <v>0</v>
          </cell>
          <cell r="E7451">
            <v>0</v>
          </cell>
          <cell r="F7451">
            <v>0</v>
          </cell>
          <cell r="G7451">
            <v>0</v>
          </cell>
        </row>
        <row r="7452">
          <cell r="A7452" t="str">
            <v>55-06-99-0044</v>
          </cell>
          <cell r="B7452">
            <v>0</v>
          </cell>
          <cell r="C7452" t="str">
            <v xml:space="preserve">  MOHAMMAD SAEED</v>
          </cell>
          <cell r="D7452">
            <v>0</v>
          </cell>
          <cell r="E7452">
            <v>0</v>
          </cell>
          <cell r="F7452">
            <v>0</v>
          </cell>
          <cell r="G7452">
            <v>0</v>
          </cell>
        </row>
        <row r="7453">
          <cell r="A7453" t="str">
            <v>55-06-99-0045</v>
          </cell>
          <cell r="B7453">
            <v>0</v>
          </cell>
          <cell r="C7453" t="str">
            <v xml:space="preserve">  ABC</v>
          </cell>
          <cell r="D7453">
            <v>0</v>
          </cell>
          <cell r="E7453">
            <v>0</v>
          </cell>
          <cell r="F7453">
            <v>0</v>
          </cell>
          <cell r="G7453">
            <v>0</v>
          </cell>
        </row>
        <row r="7454">
          <cell r="A7454" t="str">
            <v>55-06-99-0046</v>
          </cell>
          <cell r="B7454">
            <v>0</v>
          </cell>
          <cell r="C7454" t="str">
            <v xml:space="preserve">  AZIZ UR REHMAN SCRAPE DEALER</v>
          </cell>
          <cell r="D7454">
            <v>0</v>
          </cell>
          <cell r="E7454">
            <v>0</v>
          </cell>
          <cell r="F7454">
            <v>0</v>
          </cell>
          <cell r="G7454">
            <v>0</v>
          </cell>
        </row>
        <row r="7455">
          <cell r="A7455" t="str">
            <v>55-06-99-0047</v>
          </cell>
          <cell r="B7455">
            <v>0</v>
          </cell>
          <cell r="C7455" t="str">
            <v xml:space="preserve">  ABC</v>
          </cell>
          <cell r="D7455">
            <v>0</v>
          </cell>
          <cell r="E7455">
            <v>0</v>
          </cell>
          <cell r="F7455">
            <v>0</v>
          </cell>
          <cell r="G7455">
            <v>0</v>
          </cell>
        </row>
        <row r="7456">
          <cell r="A7456" t="str">
            <v>55-06-99-0048</v>
          </cell>
          <cell r="B7456">
            <v>0</v>
          </cell>
          <cell r="C7456" t="str">
            <v xml:space="preserve">  BAXI TEX</v>
          </cell>
          <cell r="D7456">
            <v>0</v>
          </cell>
          <cell r="E7456">
            <v>0</v>
          </cell>
          <cell r="F7456">
            <v>0</v>
          </cell>
          <cell r="G7456">
            <v>0</v>
          </cell>
        </row>
        <row r="7457">
          <cell r="A7457" t="str">
            <v>55-06-99-0049</v>
          </cell>
          <cell r="B7457">
            <v>0</v>
          </cell>
          <cell r="C7457" t="str">
            <v xml:space="preserve">  BAXI TEX</v>
          </cell>
          <cell r="D7457">
            <v>0</v>
          </cell>
          <cell r="E7457">
            <v>0</v>
          </cell>
          <cell r="F7457">
            <v>0</v>
          </cell>
          <cell r="G7457">
            <v>0</v>
          </cell>
        </row>
        <row r="7458">
          <cell r="A7458" t="str">
            <v>55-06-99-0050</v>
          </cell>
          <cell r="B7458">
            <v>0</v>
          </cell>
          <cell r="C7458" t="str">
            <v xml:space="preserve">  IQBAL ZAMAN</v>
          </cell>
          <cell r="D7458">
            <v>0</v>
          </cell>
          <cell r="E7458">
            <v>0</v>
          </cell>
          <cell r="F7458">
            <v>0</v>
          </cell>
          <cell r="G7458">
            <v>0</v>
          </cell>
        </row>
        <row r="7459">
          <cell r="A7459" t="str">
            <v>55-06-99-0051</v>
          </cell>
          <cell r="B7459">
            <v>0</v>
          </cell>
          <cell r="C7459" t="str">
            <v xml:space="preserve">  SIDDIQUE AHMED</v>
          </cell>
          <cell r="D7459">
            <v>0</v>
          </cell>
          <cell r="E7459">
            <v>0</v>
          </cell>
          <cell r="F7459">
            <v>0</v>
          </cell>
          <cell r="G7459">
            <v>0</v>
          </cell>
        </row>
        <row r="7460">
          <cell r="A7460" t="str">
            <v>55-06-99-0052</v>
          </cell>
          <cell r="B7460">
            <v>0</v>
          </cell>
          <cell r="C7460" t="str">
            <v xml:space="preserve">  GUL TAZIR SHAH</v>
          </cell>
          <cell r="D7460">
            <v>0</v>
          </cell>
          <cell r="E7460">
            <v>0</v>
          </cell>
          <cell r="F7460">
            <v>0</v>
          </cell>
          <cell r="G7460">
            <v>0</v>
          </cell>
        </row>
        <row r="7461">
          <cell r="A7461" t="str">
            <v>55-06-99-0053</v>
          </cell>
          <cell r="B7461">
            <v>0</v>
          </cell>
          <cell r="C7461" t="str">
            <v xml:space="preserve">  SULTAN GHANI.</v>
          </cell>
          <cell r="D7461">
            <v>0</v>
          </cell>
          <cell r="E7461">
            <v>0</v>
          </cell>
          <cell r="F7461">
            <v>0</v>
          </cell>
          <cell r="G7461">
            <v>0</v>
          </cell>
        </row>
        <row r="7462">
          <cell r="A7462" t="str">
            <v>55-06-99-0054</v>
          </cell>
          <cell r="B7462">
            <v>0</v>
          </cell>
          <cell r="C7462" t="str">
            <v xml:space="preserve">  REHMATULLAH SCAPE DEALER</v>
          </cell>
          <cell r="D7462">
            <v>0</v>
          </cell>
          <cell r="E7462">
            <v>0</v>
          </cell>
          <cell r="F7462">
            <v>0</v>
          </cell>
          <cell r="G7462">
            <v>0</v>
          </cell>
        </row>
        <row r="7463">
          <cell r="A7463" t="str">
            <v>55-06-99-0055</v>
          </cell>
          <cell r="B7463">
            <v>0</v>
          </cell>
          <cell r="C7463" t="str">
            <v xml:space="preserve">  SAEED FAROOSH.</v>
          </cell>
          <cell r="D7463">
            <v>0</v>
          </cell>
          <cell r="E7463">
            <v>0</v>
          </cell>
          <cell r="F7463">
            <v>0</v>
          </cell>
          <cell r="G7463">
            <v>0</v>
          </cell>
        </row>
        <row r="7464">
          <cell r="A7464" t="str">
            <v>55-06-99-0056</v>
          </cell>
          <cell r="B7464">
            <v>0</v>
          </cell>
          <cell r="C7464" t="str">
            <v xml:space="preserve">  AZHAR REHMAN</v>
          </cell>
          <cell r="D7464">
            <v>0</v>
          </cell>
          <cell r="E7464">
            <v>0</v>
          </cell>
          <cell r="F7464">
            <v>0</v>
          </cell>
          <cell r="G7464">
            <v>0</v>
          </cell>
        </row>
        <row r="7465">
          <cell r="A7465" t="str">
            <v>55-06-99-0057</v>
          </cell>
          <cell r="B7465">
            <v>0</v>
          </cell>
          <cell r="C7465" t="str">
            <v xml:space="preserve">  SALMAN SHAHID OIL COMPANY</v>
          </cell>
          <cell r="D7465">
            <v>0</v>
          </cell>
          <cell r="E7465">
            <v>0</v>
          </cell>
          <cell r="F7465">
            <v>0</v>
          </cell>
          <cell r="G7465">
            <v>0</v>
          </cell>
        </row>
        <row r="7466">
          <cell r="A7466" t="str">
            <v>55-06-99-0058</v>
          </cell>
          <cell r="B7466">
            <v>0</v>
          </cell>
          <cell r="C7466" t="str">
            <v xml:space="preserve">  ARSHAD BROTHERS SCRAPE DEALER.</v>
          </cell>
          <cell r="D7466">
            <v>0</v>
          </cell>
          <cell r="E7466">
            <v>0</v>
          </cell>
          <cell r="F7466">
            <v>0</v>
          </cell>
          <cell r="G7466">
            <v>0</v>
          </cell>
        </row>
        <row r="7467">
          <cell r="A7467" t="str">
            <v>55-06-99-0059</v>
          </cell>
          <cell r="B7467">
            <v>0</v>
          </cell>
          <cell r="C7467" t="str">
            <v xml:space="preserve">  JAVAID CAMP.</v>
          </cell>
          <cell r="D7467">
            <v>0</v>
          </cell>
          <cell r="E7467">
            <v>0</v>
          </cell>
          <cell r="F7467">
            <v>0</v>
          </cell>
          <cell r="G7467">
            <v>0</v>
          </cell>
        </row>
        <row r="7468">
          <cell r="A7468" t="str">
            <v>55-06-99-0060</v>
          </cell>
          <cell r="B7468">
            <v>0</v>
          </cell>
          <cell r="C7468" t="str">
            <v xml:space="preserve">  KHALID MEHMOOD, FAISALABAD.</v>
          </cell>
          <cell r="D7468">
            <v>0</v>
          </cell>
          <cell r="E7468">
            <v>0</v>
          </cell>
          <cell r="F7468">
            <v>0</v>
          </cell>
          <cell r="G7468">
            <v>0</v>
          </cell>
        </row>
        <row r="7469">
          <cell r="A7469" t="str">
            <v>55-06-99-0061</v>
          </cell>
          <cell r="B7469">
            <v>0</v>
          </cell>
          <cell r="C7469" t="str">
            <v xml:space="preserve">  NEELUM TEXTILE MILLS (PVT) LIMITED</v>
          </cell>
          <cell r="D7469">
            <v>0</v>
          </cell>
          <cell r="E7469">
            <v>0</v>
          </cell>
          <cell r="F7469">
            <v>0</v>
          </cell>
          <cell r="G7469">
            <v>0</v>
          </cell>
        </row>
        <row r="7470">
          <cell r="A7470" t="str">
            <v>55-06-99-0062</v>
          </cell>
          <cell r="B7470">
            <v>0</v>
          </cell>
          <cell r="C7470" t="str">
            <v xml:space="preserve">  ABC</v>
          </cell>
          <cell r="D7470">
            <v>0</v>
          </cell>
          <cell r="E7470">
            <v>0</v>
          </cell>
          <cell r="F7470">
            <v>0</v>
          </cell>
          <cell r="G7470">
            <v>0</v>
          </cell>
        </row>
        <row r="7471">
          <cell r="A7471" t="str">
            <v>55-06-99-0064</v>
          </cell>
          <cell r="B7471">
            <v>0</v>
          </cell>
          <cell r="C7471" t="str">
            <v xml:space="preserve">  AMIN-UR-RASHEED</v>
          </cell>
          <cell r="D7471">
            <v>0</v>
          </cell>
          <cell r="E7471">
            <v>0</v>
          </cell>
          <cell r="F7471">
            <v>0</v>
          </cell>
          <cell r="G7471">
            <v>0</v>
          </cell>
        </row>
        <row r="7472">
          <cell r="A7472" t="str">
            <v>55-06-99-0065</v>
          </cell>
          <cell r="B7472">
            <v>0</v>
          </cell>
          <cell r="C7472" t="str">
            <v xml:space="preserve">  MUHAMMAD BILAL SCRAPE DEALER</v>
          </cell>
          <cell r="D7472">
            <v>0</v>
          </cell>
          <cell r="E7472">
            <v>0</v>
          </cell>
          <cell r="F7472">
            <v>0</v>
          </cell>
          <cell r="G7472">
            <v>0</v>
          </cell>
        </row>
        <row r="7473">
          <cell r="A7473" t="str">
            <v>55-06-99-0067</v>
          </cell>
          <cell r="B7473">
            <v>0</v>
          </cell>
          <cell r="C7473" t="str">
            <v xml:space="preserve">  ARIFEEN</v>
          </cell>
          <cell r="D7473">
            <v>0</v>
          </cell>
          <cell r="E7473">
            <v>0</v>
          </cell>
          <cell r="F7473">
            <v>0</v>
          </cell>
          <cell r="G7473">
            <v>0</v>
          </cell>
        </row>
        <row r="7474">
          <cell r="A7474" t="str">
            <v>55-06-99-0068</v>
          </cell>
          <cell r="B7474">
            <v>0</v>
          </cell>
          <cell r="C7474" t="str">
            <v xml:space="preserve">  ABDUL WAHEED &amp; BROTHERS</v>
          </cell>
          <cell r="D7474">
            <v>0</v>
          </cell>
          <cell r="E7474">
            <v>0</v>
          </cell>
          <cell r="F7474">
            <v>0</v>
          </cell>
          <cell r="G7474">
            <v>0</v>
          </cell>
        </row>
        <row r="7475">
          <cell r="A7475" t="str">
            <v>55-06-99-0069</v>
          </cell>
          <cell r="B7475">
            <v>0</v>
          </cell>
          <cell r="C7475" t="str">
            <v xml:space="preserve">  AHMED DIN</v>
          </cell>
          <cell r="D7475">
            <v>0</v>
          </cell>
          <cell r="E7475">
            <v>0</v>
          </cell>
          <cell r="F7475">
            <v>0</v>
          </cell>
          <cell r="G7475">
            <v>0</v>
          </cell>
        </row>
        <row r="7476">
          <cell r="A7476" t="str">
            <v>55-06-99-0070</v>
          </cell>
          <cell r="B7476">
            <v>0</v>
          </cell>
          <cell r="C7476" t="str">
            <v xml:space="preserve">  ABDUL WAHEED</v>
          </cell>
          <cell r="D7476">
            <v>0</v>
          </cell>
          <cell r="E7476">
            <v>0</v>
          </cell>
          <cell r="F7476">
            <v>0</v>
          </cell>
          <cell r="G7476">
            <v>0</v>
          </cell>
        </row>
        <row r="7477">
          <cell r="A7477" t="str">
            <v>55-06-99-0071</v>
          </cell>
          <cell r="B7477">
            <v>0</v>
          </cell>
          <cell r="C7477" t="str">
            <v xml:space="preserve">  MUHAMMED ARIF</v>
          </cell>
          <cell r="D7477">
            <v>0</v>
          </cell>
          <cell r="E7477">
            <v>0</v>
          </cell>
          <cell r="F7477">
            <v>0</v>
          </cell>
          <cell r="G7477">
            <v>0</v>
          </cell>
        </row>
        <row r="7478">
          <cell r="A7478" t="str">
            <v>55-06-99-0072</v>
          </cell>
          <cell r="B7478">
            <v>0</v>
          </cell>
          <cell r="C7478" t="str">
            <v xml:space="preserve">  DAWOOD CAMP.</v>
          </cell>
          <cell r="D7478">
            <v>0</v>
          </cell>
          <cell r="E7478">
            <v>0</v>
          </cell>
          <cell r="F7478">
            <v>0</v>
          </cell>
          <cell r="G7478">
            <v>0</v>
          </cell>
        </row>
        <row r="7479">
          <cell r="A7479" t="str">
            <v>55-06-99-0073</v>
          </cell>
          <cell r="B7479">
            <v>0</v>
          </cell>
          <cell r="C7479" t="str">
            <v xml:space="preserve">  IFTIKHAR AHMED</v>
          </cell>
          <cell r="D7479">
            <v>0</v>
          </cell>
          <cell r="E7479">
            <v>0</v>
          </cell>
          <cell r="F7479">
            <v>0</v>
          </cell>
          <cell r="G7479">
            <v>0</v>
          </cell>
        </row>
        <row r="7480">
          <cell r="A7480" t="str">
            <v>55-06-99-0076</v>
          </cell>
          <cell r="B7480">
            <v>0</v>
          </cell>
          <cell r="C7480" t="str">
            <v xml:space="preserve">  MUHAMMAD NAEEM PESHAWAR.</v>
          </cell>
          <cell r="D7480">
            <v>0</v>
          </cell>
          <cell r="E7480">
            <v>0</v>
          </cell>
          <cell r="F7480">
            <v>0</v>
          </cell>
          <cell r="G7480">
            <v>0</v>
          </cell>
        </row>
        <row r="7481">
          <cell r="A7481" t="str">
            <v>55-06-99-0077</v>
          </cell>
          <cell r="B7481">
            <v>0</v>
          </cell>
          <cell r="C7481" t="str">
            <v xml:space="preserve">  MUNAWAR AHMED</v>
          </cell>
          <cell r="D7481">
            <v>0</v>
          </cell>
          <cell r="E7481">
            <v>0</v>
          </cell>
          <cell r="F7481">
            <v>0</v>
          </cell>
          <cell r="G7481">
            <v>0</v>
          </cell>
        </row>
        <row r="7482">
          <cell r="A7482" t="str">
            <v>55-06-99-0078</v>
          </cell>
          <cell r="B7482">
            <v>0</v>
          </cell>
          <cell r="C7482" t="str">
            <v xml:space="preserve">  ISAMIAL KHAN</v>
          </cell>
          <cell r="D7482">
            <v>0</v>
          </cell>
          <cell r="E7482">
            <v>0</v>
          </cell>
          <cell r="F7482">
            <v>0</v>
          </cell>
          <cell r="G7482">
            <v>0</v>
          </cell>
        </row>
        <row r="7483">
          <cell r="A7483" t="str">
            <v>55-06-99-0079</v>
          </cell>
          <cell r="B7483">
            <v>0</v>
          </cell>
          <cell r="C7483" t="str">
            <v xml:space="preserve">  ZABIT KHAN</v>
          </cell>
          <cell r="D7483">
            <v>0</v>
          </cell>
          <cell r="E7483">
            <v>0</v>
          </cell>
          <cell r="F7483">
            <v>0</v>
          </cell>
          <cell r="G7483">
            <v>0</v>
          </cell>
        </row>
        <row r="7484">
          <cell r="A7484" t="str">
            <v>55-06-99-0080</v>
          </cell>
          <cell r="B7484">
            <v>0</v>
          </cell>
          <cell r="C7484" t="str">
            <v xml:space="preserve">  RIAZ ALI SCRAPE DEALER</v>
          </cell>
          <cell r="D7484">
            <v>0</v>
          </cell>
          <cell r="E7484">
            <v>0</v>
          </cell>
          <cell r="F7484">
            <v>0</v>
          </cell>
          <cell r="G7484">
            <v>0</v>
          </cell>
        </row>
        <row r="7485">
          <cell r="A7485" t="str">
            <v>55-06-99-0081</v>
          </cell>
          <cell r="B7485">
            <v>0</v>
          </cell>
          <cell r="C7485" t="str">
            <v xml:space="preserve">  -</v>
          </cell>
          <cell r="D7485">
            <v>0</v>
          </cell>
          <cell r="E7485">
            <v>0</v>
          </cell>
          <cell r="F7485">
            <v>0</v>
          </cell>
          <cell r="G7485">
            <v>0</v>
          </cell>
        </row>
        <row r="7486">
          <cell r="A7486" t="str">
            <v>55-06-99-0089</v>
          </cell>
          <cell r="B7486">
            <v>0</v>
          </cell>
          <cell r="C7486" t="str">
            <v xml:space="preserve">  MUHAMMAD ASHFAQ</v>
          </cell>
          <cell r="D7486">
            <v>0</v>
          </cell>
          <cell r="E7486">
            <v>0</v>
          </cell>
          <cell r="F7486">
            <v>0</v>
          </cell>
          <cell r="G7486">
            <v>0</v>
          </cell>
        </row>
        <row r="7487">
          <cell r="A7487" t="str">
            <v>55-06-99-0090</v>
          </cell>
          <cell r="B7487">
            <v>0</v>
          </cell>
          <cell r="C7487" t="str">
            <v xml:space="preserve">  KHAIR WALI</v>
          </cell>
          <cell r="D7487">
            <v>0</v>
          </cell>
          <cell r="E7487">
            <v>0</v>
          </cell>
          <cell r="F7487">
            <v>0</v>
          </cell>
          <cell r="G7487">
            <v>0</v>
          </cell>
        </row>
        <row r="7488">
          <cell r="A7488" t="str">
            <v>55-06-99-0092</v>
          </cell>
          <cell r="B7488">
            <v>0</v>
          </cell>
          <cell r="C7488" t="str">
            <v xml:space="preserve">  SALAHUDDIN</v>
          </cell>
          <cell r="D7488">
            <v>0</v>
          </cell>
          <cell r="E7488">
            <v>0</v>
          </cell>
          <cell r="F7488">
            <v>0</v>
          </cell>
          <cell r="G7488">
            <v>0</v>
          </cell>
        </row>
        <row r="7489">
          <cell r="A7489" t="str">
            <v>55-06-99-0093</v>
          </cell>
          <cell r="B7489">
            <v>0</v>
          </cell>
          <cell r="C7489" t="str">
            <v xml:space="preserve">  ZAHOOR &amp; SONS</v>
          </cell>
          <cell r="D7489">
            <v>0</v>
          </cell>
          <cell r="E7489">
            <v>0</v>
          </cell>
          <cell r="F7489">
            <v>0</v>
          </cell>
          <cell r="G7489">
            <v>0</v>
          </cell>
        </row>
        <row r="7490">
          <cell r="A7490" t="str">
            <v>55-06-99-0096</v>
          </cell>
          <cell r="B7490">
            <v>0</v>
          </cell>
          <cell r="C7490" t="str">
            <v xml:space="preserve">  MISAL KHAN SCRAPE DEALER</v>
          </cell>
          <cell r="D7490">
            <v>0</v>
          </cell>
          <cell r="E7490">
            <v>0</v>
          </cell>
          <cell r="F7490">
            <v>0</v>
          </cell>
          <cell r="G7490">
            <v>0</v>
          </cell>
        </row>
        <row r="7491">
          <cell r="A7491" t="str">
            <v>55-06-99-0097</v>
          </cell>
          <cell r="B7491">
            <v>0</v>
          </cell>
          <cell r="C7491" t="str">
            <v xml:space="preserve">  ASHRAF CHAUDHRY SCRAPE DEALER</v>
          </cell>
          <cell r="D7491">
            <v>0</v>
          </cell>
          <cell r="E7491">
            <v>0</v>
          </cell>
          <cell r="F7491">
            <v>0</v>
          </cell>
          <cell r="G7491">
            <v>0</v>
          </cell>
        </row>
        <row r="7492">
          <cell r="A7492" t="str">
            <v>55-06-99-0098</v>
          </cell>
          <cell r="B7492">
            <v>0</v>
          </cell>
          <cell r="C7492" t="str">
            <v xml:space="preserve">  SAWAB JAN SCRAPE DEALER</v>
          </cell>
          <cell r="D7492">
            <v>0</v>
          </cell>
          <cell r="E7492">
            <v>0</v>
          </cell>
          <cell r="F7492">
            <v>0</v>
          </cell>
          <cell r="G7492">
            <v>0</v>
          </cell>
        </row>
        <row r="7493">
          <cell r="A7493" t="str">
            <v>55-06-99-0099</v>
          </cell>
          <cell r="B7493">
            <v>0</v>
          </cell>
          <cell r="C7493" t="str">
            <v xml:space="preserve">  SHEROON SCRAPE DEALER</v>
          </cell>
          <cell r="D7493">
            <v>0</v>
          </cell>
          <cell r="E7493">
            <v>0</v>
          </cell>
          <cell r="F7493">
            <v>0</v>
          </cell>
          <cell r="G7493">
            <v>0</v>
          </cell>
        </row>
        <row r="7494">
          <cell r="A7494" t="str">
            <v>55-06-99-0103</v>
          </cell>
          <cell r="B7494">
            <v>0</v>
          </cell>
          <cell r="C7494" t="str">
            <v xml:space="preserve">  JAWAID TANVEER</v>
          </cell>
          <cell r="D7494">
            <v>0</v>
          </cell>
          <cell r="E7494">
            <v>0</v>
          </cell>
          <cell r="F7494">
            <v>0</v>
          </cell>
          <cell r="G7494">
            <v>0</v>
          </cell>
        </row>
        <row r="7495">
          <cell r="A7495" t="str">
            <v>55-06-99-0104</v>
          </cell>
          <cell r="B7495">
            <v>0</v>
          </cell>
          <cell r="C7495" t="str">
            <v xml:space="preserve">  FAKIR HUSSAIN SCRAPE DEALER</v>
          </cell>
          <cell r="D7495">
            <v>0</v>
          </cell>
          <cell r="E7495">
            <v>0</v>
          </cell>
          <cell r="F7495">
            <v>0</v>
          </cell>
          <cell r="G7495">
            <v>0</v>
          </cell>
        </row>
        <row r="7496">
          <cell r="A7496" t="str">
            <v>55-06-99-0105</v>
          </cell>
          <cell r="B7496">
            <v>0</v>
          </cell>
          <cell r="C7496" t="str">
            <v xml:space="preserve">  GULZAR HUSSAIN .</v>
          </cell>
          <cell r="D7496">
            <v>0</v>
          </cell>
          <cell r="E7496">
            <v>0</v>
          </cell>
          <cell r="F7496">
            <v>0</v>
          </cell>
          <cell r="G7496">
            <v>0</v>
          </cell>
        </row>
        <row r="7497">
          <cell r="A7497" t="str">
            <v>55-06-99-0106</v>
          </cell>
          <cell r="B7497">
            <v>0</v>
          </cell>
          <cell r="C7497" t="str">
            <v xml:space="preserve">  MUHAMMAD IQBAL</v>
          </cell>
          <cell r="D7497">
            <v>0</v>
          </cell>
          <cell r="E7497">
            <v>0</v>
          </cell>
          <cell r="F7497">
            <v>0</v>
          </cell>
          <cell r="G7497">
            <v>0</v>
          </cell>
        </row>
        <row r="7498">
          <cell r="A7498" t="str">
            <v>55-06-99-0107</v>
          </cell>
          <cell r="B7498">
            <v>0</v>
          </cell>
          <cell r="C7498" t="str">
            <v xml:space="preserve">  ARIFULLAH</v>
          </cell>
          <cell r="D7498">
            <v>0</v>
          </cell>
          <cell r="E7498">
            <v>0</v>
          </cell>
          <cell r="F7498">
            <v>0</v>
          </cell>
          <cell r="G7498">
            <v>0</v>
          </cell>
        </row>
        <row r="7499">
          <cell r="A7499" t="str">
            <v>55-06-99-0108</v>
          </cell>
          <cell r="B7499">
            <v>0</v>
          </cell>
          <cell r="C7499" t="str">
            <v xml:space="preserve">  MUHAMMAD FAROOQ</v>
          </cell>
          <cell r="D7499">
            <v>0</v>
          </cell>
          <cell r="E7499">
            <v>0</v>
          </cell>
          <cell r="F7499">
            <v>0</v>
          </cell>
          <cell r="G7499">
            <v>0</v>
          </cell>
        </row>
        <row r="7500">
          <cell r="A7500" t="str">
            <v>55-06-99-0109</v>
          </cell>
          <cell r="B7500">
            <v>0</v>
          </cell>
          <cell r="C7500" t="str">
            <v xml:space="preserve">  WALI-UL-LAH</v>
          </cell>
          <cell r="D7500">
            <v>0</v>
          </cell>
          <cell r="E7500">
            <v>0</v>
          </cell>
          <cell r="F7500">
            <v>0</v>
          </cell>
          <cell r="G7500">
            <v>0</v>
          </cell>
        </row>
        <row r="7501">
          <cell r="A7501" t="str">
            <v>55-06-99-0110</v>
          </cell>
          <cell r="B7501">
            <v>0</v>
          </cell>
          <cell r="C7501" t="str">
            <v xml:space="preserve">  EZAT KHAN</v>
          </cell>
          <cell r="D7501">
            <v>0</v>
          </cell>
          <cell r="E7501">
            <v>0</v>
          </cell>
          <cell r="F7501">
            <v>0</v>
          </cell>
          <cell r="G7501">
            <v>0</v>
          </cell>
        </row>
        <row r="7502">
          <cell r="A7502" t="str">
            <v>55-06-99-0111</v>
          </cell>
          <cell r="B7502">
            <v>0</v>
          </cell>
          <cell r="C7502" t="str">
            <v xml:space="preserve">  ISLAMUDDIN</v>
          </cell>
          <cell r="D7502">
            <v>0</v>
          </cell>
          <cell r="E7502">
            <v>0</v>
          </cell>
          <cell r="F7502">
            <v>0</v>
          </cell>
          <cell r="G7502">
            <v>0</v>
          </cell>
        </row>
        <row r="7503">
          <cell r="A7503" t="str">
            <v>55-06-99-0112</v>
          </cell>
          <cell r="B7503">
            <v>0</v>
          </cell>
          <cell r="C7503" t="str">
            <v xml:space="preserve">  ASAD ULLAH CAMP</v>
          </cell>
          <cell r="D7503">
            <v>0</v>
          </cell>
          <cell r="E7503">
            <v>0</v>
          </cell>
          <cell r="F7503">
            <v>0</v>
          </cell>
          <cell r="G7503">
            <v>0</v>
          </cell>
        </row>
        <row r="7504">
          <cell r="A7504" t="str">
            <v>55-06-99-0113</v>
          </cell>
          <cell r="B7504">
            <v>0</v>
          </cell>
          <cell r="C7504" t="str">
            <v xml:space="preserve">  MUBARAK ICE STORE</v>
          </cell>
          <cell r="D7504">
            <v>0</v>
          </cell>
          <cell r="E7504">
            <v>0</v>
          </cell>
          <cell r="F7504">
            <v>0</v>
          </cell>
          <cell r="G7504">
            <v>0</v>
          </cell>
        </row>
        <row r="7505">
          <cell r="A7505" t="str">
            <v>55-06-99-0114</v>
          </cell>
          <cell r="B7505">
            <v>0</v>
          </cell>
          <cell r="C7505" t="str">
            <v xml:space="preserve">  MUZAMMIL CAMP</v>
          </cell>
          <cell r="D7505">
            <v>0</v>
          </cell>
          <cell r="E7505">
            <v>0</v>
          </cell>
          <cell r="F7505">
            <v>0</v>
          </cell>
          <cell r="G7505">
            <v>0</v>
          </cell>
        </row>
        <row r="7506">
          <cell r="A7506" t="str">
            <v>55-06-99-0115</v>
          </cell>
          <cell r="B7506">
            <v>0</v>
          </cell>
          <cell r="C7506" t="str">
            <v xml:space="preserve">  SULTAN MEHMOOD OKARA</v>
          </cell>
          <cell r="D7506">
            <v>0</v>
          </cell>
          <cell r="E7506">
            <v>0</v>
          </cell>
          <cell r="F7506">
            <v>0</v>
          </cell>
          <cell r="G7506">
            <v>0</v>
          </cell>
        </row>
        <row r="7507">
          <cell r="A7507" t="str">
            <v>55-06-99-0116</v>
          </cell>
          <cell r="B7507">
            <v>0</v>
          </cell>
          <cell r="C7507" t="str">
            <v xml:space="preserve">  SHER HASSAN TOPI.</v>
          </cell>
          <cell r="D7507">
            <v>0</v>
          </cell>
          <cell r="E7507">
            <v>0</v>
          </cell>
          <cell r="F7507">
            <v>0</v>
          </cell>
          <cell r="G7507">
            <v>0</v>
          </cell>
        </row>
        <row r="7508">
          <cell r="A7508" t="str">
            <v>55-06-99-0118</v>
          </cell>
          <cell r="B7508">
            <v>0</v>
          </cell>
          <cell r="C7508" t="str">
            <v xml:space="preserve">  IJAZ AHMAD</v>
          </cell>
          <cell r="D7508">
            <v>0</v>
          </cell>
          <cell r="E7508">
            <v>0</v>
          </cell>
          <cell r="F7508">
            <v>0</v>
          </cell>
          <cell r="G7508">
            <v>0</v>
          </cell>
        </row>
        <row r="7509">
          <cell r="A7509" t="str">
            <v>55-06-99-0119</v>
          </cell>
          <cell r="B7509">
            <v>0</v>
          </cell>
          <cell r="C7509" t="str">
            <v xml:space="preserve">  MUHAMMAD NABI CAMP</v>
          </cell>
          <cell r="D7509">
            <v>0</v>
          </cell>
          <cell r="E7509">
            <v>0</v>
          </cell>
          <cell r="F7509">
            <v>0</v>
          </cell>
          <cell r="G7509">
            <v>0</v>
          </cell>
        </row>
        <row r="7510">
          <cell r="A7510" t="str">
            <v>55-06-99-0120</v>
          </cell>
          <cell r="B7510">
            <v>0</v>
          </cell>
          <cell r="C7510" t="str">
            <v xml:space="preserve">  ZAHID HUSSAIN</v>
          </cell>
          <cell r="D7510">
            <v>0</v>
          </cell>
          <cell r="E7510">
            <v>0</v>
          </cell>
          <cell r="F7510">
            <v>0</v>
          </cell>
          <cell r="G7510">
            <v>0</v>
          </cell>
        </row>
        <row r="7511">
          <cell r="A7511" t="str">
            <v>55-06-99-0121</v>
          </cell>
          <cell r="B7511">
            <v>0</v>
          </cell>
          <cell r="C7511" t="str">
            <v xml:space="preserve">  BADAM KHAN</v>
          </cell>
          <cell r="D7511">
            <v>0</v>
          </cell>
          <cell r="E7511">
            <v>0</v>
          </cell>
          <cell r="F7511">
            <v>0</v>
          </cell>
          <cell r="G7511">
            <v>0</v>
          </cell>
        </row>
        <row r="7512">
          <cell r="A7512" t="str">
            <v>55-06-99-0122</v>
          </cell>
          <cell r="B7512">
            <v>0</v>
          </cell>
          <cell r="C7512" t="str">
            <v xml:space="preserve">  NIAZ TRADING COMPANY</v>
          </cell>
          <cell r="D7512">
            <v>0</v>
          </cell>
          <cell r="E7512">
            <v>0</v>
          </cell>
          <cell r="F7512">
            <v>0</v>
          </cell>
          <cell r="G7512">
            <v>0</v>
          </cell>
        </row>
        <row r="7513">
          <cell r="A7513" t="str">
            <v>55-06-99-0123</v>
          </cell>
          <cell r="B7513">
            <v>0</v>
          </cell>
          <cell r="C7513" t="str">
            <v xml:space="preserve">  KHYAL MUHAMMAD PESHAWAR</v>
          </cell>
          <cell r="D7513">
            <v>0</v>
          </cell>
          <cell r="E7513">
            <v>0</v>
          </cell>
          <cell r="F7513">
            <v>0</v>
          </cell>
          <cell r="G7513">
            <v>0</v>
          </cell>
        </row>
        <row r="7514">
          <cell r="A7514" t="str">
            <v>55-06-99-0124</v>
          </cell>
          <cell r="B7514">
            <v>0</v>
          </cell>
          <cell r="C7514" t="str">
            <v xml:space="preserve">  GHULAM RASOOD FAISALABAD</v>
          </cell>
          <cell r="D7514">
            <v>0</v>
          </cell>
          <cell r="E7514">
            <v>0</v>
          </cell>
          <cell r="F7514">
            <v>0</v>
          </cell>
          <cell r="G7514">
            <v>0</v>
          </cell>
        </row>
        <row r="7515">
          <cell r="A7515" t="str">
            <v>55-06-99-0125</v>
          </cell>
          <cell r="B7515">
            <v>0</v>
          </cell>
          <cell r="C7515" t="str">
            <v xml:space="preserve">  SALAMAT ALI</v>
          </cell>
          <cell r="D7515">
            <v>0</v>
          </cell>
          <cell r="E7515">
            <v>0</v>
          </cell>
          <cell r="F7515">
            <v>0</v>
          </cell>
          <cell r="G7515">
            <v>0</v>
          </cell>
        </row>
        <row r="7516">
          <cell r="A7516" t="str">
            <v>55-06-99-0126</v>
          </cell>
          <cell r="B7516">
            <v>0</v>
          </cell>
          <cell r="C7516" t="str">
            <v xml:space="preserve">  WAHEED GUL</v>
          </cell>
          <cell r="D7516">
            <v>0</v>
          </cell>
          <cell r="E7516">
            <v>0</v>
          </cell>
          <cell r="F7516">
            <v>0</v>
          </cell>
          <cell r="G7516">
            <v>0</v>
          </cell>
        </row>
        <row r="7517">
          <cell r="A7517" t="str">
            <v>55-06-99-0127</v>
          </cell>
          <cell r="B7517">
            <v>0</v>
          </cell>
          <cell r="C7517" t="str">
            <v xml:space="preserve">  SHAHI REHMAN TOPI</v>
          </cell>
          <cell r="D7517">
            <v>0</v>
          </cell>
          <cell r="E7517">
            <v>0</v>
          </cell>
          <cell r="F7517">
            <v>0</v>
          </cell>
          <cell r="G7517">
            <v>0</v>
          </cell>
        </row>
        <row r="7518">
          <cell r="A7518" t="str">
            <v>55-06-99-0128</v>
          </cell>
          <cell r="B7518">
            <v>0</v>
          </cell>
          <cell r="C7518" t="str">
            <v xml:space="preserve">  MUHAMMAD NAWAZ SWABI</v>
          </cell>
          <cell r="D7518">
            <v>0</v>
          </cell>
          <cell r="E7518">
            <v>0</v>
          </cell>
          <cell r="F7518">
            <v>0</v>
          </cell>
          <cell r="G7518">
            <v>0</v>
          </cell>
        </row>
        <row r="7519">
          <cell r="A7519" t="str">
            <v>55-06-99-0129</v>
          </cell>
          <cell r="B7519">
            <v>0</v>
          </cell>
          <cell r="C7519" t="str">
            <v xml:space="preserve">  SHER WALI SWABI</v>
          </cell>
          <cell r="D7519">
            <v>0</v>
          </cell>
          <cell r="E7519">
            <v>0</v>
          </cell>
          <cell r="F7519">
            <v>0</v>
          </cell>
          <cell r="G7519">
            <v>0</v>
          </cell>
        </row>
        <row r="7520">
          <cell r="A7520" t="str">
            <v>55-06-99-0132</v>
          </cell>
          <cell r="B7520">
            <v>0</v>
          </cell>
          <cell r="C7520" t="str">
            <v xml:space="preserve">  HIDAYATULLAH CAMP</v>
          </cell>
          <cell r="D7520">
            <v>0</v>
          </cell>
          <cell r="E7520">
            <v>0</v>
          </cell>
          <cell r="F7520">
            <v>0</v>
          </cell>
          <cell r="G7520">
            <v>0</v>
          </cell>
        </row>
        <row r="7521">
          <cell r="A7521" t="str">
            <v>55-06-99-0133</v>
          </cell>
          <cell r="B7521">
            <v>0</v>
          </cell>
          <cell r="C7521" t="str">
            <v xml:space="preserve">  HAZRAT UMER OKARA KHAATTAK</v>
          </cell>
          <cell r="D7521">
            <v>0</v>
          </cell>
          <cell r="E7521">
            <v>0</v>
          </cell>
          <cell r="F7521">
            <v>0</v>
          </cell>
          <cell r="G7521">
            <v>0</v>
          </cell>
        </row>
        <row r="7522">
          <cell r="A7522" t="str">
            <v>55-06-99-0134</v>
          </cell>
          <cell r="B7522">
            <v>0</v>
          </cell>
          <cell r="C7522" t="str">
            <v xml:space="preserve">  WAZIR KHAN CAMP.</v>
          </cell>
          <cell r="D7522">
            <v>0</v>
          </cell>
          <cell r="E7522">
            <v>0</v>
          </cell>
          <cell r="F7522">
            <v>0</v>
          </cell>
          <cell r="G7522">
            <v>0</v>
          </cell>
        </row>
        <row r="7523">
          <cell r="A7523" t="str">
            <v>55-06-99-0135</v>
          </cell>
          <cell r="B7523">
            <v>0</v>
          </cell>
          <cell r="C7523" t="str">
            <v xml:space="preserve">  INTEGRA AUTOMOTIVES (PVT) LTD</v>
          </cell>
          <cell r="D7523">
            <v>0</v>
          </cell>
          <cell r="E7523">
            <v>0</v>
          </cell>
          <cell r="F7523">
            <v>0</v>
          </cell>
          <cell r="G7523">
            <v>0</v>
          </cell>
        </row>
        <row r="7524">
          <cell r="A7524" t="str">
            <v>55-06-99-0136</v>
          </cell>
          <cell r="B7524">
            <v>0</v>
          </cell>
          <cell r="C7524" t="str">
            <v xml:space="preserve">  SHAHID COTTON FACTORY</v>
          </cell>
          <cell r="D7524">
            <v>0</v>
          </cell>
          <cell r="E7524">
            <v>0</v>
          </cell>
          <cell r="F7524">
            <v>0</v>
          </cell>
          <cell r="G7524">
            <v>0</v>
          </cell>
        </row>
        <row r="7525">
          <cell r="A7525" t="str">
            <v>55-06-99-0137</v>
          </cell>
          <cell r="B7525">
            <v>0</v>
          </cell>
          <cell r="C7525" t="str">
            <v xml:space="preserve">  IMRAN ALI JHANG</v>
          </cell>
          <cell r="D7525">
            <v>0</v>
          </cell>
          <cell r="E7525">
            <v>0</v>
          </cell>
          <cell r="F7525">
            <v>0</v>
          </cell>
          <cell r="G7525">
            <v>0</v>
          </cell>
        </row>
        <row r="7526">
          <cell r="A7526" t="str">
            <v>55-06-99-0138</v>
          </cell>
          <cell r="B7526">
            <v>0</v>
          </cell>
          <cell r="C7526" t="str">
            <v xml:space="preserve">  ABC</v>
          </cell>
          <cell r="D7526">
            <v>0</v>
          </cell>
          <cell r="E7526">
            <v>0</v>
          </cell>
          <cell r="F7526">
            <v>0</v>
          </cell>
          <cell r="G7526">
            <v>0</v>
          </cell>
        </row>
        <row r="7527">
          <cell r="A7527" t="str">
            <v>55-06-99-0139</v>
          </cell>
          <cell r="B7527">
            <v>0</v>
          </cell>
          <cell r="C7527" t="str">
            <v xml:space="preserve">  FAZAL RABI.</v>
          </cell>
          <cell r="D7527">
            <v>0</v>
          </cell>
          <cell r="E7527">
            <v>0</v>
          </cell>
          <cell r="F7527">
            <v>0</v>
          </cell>
          <cell r="G7527">
            <v>0</v>
          </cell>
        </row>
        <row r="7528">
          <cell r="A7528" t="str">
            <v>55-06-99-0140</v>
          </cell>
          <cell r="B7528">
            <v>0</v>
          </cell>
          <cell r="C7528" t="str">
            <v xml:space="preserve">  NAEEM KHAN SCRAP DEALER</v>
          </cell>
          <cell r="D7528">
            <v>0</v>
          </cell>
          <cell r="E7528">
            <v>0</v>
          </cell>
          <cell r="F7528">
            <v>0</v>
          </cell>
          <cell r="G7528">
            <v>0</v>
          </cell>
        </row>
        <row r="7529">
          <cell r="A7529" t="str">
            <v>55-06-99-0141</v>
          </cell>
          <cell r="B7529">
            <v>0</v>
          </cell>
          <cell r="C7529" t="str">
            <v xml:space="preserve">  MUHAMMAD NASAR ULLAH KHAN</v>
          </cell>
          <cell r="D7529">
            <v>0</v>
          </cell>
          <cell r="E7529">
            <v>0</v>
          </cell>
          <cell r="F7529">
            <v>0</v>
          </cell>
          <cell r="G7529">
            <v>0</v>
          </cell>
        </row>
        <row r="7530">
          <cell r="A7530" t="str">
            <v>55-06-99-0142</v>
          </cell>
          <cell r="B7530">
            <v>0</v>
          </cell>
          <cell r="C7530" t="str">
            <v xml:space="preserve">  GUL BAHADAR SCRAP DEALER</v>
          </cell>
          <cell r="D7530">
            <v>0</v>
          </cell>
          <cell r="E7530">
            <v>0</v>
          </cell>
          <cell r="F7530">
            <v>0</v>
          </cell>
          <cell r="G7530">
            <v>0</v>
          </cell>
        </row>
        <row r="7531">
          <cell r="A7531" t="str">
            <v>55-06-99-0143</v>
          </cell>
          <cell r="B7531">
            <v>0</v>
          </cell>
          <cell r="C7531" t="str">
            <v xml:space="preserve">  MUHAMMAD HUSSAIN FAISALABAD.</v>
          </cell>
          <cell r="D7531">
            <v>0</v>
          </cell>
          <cell r="E7531">
            <v>0</v>
          </cell>
          <cell r="F7531">
            <v>0</v>
          </cell>
          <cell r="G7531">
            <v>0</v>
          </cell>
        </row>
        <row r="7532">
          <cell r="A7532" t="str">
            <v>55-06-99-0144</v>
          </cell>
          <cell r="B7532">
            <v>0</v>
          </cell>
          <cell r="C7532" t="str">
            <v xml:space="preserve">  ABDUL JABBAR SCRAP DEALER</v>
          </cell>
          <cell r="D7532">
            <v>0</v>
          </cell>
          <cell r="E7532">
            <v>0</v>
          </cell>
          <cell r="F7532">
            <v>0</v>
          </cell>
          <cell r="G7532">
            <v>0</v>
          </cell>
        </row>
        <row r="7533">
          <cell r="A7533" t="str">
            <v>55-06-99-0145</v>
          </cell>
          <cell r="B7533">
            <v>0</v>
          </cell>
          <cell r="C7533" t="str">
            <v xml:space="preserve">  MALIK SANA ULLAH FSD</v>
          </cell>
          <cell r="D7533">
            <v>0</v>
          </cell>
          <cell r="E7533">
            <v>0</v>
          </cell>
          <cell r="F7533">
            <v>0</v>
          </cell>
          <cell r="G7533">
            <v>0</v>
          </cell>
        </row>
        <row r="7534">
          <cell r="A7534" t="str">
            <v>55-06-99-0146</v>
          </cell>
          <cell r="B7534">
            <v>0</v>
          </cell>
          <cell r="C7534" t="str">
            <v xml:space="preserve">  CHINA TEXTILE MACHINERY</v>
          </cell>
          <cell r="D7534">
            <v>0</v>
          </cell>
          <cell r="E7534">
            <v>0</v>
          </cell>
          <cell r="F7534">
            <v>0</v>
          </cell>
          <cell r="G7534">
            <v>0</v>
          </cell>
        </row>
        <row r="7535">
          <cell r="A7535" t="str">
            <v>55-06-99-0147</v>
          </cell>
          <cell r="B7535">
            <v>0</v>
          </cell>
          <cell r="C7535" t="str">
            <v xml:space="preserve">  FARHATULLAH C/O A.B.L.</v>
          </cell>
          <cell r="D7535">
            <v>0</v>
          </cell>
          <cell r="E7535">
            <v>0</v>
          </cell>
          <cell r="F7535">
            <v>0</v>
          </cell>
          <cell r="G7535">
            <v>0</v>
          </cell>
        </row>
        <row r="7536">
          <cell r="A7536" t="str">
            <v>55-06-99-0148</v>
          </cell>
          <cell r="B7536">
            <v>0</v>
          </cell>
          <cell r="C7536" t="str">
            <v xml:space="preserve">  LIAQAT ALI FAISALABAD SCRAP DEALER</v>
          </cell>
          <cell r="D7536">
            <v>0</v>
          </cell>
          <cell r="E7536">
            <v>0</v>
          </cell>
          <cell r="F7536">
            <v>0</v>
          </cell>
          <cell r="G7536">
            <v>0</v>
          </cell>
        </row>
        <row r="7537">
          <cell r="A7537" t="str">
            <v>55-06-99-0151</v>
          </cell>
          <cell r="B7537">
            <v>0</v>
          </cell>
          <cell r="C7537" t="str">
            <v xml:space="preserve">  MOHABBAT KHAN SCRAPE DEALER</v>
          </cell>
          <cell r="D7537">
            <v>0</v>
          </cell>
          <cell r="E7537">
            <v>0</v>
          </cell>
          <cell r="F7537">
            <v>0</v>
          </cell>
          <cell r="G7537">
            <v>0</v>
          </cell>
        </row>
        <row r="7538">
          <cell r="A7538" t="str">
            <v>55-06-99-3001</v>
          </cell>
          <cell r="B7538">
            <v>0</v>
          </cell>
          <cell r="C7538" t="str">
            <v xml:space="preserve">  MUHAMMAD HUSSAIN</v>
          </cell>
          <cell r="D7538">
            <v>0</v>
          </cell>
          <cell r="E7538">
            <v>0</v>
          </cell>
          <cell r="F7538">
            <v>0</v>
          </cell>
          <cell r="G7538">
            <v>0</v>
          </cell>
        </row>
        <row r="7539">
          <cell r="A7539" t="str">
            <v>55-07</v>
          </cell>
          <cell r="B7539">
            <v>0</v>
          </cell>
          <cell r="C7539" t="str">
            <v>**SALE OF MACHINERY.</v>
          </cell>
          <cell r="D7539">
            <v>0</v>
          </cell>
          <cell r="E7539">
            <v>421177</v>
          </cell>
          <cell r="F7539">
            <v>0</v>
          </cell>
          <cell r="G7539">
            <v>421177</v>
          </cell>
        </row>
        <row r="7540">
          <cell r="A7540" t="str">
            <v>55-07-01</v>
          </cell>
          <cell r="B7540">
            <v>421177</v>
          </cell>
          <cell r="C7540" t="str">
            <v>***SALE OF MACHINERY/VEHICLE</v>
          </cell>
          <cell r="D7540">
            <v>0</v>
          </cell>
          <cell r="E7540">
            <v>421177</v>
          </cell>
          <cell r="F7540">
            <v>0</v>
          </cell>
          <cell r="G7540">
            <v>421177</v>
          </cell>
        </row>
        <row r="7541">
          <cell r="A7541" t="str">
            <v>55-07-01-0001</v>
          </cell>
          <cell r="B7541">
            <v>421177</v>
          </cell>
          <cell r="C7541" t="str">
            <v xml:space="preserve">  CHOTI TEXTILE MILLS</v>
          </cell>
          <cell r="D7541">
            <v>0</v>
          </cell>
          <cell r="E7541">
            <v>0</v>
          </cell>
          <cell r="F7541">
            <v>0</v>
          </cell>
          <cell r="G7541">
            <v>0</v>
          </cell>
        </row>
        <row r="7542">
          <cell r="A7542" t="str">
            <v>55-07-01-0002</v>
          </cell>
          <cell r="B7542">
            <v>0</v>
          </cell>
          <cell r="C7542" t="str">
            <v xml:space="preserve">  NAYAB SPINNING &amp; WEAVING MILLS LTD.</v>
          </cell>
          <cell r="D7542">
            <v>0</v>
          </cell>
          <cell r="E7542">
            <v>0</v>
          </cell>
          <cell r="F7542">
            <v>0</v>
          </cell>
          <cell r="G7542">
            <v>0</v>
          </cell>
        </row>
        <row r="7543">
          <cell r="A7543" t="str">
            <v>55-07-01-0003</v>
          </cell>
          <cell r="B7543">
            <v>0</v>
          </cell>
          <cell r="C7543" t="str">
            <v xml:space="preserve">  CHINA TEXTILE MACHINERY</v>
          </cell>
          <cell r="D7543">
            <v>0</v>
          </cell>
          <cell r="E7543">
            <v>0</v>
          </cell>
          <cell r="F7543">
            <v>0</v>
          </cell>
          <cell r="G7543">
            <v>0</v>
          </cell>
        </row>
        <row r="7544">
          <cell r="A7544" t="str">
            <v>55-07-01-0004</v>
          </cell>
          <cell r="B7544">
            <v>0</v>
          </cell>
          <cell r="C7544" t="str">
            <v xml:space="preserve">  ZAIN INTERNATIONAL</v>
          </cell>
          <cell r="D7544">
            <v>0</v>
          </cell>
          <cell r="E7544">
            <v>0</v>
          </cell>
          <cell r="F7544">
            <v>0</v>
          </cell>
          <cell r="G7544">
            <v>0</v>
          </cell>
        </row>
        <row r="7545">
          <cell r="A7545" t="str">
            <v>55-07-01-0005</v>
          </cell>
          <cell r="B7545">
            <v>0</v>
          </cell>
          <cell r="C7545" t="str">
            <v xml:space="preserve">  HASHIM TEXTILE &amp; KNITWEARS (PVT) LIMIT</v>
          </cell>
          <cell r="D7545">
            <v>0</v>
          </cell>
          <cell r="E7545">
            <v>0</v>
          </cell>
          <cell r="F7545">
            <v>0</v>
          </cell>
          <cell r="G7545">
            <v>0</v>
          </cell>
        </row>
        <row r="7546">
          <cell r="A7546" t="str">
            <v>55-07-01-0006</v>
          </cell>
          <cell r="B7546">
            <v>0</v>
          </cell>
          <cell r="C7546" t="str">
            <v xml:space="preserve">  AMNA TEXTILE INDUSTRIES</v>
          </cell>
          <cell r="D7546">
            <v>0</v>
          </cell>
          <cell r="E7546">
            <v>677</v>
          </cell>
          <cell r="F7546">
            <v>0</v>
          </cell>
          <cell r="G7546">
            <v>0</v>
          </cell>
        </row>
        <row r="7547">
          <cell r="A7547" t="str">
            <v>55-07-01-0007</v>
          </cell>
          <cell r="B7547">
            <v>0</v>
          </cell>
          <cell r="C7547" t="str">
            <v xml:space="preserve">  REDCO TEXTILE LIMITED</v>
          </cell>
          <cell r="D7547">
            <v>0</v>
          </cell>
          <cell r="E7547">
            <v>0</v>
          </cell>
          <cell r="F7547">
            <v>0</v>
          </cell>
          <cell r="G7547">
            <v>0</v>
          </cell>
        </row>
        <row r="7548">
          <cell r="A7548" t="str">
            <v>55-07-01-0008</v>
          </cell>
          <cell r="B7548">
            <v>0</v>
          </cell>
          <cell r="C7548" t="str">
            <v xml:space="preserve">  MAZHAR SHAH</v>
          </cell>
          <cell r="D7548">
            <v>0</v>
          </cell>
          <cell r="E7548">
            <v>0</v>
          </cell>
          <cell r="F7548">
            <v>0</v>
          </cell>
          <cell r="G7548">
            <v>0</v>
          </cell>
        </row>
        <row r="7549">
          <cell r="A7549" t="str">
            <v>55-07-01-0009</v>
          </cell>
          <cell r="B7549">
            <v>0</v>
          </cell>
          <cell r="C7549" t="str">
            <v xml:space="preserve">  RAEES KHAN L/OPT GTML P/MACHINE P/THEN</v>
          </cell>
          <cell r="D7549">
            <v>0</v>
          </cell>
          <cell r="E7549">
            <v>0</v>
          </cell>
          <cell r="F7549">
            <v>0</v>
          </cell>
          <cell r="G7549">
            <v>0</v>
          </cell>
        </row>
        <row r="7550">
          <cell r="A7550" t="str">
            <v>55-07-01-0010</v>
          </cell>
          <cell r="B7550">
            <v>0</v>
          </cell>
          <cell r="C7550" t="str">
            <v xml:space="preserve">  TAUSEEF AMANULLAH</v>
          </cell>
          <cell r="D7550">
            <v>0</v>
          </cell>
          <cell r="E7550">
            <v>0</v>
          </cell>
          <cell r="F7550">
            <v>0</v>
          </cell>
          <cell r="G7550">
            <v>0</v>
          </cell>
        </row>
        <row r="7551">
          <cell r="A7551" t="str">
            <v>55-07-01-0011</v>
          </cell>
          <cell r="B7551">
            <v>0</v>
          </cell>
          <cell r="C7551" t="str">
            <v xml:space="preserve">  SHOAIB SALMAN TEXTILE MILLS LIMITED</v>
          </cell>
          <cell r="D7551">
            <v>0</v>
          </cell>
          <cell r="E7551">
            <v>170500</v>
          </cell>
          <cell r="F7551">
            <v>0</v>
          </cell>
          <cell r="G7551">
            <v>0</v>
          </cell>
        </row>
        <row r="7552">
          <cell r="A7552" t="str">
            <v>55-07-01-0012</v>
          </cell>
          <cell r="B7552">
            <v>0</v>
          </cell>
          <cell r="C7552" t="str">
            <v xml:space="preserve">  SHAHID COTTON FACTORY OKARA</v>
          </cell>
          <cell r="D7552">
            <v>0</v>
          </cell>
          <cell r="E7552">
            <v>0</v>
          </cell>
          <cell r="F7552">
            <v>0</v>
          </cell>
          <cell r="G7552">
            <v>0</v>
          </cell>
        </row>
        <row r="7553">
          <cell r="A7553" t="str">
            <v>55-07-01-0013</v>
          </cell>
          <cell r="B7553">
            <v>0</v>
          </cell>
          <cell r="C7553" t="str">
            <v xml:space="preserve">  CHAWLA SPINNING MILLS LIMITED</v>
          </cell>
          <cell r="D7553">
            <v>0</v>
          </cell>
          <cell r="E7553">
            <v>200000</v>
          </cell>
          <cell r="F7553">
            <v>0</v>
          </cell>
          <cell r="G7553">
            <v>0</v>
          </cell>
        </row>
        <row r="7554">
          <cell r="A7554" t="str">
            <v>55-07-01-0014</v>
          </cell>
          <cell r="B7554">
            <v>0</v>
          </cell>
          <cell r="C7554" t="str">
            <v xml:space="preserve">  S.S.Q TEXTILE TRADERS</v>
          </cell>
          <cell r="D7554">
            <v>0</v>
          </cell>
          <cell r="E7554">
            <v>0</v>
          </cell>
          <cell r="F7554">
            <v>0</v>
          </cell>
          <cell r="G7554">
            <v>0</v>
          </cell>
        </row>
        <row r="7555">
          <cell r="A7555" t="str">
            <v>55-07-01-0015</v>
          </cell>
          <cell r="B7555">
            <v>0</v>
          </cell>
          <cell r="C7555" t="str">
            <v xml:space="preserve">  FARAZ FIBRERS</v>
          </cell>
          <cell r="D7555">
            <v>0</v>
          </cell>
          <cell r="E7555">
            <v>50000</v>
          </cell>
          <cell r="F7555">
            <v>0</v>
          </cell>
          <cell r="G7555">
            <v>0</v>
          </cell>
        </row>
        <row r="7556">
          <cell r="A7556" t="str">
            <v>55-07-01-0016</v>
          </cell>
          <cell r="B7556">
            <v>0</v>
          </cell>
          <cell r="C7556" t="str">
            <v xml:space="preserve">  KHAN TEXTILE</v>
          </cell>
          <cell r="D7556">
            <v>0</v>
          </cell>
          <cell r="E7556">
            <v>0</v>
          </cell>
          <cell r="F7556">
            <v>0</v>
          </cell>
          <cell r="G7556">
            <v>0</v>
          </cell>
        </row>
        <row r="7557">
          <cell r="A7557" t="str">
            <v>55-07-01-0017</v>
          </cell>
          <cell r="B7557">
            <v>0</v>
          </cell>
          <cell r="C7557" t="str">
            <v xml:space="preserve">  ABDUL MAJEED SONS</v>
          </cell>
          <cell r="D7557">
            <v>0</v>
          </cell>
          <cell r="E7557">
            <v>0</v>
          </cell>
          <cell r="F7557">
            <v>0</v>
          </cell>
          <cell r="G7557">
            <v>0</v>
          </cell>
        </row>
        <row r="7558">
          <cell r="A7558" t="str">
            <v>55-08</v>
          </cell>
          <cell r="B7558">
            <v>0</v>
          </cell>
          <cell r="C7558" t="str">
            <v>**AGAINST FIBRE/COTTON SALES</v>
          </cell>
          <cell r="D7558">
            <v>0</v>
          </cell>
          <cell r="E7558">
            <v>0</v>
          </cell>
          <cell r="F7558">
            <v>0</v>
          </cell>
          <cell r="G7558">
            <v>0</v>
          </cell>
        </row>
        <row r="7559">
          <cell r="A7559" t="str">
            <v>55-08-01</v>
          </cell>
          <cell r="B7559">
            <v>0</v>
          </cell>
          <cell r="C7559" t="str">
            <v>***AGAINST FIBRE/COTTON SALES</v>
          </cell>
          <cell r="D7559">
            <v>0</v>
          </cell>
          <cell r="E7559">
            <v>0</v>
          </cell>
          <cell r="F7559">
            <v>0</v>
          </cell>
          <cell r="G7559">
            <v>0</v>
          </cell>
        </row>
        <row r="7560">
          <cell r="A7560" t="str">
            <v>55-08-01-0001</v>
          </cell>
          <cell r="B7560">
            <v>0</v>
          </cell>
          <cell r="C7560" t="str">
            <v xml:space="preserve">  KHYBER TEXTILE MILLS LIMITED</v>
          </cell>
          <cell r="D7560">
            <v>0</v>
          </cell>
          <cell r="E7560">
            <v>0</v>
          </cell>
          <cell r="F7560">
            <v>0</v>
          </cell>
          <cell r="G7560">
            <v>0</v>
          </cell>
        </row>
        <row r="7561">
          <cell r="A7561" t="str">
            <v>55-08-01-0002</v>
          </cell>
          <cell r="B7561">
            <v>0</v>
          </cell>
          <cell r="C7561" t="str">
            <v xml:space="preserve">  KOHINOOR SPINNING MILLS</v>
          </cell>
          <cell r="D7561">
            <v>0</v>
          </cell>
          <cell r="E7561">
            <v>0</v>
          </cell>
          <cell r="F7561">
            <v>0</v>
          </cell>
          <cell r="G7561">
            <v>0</v>
          </cell>
        </row>
        <row r="7562">
          <cell r="A7562" t="str">
            <v>55-08-01-0003</v>
          </cell>
          <cell r="B7562">
            <v>0</v>
          </cell>
          <cell r="C7562" t="str">
            <v xml:space="preserve">  TAQEES (PVT) LIMITED</v>
          </cell>
          <cell r="D7562">
            <v>0</v>
          </cell>
          <cell r="E7562">
            <v>0</v>
          </cell>
          <cell r="F7562">
            <v>0</v>
          </cell>
          <cell r="G7562">
            <v>0</v>
          </cell>
        </row>
        <row r="7563">
          <cell r="A7563" t="str">
            <v>55-08-01-0004</v>
          </cell>
          <cell r="B7563">
            <v>0</v>
          </cell>
          <cell r="C7563" t="str">
            <v xml:space="preserve">  SANA INDUSTRIES LIMITED</v>
          </cell>
          <cell r="D7563">
            <v>0</v>
          </cell>
          <cell r="E7563">
            <v>0</v>
          </cell>
          <cell r="F7563">
            <v>0</v>
          </cell>
          <cell r="G7563">
            <v>0</v>
          </cell>
        </row>
        <row r="7564">
          <cell r="A7564" t="str">
            <v>55-08-01-0005</v>
          </cell>
          <cell r="B7564">
            <v>0</v>
          </cell>
          <cell r="C7564" t="str">
            <v xml:space="preserve">  HATTAR TEXTILE MILLS (PVT) LTD</v>
          </cell>
          <cell r="D7564">
            <v>0</v>
          </cell>
          <cell r="E7564">
            <v>0</v>
          </cell>
          <cell r="F7564">
            <v>0</v>
          </cell>
          <cell r="G7564">
            <v>0</v>
          </cell>
        </row>
        <row r="7565">
          <cell r="A7565" t="str">
            <v>55-08-01-0006</v>
          </cell>
          <cell r="B7565">
            <v>0</v>
          </cell>
          <cell r="C7565" t="str">
            <v xml:space="preserve">  HUSSAIN INDUSTRIES LIMITED</v>
          </cell>
          <cell r="D7565">
            <v>0</v>
          </cell>
          <cell r="E7565">
            <v>0</v>
          </cell>
          <cell r="F7565">
            <v>0</v>
          </cell>
          <cell r="G7565">
            <v>0</v>
          </cell>
        </row>
        <row r="7566">
          <cell r="A7566" t="str">
            <v>56</v>
          </cell>
          <cell r="B7566">
            <v>0</v>
          </cell>
          <cell r="C7566" t="str">
            <v>*ASSOCIATED UNDERTAKING / SISTER CONCERN</v>
          </cell>
          <cell r="D7566">
            <v>0</v>
          </cell>
          <cell r="E7566">
            <v>14386800.15</v>
          </cell>
          <cell r="F7566">
            <v>0</v>
          </cell>
          <cell r="G7566">
            <v>14386800.15</v>
          </cell>
        </row>
        <row r="7567">
          <cell r="A7567" t="str">
            <v>56-01</v>
          </cell>
          <cell r="B7567">
            <v>14386800</v>
          </cell>
          <cell r="C7567" t="str">
            <v>**GROUP ASSOCIATED UNDERTAKING</v>
          </cell>
          <cell r="D7567">
            <v>0</v>
          </cell>
          <cell r="E7567">
            <v>14386800.15</v>
          </cell>
          <cell r="F7567">
            <v>0</v>
          </cell>
          <cell r="G7567">
            <v>14386800.15</v>
          </cell>
        </row>
        <row r="7568">
          <cell r="A7568" t="str">
            <v>56-01-01</v>
          </cell>
          <cell r="B7568">
            <v>14386800</v>
          </cell>
          <cell r="C7568" t="str">
            <v>***YUNUS BROTHER'S</v>
          </cell>
          <cell r="D7568">
            <v>0</v>
          </cell>
          <cell r="E7568">
            <v>0</v>
          </cell>
          <cell r="F7568">
            <v>0</v>
          </cell>
          <cell r="G7568">
            <v>0</v>
          </cell>
        </row>
        <row r="7569">
          <cell r="A7569" t="str">
            <v>56-01-01-0001</v>
          </cell>
          <cell r="B7569">
            <v>0</v>
          </cell>
          <cell r="C7569" t="str">
            <v xml:space="preserve">  YUNUS BROTHER'S DEBTOR</v>
          </cell>
          <cell r="D7569">
            <v>0</v>
          </cell>
          <cell r="E7569">
            <v>0</v>
          </cell>
          <cell r="F7569">
            <v>0</v>
          </cell>
          <cell r="G7569">
            <v>0</v>
          </cell>
        </row>
        <row r="7570">
          <cell r="A7570" t="str">
            <v>56-01-01-0002</v>
          </cell>
          <cell r="B7570">
            <v>0</v>
          </cell>
          <cell r="C7570" t="str">
            <v xml:space="preserve">  YUNUS BROTHER'S CREDITOR</v>
          </cell>
          <cell r="D7570">
            <v>0</v>
          </cell>
          <cell r="E7570">
            <v>0</v>
          </cell>
          <cell r="F7570">
            <v>0</v>
          </cell>
          <cell r="G7570">
            <v>0</v>
          </cell>
        </row>
        <row r="7571">
          <cell r="A7571" t="str">
            <v>56-01-02</v>
          </cell>
          <cell r="B7571">
            <v>0</v>
          </cell>
          <cell r="C7571" t="str">
            <v>***FAZAL TEXTILE MILLS LIMITED</v>
          </cell>
          <cell r="D7571">
            <v>0</v>
          </cell>
          <cell r="E7571">
            <v>0</v>
          </cell>
          <cell r="F7571">
            <v>0</v>
          </cell>
          <cell r="G7571">
            <v>0</v>
          </cell>
        </row>
        <row r="7572">
          <cell r="A7572" t="str">
            <v>56-01-02-0001</v>
          </cell>
          <cell r="B7572">
            <v>0</v>
          </cell>
          <cell r="C7572" t="str">
            <v xml:space="preserve">  FAZAL TEXTILE MILLS LTD DEBTOR</v>
          </cell>
          <cell r="D7572">
            <v>0</v>
          </cell>
          <cell r="E7572">
            <v>0</v>
          </cell>
          <cell r="F7572">
            <v>0</v>
          </cell>
          <cell r="G7572">
            <v>0</v>
          </cell>
        </row>
        <row r="7573">
          <cell r="A7573" t="str">
            <v>56-01-02-0002</v>
          </cell>
          <cell r="B7573">
            <v>0</v>
          </cell>
          <cell r="C7573" t="str">
            <v xml:space="preserve">  FAZAL TEXTILE MILLS LTD CREDITOR</v>
          </cell>
          <cell r="D7573">
            <v>0</v>
          </cell>
          <cell r="E7573">
            <v>0</v>
          </cell>
          <cell r="F7573">
            <v>0</v>
          </cell>
          <cell r="G7573">
            <v>0</v>
          </cell>
        </row>
        <row r="7574">
          <cell r="A7574" t="str">
            <v>56-01-02-0003</v>
          </cell>
          <cell r="B7574">
            <v>0</v>
          </cell>
          <cell r="C7574" t="str">
            <v xml:space="preserve">  LUCKY ENERGY LIMITED</v>
          </cell>
          <cell r="D7574">
            <v>0</v>
          </cell>
          <cell r="E7574">
            <v>0</v>
          </cell>
          <cell r="F7574">
            <v>0</v>
          </cell>
          <cell r="G7574">
            <v>0</v>
          </cell>
        </row>
        <row r="7575">
          <cell r="A7575" t="str">
            <v>56-01-03</v>
          </cell>
          <cell r="B7575">
            <v>0</v>
          </cell>
          <cell r="C7575" t="str">
            <v>***LUCKY TEXTILE MILLS</v>
          </cell>
          <cell r="D7575">
            <v>0</v>
          </cell>
          <cell r="E7575">
            <v>0</v>
          </cell>
          <cell r="F7575">
            <v>0</v>
          </cell>
          <cell r="G7575">
            <v>0</v>
          </cell>
        </row>
        <row r="7576">
          <cell r="A7576" t="str">
            <v>56-01-03-0001</v>
          </cell>
          <cell r="B7576">
            <v>0</v>
          </cell>
          <cell r="C7576" t="str">
            <v xml:space="preserve">  LUCKY TEXTILE MILLS DEBTOR</v>
          </cell>
          <cell r="D7576">
            <v>0</v>
          </cell>
          <cell r="E7576">
            <v>0</v>
          </cell>
          <cell r="F7576">
            <v>0</v>
          </cell>
          <cell r="G7576">
            <v>0</v>
          </cell>
        </row>
        <row r="7577">
          <cell r="A7577" t="str">
            <v>56-01-03-0002</v>
          </cell>
          <cell r="B7577">
            <v>0</v>
          </cell>
          <cell r="C7577" t="str">
            <v xml:space="preserve">  LUCKY TEXTILE MILLS CREDITOR</v>
          </cell>
          <cell r="D7577">
            <v>0</v>
          </cell>
          <cell r="E7577">
            <v>0</v>
          </cell>
          <cell r="F7577">
            <v>0</v>
          </cell>
          <cell r="G7577">
            <v>0</v>
          </cell>
        </row>
        <row r="7578">
          <cell r="A7578" t="str">
            <v>56-01-04</v>
          </cell>
          <cell r="B7578">
            <v>0</v>
          </cell>
          <cell r="C7578" t="str">
            <v>***YUNUS TEXTILE MILLS</v>
          </cell>
          <cell r="D7578">
            <v>0</v>
          </cell>
          <cell r="E7578">
            <v>14386800.15</v>
          </cell>
          <cell r="F7578">
            <v>0</v>
          </cell>
          <cell r="G7578">
            <v>14386800.15</v>
          </cell>
        </row>
        <row r="7579">
          <cell r="A7579" t="str">
            <v>56-01-04-0001</v>
          </cell>
          <cell r="B7579">
            <v>14386800</v>
          </cell>
          <cell r="C7579" t="str">
            <v xml:space="preserve">  YUNUS TEXTILE MILLS (SHUTTLE)</v>
          </cell>
          <cell r="D7579">
            <v>0</v>
          </cell>
          <cell r="E7579">
            <v>0</v>
          </cell>
          <cell r="F7579">
            <v>0</v>
          </cell>
          <cell r="G7579">
            <v>0</v>
          </cell>
        </row>
        <row r="7580">
          <cell r="A7580" t="str">
            <v>56-01-04-0002</v>
          </cell>
          <cell r="B7580">
            <v>0</v>
          </cell>
          <cell r="C7580" t="str">
            <v xml:space="preserve">  YUNUS TEXTILE MILLS (AIRJET)</v>
          </cell>
          <cell r="D7580">
            <v>0</v>
          </cell>
          <cell r="E7580">
            <v>0</v>
          </cell>
          <cell r="F7580">
            <v>0</v>
          </cell>
          <cell r="G7580">
            <v>0</v>
          </cell>
        </row>
        <row r="7581">
          <cell r="A7581" t="str">
            <v>56-01-04-0003</v>
          </cell>
          <cell r="B7581">
            <v>0</v>
          </cell>
          <cell r="C7581" t="str">
            <v xml:space="preserve">  YUNUS TEXTILE MILLS (FSD)</v>
          </cell>
          <cell r="D7581">
            <v>0</v>
          </cell>
          <cell r="E7581">
            <v>0</v>
          </cell>
          <cell r="F7581">
            <v>0</v>
          </cell>
          <cell r="G7581">
            <v>0</v>
          </cell>
        </row>
        <row r="7582">
          <cell r="A7582" t="str">
            <v>56-01-04-0004</v>
          </cell>
          <cell r="B7582">
            <v>0</v>
          </cell>
          <cell r="C7582" t="str">
            <v xml:space="preserve">  YUNUS TEXTILE MILLS  (CREDITOR)</v>
          </cell>
          <cell r="D7582">
            <v>0</v>
          </cell>
          <cell r="E7582">
            <v>14386800.15</v>
          </cell>
          <cell r="F7582">
            <v>0</v>
          </cell>
          <cell r="G7582">
            <v>0</v>
          </cell>
        </row>
        <row r="7583">
          <cell r="A7583" t="str">
            <v>56-01-05</v>
          </cell>
          <cell r="B7583">
            <v>0</v>
          </cell>
          <cell r="C7583" t="str">
            <v>***LUCKY CEMENT</v>
          </cell>
          <cell r="D7583">
            <v>0</v>
          </cell>
          <cell r="E7583">
            <v>0</v>
          </cell>
          <cell r="F7583">
            <v>0</v>
          </cell>
          <cell r="G7583">
            <v>0</v>
          </cell>
        </row>
        <row r="7584">
          <cell r="A7584" t="str">
            <v>56-01-05-0001</v>
          </cell>
          <cell r="B7584">
            <v>0</v>
          </cell>
          <cell r="C7584" t="str">
            <v xml:space="preserve">  LUCKY CEMENT LTD (CREDITOR A/C)</v>
          </cell>
          <cell r="D7584">
            <v>0</v>
          </cell>
          <cell r="E7584">
            <v>0</v>
          </cell>
          <cell r="F7584">
            <v>0</v>
          </cell>
          <cell r="G7584">
            <v>0</v>
          </cell>
        </row>
        <row r="7585">
          <cell r="A7585" t="str">
            <v>56-01-05-0002</v>
          </cell>
          <cell r="B7585">
            <v>0</v>
          </cell>
          <cell r="C7585" t="str">
            <v xml:space="preserve">  LUCKY CEMENT LTD (EXPENSES ACCOUNT)</v>
          </cell>
          <cell r="D7585">
            <v>0</v>
          </cell>
          <cell r="E7585">
            <v>0</v>
          </cell>
          <cell r="F7585">
            <v>0</v>
          </cell>
          <cell r="G7585">
            <v>0</v>
          </cell>
        </row>
        <row r="7586">
          <cell r="A7586" t="str">
            <v>56-01-05-0003</v>
          </cell>
          <cell r="B7586">
            <v>0</v>
          </cell>
          <cell r="C7586" t="str">
            <v xml:space="preserve">  LUCKY POWER TEC</v>
          </cell>
          <cell r="D7586">
            <v>0</v>
          </cell>
          <cell r="E7586">
            <v>0</v>
          </cell>
          <cell r="F7586">
            <v>0</v>
          </cell>
          <cell r="G7586">
            <v>0</v>
          </cell>
        </row>
        <row r="7587">
          <cell r="A7587" t="str">
            <v>56-01-05-0004</v>
          </cell>
          <cell r="B7587">
            <v>0</v>
          </cell>
          <cell r="C7587" t="str">
            <v xml:space="preserve">  LUCKY CEMENT LIMITED (DEBTOR A/C)</v>
          </cell>
          <cell r="D7587">
            <v>0</v>
          </cell>
          <cell r="E7587">
            <v>0</v>
          </cell>
          <cell r="F7587">
            <v>0</v>
          </cell>
          <cell r="G7587">
            <v>0</v>
          </cell>
        </row>
        <row r="7588">
          <cell r="A7588" t="str">
            <v>56-01-06</v>
          </cell>
          <cell r="B7588">
            <v>0</v>
          </cell>
          <cell r="C7588" t="str">
            <v>***SAIF GROUP COMPANY</v>
          </cell>
          <cell r="D7588">
            <v>0</v>
          </cell>
          <cell r="E7588">
            <v>0</v>
          </cell>
          <cell r="F7588">
            <v>0</v>
          </cell>
          <cell r="G7588">
            <v>0</v>
          </cell>
        </row>
        <row r="7589">
          <cell r="A7589" t="str">
            <v>56-01-06-0001</v>
          </cell>
          <cell r="B7589">
            <v>0</v>
          </cell>
          <cell r="C7589" t="str">
            <v xml:space="preserve">  KOHAT TEXTILE MILLS LTD</v>
          </cell>
          <cell r="D7589">
            <v>0</v>
          </cell>
          <cell r="E7589">
            <v>0</v>
          </cell>
          <cell r="F7589">
            <v>0</v>
          </cell>
          <cell r="G7589">
            <v>0</v>
          </cell>
        </row>
        <row r="7590">
          <cell r="A7590" t="str">
            <v>56-01-06-0002</v>
          </cell>
          <cell r="B7590">
            <v>0</v>
          </cell>
          <cell r="C7590" t="str">
            <v xml:space="preserve">  SAIF TEXTILE MILLS LTD</v>
          </cell>
          <cell r="D7590">
            <v>0</v>
          </cell>
          <cell r="E7590">
            <v>0</v>
          </cell>
          <cell r="F7590">
            <v>0</v>
          </cell>
          <cell r="G7590">
            <v>0</v>
          </cell>
        </row>
        <row r="7591">
          <cell r="A7591" t="str">
            <v>57</v>
          </cell>
          <cell r="B7591">
            <v>0</v>
          </cell>
          <cell r="C7591" t="str">
            <v>*LOAN AND ADVANCES TO EMPLOYEES</v>
          </cell>
          <cell r="D7591">
            <v>4735147</v>
          </cell>
          <cell r="E7591">
            <v>0</v>
          </cell>
          <cell r="F7591">
            <v>5082147</v>
          </cell>
          <cell r="G7591">
            <v>347000</v>
          </cell>
        </row>
        <row r="7592">
          <cell r="A7592" t="str">
            <v>57-01</v>
          </cell>
          <cell r="B7592">
            <v>347000</v>
          </cell>
          <cell r="C7592" t="str">
            <v>**LOAN TO EMPLOYEES</v>
          </cell>
          <cell r="D7592">
            <v>4437195</v>
          </cell>
          <cell r="E7592">
            <v>0</v>
          </cell>
          <cell r="F7592">
            <v>4784195</v>
          </cell>
          <cell r="G7592">
            <v>347000</v>
          </cell>
        </row>
        <row r="7593">
          <cell r="A7593" t="str">
            <v>57-01-01</v>
          </cell>
          <cell r="B7593">
            <v>347000</v>
          </cell>
          <cell r="C7593" t="str">
            <v>***LOAN TO EMPLOYEES ( FACTORY )</v>
          </cell>
          <cell r="D7593">
            <v>1939644</v>
          </cell>
          <cell r="E7593">
            <v>0</v>
          </cell>
          <cell r="F7593">
            <v>2116644</v>
          </cell>
          <cell r="G7593">
            <v>177000</v>
          </cell>
        </row>
        <row r="7594">
          <cell r="A7594" t="str">
            <v>57-01-01-0001</v>
          </cell>
          <cell r="B7594">
            <v>177000</v>
          </cell>
          <cell r="C7594" t="str">
            <v xml:space="preserve">  M. AZAM AKBER</v>
          </cell>
          <cell r="D7594">
            <v>0</v>
          </cell>
          <cell r="E7594">
            <v>0</v>
          </cell>
          <cell r="F7594">
            <v>0</v>
          </cell>
          <cell r="G7594">
            <v>0</v>
          </cell>
        </row>
        <row r="7595">
          <cell r="A7595" t="str">
            <v>57-01-01-0002</v>
          </cell>
          <cell r="B7595">
            <v>0</v>
          </cell>
          <cell r="C7595" t="str">
            <v xml:space="preserve">  M. OWAIS ( PROCUREMENT CONTROLLER )</v>
          </cell>
          <cell r="D7595">
            <v>0</v>
          </cell>
          <cell r="E7595">
            <v>0</v>
          </cell>
          <cell r="F7595">
            <v>0</v>
          </cell>
          <cell r="G7595">
            <v>0</v>
          </cell>
        </row>
        <row r="7596">
          <cell r="A7596" t="str">
            <v>57-01-01-0003</v>
          </cell>
          <cell r="B7596">
            <v>0</v>
          </cell>
          <cell r="C7596" t="str">
            <v xml:space="preserve">  PIR ABDUL AZIZ B. # 791</v>
          </cell>
          <cell r="D7596">
            <v>0</v>
          </cell>
          <cell r="E7596">
            <v>0</v>
          </cell>
          <cell r="F7596">
            <v>0</v>
          </cell>
          <cell r="G7596">
            <v>0</v>
          </cell>
        </row>
        <row r="7597">
          <cell r="A7597" t="str">
            <v>57-01-01-0004</v>
          </cell>
          <cell r="B7597">
            <v>0</v>
          </cell>
          <cell r="C7597" t="str">
            <v xml:space="preserve">  MUKHTAR AHMED 5347 G.SHIFT FITTER RING</v>
          </cell>
          <cell r="D7597">
            <v>0</v>
          </cell>
          <cell r="E7597">
            <v>0</v>
          </cell>
          <cell r="F7597">
            <v>0</v>
          </cell>
          <cell r="G7597">
            <v>0</v>
          </cell>
        </row>
        <row r="7598">
          <cell r="A7598" t="str">
            <v>57-01-01-0005</v>
          </cell>
          <cell r="B7598">
            <v>0</v>
          </cell>
          <cell r="C7598" t="str">
            <v xml:space="preserve">  RIAZ ALI LIFTER OPERATOR</v>
          </cell>
          <cell r="D7598">
            <v>0</v>
          </cell>
          <cell r="E7598">
            <v>0</v>
          </cell>
          <cell r="F7598">
            <v>0</v>
          </cell>
          <cell r="G7598">
            <v>0</v>
          </cell>
        </row>
        <row r="7599">
          <cell r="A7599" t="str">
            <v>57-01-01-0006</v>
          </cell>
          <cell r="B7599">
            <v>0</v>
          </cell>
          <cell r="C7599" t="str">
            <v xml:space="preserve">  GUL MOHAMMAD OFFICE BOY</v>
          </cell>
          <cell r="D7599">
            <v>0</v>
          </cell>
          <cell r="E7599">
            <v>0</v>
          </cell>
          <cell r="F7599">
            <v>0</v>
          </cell>
          <cell r="G7599">
            <v>0</v>
          </cell>
        </row>
        <row r="7600">
          <cell r="A7600" t="str">
            <v>57-01-01-0007</v>
          </cell>
          <cell r="B7600">
            <v>0</v>
          </cell>
          <cell r="C7600" t="str">
            <v xml:space="preserve">  QARI MUHAMMAD AJMAL IMAM SAHIB</v>
          </cell>
          <cell r="D7600">
            <v>0</v>
          </cell>
          <cell r="E7600">
            <v>0</v>
          </cell>
          <cell r="F7600">
            <v>0</v>
          </cell>
          <cell r="G7600">
            <v>0</v>
          </cell>
        </row>
        <row r="7601">
          <cell r="A7601" t="str">
            <v>57-01-01-0008</v>
          </cell>
          <cell r="B7601">
            <v>0</v>
          </cell>
          <cell r="C7601" t="str">
            <v xml:space="preserve">  MUHAMMAD SHAFIQUE 1063 SHIFT C RING 3</v>
          </cell>
          <cell r="D7601">
            <v>0</v>
          </cell>
          <cell r="E7601">
            <v>0</v>
          </cell>
          <cell r="F7601">
            <v>0</v>
          </cell>
          <cell r="G7601">
            <v>0</v>
          </cell>
        </row>
        <row r="7602">
          <cell r="A7602" t="str">
            <v>57-01-01-0009</v>
          </cell>
          <cell r="B7602">
            <v>0</v>
          </cell>
          <cell r="C7602" t="str">
            <v xml:space="preserve">  JEHAN ZAIB 10279 MIXING CLERK G SHIFT</v>
          </cell>
          <cell r="D7602">
            <v>0</v>
          </cell>
          <cell r="E7602">
            <v>0</v>
          </cell>
          <cell r="F7602">
            <v>0</v>
          </cell>
          <cell r="G7602">
            <v>0</v>
          </cell>
        </row>
        <row r="7603">
          <cell r="A7603" t="str">
            <v>57-01-01-0010</v>
          </cell>
          <cell r="B7603">
            <v>0</v>
          </cell>
          <cell r="C7603" t="str">
            <v xml:space="preserve">  M. IJAZ AHMED 5917 S/FITTER A/CONE I</v>
          </cell>
          <cell r="D7603">
            <v>0</v>
          </cell>
          <cell r="E7603">
            <v>0</v>
          </cell>
          <cell r="F7603">
            <v>0</v>
          </cell>
          <cell r="G7603">
            <v>0</v>
          </cell>
        </row>
        <row r="7604">
          <cell r="A7604" t="str">
            <v>57-01-01-0011</v>
          </cell>
          <cell r="B7604">
            <v>0</v>
          </cell>
          <cell r="C7604" t="str">
            <v xml:space="preserve">  SYED QALBE ABBAS 8670 FITTER RING 4</v>
          </cell>
          <cell r="D7604">
            <v>0</v>
          </cell>
          <cell r="E7604">
            <v>0</v>
          </cell>
          <cell r="F7604">
            <v>0</v>
          </cell>
          <cell r="G7604">
            <v>0</v>
          </cell>
        </row>
        <row r="7605">
          <cell r="A7605" t="str">
            <v>57-01-01-0012</v>
          </cell>
          <cell r="B7605">
            <v>0</v>
          </cell>
          <cell r="C7605" t="str">
            <v xml:space="preserve">  ANSAR IQBAL 636 4/S RING  B SHIFT</v>
          </cell>
          <cell r="D7605">
            <v>0</v>
          </cell>
          <cell r="E7605">
            <v>0</v>
          </cell>
          <cell r="F7605">
            <v>0</v>
          </cell>
          <cell r="G7605">
            <v>0</v>
          </cell>
        </row>
        <row r="7606">
          <cell r="A7606" t="str">
            <v>57-01-01-0013</v>
          </cell>
          <cell r="B7606">
            <v>0</v>
          </cell>
          <cell r="C7606" t="str">
            <v xml:space="preserve">  JAVAID IQBAL 357 JOBBER RING II B SHIF</v>
          </cell>
          <cell r="D7606">
            <v>0</v>
          </cell>
          <cell r="E7606">
            <v>0</v>
          </cell>
          <cell r="F7606">
            <v>0</v>
          </cell>
          <cell r="G7606">
            <v>0</v>
          </cell>
        </row>
        <row r="7607">
          <cell r="A7607" t="str">
            <v>57-01-01-0014</v>
          </cell>
          <cell r="B7607">
            <v>0</v>
          </cell>
          <cell r="C7607" t="str">
            <v xml:space="preserve">  M.KHALID 323 FITTER A/C II</v>
          </cell>
          <cell r="D7607">
            <v>0</v>
          </cell>
          <cell r="E7607">
            <v>0</v>
          </cell>
          <cell r="F7607">
            <v>0</v>
          </cell>
          <cell r="G7607">
            <v>0</v>
          </cell>
        </row>
        <row r="7608">
          <cell r="A7608" t="str">
            <v>57-01-01-0015</v>
          </cell>
          <cell r="B7608">
            <v>0</v>
          </cell>
          <cell r="C7608" t="str">
            <v xml:space="preserve">  MUHAMMAD RIAZ EXCISE ASST  277</v>
          </cell>
          <cell r="D7608">
            <v>0</v>
          </cell>
          <cell r="E7608">
            <v>0</v>
          </cell>
          <cell r="F7608">
            <v>0</v>
          </cell>
          <cell r="G7608">
            <v>0</v>
          </cell>
        </row>
        <row r="7609">
          <cell r="A7609" t="str">
            <v>57-01-01-0016</v>
          </cell>
          <cell r="B7609">
            <v>0</v>
          </cell>
          <cell r="C7609" t="str">
            <v xml:space="preserve">  WAQAR AHMED A/C ASST 8619</v>
          </cell>
          <cell r="D7609">
            <v>0</v>
          </cell>
          <cell r="E7609">
            <v>0</v>
          </cell>
          <cell r="F7609">
            <v>0</v>
          </cell>
          <cell r="G7609">
            <v>0</v>
          </cell>
        </row>
        <row r="7610">
          <cell r="A7610" t="str">
            <v>57-01-01-0017</v>
          </cell>
          <cell r="B7610">
            <v>0</v>
          </cell>
          <cell r="C7610" t="str">
            <v xml:space="preserve">  ABDUL HAKIM FOREMAN  265</v>
          </cell>
          <cell r="D7610">
            <v>0</v>
          </cell>
          <cell r="E7610">
            <v>0</v>
          </cell>
          <cell r="F7610">
            <v>0</v>
          </cell>
          <cell r="G7610">
            <v>0</v>
          </cell>
        </row>
        <row r="7611">
          <cell r="A7611" t="str">
            <v>57-01-01-0018</v>
          </cell>
          <cell r="B7611">
            <v>0</v>
          </cell>
          <cell r="C7611" t="str">
            <v xml:space="preserve">  GHAZANFAR ALI A/FOREMAN 1023</v>
          </cell>
          <cell r="D7611">
            <v>0</v>
          </cell>
          <cell r="E7611">
            <v>0</v>
          </cell>
          <cell r="F7611">
            <v>0</v>
          </cell>
          <cell r="G7611">
            <v>0</v>
          </cell>
        </row>
        <row r="7612">
          <cell r="A7612" t="str">
            <v>57-01-01-0019</v>
          </cell>
          <cell r="B7612">
            <v>0</v>
          </cell>
          <cell r="C7612" t="str">
            <v xml:space="preserve">  MUHAMMAD IQBAL A/FOREMAN 11081</v>
          </cell>
          <cell r="D7612">
            <v>0</v>
          </cell>
          <cell r="E7612">
            <v>0</v>
          </cell>
          <cell r="F7612">
            <v>0</v>
          </cell>
          <cell r="G7612">
            <v>0</v>
          </cell>
        </row>
        <row r="7613">
          <cell r="A7613" t="str">
            <v>57-01-01-0020</v>
          </cell>
          <cell r="B7613">
            <v>0</v>
          </cell>
          <cell r="C7613" t="str">
            <v xml:space="preserve">  MUHAMMAD AYUB H/FITTER 9242</v>
          </cell>
          <cell r="D7613">
            <v>0</v>
          </cell>
          <cell r="E7613">
            <v>0</v>
          </cell>
          <cell r="F7613">
            <v>0</v>
          </cell>
          <cell r="G7613">
            <v>0</v>
          </cell>
        </row>
        <row r="7614">
          <cell r="A7614" t="str">
            <v>57-01-01-0021</v>
          </cell>
          <cell r="B7614">
            <v>0</v>
          </cell>
          <cell r="C7614" t="str">
            <v xml:space="preserve">  MEHADI KHAN JOBBER  238</v>
          </cell>
          <cell r="D7614">
            <v>0</v>
          </cell>
          <cell r="E7614">
            <v>0</v>
          </cell>
          <cell r="F7614">
            <v>0</v>
          </cell>
          <cell r="G7614">
            <v>0</v>
          </cell>
        </row>
        <row r="7615">
          <cell r="A7615" t="str">
            <v>57-01-01-0022</v>
          </cell>
          <cell r="B7615">
            <v>0</v>
          </cell>
          <cell r="C7615" t="str">
            <v xml:space="preserve">  MUHAMMAD ASHRAF HEAD JOBBER  245</v>
          </cell>
          <cell r="D7615">
            <v>0</v>
          </cell>
          <cell r="E7615">
            <v>0</v>
          </cell>
          <cell r="F7615">
            <v>0</v>
          </cell>
          <cell r="G7615">
            <v>0</v>
          </cell>
        </row>
        <row r="7616">
          <cell r="A7616" t="str">
            <v>57-01-01-0023</v>
          </cell>
          <cell r="B7616">
            <v>0</v>
          </cell>
          <cell r="C7616" t="str">
            <v xml:space="preserve">  MUHAMMAD RASHID P/FITTER (A/C) 8693</v>
          </cell>
          <cell r="D7616">
            <v>0</v>
          </cell>
          <cell r="E7616">
            <v>0</v>
          </cell>
          <cell r="F7616">
            <v>0</v>
          </cell>
          <cell r="G7616">
            <v>0</v>
          </cell>
        </row>
        <row r="7617">
          <cell r="A7617" t="str">
            <v>57-01-01-0024</v>
          </cell>
          <cell r="B7617">
            <v>0</v>
          </cell>
          <cell r="C7617" t="str">
            <v xml:space="preserve">  MUHAMMAD NASIR FITTER RING I 10464</v>
          </cell>
          <cell r="D7617">
            <v>0</v>
          </cell>
          <cell r="E7617">
            <v>0</v>
          </cell>
          <cell r="F7617">
            <v>0</v>
          </cell>
          <cell r="G7617">
            <v>0</v>
          </cell>
        </row>
        <row r="7618">
          <cell r="A7618" t="str">
            <v>57-01-01-0025</v>
          </cell>
          <cell r="B7618">
            <v>0</v>
          </cell>
          <cell r="C7618" t="str">
            <v xml:space="preserve">  MUHAMMAD KHALID ASSISTANT FOREMAN  760</v>
          </cell>
          <cell r="D7618">
            <v>0</v>
          </cell>
          <cell r="E7618">
            <v>0</v>
          </cell>
          <cell r="F7618">
            <v>0</v>
          </cell>
          <cell r="G7618">
            <v>0</v>
          </cell>
        </row>
        <row r="7619">
          <cell r="A7619" t="str">
            <v>57-01-01-0026</v>
          </cell>
          <cell r="B7619">
            <v>0</v>
          </cell>
          <cell r="C7619" t="str">
            <v xml:space="preserve">  MUHAMMAD SAEED ASSISTANT FOREMAN 7795</v>
          </cell>
          <cell r="D7619">
            <v>0</v>
          </cell>
          <cell r="E7619">
            <v>0</v>
          </cell>
          <cell r="F7619">
            <v>0</v>
          </cell>
          <cell r="G7619">
            <v>0</v>
          </cell>
        </row>
        <row r="7620">
          <cell r="A7620" t="str">
            <v>57-01-01-0027</v>
          </cell>
          <cell r="B7620">
            <v>0</v>
          </cell>
          <cell r="C7620" t="str">
            <v xml:space="preserve">  MUHAMMAD ASLAM FOREMAN 9408</v>
          </cell>
          <cell r="D7620">
            <v>0</v>
          </cell>
          <cell r="E7620">
            <v>0</v>
          </cell>
          <cell r="F7620">
            <v>0</v>
          </cell>
          <cell r="G7620">
            <v>0</v>
          </cell>
        </row>
        <row r="7621">
          <cell r="A7621" t="str">
            <v>57-01-01-0028</v>
          </cell>
          <cell r="B7621">
            <v>0</v>
          </cell>
          <cell r="C7621" t="str">
            <v xml:space="preserve">  MAQSOOD AHMED (LAB INCHARGE) 263</v>
          </cell>
          <cell r="D7621">
            <v>0</v>
          </cell>
          <cell r="E7621">
            <v>0</v>
          </cell>
          <cell r="F7621">
            <v>0</v>
          </cell>
          <cell r="G7621">
            <v>0</v>
          </cell>
        </row>
        <row r="7622">
          <cell r="A7622" t="str">
            <v>57-01-01-0029</v>
          </cell>
          <cell r="B7622">
            <v>0</v>
          </cell>
          <cell r="C7622" t="str">
            <v xml:space="preserve">  MUHAMMAD NAWAZ HEAD FITTER 8676</v>
          </cell>
          <cell r="D7622">
            <v>0</v>
          </cell>
          <cell r="E7622">
            <v>0</v>
          </cell>
          <cell r="F7622">
            <v>0</v>
          </cell>
          <cell r="G7622">
            <v>0</v>
          </cell>
        </row>
        <row r="7623">
          <cell r="A7623" t="str">
            <v>57-01-01-0030</v>
          </cell>
          <cell r="B7623">
            <v>0</v>
          </cell>
          <cell r="C7623" t="str">
            <v xml:space="preserve">  MUHAMMAD ASGHAR S.INCHARGE 5730</v>
          </cell>
          <cell r="D7623">
            <v>0</v>
          </cell>
          <cell r="E7623">
            <v>0</v>
          </cell>
          <cell r="F7623">
            <v>0</v>
          </cell>
          <cell r="G7623">
            <v>0</v>
          </cell>
        </row>
        <row r="7624">
          <cell r="A7624" t="str">
            <v>57-01-01-0031</v>
          </cell>
          <cell r="B7624">
            <v>0</v>
          </cell>
          <cell r="C7624" t="str">
            <v xml:space="preserve">  NADIR KHAN 6172 JOBBER</v>
          </cell>
          <cell r="D7624">
            <v>0</v>
          </cell>
          <cell r="E7624">
            <v>0</v>
          </cell>
          <cell r="F7624">
            <v>0</v>
          </cell>
          <cell r="G7624">
            <v>0</v>
          </cell>
        </row>
        <row r="7625">
          <cell r="A7625" t="str">
            <v>57-01-01-0032</v>
          </cell>
          <cell r="B7625">
            <v>0</v>
          </cell>
          <cell r="C7625" t="str">
            <v xml:space="preserve">  NOOR KHAN JOBBER 7128</v>
          </cell>
          <cell r="D7625">
            <v>0</v>
          </cell>
          <cell r="E7625">
            <v>0</v>
          </cell>
          <cell r="F7625">
            <v>0</v>
          </cell>
          <cell r="G7625">
            <v>0</v>
          </cell>
        </row>
        <row r="7626">
          <cell r="A7626" t="str">
            <v>57-01-01-0033</v>
          </cell>
          <cell r="B7626">
            <v>0</v>
          </cell>
          <cell r="C7626" t="str">
            <v xml:space="preserve">  MUKAMIL SHAH JOBBER 8189</v>
          </cell>
          <cell r="D7626">
            <v>0</v>
          </cell>
          <cell r="E7626">
            <v>0</v>
          </cell>
          <cell r="F7626">
            <v>0</v>
          </cell>
          <cell r="G7626">
            <v>0</v>
          </cell>
        </row>
        <row r="7627">
          <cell r="A7627" t="str">
            <v>57-01-01-0034</v>
          </cell>
          <cell r="B7627">
            <v>0</v>
          </cell>
          <cell r="C7627" t="str">
            <v xml:space="preserve">  AKBAR ALI JOBBER 9345</v>
          </cell>
          <cell r="D7627">
            <v>0</v>
          </cell>
          <cell r="E7627">
            <v>0</v>
          </cell>
          <cell r="F7627">
            <v>0</v>
          </cell>
          <cell r="G7627">
            <v>0</v>
          </cell>
        </row>
        <row r="7628">
          <cell r="A7628" t="str">
            <v>57-01-01-0035</v>
          </cell>
          <cell r="B7628">
            <v>0</v>
          </cell>
          <cell r="C7628" t="str">
            <v xml:space="preserve">  MUHAMMAD AKBER B # 8397</v>
          </cell>
          <cell r="D7628">
            <v>0</v>
          </cell>
          <cell r="E7628">
            <v>0</v>
          </cell>
          <cell r="F7628">
            <v>0</v>
          </cell>
          <cell r="G7628">
            <v>0</v>
          </cell>
        </row>
        <row r="7629">
          <cell r="A7629" t="str">
            <v>57-01-01-0036</v>
          </cell>
          <cell r="B7629">
            <v>0</v>
          </cell>
          <cell r="C7629" t="str">
            <v xml:space="preserve">  MUHAMMAD ASHRAF S/FITTER RING 3  8550</v>
          </cell>
          <cell r="D7629">
            <v>0</v>
          </cell>
          <cell r="E7629">
            <v>0</v>
          </cell>
          <cell r="F7629">
            <v>0</v>
          </cell>
          <cell r="G7629">
            <v>0</v>
          </cell>
        </row>
        <row r="7630">
          <cell r="A7630" t="str">
            <v>57-01-01-0037</v>
          </cell>
          <cell r="B7630">
            <v>0</v>
          </cell>
          <cell r="C7630" t="str">
            <v xml:space="preserve">  JAVED IQBAL FITTER RING 3  9394</v>
          </cell>
          <cell r="D7630">
            <v>0</v>
          </cell>
          <cell r="E7630">
            <v>0</v>
          </cell>
          <cell r="F7630">
            <v>0</v>
          </cell>
          <cell r="G7630">
            <v>0</v>
          </cell>
        </row>
        <row r="7631">
          <cell r="A7631" t="str">
            <v>57-01-01-0038</v>
          </cell>
          <cell r="B7631">
            <v>0</v>
          </cell>
          <cell r="C7631" t="str">
            <v xml:space="preserve">  MUHAMMAD AZAM FITTER RING 5  8671</v>
          </cell>
          <cell r="D7631">
            <v>0</v>
          </cell>
          <cell r="E7631">
            <v>0</v>
          </cell>
          <cell r="F7631">
            <v>0</v>
          </cell>
          <cell r="G7631">
            <v>0</v>
          </cell>
        </row>
        <row r="7632">
          <cell r="A7632" t="str">
            <v>57-01-01-0039</v>
          </cell>
          <cell r="B7632">
            <v>0</v>
          </cell>
          <cell r="C7632" t="str">
            <v xml:space="preserve">  ZAHID ALI ELECTRICIAN ELECTRIC  301</v>
          </cell>
          <cell r="D7632">
            <v>0</v>
          </cell>
          <cell r="E7632">
            <v>0</v>
          </cell>
          <cell r="F7632">
            <v>0</v>
          </cell>
          <cell r="G7632">
            <v>0</v>
          </cell>
        </row>
        <row r="7633">
          <cell r="A7633" t="str">
            <v>57-01-01-0040</v>
          </cell>
          <cell r="B7633">
            <v>0</v>
          </cell>
          <cell r="C7633" t="str">
            <v xml:space="preserve">  .</v>
          </cell>
          <cell r="D7633">
            <v>0</v>
          </cell>
          <cell r="E7633">
            <v>0</v>
          </cell>
          <cell r="F7633">
            <v>0</v>
          </cell>
          <cell r="G7633">
            <v>0</v>
          </cell>
        </row>
        <row r="7634">
          <cell r="A7634" t="str">
            <v>57-01-01-0041</v>
          </cell>
          <cell r="B7634">
            <v>0</v>
          </cell>
          <cell r="C7634" t="str">
            <v xml:space="preserve">  IJAZ AHMED MEHANDI A/CONE I SHIFT C 79</v>
          </cell>
          <cell r="D7634">
            <v>0</v>
          </cell>
          <cell r="E7634">
            <v>0</v>
          </cell>
          <cell r="F7634">
            <v>0</v>
          </cell>
          <cell r="G7634">
            <v>0</v>
          </cell>
        </row>
        <row r="7635">
          <cell r="A7635" t="str">
            <v>57-01-01-0042</v>
          </cell>
          <cell r="B7635">
            <v>0</v>
          </cell>
          <cell r="C7635" t="str">
            <v xml:space="preserve">  SHAFIQ-UR-REHMAN STORE ACCOUNTANT  112</v>
          </cell>
          <cell r="D7635">
            <v>0</v>
          </cell>
          <cell r="E7635">
            <v>0</v>
          </cell>
          <cell r="F7635">
            <v>0</v>
          </cell>
          <cell r="G7635">
            <v>0</v>
          </cell>
        </row>
        <row r="7636">
          <cell r="A7636" t="str">
            <v>57-01-01-0043</v>
          </cell>
          <cell r="B7636">
            <v>0</v>
          </cell>
          <cell r="C7636" t="str">
            <v xml:space="preserve">  FAZAL HUSSAIN 261 D/SIMPLEX 2 B SHIFT</v>
          </cell>
          <cell r="D7636">
            <v>0</v>
          </cell>
          <cell r="E7636">
            <v>0</v>
          </cell>
          <cell r="F7636">
            <v>0</v>
          </cell>
          <cell r="G7636">
            <v>0</v>
          </cell>
        </row>
        <row r="7637">
          <cell r="A7637" t="str">
            <v>57-01-01-0044</v>
          </cell>
          <cell r="B7637">
            <v>0</v>
          </cell>
          <cell r="C7637" t="str">
            <v xml:space="preserve">  MUHAMMAD LUQMAN FITTER RING 3  10162</v>
          </cell>
          <cell r="D7637">
            <v>0</v>
          </cell>
          <cell r="E7637">
            <v>0</v>
          </cell>
          <cell r="F7637">
            <v>0</v>
          </cell>
          <cell r="G7637">
            <v>0</v>
          </cell>
        </row>
        <row r="7638">
          <cell r="A7638" t="str">
            <v>57-01-01-0045</v>
          </cell>
          <cell r="B7638">
            <v>0</v>
          </cell>
          <cell r="C7638" t="str">
            <v xml:space="preserve">  AMANAT ALI S.I.C. SHIFT C   11639</v>
          </cell>
          <cell r="D7638">
            <v>0</v>
          </cell>
          <cell r="E7638">
            <v>0</v>
          </cell>
          <cell r="F7638">
            <v>0</v>
          </cell>
          <cell r="G7638">
            <v>0</v>
          </cell>
        </row>
        <row r="7639">
          <cell r="A7639" t="str">
            <v>57-01-01-0046</v>
          </cell>
          <cell r="B7639">
            <v>0</v>
          </cell>
          <cell r="C7639" t="str">
            <v xml:space="preserve">  SHOUKAT ALI SHIFT C RING 4  11619</v>
          </cell>
          <cell r="D7639">
            <v>0</v>
          </cell>
          <cell r="E7639">
            <v>0</v>
          </cell>
          <cell r="F7639">
            <v>0</v>
          </cell>
          <cell r="G7639">
            <v>0</v>
          </cell>
        </row>
        <row r="7640">
          <cell r="A7640" t="str">
            <v>57-01-01-0047</v>
          </cell>
          <cell r="B7640">
            <v>0</v>
          </cell>
          <cell r="C7640" t="str">
            <v xml:space="preserve">  BASHART RASOOL H/FITTER G SHIFT  239</v>
          </cell>
          <cell r="D7640">
            <v>0</v>
          </cell>
          <cell r="E7640">
            <v>0</v>
          </cell>
          <cell r="F7640">
            <v>0</v>
          </cell>
          <cell r="G7640">
            <v>0</v>
          </cell>
        </row>
        <row r="7641">
          <cell r="A7641" t="str">
            <v>57-01-01-0048</v>
          </cell>
          <cell r="B7641">
            <v>0</v>
          </cell>
          <cell r="C7641" t="str">
            <v xml:space="preserve">  NAZAR HUSSAIN FINISHING G SHIFT B # 66</v>
          </cell>
          <cell r="D7641">
            <v>0</v>
          </cell>
          <cell r="E7641">
            <v>0</v>
          </cell>
          <cell r="F7641">
            <v>0</v>
          </cell>
          <cell r="G7641">
            <v>0</v>
          </cell>
        </row>
        <row r="7642">
          <cell r="A7642" t="str">
            <v>57-01-01-0049</v>
          </cell>
          <cell r="B7642">
            <v>0</v>
          </cell>
          <cell r="C7642" t="str">
            <v xml:space="preserve">  ABDUL GHAFOOR H/FITTER CARDING 2 G  97</v>
          </cell>
          <cell r="D7642">
            <v>0</v>
          </cell>
          <cell r="E7642">
            <v>0</v>
          </cell>
          <cell r="F7642">
            <v>0</v>
          </cell>
          <cell r="G7642">
            <v>0</v>
          </cell>
        </row>
        <row r="7643">
          <cell r="A7643" t="str">
            <v>57-01-01-0050</v>
          </cell>
          <cell r="B7643">
            <v>0</v>
          </cell>
          <cell r="C7643" t="str">
            <v xml:space="preserve">  ABDUL RASHID FITTER B/ROOM 2 G  10498</v>
          </cell>
          <cell r="D7643">
            <v>0</v>
          </cell>
          <cell r="E7643">
            <v>0</v>
          </cell>
          <cell r="F7643">
            <v>0</v>
          </cell>
          <cell r="G7643">
            <v>0</v>
          </cell>
        </row>
        <row r="7644">
          <cell r="A7644" t="str">
            <v>57-01-01-0051</v>
          </cell>
          <cell r="B7644">
            <v>0</v>
          </cell>
          <cell r="C7644" t="str">
            <v xml:space="preserve">  ALI AKHTAR OPT. A/CONE 2  6583</v>
          </cell>
          <cell r="D7644">
            <v>0</v>
          </cell>
          <cell r="E7644">
            <v>0</v>
          </cell>
          <cell r="F7644">
            <v>0</v>
          </cell>
          <cell r="G7644">
            <v>0</v>
          </cell>
        </row>
        <row r="7645">
          <cell r="A7645" t="str">
            <v>57-01-01-0052</v>
          </cell>
          <cell r="B7645">
            <v>0</v>
          </cell>
          <cell r="C7645" t="str">
            <v xml:space="preserve">  MUHAMMAD RAMZAN FITTER RING 2 5440</v>
          </cell>
          <cell r="D7645">
            <v>0</v>
          </cell>
          <cell r="E7645">
            <v>0</v>
          </cell>
          <cell r="F7645">
            <v>0</v>
          </cell>
          <cell r="G7645">
            <v>0</v>
          </cell>
        </row>
        <row r="7646">
          <cell r="A7646" t="str">
            <v>57-01-01-0053</v>
          </cell>
          <cell r="B7646">
            <v>0</v>
          </cell>
          <cell r="C7646" t="str">
            <v xml:space="preserve">  ZAHOOR AHMED PIPE FITTER W/SHOP G  215</v>
          </cell>
          <cell r="D7646">
            <v>0</v>
          </cell>
          <cell r="E7646">
            <v>0</v>
          </cell>
          <cell r="F7646">
            <v>0</v>
          </cell>
          <cell r="G7646">
            <v>0</v>
          </cell>
        </row>
        <row r="7647">
          <cell r="A7647" t="str">
            <v>57-01-01-0054</v>
          </cell>
          <cell r="B7647">
            <v>0</v>
          </cell>
          <cell r="C7647" t="str">
            <v xml:space="preserve">  MUHAMMAD JAVAID FITTER RING 4  5444</v>
          </cell>
          <cell r="D7647">
            <v>0</v>
          </cell>
          <cell r="E7647">
            <v>0</v>
          </cell>
          <cell r="F7647">
            <v>0</v>
          </cell>
          <cell r="G7647">
            <v>0</v>
          </cell>
        </row>
        <row r="7648">
          <cell r="A7648" t="str">
            <v>57-01-01-0055</v>
          </cell>
          <cell r="B7648">
            <v>0</v>
          </cell>
          <cell r="C7648" t="str">
            <v xml:space="preserve">  SAIF ALI JOBBER RING 3 G SHIFT 10165</v>
          </cell>
          <cell r="D7648">
            <v>0</v>
          </cell>
          <cell r="E7648">
            <v>0</v>
          </cell>
          <cell r="F7648">
            <v>0</v>
          </cell>
          <cell r="G7648">
            <v>0</v>
          </cell>
        </row>
        <row r="7649">
          <cell r="A7649" t="str">
            <v>57-01-01-0056</v>
          </cell>
          <cell r="B7649">
            <v>0</v>
          </cell>
          <cell r="C7649" t="str">
            <v xml:space="preserve">  ABDUL GHAFOOR FORMAN A/CONE I G  298</v>
          </cell>
          <cell r="D7649">
            <v>0</v>
          </cell>
          <cell r="E7649">
            <v>0</v>
          </cell>
          <cell r="F7649">
            <v>0</v>
          </cell>
          <cell r="G7649">
            <v>0</v>
          </cell>
        </row>
        <row r="7650">
          <cell r="A7650" t="str">
            <v>57-01-01-0057</v>
          </cell>
          <cell r="B7650">
            <v>0</v>
          </cell>
          <cell r="C7650" t="str">
            <v xml:space="preserve">  SHAHBAZ ALI A/JOBBER D/SIMPLEX II A 96</v>
          </cell>
          <cell r="D7650">
            <v>0</v>
          </cell>
          <cell r="E7650">
            <v>0</v>
          </cell>
          <cell r="F7650">
            <v>0</v>
          </cell>
          <cell r="G7650">
            <v>0</v>
          </cell>
        </row>
        <row r="7651">
          <cell r="A7651" t="str">
            <v>57-01-01-0058</v>
          </cell>
          <cell r="B7651">
            <v>0</v>
          </cell>
          <cell r="C7651" t="str">
            <v xml:space="preserve">  SARTAJ TIME KEEPER ADMIN G SHIFT 5975</v>
          </cell>
          <cell r="D7651">
            <v>0</v>
          </cell>
          <cell r="E7651">
            <v>0</v>
          </cell>
          <cell r="F7651">
            <v>0</v>
          </cell>
          <cell r="G7651">
            <v>0</v>
          </cell>
        </row>
        <row r="7652">
          <cell r="A7652" t="str">
            <v>57-01-01-0059</v>
          </cell>
          <cell r="B7652">
            <v>0</v>
          </cell>
          <cell r="C7652" t="str">
            <v xml:space="preserve">  GULFARAZ KHAN W/MAN SECURITY 808</v>
          </cell>
          <cell r="D7652">
            <v>0</v>
          </cell>
          <cell r="E7652">
            <v>0</v>
          </cell>
          <cell r="F7652">
            <v>0</v>
          </cell>
          <cell r="G7652">
            <v>0</v>
          </cell>
        </row>
        <row r="7653">
          <cell r="A7653" t="str">
            <v>57-01-01-0060</v>
          </cell>
          <cell r="B7653">
            <v>0</v>
          </cell>
          <cell r="C7653" t="str">
            <v xml:space="preserve">  MUHAMMAD ASHFAQ QT/OBS LAB  10029</v>
          </cell>
          <cell r="D7653">
            <v>0</v>
          </cell>
          <cell r="E7653">
            <v>0</v>
          </cell>
          <cell r="F7653">
            <v>0</v>
          </cell>
          <cell r="G7653">
            <v>0</v>
          </cell>
        </row>
        <row r="7654">
          <cell r="A7654" t="str">
            <v>57-01-01-0061</v>
          </cell>
          <cell r="B7654">
            <v>0</v>
          </cell>
          <cell r="C7654" t="str">
            <v xml:space="preserve">  ABDUL GHAFFAR S/FITTER RING 4 7367</v>
          </cell>
          <cell r="D7654">
            <v>0</v>
          </cell>
          <cell r="E7654">
            <v>0</v>
          </cell>
          <cell r="F7654">
            <v>0</v>
          </cell>
          <cell r="G7654">
            <v>0</v>
          </cell>
        </row>
        <row r="7655">
          <cell r="A7655" t="str">
            <v>57-01-01-0062</v>
          </cell>
          <cell r="B7655">
            <v>0</v>
          </cell>
          <cell r="C7655" t="str">
            <v xml:space="preserve">  SHOUKAT ALI JOBBER B/ROOM 2A  G 9623</v>
          </cell>
          <cell r="D7655">
            <v>0</v>
          </cell>
          <cell r="E7655">
            <v>0</v>
          </cell>
          <cell r="F7655">
            <v>0</v>
          </cell>
          <cell r="G7655">
            <v>0</v>
          </cell>
        </row>
        <row r="7656">
          <cell r="A7656" t="str">
            <v>57-01-01-0063</v>
          </cell>
          <cell r="B7656">
            <v>0</v>
          </cell>
          <cell r="C7656" t="str">
            <v xml:space="preserve">  .</v>
          </cell>
          <cell r="D7656">
            <v>0</v>
          </cell>
          <cell r="E7656">
            <v>0</v>
          </cell>
          <cell r="F7656">
            <v>0</v>
          </cell>
          <cell r="G7656">
            <v>0</v>
          </cell>
        </row>
        <row r="7657">
          <cell r="A7657" t="str">
            <v>57-01-01-0064</v>
          </cell>
          <cell r="B7657">
            <v>0</v>
          </cell>
          <cell r="C7657" t="str">
            <v xml:space="preserve">  AMJID IQBAL FITTER D/SIMPLEX I 1048</v>
          </cell>
          <cell r="D7657">
            <v>0</v>
          </cell>
          <cell r="E7657">
            <v>0</v>
          </cell>
          <cell r="F7657">
            <v>0</v>
          </cell>
          <cell r="G7657">
            <v>0</v>
          </cell>
        </row>
        <row r="7658">
          <cell r="A7658" t="str">
            <v>57-01-01-0065</v>
          </cell>
          <cell r="B7658">
            <v>0</v>
          </cell>
          <cell r="C7658" t="str">
            <v xml:space="preserve">  NOOR MUHAMMAD JOB B/ROOM I A  5705</v>
          </cell>
          <cell r="D7658">
            <v>0</v>
          </cell>
          <cell r="E7658">
            <v>0</v>
          </cell>
          <cell r="F7658">
            <v>0</v>
          </cell>
          <cell r="G7658">
            <v>0</v>
          </cell>
        </row>
        <row r="7659">
          <cell r="A7659" t="str">
            <v>57-01-01-0066</v>
          </cell>
          <cell r="B7659">
            <v>0</v>
          </cell>
          <cell r="C7659" t="str">
            <v xml:space="preserve">  QAMAR ABBAS B.NO 5688 T/MAN RING 4</v>
          </cell>
          <cell r="D7659">
            <v>0</v>
          </cell>
          <cell r="E7659">
            <v>0</v>
          </cell>
          <cell r="F7659">
            <v>0</v>
          </cell>
          <cell r="G7659">
            <v>0</v>
          </cell>
        </row>
        <row r="7660">
          <cell r="A7660" t="str">
            <v>57-01-01-0067</v>
          </cell>
          <cell r="B7660">
            <v>0</v>
          </cell>
          <cell r="C7660" t="str">
            <v xml:space="preserve">  SAKHAWAT KHAN B.NO 9293 FITTER B/ROOM</v>
          </cell>
          <cell r="D7660">
            <v>0</v>
          </cell>
          <cell r="E7660">
            <v>0</v>
          </cell>
          <cell r="F7660">
            <v>0</v>
          </cell>
          <cell r="G7660">
            <v>0</v>
          </cell>
        </row>
        <row r="7661">
          <cell r="A7661" t="str">
            <v>57-01-01-0068</v>
          </cell>
          <cell r="B7661">
            <v>0</v>
          </cell>
          <cell r="C7661" t="str">
            <v xml:space="preserve">  MOHAMMAD AZAM 4/S RING II B.NO 825 SH.</v>
          </cell>
          <cell r="D7661">
            <v>0</v>
          </cell>
          <cell r="E7661">
            <v>0</v>
          </cell>
          <cell r="F7661">
            <v>0</v>
          </cell>
          <cell r="G7661">
            <v>0</v>
          </cell>
        </row>
        <row r="7662">
          <cell r="A7662" t="str">
            <v>57-01-01-0069</v>
          </cell>
          <cell r="B7662">
            <v>0</v>
          </cell>
          <cell r="C7662" t="str">
            <v xml:space="preserve">  TASLEEMUL HAQ 9182 HELPER RING 3 G SHI</v>
          </cell>
          <cell r="D7662">
            <v>0</v>
          </cell>
          <cell r="E7662">
            <v>0</v>
          </cell>
          <cell r="F7662">
            <v>0</v>
          </cell>
          <cell r="G7662">
            <v>0</v>
          </cell>
        </row>
        <row r="7663">
          <cell r="A7663" t="str">
            <v>57-01-01-0070</v>
          </cell>
          <cell r="B7663">
            <v>0</v>
          </cell>
          <cell r="C7663" t="str">
            <v xml:space="preserve">  IQBAL MEHMOOD TECHNICAL MANAGER</v>
          </cell>
          <cell r="D7663">
            <v>0</v>
          </cell>
          <cell r="E7663">
            <v>0</v>
          </cell>
          <cell r="F7663">
            <v>0</v>
          </cell>
          <cell r="G7663">
            <v>0</v>
          </cell>
        </row>
        <row r="7664">
          <cell r="A7664" t="str">
            <v>57-01-01-0071</v>
          </cell>
          <cell r="B7664">
            <v>0</v>
          </cell>
          <cell r="C7664" t="str">
            <v xml:space="preserve">  M.NAWAZ B.# 12014 A/FITTER RING I</v>
          </cell>
          <cell r="D7664">
            <v>0</v>
          </cell>
          <cell r="E7664">
            <v>0</v>
          </cell>
          <cell r="F7664">
            <v>0</v>
          </cell>
          <cell r="G7664">
            <v>0</v>
          </cell>
        </row>
        <row r="7665">
          <cell r="A7665" t="str">
            <v>57-01-01-0072</v>
          </cell>
          <cell r="B7665">
            <v>0</v>
          </cell>
          <cell r="C7665" t="str">
            <v xml:space="preserve">  A.GHAFOOR S/FITTER B. # 7800 RING II</v>
          </cell>
          <cell r="D7665">
            <v>0</v>
          </cell>
          <cell r="E7665">
            <v>0</v>
          </cell>
          <cell r="F7665">
            <v>0</v>
          </cell>
          <cell r="G7665">
            <v>0</v>
          </cell>
        </row>
        <row r="7666">
          <cell r="A7666" t="str">
            <v>57-01-01-0073</v>
          </cell>
          <cell r="B7666">
            <v>0</v>
          </cell>
          <cell r="C7666" t="str">
            <v xml:space="preserve">  MUHAMMAD ASLAM 4/S B.6154 SHIFT A</v>
          </cell>
          <cell r="D7666">
            <v>0</v>
          </cell>
          <cell r="E7666">
            <v>0</v>
          </cell>
          <cell r="F7666">
            <v>0</v>
          </cell>
          <cell r="G7666">
            <v>0</v>
          </cell>
        </row>
        <row r="7667">
          <cell r="A7667" t="str">
            <v>57-01-01-0074</v>
          </cell>
          <cell r="B7667">
            <v>0</v>
          </cell>
          <cell r="C7667" t="str">
            <v xml:space="preserve">  REHMAT KHAN RING 3 SHIFT A 4/S B # 114</v>
          </cell>
          <cell r="D7667">
            <v>0</v>
          </cell>
          <cell r="E7667">
            <v>0</v>
          </cell>
          <cell r="F7667">
            <v>0</v>
          </cell>
          <cell r="G7667">
            <v>0</v>
          </cell>
        </row>
        <row r="7668">
          <cell r="A7668" t="str">
            <v>57-01-01-0075</v>
          </cell>
          <cell r="B7668">
            <v>0</v>
          </cell>
          <cell r="C7668" t="str">
            <v xml:space="preserve">  NASRULLAH JAN STORE HELPER B.5237</v>
          </cell>
          <cell r="D7668">
            <v>0</v>
          </cell>
          <cell r="E7668">
            <v>0</v>
          </cell>
          <cell r="F7668">
            <v>0</v>
          </cell>
          <cell r="G7668">
            <v>0</v>
          </cell>
        </row>
        <row r="7669">
          <cell r="A7669" t="str">
            <v>57-01-01-0076</v>
          </cell>
          <cell r="B7669">
            <v>0</v>
          </cell>
          <cell r="C7669" t="str">
            <v xml:space="preserve">  FAZAL SHAH B.# 243 A.C. JOBBER</v>
          </cell>
          <cell r="D7669">
            <v>0</v>
          </cell>
          <cell r="E7669">
            <v>0</v>
          </cell>
          <cell r="F7669">
            <v>0</v>
          </cell>
          <cell r="G7669">
            <v>0</v>
          </cell>
        </row>
        <row r="7670">
          <cell r="A7670" t="str">
            <v>57-01-01-0077</v>
          </cell>
          <cell r="B7670">
            <v>0</v>
          </cell>
          <cell r="C7670" t="str">
            <v xml:space="preserve">  S.MUZAFFER SHAH A.C. JOBBER B/# 13634</v>
          </cell>
          <cell r="D7670">
            <v>0</v>
          </cell>
          <cell r="E7670">
            <v>0</v>
          </cell>
          <cell r="F7670">
            <v>0</v>
          </cell>
          <cell r="G7670">
            <v>0</v>
          </cell>
        </row>
        <row r="7671">
          <cell r="A7671" t="str">
            <v>57-01-01-0078</v>
          </cell>
          <cell r="B7671">
            <v>0</v>
          </cell>
          <cell r="C7671" t="str">
            <v xml:space="preserve">  TASAWAR HUSSAIN A.C. OPT. B.# 331</v>
          </cell>
          <cell r="D7671">
            <v>0</v>
          </cell>
          <cell r="E7671">
            <v>0</v>
          </cell>
          <cell r="F7671">
            <v>0</v>
          </cell>
          <cell r="G7671">
            <v>0</v>
          </cell>
        </row>
        <row r="7672">
          <cell r="A7672" t="str">
            <v>57-01-01-0079</v>
          </cell>
          <cell r="B7672">
            <v>0</v>
          </cell>
          <cell r="C7672" t="str">
            <v xml:space="preserve">  ABDUL AZIZ QLTY OBS.</v>
          </cell>
          <cell r="D7672">
            <v>0</v>
          </cell>
          <cell r="E7672">
            <v>0</v>
          </cell>
          <cell r="F7672">
            <v>0</v>
          </cell>
          <cell r="G7672">
            <v>0</v>
          </cell>
        </row>
        <row r="7673">
          <cell r="A7673" t="str">
            <v>57-01-01-0080</v>
          </cell>
          <cell r="B7673">
            <v>0</v>
          </cell>
          <cell r="C7673" t="str">
            <v xml:space="preserve">  SHAHID NAZEER S/FITTER B.# 14005</v>
          </cell>
          <cell r="D7673">
            <v>0</v>
          </cell>
          <cell r="E7673">
            <v>0</v>
          </cell>
          <cell r="F7673">
            <v>0</v>
          </cell>
          <cell r="G7673">
            <v>0</v>
          </cell>
        </row>
        <row r="7674">
          <cell r="A7674" t="str">
            <v>57-01-01-0081</v>
          </cell>
          <cell r="B7674">
            <v>0</v>
          </cell>
          <cell r="C7674" t="str">
            <v xml:space="preserve">  BAHADUR ALI H/JOB RING 4 B # 6142.</v>
          </cell>
          <cell r="D7674">
            <v>0</v>
          </cell>
          <cell r="E7674">
            <v>0</v>
          </cell>
          <cell r="F7674">
            <v>0</v>
          </cell>
          <cell r="G7674">
            <v>0</v>
          </cell>
        </row>
        <row r="7675">
          <cell r="A7675" t="str">
            <v>57-01-01-0082</v>
          </cell>
          <cell r="B7675">
            <v>0</v>
          </cell>
          <cell r="C7675" t="str">
            <v xml:space="preserve">  LIAQUAT ALI H/JOB B # 8367.</v>
          </cell>
          <cell r="D7675">
            <v>0</v>
          </cell>
          <cell r="E7675">
            <v>0</v>
          </cell>
          <cell r="F7675">
            <v>0</v>
          </cell>
          <cell r="G7675">
            <v>0</v>
          </cell>
        </row>
        <row r="7676">
          <cell r="A7676" t="str">
            <v>57-01-01-0083</v>
          </cell>
          <cell r="B7676">
            <v>0</v>
          </cell>
          <cell r="C7676" t="str">
            <v xml:space="preserve">  NAIK MOHAMMAD JOBBER D/SIMPLEX'A'10158</v>
          </cell>
          <cell r="D7676">
            <v>0</v>
          </cell>
          <cell r="E7676">
            <v>0</v>
          </cell>
          <cell r="F7676">
            <v>0</v>
          </cell>
          <cell r="G7676">
            <v>0</v>
          </cell>
        </row>
        <row r="7677">
          <cell r="A7677" t="str">
            <v>57-01-01-0084</v>
          </cell>
          <cell r="B7677">
            <v>0</v>
          </cell>
          <cell r="C7677" t="str">
            <v xml:space="preserve">  ZARIN KHAN H/FITER RING 1 B # 746.</v>
          </cell>
          <cell r="D7677">
            <v>0</v>
          </cell>
          <cell r="E7677">
            <v>0</v>
          </cell>
          <cell r="F7677">
            <v>0</v>
          </cell>
          <cell r="G7677">
            <v>0</v>
          </cell>
        </row>
        <row r="7678">
          <cell r="A7678" t="str">
            <v>57-01-01-0085</v>
          </cell>
          <cell r="B7678">
            <v>0</v>
          </cell>
          <cell r="C7678" t="str">
            <v xml:space="preserve">  SHAHID HUSSAIN A/F RING 4 B # 7423</v>
          </cell>
          <cell r="D7678">
            <v>0</v>
          </cell>
          <cell r="E7678">
            <v>0</v>
          </cell>
          <cell r="F7678">
            <v>0</v>
          </cell>
          <cell r="G7678">
            <v>0</v>
          </cell>
        </row>
        <row r="7679">
          <cell r="A7679" t="str">
            <v>57-01-01-0086</v>
          </cell>
          <cell r="B7679">
            <v>0</v>
          </cell>
          <cell r="C7679" t="str">
            <v xml:space="preserve">  MUHAMMAD JAMIL WELDER W/SHOP "G" B.784</v>
          </cell>
          <cell r="D7679">
            <v>0</v>
          </cell>
          <cell r="E7679">
            <v>0</v>
          </cell>
          <cell r="F7679">
            <v>0</v>
          </cell>
          <cell r="G7679">
            <v>0</v>
          </cell>
        </row>
        <row r="7680">
          <cell r="A7680" t="str">
            <v>57-01-01-0087</v>
          </cell>
          <cell r="B7680">
            <v>0</v>
          </cell>
          <cell r="C7680" t="str">
            <v xml:space="preserve">  MUHAMMAD ASIF SHIFT INCHARGE B.# 5298</v>
          </cell>
          <cell r="D7680">
            <v>0</v>
          </cell>
          <cell r="E7680">
            <v>0</v>
          </cell>
          <cell r="F7680">
            <v>0</v>
          </cell>
          <cell r="G7680">
            <v>0</v>
          </cell>
        </row>
        <row r="7681">
          <cell r="A7681" t="str">
            <v>57-01-01-0088</v>
          </cell>
          <cell r="B7681">
            <v>0</v>
          </cell>
          <cell r="C7681" t="str">
            <v xml:space="preserve">  RASHID ALI JOBBER RING 2 G SHIFT B #54</v>
          </cell>
          <cell r="D7681">
            <v>0</v>
          </cell>
          <cell r="E7681">
            <v>0</v>
          </cell>
          <cell r="F7681">
            <v>0</v>
          </cell>
          <cell r="G7681">
            <v>0</v>
          </cell>
        </row>
        <row r="7682">
          <cell r="A7682" t="str">
            <v>57-01-01-0089</v>
          </cell>
          <cell r="B7682">
            <v>0</v>
          </cell>
          <cell r="C7682" t="str">
            <v xml:space="preserve">  MUHAMMAD HAYAT B SHIFT RING B # 11156</v>
          </cell>
          <cell r="D7682">
            <v>0</v>
          </cell>
          <cell r="E7682">
            <v>0</v>
          </cell>
          <cell r="F7682">
            <v>0</v>
          </cell>
          <cell r="G7682">
            <v>0</v>
          </cell>
        </row>
        <row r="7683">
          <cell r="A7683" t="str">
            <v>57-01-01-0090</v>
          </cell>
          <cell r="B7683">
            <v>0</v>
          </cell>
          <cell r="C7683" t="str">
            <v xml:space="preserve">  IJAZ HUSSAIN FITTER RING 4 `G' B # 103</v>
          </cell>
          <cell r="D7683">
            <v>0</v>
          </cell>
          <cell r="E7683">
            <v>0</v>
          </cell>
          <cell r="F7683">
            <v>0</v>
          </cell>
          <cell r="G7683">
            <v>0</v>
          </cell>
        </row>
        <row r="7684">
          <cell r="A7684" t="str">
            <v>57-01-01-0091</v>
          </cell>
          <cell r="B7684">
            <v>0</v>
          </cell>
          <cell r="C7684" t="str">
            <v xml:space="preserve">  MUHAMMAD AFSAR KHAN H/TIME KEEPER GSHI</v>
          </cell>
          <cell r="D7684">
            <v>0</v>
          </cell>
          <cell r="E7684">
            <v>0</v>
          </cell>
          <cell r="F7684">
            <v>0</v>
          </cell>
          <cell r="G7684">
            <v>0</v>
          </cell>
        </row>
        <row r="7685">
          <cell r="A7685" t="str">
            <v>57-01-01-0092</v>
          </cell>
          <cell r="B7685">
            <v>0</v>
          </cell>
          <cell r="C7685" t="str">
            <v xml:space="preserve">  NIAMAT ALI A/FITTER A/CONE B # 6667 `G</v>
          </cell>
          <cell r="D7685">
            <v>0</v>
          </cell>
          <cell r="E7685">
            <v>0</v>
          </cell>
          <cell r="F7685">
            <v>0</v>
          </cell>
          <cell r="G7685">
            <v>0</v>
          </cell>
        </row>
        <row r="7686">
          <cell r="A7686" t="str">
            <v>57-01-01-0093</v>
          </cell>
          <cell r="B7686">
            <v>0</v>
          </cell>
          <cell r="C7686" t="str">
            <v xml:space="preserve">  MUNIR ANJUM W/SHOP FITTER B.# 1286</v>
          </cell>
          <cell r="D7686">
            <v>0</v>
          </cell>
          <cell r="E7686">
            <v>0</v>
          </cell>
          <cell r="F7686">
            <v>0</v>
          </cell>
          <cell r="G7686">
            <v>0</v>
          </cell>
        </row>
        <row r="7687">
          <cell r="A7687" t="str">
            <v>57-01-01-0094</v>
          </cell>
          <cell r="B7687">
            <v>0</v>
          </cell>
          <cell r="C7687" t="str">
            <v xml:space="preserve">  RANA MUHAMMAD AKRAM B. # 5508</v>
          </cell>
          <cell r="D7687">
            <v>0</v>
          </cell>
          <cell r="E7687">
            <v>0</v>
          </cell>
          <cell r="F7687">
            <v>0</v>
          </cell>
          <cell r="G7687">
            <v>0</v>
          </cell>
        </row>
        <row r="7688">
          <cell r="A7688" t="str">
            <v>57-01-01-0095</v>
          </cell>
          <cell r="B7688">
            <v>0</v>
          </cell>
          <cell r="C7688" t="str">
            <v xml:space="preserve">  SHABBIR AHMED B. # 6725</v>
          </cell>
          <cell r="D7688">
            <v>0</v>
          </cell>
          <cell r="E7688">
            <v>0</v>
          </cell>
          <cell r="F7688">
            <v>0</v>
          </cell>
          <cell r="G7688">
            <v>0</v>
          </cell>
        </row>
        <row r="7689">
          <cell r="A7689" t="str">
            <v>57-01-01-0096</v>
          </cell>
          <cell r="B7689">
            <v>0</v>
          </cell>
          <cell r="C7689" t="str">
            <v xml:space="preserve">  TARIQ SALEEM ASTT FOREMAN B.# 885</v>
          </cell>
          <cell r="D7689">
            <v>0</v>
          </cell>
          <cell r="E7689">
            <v>0</v>
          </cell>
          <cell r="F7689">
            <v>0</v>
          </cell>
          <cell r="G7689">
            <v>0</v>
          </cell>
        </row>
        <row r="7690">
          <cell r="A7690" t="str">
            <v>57-01-01-0097</v>
          </cell>
          <cell r="B7690">
            <v>0</v>
          </cell>
          <cell r="C7690" t="str">
            <v xml:space="preserve">  FAYAZ AHMED B.# 7108</v>
          </cell>
          <cell r="D7690">
            <v>0</v>
          </cell>
          <cell r="E7690">
            <v>0</v>
          </cell>
          <cell r="F7690">
            <v>0</v>
          </cell>
          <cell r="G7690">
            <v>0</v>
          </cell>
        </row>
        <row r="7691">
          <cell r="A7691" t="str">
            <v>57-01-01-0098</v>
          </cell>
          <cell r="B7691">
            <v>0</v>
          </cell>
          <cell r="C7691" t="str">
            <v xml:space="preserve">  FAYAZ AHMED B.# 6416</v>
          </cell>
          <cell r="D7691">
            <v>0</v>
          </cell>
          <cell r="E7691">
            <v>0</v>
          </cell>
          <cell r="F7691">
            <v>0</v>
          </cell>
          <cell r="G7691">
            <v>0</v>
          </cell>
        </row>
        <row r="7692">
          <cell r="A7692" t="str">
            <v>57-01-01-0099</v>
          </cell>
          <cell r="B7692">
            <v>0</v>
          </cell>
          <cell r="C7692" t="str">
            <v xml:space="preserve">  MUHAMMAD SIDDIQUE B.# 1085</v>
          </cell>
          <cell r="D7692">
            <v>0</v>
          </cell>
          <cell r="E7692">
            <v>0</v>
          </cell>
          <cell r="F7692">
            <v>0</v>
          </cell>
          <cell r="G7692">
            <v>0</v>
          </cell>
        </row>
        <row r="7693">
          <cell r="A7693" t="str">
            <v>57-01-01-0100</v>
          </cell>
          <cell r="B7693">
            <v>0</v>
          </cell>
          <cell r="C7693" t="str">
            <v xml:space="preserve">  KHALID MEHMOOD B.# 1117</v>
          </cell>
          <cell r="D7693">
            <v>0</v>
          </cell>
          <cell r="E7693">
            <v>0</v>
          </cell>
          <cell r="F7693">
            <v>0</v>
          </cell>
          <cell r="G7693">
            <v>0</v>
          </cell>
        </row>
        <row r="7694">
          <cell r="A7694" t="str">
            <v>57-01-01-0101</v>
          </cell>
          <cell r="B7694">
            <v>0</v>
          </cell>
          <cell r="C7694" t="str">
            <v xml:space="preserve">  MUHAMMAD ARIF S/FITTER A/CON I B.# 735</v>
          </cell>
          <cell r="D7694">
            <v>0</v>
          </cell>
          <cell r="E7694">
            <v>0</v>
          </cell>
          <cell r="F7694">
            <v>0</v>
          </cell>
          <cell r="G7694">
            <v>0</v>
          </cell>
        </row>
        <row r="7695">
          <cell r="A7695" t="str">
            <v>57-01-01-0102</v>
          </cell>
          <cell r="B7695">
            <v>0</v>
          </cell>
          <cell r="C7695" t="str">
            <v xml:space="preserve">  MUHAMMAD BOOTA W/SHOP G SHIFT B. # 973</v>
          </cell>
          <cell r="D7695">
            <v>0</v>
          </cell>
          <cell r="E7695">
            <v>0</v>
          </cell>
          <cell r="F7695">
            <v>0</v>
          </cell>
          <cell r="G7695">
            <v>0</v>
          </cell>
        </row>
        <row r="7696">
          <cell r="A7696" t="str">
            <v>57-01-01-0103</v>
          </cell>
          <cell r="B7696">
            <v>0</v>
          </cell>
          <cell r="C7696" t="str">
            <v xml:space="preserve">  ARSHAD MEHMOOD B.NO.8283 H/JOBBER</v>
          </cell>
          <cell r="D7696">
            <v>0</v>
          </cell>
          <cell r="E7696">
            <v>0</v>
          </cell>
          <cell r="F7696">
            <v>0</v>
          </cell>
          <cell r="G7696">
            <v>0</v>
          </cell>
        </row>
        <row r="7697">
          <cell r="A7697" t="str">
            <v>57-01-01-0104</v>
          </cell>
          <cell r="B7697">
            <v>0</v>
          </cell>
          <cell r="C7697" t="str">
            <v xml:space="preserve">  GHULAM SARWAR B # 13489 JOBBER RING 4</v>
          </cell>
          <cell r="D7697">
            <v>0</v>
          </cell>
          <cell r="E7697">
            <v>0</v>
          </cell>
          <cell r="F7697">
            <v>0</v>
          </cell>
          <cell r="G7697">
            <v>0</v>
          </cell>
        </row>
        <row r="7698">
          <cell r="A7698" t="str">
            <v>57-01-01-0105</v>
          </cell>
          <cell r="B7698">
            <v>0</v>
          </cell>
          <cell r="C7698" t="str">
            <v xml:space="preserve">  RIFAQAT ALI B. # 6124 4/S RING 3 `A'</v>
          </cell>
          <cell r="D7698">
            <v>0</v>
          </cell>
          <cell r="E7698">
            <v>0</v>
          </cell>
          <cell r="F7698">
            <v>0</v>
          </cell>
          <cell r="G7698">
            <v>0</v>
          </cell>
        </row>
        <row r="7699">
          <cell r="A7699" t="str">
            <v>57-01-01-0106</v>
          </cell>
          <cell r="B7699">
            <v>0</v>
          </cell>
          <cell r="C7699" t="str">
            <v xml:space="preserve">  MUHAMMAD ZAMAN B # 777 RING 2 SHIFT A</v>
          </cell>
          <cell r="D7699">
            <v>0</v>
          </cell>
          <cell r="E7699">
            <v>0</v>
          </cell>
          <cell r="F7699">
            <v>0</v>
          </cell>
          <cell r="G7699">
            <v>0</v>
          </cell>
        </row>
        <row r="7700">
          <cell r="A7700" t="str">
            <v>57-01-01-0107</v>
          </cell>
          <cell r="B7700">
            <v>0</v>
          </cell>
          <cell r="C7700" t="str">
            <v xml:space="preserve">  MUHAMMMAD MUNAWAR B # 7246 FOREMAN A/C</v>
          </cell>
          <cell r="D7700">
            <v>0</v>
          </cell>
          <cell r="E7700">
            <v>0</v>
          </cell>
          <cell r="F7700">
            <v>0</v>
          </cell>
          <cell r="G7700">
            <v>0</v>
          </cell>
        </row>
        <row r="7701">
          <cell r="A7701" t="str">
            <v>57-01-01-0108</v>
          </cell>
          <cell r="B7701">
            <v>0</v>
          </cell>
          <cell r="C7701" t="str">
            <v xml:space="preserve">  KHALID REHMAN B # 8411 HEAD ELECT. MIL</v>
          </cell>
          <cell r="D7701">
            <v>0</v>
          </cell>
          <cell r="E7701">
            <v>0</v>
          </cell>
          <cell r="F7701">
            <v>0</v>
          </cell>
          <cell r="G7701">
            <v>0</v>
          </cell>
        </row>
        <row r="7702">
          <cell r="A7702" t="str">
            <v>57-01-01-0109</v>
          </cell>
          <cell r="B7702">
            <v>0</v>
          </cell>
          <cell r="C7702" t="str">
            <v xml:space="preserve">  SHAKER ALI B # 9554 A/CONE SHIFT B OPT</v>
          </cell>
          <cell r="D7702">
            <v>0</v>
          </cell>
          <cell r="E7702">
            <v>0</v>
          </cell>
          <cell r="F7702">
            <v>0</v>
          </cell>
          <cell r="G7702">
            <v>0</v>
          </cell>
        </row>
        <row r="7703">
          <cell r="A7703" t="str">
            <v>57-01-01-0110</v>
          </cell>
          <cell r="B7703">
            <v>0</v>
          </cell>
          <cell r="C7703" t="str">
            <v xml:space="preserve">  .</v>
          </cell>
          <cell r="D7703">
            <v>0</v>
          </cell>
          <cell r="E7703">
            <v>0</v>
          </cell>
          <cell r="F7703">
            <v>0</v>
          </cell>
          <cell r="G7703">
            <v>0</v>
          </cell>
        </row>
        <row r="7704">
          <cell r="A7704" t="str">
            <v>57-01-01-0111</v>
          </cell>
          <cell r="B7704">
            <v>0</v>
          </cell>
          <cell r="C7704" t="str">
            <v xml:space="preserve">  ALAH DITTA B # 10301 A/CONE SHIFT B OP</v>
          </cell>
          <cell r="D7704">
            <v>0</v>
          </cell>
          <cell r="E7704">
            <v>0</v>
          </cell>
          <cell r="F7704">
            <v>0</v>
          </cell>
          <cell r="G7704">
            <v>0</v>
          </cell>
        </row>
        <row r="7705">
          <cell r="A7705" t="str">
            <v>57-01-01-0112</v>
          </cell>
          <cell r="B7705">
            <v>0</v>
          </cell>
          <cell r="C7705" t="str">
            <v xml:space="preserve">  TALIB HUSSAIN 11087 MIX/SUPERVISOR LAB</v>
          </cell>
          <cell r="D7705">
            <v>0</v>
          </cell>
          <cell r="E7705">
            <v>0</v>
          </cell>
          <cell r="F7705">
            <v>0</v>
          </cell>
          <cell r="G7705">
            <v>0</v>
          </cell>
        </row>
        <row r="7706">
          <cell r="A7706" t="str">
            <v>57-01-01-0113</v>
          </cell>
          <cell r="B7706">
            <v>0</v>
          </cell>
          <cell r="C7706" t="str">
            <v xml:space="preserve">  ZARIN KHAN ELECT I 403</v>
          </cell>
          <cell r="D7706">
            <v>0</v>
          </cell>
          <cell r="E7706">
            <v>0</v>
          </cell>
          <cell r="F7706">
            <v>0</v>
          </cell>
          <cell r="G7706">
            <v>0</v>
          </cell>
        </row>
        <row r="7707">
          <cell r="A7707" t="str">
            <v>57-01-01-0114</v>
          </cell>
          <cell r="B7707">
            <v>0</v>
          </cell>
          <cell r="C7707" t="str">
            <v xml:space="preserve">  SAJID MEHMOOD 7172 FOREMAN A/CONE II</v>
          </cell>
          <cell r="D7707">
            <v>0</v>
          </cell>
          <cell r="E7707">
            <v>0</v>
          </cell>
          <cell r="F7707">
            <v>0</v>
          </cell>
          <cell r="G7707">
            <v>0</v>
          </cell>
        </row>
        <row r="7708">
          <cell r="A7708" t="str">
            <v>57-01-01-0115</v>
          </cell>
          <cell r="B7708">
            <v>0</v>
          </cell>
          <cell r="C7708" t="str">
            <v xml:space="preserve">  MUHAMMAD FAZIL 8322 PRC ADMIN</v>
          </cell>
          <cell r="D7708">
            <v>0</v>
          </cell>
          <cell r="E7708">
            <v>0</v>
          </cell>
          <cell r="F7708">
            <v>0</v>
          </cell>
          <cell r="G7708">
            <v>0</v>
          </cell>
        </row>
        <row r="7709">
          <cell r="A7709" t="str">
            <v>57-01-01-0116</v>
          </cell>
          <cell r="B7709">
            <v>0</v>
          </cell>
          <cell r="C7709" t="str">
            <v xml:space="preserve">  MUHAMMAD NAZIM B # 13083 OPT LAB I</v>
          </cell>
          <cell r="D7709">
            <v>0</v>
          </cell>
          <cell r="E7709">
            <v>0</v>
          </cell>
          <cell r="F7709">
            <v>0</v>
          </cell>
          <cell r="G7709">
            <v>0</v>
          </cell>
        </row>
        <row r="7710">
          <cell r="A7710" t="str">
            <v>57-01-01-0117</v>
          </cell>
          <cell r="B7710">
            <v>0</v>
          </cell>
          <cell r="C7710" t="str">
            <v xml:space="preserve">  HAQ NAWAZ JABBER B.# 14532 RINGI SHIFT</v>
          </cell>
          <cell r="D7710">
            <v>0</v>
          </cell>
          <cell r="E7710">
            <v>0</v>
          </cell>
          <cell r="F7710">
            <v>0</v>
          </cell>
          <cell r="G7710">
            <v>0</v>
          </cell>
        </row>
        <row r="7711">
          <cell r="A7711" t="str">
            <v>57-01-01-0118</v>
          </cell>
          <cell r="B7711">
            <v>0</v>
          </cell>
          <cell r="C7711" t="str">
            <v xml:space="preserve">  MAKHDOOM HUSSAIN B.# 6232 FITTER A/CON</v>
          </cell>
          <cell r="D7711">
            <v>0</v>
          </cell>
          <cell r="E7711">
            <v>0</v>
          </cell>
          <cell r="F7711">
            <v>0</v>
          </cell>
          <cell r="G7711">
            <v>0</v>
          </cell>
        </row>
        <row r="7712">
          <cell r="A7712" t="str">
            <v>57-01-01-0119</v>
          </cell>
          <cell r="B7712">
            <v>0</v>
          </cell>
          <cell r="C7712" t="str">
            <v xml:space="preserve">  MUHAMMAD EHSAN B.# 14527 W/SHOP TURNER</v>
          </cell>
          <cell r="D7712">
            <v>0</v>
          </cell>
          <cell r="E7712">
            <v>0</v>
          </cell>
          <cell r="F7712">
            <v>0</v>
          </cell>
          <cell r="G7712">
            <v>0</v>
          </cell>
        </row>
        <row r="7713">
          <cell r="A7713" t="str">
            <v>57-01-01-0120</v>
          </cell>
          <cell r="B7713">
            <v>0</v>
          </cell>
          <cell r="C7713" t="str">
            <v xml:space="preserve">  GHAZANFER SHAZAD B.# 6343 JOBBER RING</v>
          </cell>
          <cell r="D7713">
            <v>0</v>
          </cell>
          <cell r="E7713">
            <v>0</v>
          </cell>
          <cell r="F7713">
            <v>0</v>
          </cell>
          <cell r="G7713">
            <v>0</v>
          </cell>
        </row>
        <row r="7714">
          <cell r="A7714" t="str">
            <v>57-01-01-0121</v>
          </cell>
          <cell r="B7714">
            <v>0</v>
          </cell>
          <cell r="C7714" t="str">
            <v xml:space="preserve">  SALAMAT ALI B.# 10814 QLTY/OBSER LAB #</v>
          </cell>
          <cell r="D7714">
            <v>0</v>
          </cell>
          <cell r="E7714">
            <v>0</v>
          </cell>
          <cell r="F7714">
            <v>0</v>
          </cell>
          <cell r="G7714">
            <v>0</v>
          </cell>
        </row>
        <row r="7715">
          <cell r="A7715" t="str">
            <v>57-01-01-0122</v>
          </cell>
          <cell r="B7715">
            <v>0</v>
          </cell>
          <cell r="C7715" t="str">
            <v xml:space="preserve">  AFZAL HUSSAIN SHAH 5952 A/CONE SHIFT B</v>
          </cell>
          <cell r="D7715">
            <v>0</v>
          </cell>
          <cell r="E7715">
            <v>0</v>
          </cell>
          <cell r="F7715">
            <v>0</v>
          </cell>
          <cell r="G7715">
            <v>0</v>
          </cell>
        </row>
        <row r="7716">
          <cell r="A7716" t="str">
            <v>57-01-01-0123</v>
          </cell>
          <cell r="B7716">
            <v>0</v>
          </cell>
          <cell r="C7716" t="str">
            <v xml:space="preserve">  MUHAMMAD RAMZAN 11051 OPT A/C SHIFT G</v>
          </cell>
          <cell r="D7716">
            <v>0</v>
          </cell>
          <cell r="E7716">
            <v>0</v>
          </cell>
          <cell r="F7716">
            <v>0</v>
          </cell>
          <cell r="G7716">
            <v>0</v>
          </cell>
        </row>
        <row r="7717">
          <cell r="A7717" t="str">
            <v>57-01-01-0124</v>
          </cell>
          <cell r="B7717">
            <v>0</v>
          </cell>
          <cell r="C7717" t="str">
            <v xml:space="preserve">  SAEED AHMED B 8460 RING I TAPEMAN `G'</v>
          </cell>
          <cell r="D7717">
            <v>0</v>
          </cell>
          <cell r="E7717">
            <v>0</v>
          </cell>
          <cell r="F7717">
            <v>0</v>
          </cell>
          <cell r="G7717">
            <v>0</v>
          </cell>
        </row>
        <row r="7718">
          <cell r="A7718" t="str">
            <v>57-01-01-0125</v>
          </cell>
          <cell r="B7718">
            <v>0</v>
          </cell>
          <cell r="C7718" t="str">
            <v xml:space="preserve">  ZAHID PERVAIZ B # 244 FOREMAN SHIFT G</v>
          </cell>
          <cell r="D7718">
            <v>0</v>
          </cell>
          <cell r="E7718">
            <v>0</v>
          </cell>
          <cell r="F7718">
            <v>0</v>
          </cell>
          <cell r="G7718">
            <v>0</v>
          </cell>
        </row>
        <row r="7719">
          <cell r="A7719" t="str">
            <v>57-01-01-0126</v>
          </cell>
          <cell r="B7719">
            <v>0</v>
          </cell>
          <cell r="C7719" t="str">
            <v xml:space="preserve">  MUHAMMAD MUNIR 8814 FITTER D/S 2 SHIFT</v>
          </cell>
          <cell r="D7719">
            <v>0</v>
          </cell>
          <cell r="E7719">
            <v>0</v>
          </cell>
          <cell r="F7719">
            <v>0</v>
          </cell>
          <cell r="G7719">
            <v>0</v>
          </cell>
        </row>
        <row r="7720">
          <cell r="A7720" t="str">
            <v>57-01-01-0127</v>
          </cell>
          <cell r="B7720">
            <v>0</v>
          </cell>
          <cell r="C7720" t="str">
            <v xml:space="preserve">  M.SHAHID TANVEER 11684 FITTER RING 4</v>
          </cell>
          <cell r="D7720">
            <v>0</v>
          </cell>
          <cell r="E7720">
            <v>0</v>
          </cell>
          <cell r="F7720">
            <v>0</v>
          </cell>
          <cell r="G7720">
            <v>0</v>
          </cell>
        </row>
        <row r="7721">
          <cell r="A7721" t="str">
            <v>57-01-01-0128</v>
          </cell>
          <cell r="B7721">
            <v>0</v>
          </cell>
          <cell r="C7721" t="str">
            <v xml:space="preserve">  TARIQ MEHMOOD 8667 F/MAN RING 4 SHIFT</v>
          </cell>
          <cell r="D7721">
            <v>0</v>
          </cell>
          <cell r="E7721">
            <v>0</v>
          </cell>
          <cell r="F7721">
            <v>0</v>
          </cell>
          <cell r="G7721">
            <v>0</v>
          </cell>
        </row>
        <row r="7722">
          <cell r="A7722" t="str">
            <v>57-01-01-0129</v>
          </cell>
          <cell r="B7722">
            <v>0</v>
          </cell>
          <cell r="C7722" t="str">
            <v xml:space="preserve">  MOHAMMAD FAROOQ 11452 S.FITTER RING S</v>
          </cell>
          <cell r="D7722">
            <v>0</v>
          </cell>
          <cell r="E7722">
            <v>0</v>
          </cell>
          <cell r="F7722">
            <v>0</v>
          </cell>
          <cell r="G7722">
            <v>0</v>
          </cell>
        </row>
        <row r="7723">
          <cell r="A7723" t="str">
            <v>57-01-01-0130</v>
          </cell>
          <cell r="B7723">
            <v>0</v>
          </cell>
          <cell r="C7723" t="str">
            <v xml:space="preserve">  KHUDA BUX 13973 H/FITTER D/S 2 SHIFT G</v>
          </cell>
          <cell r="D7723">
            <v>0</v>
          </cell>
          <cell r="E7723">
            <v>0</v>
          </cell>
          <cell r="F7723">
            <v>0</v>
          </cell>
          <cell r="G7723">
            <v>0</v>
          </cell>
        </row>
        <row r="7724">
          <cell r="A7724" t="str">
            <v>57-01-01-0131</v>
          </cell>
          <cell r="B7724">
            <v>0</v>
          </cell>
          <cell r="C7724" t="str">
            <v xml:space="preserve">  GUL SHER KHAN 8594 STORE HELPER M/STOR</v>
          </cell>
          <cell r="D7724">
            <v>0</v>
          </cell>
          <cell r="E7724">
            <v>0</v>
          </cell>
          <cell r="F7724">
            <v>0</v>
          </cell>
          <cell r="G7724">
            <v>0</v>
          </cell>
        </row>
        <row r="7725">
          <cell r="A7725" t="str">
            <v>57-01-01-0132</v>
          </cell>
          <cell r="B7725">
            <v>0</v>
          </cell>
          <cell r="C7725" t="str">
            <v xml:space="preserve">  MOHAMMAD AKRAM 13200 B/ROOM 2 SHIFT G</v>
          </cell>
          <cell r="D7725">
            <v>0</v>
          </cell>
          <cell r="E7725">
            <v>0</v>
          </cell>
          <cell r="F7725">
            <v>0</v>
          </cell>
          <cell r="G7725">
            <v>0</v>
          </cell>
        </row>
        <row r="7726">
          <cell r="A7726" t="str">
            <v>57-01-01-0133</v>
          </cell>
          <cell r="B7726">
            <v>0</v>
          </cell>
          <cell r="C7726" t="str">
            <v xml:space="preserve">  MUHAMMAD ANWER HUSSAIN 10308 F/MAN B/S</v>
          </cell>
          <cell r="D7726">
            <v>0</v>
          </cell>
          <cell r="E7726">
            <v>0</v>
          </cell>
          <cell r="F7726">
            <v>0</v>
          </cell>
          <cell r="G7726">
            <v>0</v>
          </cell>
        </row>
        <row r="7727">
          <cell r="A7727" t="str">
            <v>57-01-01-0134</v>
          </cell>
          <cell r="B7727">
            <v>0</v>
          </cell>
          <cell r="C7727" t="str">
            <v xml:space="preserve">  MUHAMMAD IQBAL 643 A/F/MAN RING 3 SH.G</v>
          </cell>
          <cell r="D7727">
            <v>0</v>
          </cell>
          <cell r="E7727">
            <v>0</v>
          </cell>
          <cell r="F7727">
            <v>0</v>
          </cell>
          <cell r="G7727">
            <v>0</v>
          </cell>
        </row>
        <row r="7728">
          <cell r="A7728" t="str">
            <v>57-01-01-0135</v>
          </cell>
          <cell r="B7728">
            <v>0</v>
          </cell>
          <cell r="C7728" t="str">
            <v xml:space="preserve">  MUHAMMAD RAMZAN 14673 A/FORMAN CARD 2G</v>
          </cell>
          <cell r="D7728">
            <v>0</v>
          </cell>
          <cell r="E7728">
            <v>0</v>
          </cell>
          <cell r="F7728">
            <v>0</v>
          </cell>
          <cell r="G7728">
            <v>0</v>
          </cell>
        </row>
        <row r="7729">
          <cell r="A7729" t="str">
            <v>57-01-01-0136</v>
          </cell>
          <cell r="B7729">
            <v>0</v>
          </cell>
          <cell r="C7729" t="str">
            <v xml:space="preserve">  MAQBOOL AHMED 9576 FITTER CARD 2 SHIFT</v>
          </cell>
          <cell r="D7729">
            <v>0</v>
          </cell>
          <cell r="E7729">
            <v>0</v>
          </cell>
          <cell r="F7729">
            <v>0</v>
          </cell>
          <cell r="G7729">
            <v>0</v>
          </cell>
        </row>
        <row r="7730">
          <cell r="A7730" t="str">
            <v>57-01-01-0137</v>
          </cell>
          <cell r="B7730">
            <v>0</v>
          </cell>
          <cell r="C7730" t="str">
            <v xml:space="preserve">  M. JAVED AFRIDI 10881 A.S.M SHIFT (G)</v>
          </cell>
          <cell r="D7730">
            <v>0</v>
          </cell>
          <cell r="E7730">
            <v>0</v>
          </cell>
          <cell r="F7730">
            <v>0</v>
          </cell>
          <cell r="G7730">
            <v>0</v>
          </cell>
        </row>
        <row r="7731">
          <cell r="A7731" t="str">
            <v>57-01-01-0138</v>
          </cell>
          <cell r="B7731">
            <v>0</v>
          </cell>
          <cell r="C7731" t="str">
            <v xml:space="preserve">  GHULAM FAROOQ 10903 W.SHOP H/FITTER</v>
          </cell>
          <cell r="D7731">
            <v>0</v>
          </cell>
          <cell r="E7731">
            <v>0</v>
          </cell>
          <cell r="F7731">
            <v>0</v>
          </cell>
          <cell r="G7731">
            <v>0</v>
          </cell>
        </row>
        <row r="7732">
          <cell r="A7732" t="str">
            <v>57-01-01-0139</v>
          </cell>
          <cell r="B7732">
            <v>0</v>
          </cell>
          <cell r="C7732" t="str">
            <v xml:space="preserve">  ABID HUSSAIN SHAH 11108 PUR.OFFICE STO</v>
          </cell>
          <cell r="D7732">
            <v>0</v>
          </cell>
          <cell r="E7732">
            <v>0</v>
          </cell>
          <cell r="F7732">
            <v>0</v>
          </cell>
          <cell r="G7732">
            <v>0</v>
          </cell>
        </row>
        <row r="7733">
          <cell r="A7733" t="str">
            <v>57-01-01-0140</v>
          </cell>
          <cell r="B7733">
            <v>0</v>
          </cell>
          <cell r="C7733" t="str">
            <v xml:space="preserve">  MUHAMMAD ASIF 16111 H/JOB. RING 182</v>
          </cell>
          <cell r="D7733">
            <v>0</v>
          </cell>
          <cell r="E7733">
            <v>0</v>
          </cell>
          <cell r="F7733">
            <v>0</v>
          </cell>
          <cell r="G7733">
            <v>0</v>
          </cell>
        </row>
        <row r="7734">
          <cell r="A7734" t="str">
            <v>57-01-01-0141</v>
          </cell>
          <cell r="B7734">
            <v>0</v>
          </cell>
          <cell r="C7734" t="str">
            <v xml:space="preserve">  M. ASHRAF SHAHZAD 14887 S/FITT B/R 2 `</v>
          </cell>
          <cell r="D7734">
            <v>0</v>
          </cell>
          <cell r="E7734">
            <v>0</v>
          </cell>
          <cell r="F7734">
            <v>0</v>
          </cell>
          <cell r="G7734">
            <v>0</v>
          </cell>
        </row>
        <row r="7735">
          <cell r="A7735" t="str">
            <v>57-01-01-0142</v>
          </cell>
          <cell r="B7735">
            <v>0</v>
          </cell>
          <cell r="C7735" t="str">
            <v xml:space="preserve">  TARIQ MEHMOOD 14889 WELDER W\SHOP</v>
          </cell>
          <cell r="D7735">
            <v>0</v>
          </cell>
          <cell r="E7735">
            <v>0</v>
          </cell>
          <cell r="F7735">
            <v>0</v>
          </cell>
          <cell r="G7735">
            <v>0</v>
          </cell>
        </row>
        <row r="7736">
          <cell r="A7736" t="str">
            <v>57-01-01-0143</v>
          </cell>
          <cell r="B7736">
            <v>0</v>
          </cell>
          <cell r="C7736" t="str">
            <v xml:space="preserve">  SHAHID RIAZ 319 H\FITTER A\CONE</v>
          </cell>
          <cell r="D7736">
            <v>0</v>
          </cell>
          <cell r="E7736">
            <v>0</v>
          </cell>
          <cell r="F7736">
            <v>0</v>
          </cell>
          <cell r="G7736">
            <v>0</v>
          </cell>
        </row>
        <row r="7737">
          <cell r="A7737" t="str">
            <v>57-01-01-0144</v>
          </cell>
          <cell r="B7737">
            <v>0</v>
          </cell>
          <cell r="C7737" t="str">
            <v xml:space="preserve">  NOOR ALLAHI 14294 STORE OFFICER</v>
          </cell>
          <cell r="D7737">
            <v>0</v>
          </cell>
          <cell r="E7737">
            <v>0</v>
          </cell>
          <cell r="F7737">
            <v>0</v>
          </cell>
          <cell r="G7737">
            <v>0</v>
          </cell>
        </row>
        <row r="7738">
          <cell r="A7738" t="str">
            <v>57-01-01-0145</v>
          </cell>
          <cell r="B7738">
            <v>0</v>
          </cell>
          <cell r="C7738" t="str">
            <v xml:space="preserve">  MUHAMMAD SALEEM 14565 COMP/OPT ACC</v>
          </cell>
          <cell r="D7738">
            <v>8000</v>
          </cell>
          <cell r="E7738">
            <v>0</v>
          </cell>
          <cell r="F7738">
            <v>0</v>
          </cell>
          <cell r="G7738">
            <v>0</v>
          </cell>
        </row>
        <row r="7739">
          <cell r="A7739" t="str">
            <v>57-01-01-0146</v>
          </cell>
          <cell r="B7739">
            <v>0</v>
          </cell>
          <cell r="C7739" t="str">
            <v xml:space="preserve">  MUHAMMAD ARIF 5788 RING 5 JOBBER (A)</v>
          </cell>
          <cell r="D7739">
            <v>0</v>
          </cell>
          <cell r="E7739">
            <v>0</v>
          </cell>
          <cell r="F7739">
            <v>0</v>
          </cell>
          <cell r="G7739">
            <v>0</v>
          </cell>
        </row>
        <row r="7740">
          <cell r="A7740" t="str">
            <v>57-01-01-0147</v>
          </cell>
          <cell r="B7740">
            <v>0</v>
          </cell>
          <cell r="C7740" t="str">
            <v xml:space="preserve">  SHABIR KHAN 13698 Q/OBS LAB NO.2</v>
          </cell>
          <cell r="D7740">
            <v>0</v>
          </cell>
          <cell r="E7740">
            <v>0</v>
          </cell>
          <cell r="F7740">
            <v>0</v>
          </cell>
          <cell r="G7740">
            <v>0</v>
          </cell>
        </row>
        <row r="7741">
          <cell r="A7741" t="str">
            <v>57-01-01-0148</v>
          </cell>
          <cell r="B7741">
            <v>0</v>
          </cell>
          <cell r="C7741" t="str">
            <v xml:space="preserve">  MEHDI HASSAN 14243 F/MAN W/SHOP</v>
          </cell>
          <cell r="D7741">
            <v>0</v>
          </cell>
          <cell r="E7741">
            <v>0</v>
          </cell>
          <cell r="F7741">
            <v>0</v>
          </cell>
          <cell r="G7741">
            <v>0</v>
          </cell>
        </row>
        <row r="7742">
          <cell r="A7742" t="str">
            <v>57-01-01-0149</v>
          </cell>
          <cell r="B7742">
            <v>0</v>
          </cell>
          <cell r="C7742" t="str">
            <v xml:space="preserve">  SHOUKET ALI 15052 CARD H/FITTER (G)</v>
          </cell>
          <cell r="D7742">
            <v>0</v>
          </cell>
          <cell r="E7742">
            <v>0</v>
          </cell>
          <cell r="F7742">
            <v>0</v>
          </cell>
          <cell r="G7742">
            <v>0</v>
          </cell>
        </row>
        <row r="7743">
          <cell r="A7743" t="str">
            <v>57-01-01-0150</v>
          </cell>
          <cell r="B7743">
            <v>0</v>
          </cell>
          <cell r="C7743" t="str">
            <v xml:space="preserve">  MUHAMMAD YOUSAF 1049 H/JOBBER</v>
          </cell>
          <cell r="D7743">
            <v>0</v>
          </cell>
          <cell r="E7743">
            <v>0</v>
          </cell>
          <cell r="F7743">
            <v>0</v>
          </cell>
          <cell r="G7743">
            <v>0</v>
          </cell>
        </row>
        <row r="7744">
          <cell r="A7744" t="str">
            <v>57-01-01-0151</v>
          </cell>
          <cell r="B7744">
            <v>0</v>
          </cell>
          <cell r="C7744" t="str">
            <v xml:space="preserve">  MUHAMMAD YASEEN 9026 Q/OBS LAB 1 (G</v>
          </cell>
          <cell r="D7744">
            <v>0</v>
          </cell>
          <cell r="E7744">
            <v>0</v>
          </cell>
          <cell r="F7744">
            <v>0</v>
          </cell>
          <cell r="G7744">
            <v>0</v>
          </cell>
        </row>
        <row r="7745">
          <cell r="A7745" t="str">
            <v>57-01-01-0152</v>
          </cell>
          <cell r="B7745">
            <v>0</v>
          </cell>
          <cell r="C7745" t="str">
            <v xml:space="preserve">  MUHAMMAD NAZEER 13147 JOBBER CARD 2 (B</v>
          </cell>
          <cell r="D7745">
            <v>0</v>
          </cell>
          <cell r="E7745">
            <v>0</v>
          </cell>
          <cell r="F7745">
            <v>0</v>
          </cell>
          <cell r="G7745">
            <v>0</v>
          </cell>
        </row>
        <row r="7746">
          <cell r="A7746" t="str">
            <v>57-01-01-0153</v>
          </cell>
          <cell r="B7746">
            <v>0</v>
          </cell>
          <cell r="C7746" t="str">
            <v xml:space="preserve">  NOSHER AHMED 6100 JOBBER A/CONE 2 (A)</v>
          </cell>
          <cell r="D7746">
            <v>0</v>
          </cell>
          <cell r="E7746">
            <v>0</v>
          </cell>
          <cell r="F7746">
            <v>0</v>
          </cell>
          <cell r="G7746">
            <v>0</v>
          </cell>
        </row>
        <row r="7747">
          <cell r="A7747" t="str">
            <v>57-01-01-0154</v>
          </cell>
          <cell r="B7747">
            <v>0</v>
          </cell>
          <cell r="C7747" t="str">
            <v xml:space="preserve">  TANVEER AHMED 10057 FORMAN D/SIM NO.2</v>
          </cell>
          <cell r="D7747">
            <v>0</v>
          </cell>
          <cell r="E7747">
            <v>0</v>
          </cell>
          <cell r="F7747">
            <v>0</v>
          </cell>
          <cell r="G7747">
            <v>0</v>
          </cell>
        </row>
        <row r="7748">
          <cell r="A7748" t="str">
            <v>57-01-01-0155</v>
          </cell>
          <cell r="B7748">
            <v>0</v>
          </cell>
          <cell r="C7748" t="str">
            <v xml:space="preserve">  SYED TARIQ KHURSHEED 9348 FITTER A/CON</v>
          </cell>
          <cell r="D7748">
            <v>0</v>
          </cell>
          <cell r="E7748">
            <v>0</v>
          </cell>
          <cell r="F7748">
            <v>0</v>
          </cell>
          <cell r="G7748">
            <v>0</v>
          </cell>
        </row>
        <row r="7749">
          <cell r="A7749" t="str">
            <v>57-01-01-0156</v>
          </cell>
          <cell r="B7749">
            <v>0</v>
          </cell>
          <cell r="C7749" t="str">
            <v xml:space="preserve">  M.ARSHAD THAIR 14937 S/FITT CARD 2 (G)</v>
          </cell>
          <cell r="D7749">
            <v>0</v>
          </cell>
          <cell r="E7749">
            <v>0</v>
          </cell>
          <cell r="F7749">
            <v>0</v>
          </cell>
          <cell r="G7749">
            <v>0</v>
          </cell>
        </row>
        <row r="7750">
          <cell r="A7750" t="str">
            <v>57-01-01-0157</v>
          </cell>
          <cell r="B7750">
            <v>0</v>
          </cell>
          <cell r="C7750" t="str">
            <v xml:space="preserve">  MUHAMMAD AFZAL 10218 FITTER B/ROOM (G</v>
          </cell>
          <cell r="D7750">
            <v>0</v>
          </cell>
          <cell r="E7750">
            <v>0</v>
          </cell>
          <cell r="F7750">
            <v>0</v>
          </cell>
          <cell r="G7750">
            <v>0</v>
          </cell>
        </row>
        <row r="7751">
          <cell r="A7751" t="str">
            <v>57-01-01-0158</v>
          </cell>
          <cell r="B7751">
            <v>0</v>
          </cell>
          <cell r="C7751" t="str">
            <v xml:space="preserve">  RIASAT ALI 5731 H/JOBBER RING 3 (G)</v>
          </cell>
          <cell r="D7751">
            <v>0</v>
          </cell>
          <cell r="E7751">
            <v>0</v>
          </cell>
          <cell r="F7751">
            <v>0</v>
          </cell>
          <cell r="G7751">
            <v>0</v>
          </cell>
        </row>
        <row r="7752">
          <cell r="A7752" t="str">
            <v>57-01-01-0159</v>
          </cell>
          <cell r="B7752">
            <v>0</v>
          </cell>
          <cell r="C7752" t="str">
            <v xml:space="preserve">  MUHAMMAD AFZAL 8398 JOBBER A/S 2 (C</v>
          </cell>
          <cell r="D7752">
            <v>0</v>
          </cell>
          <cell r="E7752">
            <v>0</v>
          </cell>
          <cell r="F7752">
            <v>0</v>
          </cell>
          <cell r="G7752">
            <v>0</v>
          </cell>
        </row>
        <row r="7753">
          <cell r="A7753" t="str">
            <v>57-01-01-0160</v>
          </cell>
          <cell r="B7753">
            <v>0</v>
          </cell>
          <cell r="C7753" t="str">
            <v xml:space="preserve">  FAZAL HUSSAIN 16164 S/I/C RING 1 SHIFT</v>
          </cell>
          <cell r="D7753">
            <v>0</v>
          </cell>
          <cell r="E7753">
            <v>0</v>
          </cell>
          <cell r="F7753">
            <v>0</v>
          </cell>
          <cell r="G7753">
            <v>0</v>
          </cell>
        </row>
        <row r="7754">
          <cell r="A7754" t="str">
            <v>57-01-01-0161</v>
          </cell>
          <cell r="B7754">
            <v>0</v>
          </cell>
          <cell r="C7754" t="str">
            <v xml:space="preserve">  MUHAMMAD BANARIS 13014 S/I/C RING 4</v>
          </cell>
          <cell r="D7754">
            <v>0</v>
          </cell>
          <cell r="E7754">
            <v>0</v>
          </cell>
          <cell r="F7754">
            <v>0</v>
          </cell>
          <cell r="G7754">
            <v>0</v>
          </cell>
        </row>
        <row r="7755">
          <cell r="A7755" t="str">
            <v>57-01-01-0162</v>
          </cell>
          <cell r="B7755">
            <v>0</v>
          </cell>
          <cell r="C7755" t="str">
            <v xml:space="preserve">  MUHAMMAD NAWAZ 13396 4/S RING 5 SHIFT</v>
          </cell>
          <cell r="D7755">
            <v>0</v>
          </cell>
          <cell r="E7755">
            <v>0</v>
          </cell>
          <cell r="F7755">
            <v>0</v>
          </cell>
          <cell r="G7755">
            <v>0</v>
          </cell>
        </row>
        <row r="7756">
          <cell r="A7756" t="str">
            <v>57-01-01-0163</v>
          </cell>
          <cell r="B7756">
            <v>0</v>
          </cell>
          <cell r="C7756" t="str">
            <v xml:space="preserve">  MUHAMMAD ARSHAD 16404 S/I/C RING 1</v>
          </cell>
          <cell r="D7756">
            <v>0</v>
          </cell>
          <cell r="E7756">
            <v>0</v>
          </cell>
          <cell r="F7756">
            <v>0</v>
          </cell>
          <cell r="G7756">
            <v>0</v>
          </cell>
        </row>
        <row r="7757">
          <cell r="A7757" t="str">
            <v>57-01-01-0164</v>
          </cell>
          <cell r="B7757">
            <v>0</v>
          </cell>
          <cell r="C7757" t="str">
            <v xml:space="preserve">  HAQ NAWAZ 13350 B/FIXER D/S 1 SHIFT (G</v>
          </cell>
          <cell r="D7757">
            <v>0</v>
          </cell>
          <cell r="E7757">
            <v>0</v>
          </cell>
          <cell r="F7757">
            <v>0</v>
          </cell>
          <cell r="G7757">
            <v>0</v>
          </cell>
        </row>
        <row r="7758">
          <cell r="A7758" t="str">
            <v>57-01-01-0165</v>
          </cell>
          <cell r="B7758">
            <v>0</v>
          </cell>
          <cell r="C7758" t="str">
            <v xml:space="preserve">  FIDA HUSSAIN 9755 FITTER RING 3 SHIF (</v>
          </cell>
          <cell r="D7758">
            <v>0</v>
          </cell>
          <cell r="E7758">
            <v>0</v>
          </cell>
          <cell r="F7758">
            <v>0</v>
          </cell>
          <cell r="G7758">
            <v>0</v>
          </cell>
        </row>
        <row r="7759">
          <cell r="A7759" t="str">
            <v>57-01-01-0166</v>
          </cell>
          <cell r="B7759">
            <v>0</v>
          </cell>
          <cell r="C7759" t="str">
            <v xml:space="preserve">  MUHAMMAD RIAZ 7365 OIL MAN RING 4 (G)</v>
          </cell>
          <cell r="D7759">
            <v>0</v>
          </cell>
          <cell r="E7759">
            <v>0</v>
          </cell>
          <cell r="F7759">
            <v>0</v>
          </cell>
          <cell r="G7759">
            <v>0</v>
          </cell>
        </row>
        <row r="7760">
          <cell r="A7760" t="str">
            <v>57-01-01-0167</v>
          </cell>
          <cell r="B7760">
            <v>0</v>
          </cell>
          <cell r="C7760" t="str">
            <v xml:space="preserve">  MUHAMMAD RIAZ 1169 H/FITTER RING 2 (G)</v>
          </cell>
          <cell r="D7760">
            <v>0</v>
          </cell>
          <cell r="E7760">
            <v>0</v>
          </cell>
          <cell r="F7760">
            <v>0</v>
          </cell>
          <cell r="G7760">
            <v>0</v>
          </cell>
        </row>
        <row r="7761">
          <cell r="A7761" t="str">
            <v>57-01-01-0168</v>
          </cell>
          <cell r="B7761">
            <v>0</v>
          </cell>
          <cell r="C7761" t="str">
            <v xml:space="preserve">  ZAHID IQBAL 14544 FITTER RING 5 SHIFT</v>
          </cell>
          <cell r="D7761">
            <v>0</v>
          </cell>
          <cell r="E7761">
            <v>0</v>
          </cell>
          <cell r="F7761">
            <v>0</v>
          </cell>
          <cell r="G7761">
            <v>0</v>
          </cell>
        </row>
        <row r="7762">
          <cell r="A7762" t="str">
            <v>57-01-01-0169</v>
          </cell>
          <cell r="B7762">
            <v>0</v>
          </cell>
          <cell r="C7762" t="str">
            <v xml:space="preserve">  AMJID ALI 13946 A/FITTER CARD SHIFT (G</v>
          </cell>
          <cell r="D7762">
            <v>0</v>
          </cell>
          <cell r="E7762">
            <v>0</v>
          </cell>
          <cell r="F7762">
            <v>0</v>
          </cell>
          <cell r="G7762">
            <v>0</v>
          </cell>
        </row>
        <row r="7763">
          <cell r="A7763" t="str">
            <v>57-01-01-0170</v>
          </cell>
          <cell r="B7763">
            <v>0</v>
          </cell>
          <cell r="C7763" t="str">
            <v xml:space="preserve">  MUHAMMAD ILYAS 11756 D/S 1 JOB RING</v>
          </cell>
          <cell r="D7763">
            <v>0</v>
          </cell>
          <cell r="E7763">
            <v>0</v>
          </cell>
          <cell r="F7763">
            <v>0</v>
          </cell>
          <cell r="G7763">
            <v>0</v>
          </cell>
        </row>
        <row r="7764">
          <cell r="A7764" t="str">
            <v>57-01-01-0171</v>
          </cell>
          <cell r="B7764">
            <v>0</v>
          </cell>
          <cell r="C7764" t="str">
            <v xml:space="preserve">  KARIM DAD 18481 JOBBER RING 4 SHIFT (G</v>
          </cell>
          <cell r="D7764">
            <v>0</v>
          </cell>
          <cell r="E7764">
            <v>0</v>
          </cell>
          <cell r="F7764">
            <v>0</v>
          </cell>
          <cell r="G7764">
            <v>0</v>
          </cell>
        </row>
        <row r="7765">
          <cell r="A7765" t="str">
            <v>57-01-01-0172</v>
          </cell>
          <cell r="B7765">
            <v>0</v>
          </cell>
          <cell r="C7765" t="str">
            <v xml:space="preserve">  MUHAMMAD TAHIR 16544 FITTER RING 4 (G)</v>
          </cell>
          <cell r="D7765">
            <v>0</v>
          </cell>
          <cell r="E7765">
            <v>0</v>
          </cell>
          <cell r="F7765">
            <v>0</v>
          </cell>
          <cell r="G7765">
            <v>0</v>
          </cell>
        </row>
        <row r="7766">
          <cell r="A7766" t="str">
            <v>57-01-01-0173</v>
          </cell>
          <cell r="B7766">
            <v>0</v>
          </cell>
          <cell r="C7766" t="str">
            <v xml:space="preserve">  MOHAMMAD MURTAZA B NO.11712 A/FITT RIN</v>
          </cell>
          <cell r="D7766">
            <v>0</v>
          </cell>
          <cell r="E7766">
            <v>0</v>
          </cell>
          <cell r="F7766">
            <v>0</v>
          </cell>
          <cell r="G7766">
            <v>0</v>
          </cell>
        </row>
        <row r="7767">
          <cell r="A7767" t="str">
            <v>57-01-01-0174</v>
          </cell>
          <cell r="B7767">
            <v>0</v>
          </cell>
          <cell r="C7767" t="str">
            <v xml:space="preserve">  SYED TAYYAB BASHIR 8713 CASHIER (ACCTT</v>
          </cell>
          <cell r="D7767">
            <v>0</v>
          </cell>
          <cell r="E7767">
            <v>0</v>
          </cell>
          <cell r="F7767">
            <v>0</v>
          </cell>
          <cell r="G7767">
            <v>0</v>
          </cell>
        </row>
        <row r="7768">
          <cell r="A7768" t="str">
            <v>57-01-01-0175</v>
          </cell>
          <cell r="B7768">
            <v>0</v>
          </cell>
          <cell r="C7768" t="str">
            <v xml:space="preserve">  MUHAMMAD IQBAL 10446 JOBBER B/ROOM</v>
          </cell>
          <cell r="D7768">
            <v>0</v>
          </cell>
          <cell r="E7768">
            <v>0</v>
          </cell>
          <cell r="F7768">
            <v>0</v>
          </cell>
          <cell r="G7768">
            <v>0</v>
          </cell>
        </row>
        <row r="7769">
          <cell r="A7769" t="str">
            <v>57-01-01-0176</v>
          </cell>
          <cell r="B7769">
            <v>0</v>
          </cell>
          <cell r="C7769" t="str">
            <v xml:space="preserve">  KHALID MEHMOOD 13057 JOBBER RING 4(A</v>
          </cell>
          <cell r="D7769">
            <v>0</v>
          </cell>
          <cell r="E7769">
            <v>0</v>
          </cell>
          <cell r="F7769">
            <v>0</v>
          </cell>
          <cell r="G7769">
            <v>0</v>
          </cell>
        </row>
        <row r="7770">
          <cell r="A7770" t="str">
            <v>57-01-01-0177</v>
          </cell>
          <cell r="B7770">
            <v>0</v>
          </cell>
          <cell r="C7770" t="str">
            <v xml:space="preserve">  MUHAMMAD MUMTAZ 9610 JOBBER B/R 1</v>
          </cell>
          <cell r="D7770">
            <v>0</v>
          </cell>
          <cell r="E7770">
            <v>0</v>
          </cell>
          <cell r="F7770">
            <v>0</v>
          </cell>
          <cell r="G7770">
            <v>0</v>
          </cell>
        </row>
        <row r="7771">
          <cell r="A7771" t="str">
            <v>57-01-01-0178</v>
          </cell>
          <cell r="B7771">
            <v>0</v>
          </cell>
          <cell r="C7771" t="str">
            <v xml:space="preserve">  ABDUL MAJEED 10455 JIBBER B/R 2 (A)</v>
          </cell>
          <cell r="D7771">
            <v>0</v>
          </cell>
          <cell r="E7771">
            <v>0</v>
          </cell>
          <cell r="F7771">
            <v>0</v>
          </cell>
          <cell r="G7771">
            <v>0</v>
          </cell>
        </row>
        <row r="7772">
          <cell r="A7772" t="str">
            <v>57-01-01-0179</v>
          </cell>
          <cell r="B7772">
            <v>0</v>
          </cell>
          <cell r="C7772" t="str">
            <v xml:space="preserve">  SULTAN MUHAMMAD DRIVER</v>
          </cell>
          <cell r="D7772">
            <v>0</v>
          </cell>
          <cell r="E7772">
            <v>0</v>
          </cell>
          <cell r="F7772">
            <v>0</v>
          </cell>
          <cell r="G7772">
            <v>0</v>
          </cell>
        </row>
        <row r="7773">
          <cell r="A7773" t="str">
            <v>57-01-01-0180</v>
          </cell>
          <cell r="B7773">
            <v>0</v>
          </cell>
          <cell r="C7773" t="str">
            <v xml:space="preserve">  KHALID FAROOQ 15572 TURNER W/SHOP (G)</v>
          </cell>
          <cell r="D7773">
            <v>0</v>
          </cell>
          <cell r="E7773">
            <v>0</v>
          </cell>
          <cell r="F7773">
            <v>0</v>
          </cell>
          <cell r="G7773">
            <v>0</v>
          </cell>
        </row>
        <row r="7774">
          <cell r="A7774" t="str">
            <v>57-01-01-0181</v>
          </cell>
          <cell r="B7774">
            <v>0</v>
          </cell>
          <cell r="C7774" t="str">
            <v xml:space="preserve">  MUHAMMAD YASEEN 10013 E/SUPERVISOR (G)</v>
          </cell>
          <cell r="D7774">
            <v>0</v>
          </cell>
          <cell r="E7774">
            <v>0</v>
          </cell>
          <cell r="F7774">
            <v>0</v>
          </cell>
          <cell r="G7774">
            <v>0</v>
          </cell>
        </row>
        <row r="7775">
          <cell r="A7775" t="str">
            <v>57-01-01-0182</v>
          </cell>
          <cell r="B7775">
            <v>0</v>
          </cell>
          <cell r="C7775" t="str">
            <v xml:space="preserve">  ALLAH DITTA 17572 4/S RING 3 SHIFT (C)</v>
          </cell>
          <cell r="D7775">
            <v>0</v>
          </cell>
          <cell r="E7775">
            <v>0</v>
          </cell>
          <cell r="F7775">
            <v>0</v>
          </cell>
          <cell r="G7775">
            <v>0</v>
          </cell>
        </row>
        <row r="7776">
          <cell r="A7776" t="str">
            <v>57-01-01-0183</v>
          </cell>
          <cell r="B7776">
            <v>0</v>
          </cell>
          <cell r="C7776" t="str">
            <v xml:space="preserve">  MUHAMMAD IQBAL 16443 4/S RING 3 SHI (</v>
          </cell>
          <cell r="D7776">
            <v>0</v>
          </cell>
          <cell r="E7776">
            <v>0</v>
          </cell>
          <cell r="F7776">
            <v>0</v>
          </cell>
          <cell r="G7776">
            <v>0</v>
          </cell>
        </row>
        <row r="7777">
          <cell r="A7777" t="str">
            <v>57-01-01-0184</v>
          </cell>
          <cell r="B7777">
            <v>0</v>
          </cell>
          <cell r="C7777" t="str">
            <v xml:space="preserve">  SHABIR HUSSAIN 5789 S/I/C RING 3 SHI</v>
          </cell>
          <cell r="D7777">
            <v>0</v>
          </cell>
          <cell r="E7777">
            <v>0</v>
          </cell>
          <cell r="F7777">
            <v>0</v>
          </cell>
          <cell r="G7777">
            <v>0</v>
          </cell>
        </row>
        <row r="7778">
          <cell r="A7778" t="str">
            <v>57-01-01-0185</v>
          </cell>
          <cell r="B7778">
            <v>0</v>
          </cell>
          <cell r="C7778" t="str">
            <v xml:space="preserve">  MUHAMMAD AZHAR 16524 TURNER W/SHOP</v>
          </cell>
          <cell r="D7778">
            <v>0</v>
          </cell>
          <cell r="E7778">
            <v>0</v>
          </cell>
          <cell r="F7778">
            <v>0</v>
          </cell>
          <cell r="G7778">
            <v>0</v>
          </cell>
        </row>
        <row r="7779">
          <cell r="A7779" t="str">
            <v>57-01-01-0186</v>
          </cell>
          <cell r="B7779">
            <v>0</v>
          </cell>
          <cell r="C7779" t="str">
            <v xml:space="preserve">  MUNIR AHMED 6197 JOBBER RING 3 SHIF (</v>
          </cell>
          <cell r="D7779">
            <v>0</v>
          </cell>
          <cell r="E7779">
            <v>0</v>
          </cell>
          <cell r="F7779">
            <v>0</v>
          </cell>
          <cell r="G7779">
            <v>0</v>
          </cell>
        </row>
        <row r="7780">
          <cell r="A7780" t="str">
            <v>57-01-01-0187</v>
          </cell>
          <cell r="B7780">
            <v>0</v>
          </cell>
          <cell r="C7780" t="str">
            <v xml:space="preserve">  MAZHAR IQBAL 9458/JOBBER A/CONE 2 (</v>
          </cell>
          <cell r="D7780">
            <v>0</v>
          </cell>
          <cell r="E7780">
            <v>0</v>
          </cell>
          <cell r="F7780">
            <v>0</v>
          </cell>
          <cell r="G7780">
            <v>0</v>
          </cell>
        </row>
        <row r="7781">
          <cell r="A7781" t="str">
            <v>57-01-01-0188</v>
          </cell>
          <cell r="B7781">
            <v>0</v>
          </cell>
          <cell r="C7781" t="str">
            <v xml:space="preserve">  INAYAT ULLAH 13774 DRIVER</v>
          </cell>
          <cell r="D7781">
            <v>0</v>
          </cell>
          <cell r="E7781">
            <v>0</v>
          </cell>
          <cell r="F7781">
            <v>0</v>
          </cell>
          <cell r="G7781">
            <v>0</v>
          </cell>
        </row>
        <row r="7782">
          <cell r="A7782" t="str">
            <v>57-01-01-0189</v>
          </cell>
          <cell r="B7782">
            <v>0</v>
          </cell>
          <cell r="C7782" t="str">
            <v xml:space="preserve">  REHMAT KHAN 17623 4/S RING 3 SHIFT (A</v>
          </cell>
          <cell r="D7782">
            <v>0</v>
          </cell>
          <cell r="E7782">
            <v>0</v>
          </cell>
          <cell r="F7782">
            <v>0</v>
          </cell>
          <cell r="G7782">
            <v>0</v>
          </cell>
        </row>
        <row r="7783">
          <cell r="A7783" t="str">
            <v>57-01-01-0190</v>
          </cell>
          <cell r="B7783">
            <v>0</v>
          </cell>
          <cell r="C7783" t="str">
            <v xml:space="preserve">  MUHAMMAD KHAN 12038 JOBBER B/R 1 SHIF</v>
          </cell>
          <cell r="D7783">
            <v>0</v>
          </cell>
          <cell r="E7783">
            <v>0</v>
          </cell>
          <cell r="F7783">
            <v>0</v>
          </cell>
          <cell r="G7783">
            <v>0</v>
          </cell>
        </row>
        <row r="7784">
          <cell r="A7784" t="str">
            <v>57-01-01-0191</v>
          </cell>
          <cell r="B7784">
            <v>0</v>
          </cell>
          <cell r="C7784" t="str">
            <v xml:space="preserve">  SHAHBAZ 16690 JOBBER B/ROOM SHIFT (C)</v>
          </cell>
          <cell r="D7784">
            <v>0</v>
          </cell>
          <cell r="E7784">
            <v>0</v>
          </cell>
          <cell r="F7784">
            <v>0</v>
          </cell>
          <cell r="G7784">
            <v>0</v>
          </cell>
        </row>
        <row r="7785">
          <cell r="A7785" t="str">
            <v>57-01-01-0192</v>
          </cell>
          <cell r="B7785">
            <v>0</v>
          </cell>
          <cell r="C7785" t="str">
            <v xml:space="preserve">  ARSHAD SALEEM 14917 F/MAN CARD SHIFT</v>
          </cell>
          <cell r="D7785">
            <v>0</v>
          </cell>
          <cell r="E7785">
            <v>0</v>
          </cell>
          <cell r="F7785">
            <v>0</v>
          </cell>
          <cell r="G7785">
            <v>0</v>
          </cell>
        </row>
        <row r="7786">
          <cell r="A7786" t="str">
            <v>57-01-01-0193</v>
          </cell>
          <cell r="B7786">
            <v>0</v>
          </cell>
          <cell r="C7786" t="str">
            <v xml:space="preserve">  MUHAMMAD AFZAL 11052 A/FITT A/C 2 (GE</v>
          </cell>
          <cell r="D7786">
            <v>0</v>
          </cell>
          <cell r="E7786">
            <v>0</v>
          </cell>
          <cell r="F7786">
            <v>0</v>
          </cell>
          <cell r="G7786">
            <v>0</v>
          </cell>
        </row>
        <row r="7787">
          <cell r="A7787" t="str">
            <v>57-01-01-0194</v>
          </cell>
          <cell r="B7787">
            <v>0</v>
          </cell>
          <cell r="C7787" t="str">
            <v xml:space="preserve">  MUHAMMAD RUKHSAR 17058 A/FITT A/C 2</v>
          </cell>
          <cell r="D7787">
            <v>0</v>
          </cell>
          <cell r="E7787">
            <v>0</v>
          </cell>
          <cell r="F7787">
            <v>0</v>
          </cell>
          <cell r="G7787">
            <v>0</v>
          </cell>
        </row>
        <row r="7788">
          <cell r="A7788" t="str">
            <v>57-01-01-0195</v>
          </cell>
          <cell r="B7788">
            <v>0</v>
          </cell>
          <cell r="C7788" t="str">
            <v xml:space="preserve">  ABDUL AZIZ 6369 HELPER A/C 2 SHIFT C</v>
          </cell>
          <cell r="D7788">
            <v>0</v>
          </cell>
          <cell r="E7788">
            <v>0</v>
          </cell>
          <cell r="F7788">
            <v>0</v>
          </cell>
          <cell r="G7788">
            <v>0</v>
          </cell>
        </row>
        <row r="7789">
          <cell r="A7789" t="str">
            <v>57-01-01-0196</v>
          </cell>
          <cell r="B7789">
            <v>0</v>
          </cell>
          <cell r="C7789" t="str">
            <v xml:space="preserve">  MUHAMMAD ASLAM 15963 JOBBER RING 2 (B</v>
          </cell>
          <cell r="D7789">
            <v>0</v>
          </cell>
          <cell r="E7789">
            <v>0</v>
          </cell>
          <cell r="F7789">
            <v>0</v>
          </cell>
          <cell r="G7789">
            <v>0</v>
          </cell>
        </row>
        <row r="7790">
          <cell r="A7790" t="str">
            <v>57-01-01-0197</v>
          </cell>
          <cell r="B7790">
            <v>0</v>
          </cell>
          <cell r="C7790" t="str">
            <v xml:space="preserve">  RAJAB KHAN 8844 4/S RING 4 SHIFT (A)</v>
          </cell>
          <cell r="D7790">
            <v>0</v>
          </cell>
          <cell r="E7790">
            <v>0</v>
          </cell>
          <cell r="F7790">
            <v>0</v>
          </cell>
          <cell r="G7790">
            <v>0</v>
          </cell>
        </row>
        <row r="7791">
          <cell r="A7791" t="str">
            <v>57-01-01-0198</v>
          </cell>
          <cell r="B7791">
            <v>0</v>
          </cell>
          <cell r="C7791" t="str">
            <v xml:space="preserve">  MUHAMMAD IQBAL</v>
          </cell>
          <cell r="D7791">
            <v>0</v>
          </cell>
          <cell r="E7791">
            <v>0</v>
          </cell>
          <cell r="F7791">
            <v>0</v>
          </cell>
          <cell r="G7791">
            <v>0</v>
          </cell>
        </row>
        <row r="7792">
          <cell r="A7792" t="str">
            <v>57-01-01-0199</v>
          </cell>
          <cell r="B7792">
            <v>0</v>
          </cell>
          <cell r="C7792" t="str">
            <v xml:space="preserve">  LIAQAT ALI</v>
          </cell>
          <cell r="D7792">
            <v>0</v>
          </cell>
          <cell r="E7792">
            <v>0</v>
          </cell>
          <cell r="F7792">
            <v>0</v>
          </cell>
          <cell r="G7792">
            <v>0</v>
          </cell>
        </row>
        <row r="7793">
          <cell r="A7793" t="str">
            <v>57-01-01-0201</v>
          </cell>
          <cell r="B7793">
            <v>0</v>
          </cell>
          <cell r="C7793" t="str">
            <v xml:space="preserve">  SHAFAQAT ALI 17069 P/FITTER A/C 2</v>
          </cell>
          <cell r="D7793">
            <v>0</v>
          </cell>
          <cell r="E7793">
            <v>0</v>
          </cell>
          <cell r="F7793">
            <v>0</v>
          </cell>
          <cell r="G7793">
            <v>0</v>
          </cell>
        </row>
        <row r="7794">
          <cell r="A7794" t="str">
            <v>57-01-01-0202</v>
          </cell>
          <cell r="B7794">
            <v>0</v>
          </cell>
          <cell r="C7794" t="str">
            <v xml:space="preserve">  KHUSAL KHAN SHIFT INCHARGE</v>
          </cell>
          <cell r="D7794">
            <v>0</v>
          </cell>
          <cell r="E7794">
            <v>0</v>
          </cell>
          <cell r="F7794">
            <v>0</v>
          </cell>
          <cell r="G7794">
            <v>0</v>
          </cell>
        </row>
        <row r="7795">
          <cell r="A7795" t="str">
            <v>57-01-01-0203</v>
          </cell>
          <cell r="B7795">
            <v>0</v>
          </cell>
          <cell r="C7795" t="str">
            <v xml:space="preserve">  NOOR KHAN JOBBER D/SIMPLEX</v>
          </cell>
          <cell r="D7795">
            <v>0</v>
          </cell>
          <cell r="E7795">
            <v>0</v>
          </cell>
          <cell r="F7795">
            <v>0</v>
          </cell>
          <cell r="G7795">
            <v>0</v>
          </cell>
        </row>
        <row r="7796">
          <cell r="A7796" t="str">
            <v>57-01-01-0204</v>
          </cell>
          <cell r="B7796">
            <v>0</v>
          </cell>
          <cell r="C7796" t="str">
            <v xml:space="preserve">  MAZHAR IQBAL  17559 JOBBER RING.</v>
          </cell>
          <cell r="D7796">
            <v>0</v>
          </cell>
          <cell r="E7796">
            <v>0</v>
          </cell>
          <cell r="F7796">
            <v>0</v>
          </cell>
          <cell r="G7796">
            <v>0</v>
          </cell>
        </row>
        <row r="7797">
          <cell r="A7797" t="str">
            <v>57-01-01-0205</v>
          </cell>
          <cell r="B7797">
            <v>0</v>
          </cell>
          <cell r="C7797" t="str">
            <v xml:space="preserve">  ZAFAR IQBAL 14595 OIL MAN RING 4.</v>
          </cell>
          <cell r="D7797">
            <v>0</v>
          </cell>
          <cell r="E7797">
            <v>0</v>
          </cell>
          <cell r="F7797">
            <v>0</v>
          </cell>
          <cell r="G7797">
            <v>0</v>
          </cell>
        </row>
        <row r="7798">
          <cell r="A7798" t="str">
            <v>57-01-01-0206</v>
          </cell>
          <cell r="B7798">
            <v>0</v>
          </cell>
          <cell r="C7798" t="str">
            <v xml:space="preserve">  FAYAZ AHMED 14228 JOBBER RING -4.</v>
          </cell>
          <cell r="D7798">
            <v>0</v>
          </cell>
          <cell r="E7798">
            <v>0</v>
          </cell>
          <cell r="F7798">
            <v>0</v>
          </cell>
          <cell r="G7798">
            <v>0</v>
          </cell>
        </row>
        <row r="7799">
          <cell r="A7799" t="str">
            <v>57-01-01-0207</v>
          </cell>
          <cell r="B7799">
            <v>0</v>
          </cell>
          <cell r="C7799" t="str">
            <v xml:space="preserve">  GHALIB HUSSAIN 16967 RING 3 JOBBER</v>
          </cell>
          <cell r="D7799">
            <v>0</v>
          </cell>
          <cell r="E7799">
            <v>0</v>
          </cell>
          <cell r="F7799">
            <v>0</v>
          </cell>
          <cell r="G7799">
            <v>0</v>
          </cell>
        </row>
        <row r="7800">
          <cell r="A7800" t="str">
            <v>57-01-01-0208</v>
          </cell>
          <cell r="B7800">
            <v>0</v>
          </cell>
          <cell r="C7800" t="str">
            <v xml:space="preserve">  MUHAMMED ASGHAR 4/S RING 3 SHIFT-A 568</v>
          </cell>
          <cell r="D7800">
            <v>0</v>
          </cell>
          <cell r="E7800">
            <v>0</v>
          </cell>
          <cell r="F7800">
            <v>0</v>
          </cell>
          <cell r="G7800">
            <v>0</v>
          </cell>
        </row>
        <row r="7801">
          <cell r="A7801" t="str">
            <v>57-01-01-0209</v>
          </cell>
          <cell r="B7801">
            <v>0</v>
          </cell>
          <cell r="C7801" t="str">
            <v xml:space="preserve">  AMANAT ALI JOBBER 16507 MILL NO:2.</v>
          </cell>
          <cell r="D7801">
            <v>0</v>
          </cell>
          <cell r="E7801">
            <v>0</v>
          </cell>
          <cell r="F7801">
            <v>0</v>
          </cell>
          <cell r="G7801">
            <v>0</v>
          </cell>
        </row>
        <row r="7802">
          <cell r="A7802" t="str">
            <v>57-01-01-0210</v>
          </cell>
          <cell r="B7802">
            <v>0</v>
          </cell>
          <cell r="C7802" t="str">
            <v xml:space="preserve">  SULTAN SIKANDER A/JOBBER D/S 2-B 20639</v>
          </cell>
          <cell r="D7802">
            <v>0</v>
          </cell>
          <cell r="E7802">
            <v>0</v>
          </cell>
          <cell r="F7802">
            <v>0</v>
          </cell>
          <cell r="G7802">
            <v>0</v>
          </cell>
        </row>
        <row r="7803">
          <cell r="A7803" t="str">
            <v>57-01-01-0211</v>
          </cell>
          <cell r="B7803">
            <v>0</v>
          </cell>
          <cell r="C7803" t="str">
            <v xml:space="preserve">  MEHBOOB SULTAN JOBBER MILL 1 B.13956.</v>
          </cell>
          <cell r="D7803">
            <v>0</v>
          </cell>
          <cell r="E7803">
            <v>0</v>
          </cell>
          <cell r="F7803">
            <v>0</v>
          </cell>
          <cell r="G7803">
            <v>0</v>
          </cell>
        </row>
        <row r="7804">
          <cell r="A7804" t="str">
            <v>57-01-01-0212</v>
          </cell>
          <cell r="B7804">
            <v>0</v>
          </cell>
          <cell r="C7804" t="str">
            <v xml:space="preserve">  SHER AFZAL 8637 W/MAN SECURITY.</v>
          </cell>
          <cell r="D7804">
            <v>0</v>
          </cell>
          <cell r="E7804">
            <v>0</v>
          </cell>
          <cell r="F7804">
            <v>0</v>
          </cell>
          <cell r="G7804">
            <v>0</v>
          </cell>
        </row>
        <row r="7805">
          <cell r="A7805" t="str">
            <v>57-01-01-0213</v>
          </cell>
          <cell r="B7805">
            <v>0</v>
          </cell>
          <cell r="C7805" t="str">
            <v xml:space="preserve">  MUHAMMED KHALID 5673 JOBBER RING'05.</v>
          </cell>
          <cell r="D7805">
            <v>0</v>
          </cell>
          <cell r="E7805">
            <v>0</v>
          </cell>
          <cell r="F7805">
            <v>0</v>
          </cell>
          <cell r="G7805">
            <v>0</v>
          </cell>
        </row>
        <row r="7806">
          <cell r="A7806" t="str">
            <v>57-01-01-0214</v>
          </cell>
          <cell r="B7806">
            <v>0</v>
          </cell>
          <cell r="C7806" t="str">
            <v xml:space="preserve">  MUBARAK ALI 16861 FITTER CARD 1</v>
          </cell>
          <cell r="D7806">
            <v>0</v>
          </cell>
          <cell r="E7806">
            <v>0</v>
          </cell>
          <cell r="F7806">
            <v>0</v>
          </cell>
          <cell r="G7806">
            <v>0</v>
          </cell>
        </row>
        <row r="7807">
          <cell r="A7807" t="str">
            <v>57-01-01-0215</v>
          </cell>
          <cell r="B7807">
            <v>0</v>
          </cell>
          <cell r="C7807" t="str">
            <v xml:space="preserve">  ZAFAR IQBAL 13686 TAPE MAN RING.</v>
          </cell>
          <cell r="D7807">
            <v>0</v>
          </cell>
          <cell r="E7807">
            <v>0</v>
          </cell>
          <cell r="F7807">
            <v>0</v>
          </cell>
          <cell r="G7807">
            <v>0</v>
          </cell>
        </row>
        <row r="7808">
          <cell r="A7808" t="str">
            <v>57-01-01-0216</v>
          </cell>
          <cell r="B7808">
            <v>0</v>
          </cell>
          <cell r="C7808" t="str">
            <v xml:space="preserve">  WAJID HUSSAIN 13054 JOBBER RING'4 (A).</v>
          </cell>
          <cell r="D7808">
            <v>0</v>
          </cell>
          <cell r="E7808">
            <v>0</v>
          </cell>
          <cell r="F7808">
            <v>0</v>
          </cell>
          <cell r="G7808">
            <v>0</v>
          </cell>
        </row>
        <row r="7809">
          <cell r="A7809" t="str">
            <v>57-01-01-0217</v>
          </cell>
          <cell r="B7809">
            <v>0</v>
          </cell>
          <cell r="C7809" t="str">
            <v xml:space="preserve">  MUHAMMED ARSHAD 16614 JOBBER RING 4.</v>
          </cell>
          <cell r="D7809">
            <v>0</v>
          </cell>
          <cell r="E7809">
            <v>0</v>
          </cell>
          <cell r="F7809">
            <v>0</v>
          </cell>
          <cell r="G7809">
            <v>0</v>
          </cell>
        </row>
        <row r="7810">
          <cell r="A7810" t="str">
            <v>57-01-01-0218</v>
          </cell>
          <cell r="B7810">
            <v>0</v>
          </cell>
          <cell r="C7810" t="str">
            <v xml:space="preserve">  MAZHAR IQBAL 16714 JOBBER RING NO: 1.</v>
          </cell>
          <cell r="D7810">
            <v>0</v>
          </cell>
          <cell r="E7810">
            <v>0</v>
          </cell>
          <cell r="F7810">
            <v>0</v>
          </cell>
          <cell r="G7810">
            <v>0</v>
          </cell>
        </row>
        <row r="7811">
          <cell r="A7811" t="str">
            <v>57-01-01-0219</v>
          </cell>
          <cell r="B7811">
            <v>0</v>
          </cell>
          <cell r="C7811" t="str">
            <v xml:space="preserve">  TAHIR REHMAN 10206 FITTER R/C 2 SHIFT.</v>
          </cell>
          <cell r="D7811">
            <v>0</v>
          </cell>
          <cell r="E7811">
            <v>0</v>
          </cell>
          <cell r="F7811">
            <v>0</v>
          </cell>
          <cell r="G7811">
            <v>0</v>
          </cell>
        </row>
        <row r="7812">
          <cell r="A7812" t="str">
            <v>57-01-01-0220</v>
          </cell>
          <cell r="B7812">
            <v>0</v>
          </cell>
          <cell r="C7812" t="str">
            <v xml:space="preserve">  SAEEDREHMAN 10350 A/FITTER R/C 2 (G)</v>
          </cell>
          <cell r="D7812">
            <v>0</v>
          </cell>
          <cell r="E7812">
            <v>0</v>
          </cell>
          <cell r="F7812">
            <v>0</v>
          </cell>
          <cell r="G7812">
            <v>0</v>
          </cell>
        </row>
        <row r="7813">
          <cell r="A7813" t="str">
            <v>57-01-01-0221</v>
          </cell>
          <cell r="B7813">
            <v>0</v>
          </cell>
          <cell r="C7813" t="str">
            <v xml:space="preserve">  KHAN MUHAMMAD 13717 C/T CARD 1 SHIFT.</v>
          </cell>
          <cell r="D7813">
            <v>0</v>
          </cell>
          <cell r="E7813">
            <v>0</v>
          </cell>
          <cell r="F7813">
            <v>0</v>
          </cell>
          <cell r="G7813">
            <v>0</v>
          </cell>
        </row>
        <row r="7814">
          <cell r="A7814" t="str">
            <v>57-01-01-0222</v>
          </cell>
          <cell r="B7814">
            <v>0</v>
          </cell>
          <cell r="C7814" t="str">
            <v xml:space="preserve">  MUHAMMED ASLAM 6802 JOBBER AUTO CONE.</v>
          </cell>
          <cell r="D7814">
            <v>0</v>
          </cell>
          <cell r="E7814">
            <v>0</v>
          </cell>
          <cell r="F7814">
            <v>0</v>
          </cell>
          <cell r="G7814">
            <v>0</v>
          </cell>
        </row>
        <row r="7815">
          <cell r="A7815" t="str">
            <v>57-01-01-0223</v>
          </cell>
          <cell r="B7815">
            <v>0</v>
          </cell>
          <cell r="C7815" t="str">
            <v xml:space="preserve">  MEHBOOB AKHTAR 9740 FITTER R/C SHIFT.</v>
          </cell>
          <cell r="D7815">
            <v>0</v>
          </cell>
          <cell r="E7815">
            <v>0</v>
          </cell>
          <cell r="F7815">
            <v>0</v>
          </cell>
          <cell r="G7815">
            <v>0</v>
          </cell>
        </row>
        <row r="7816">
          <cell r="A7816" t="str">
            <v>57-01-01-0224</v>
          </cell>
          <cell r="B7816">
            <v>0</v>
          </cell>
          <cell r="C7816" t="str">
            <v xml:space="preserve">  MAZHAR IQBAL 18585 4/S RING 5 SHIFT.</v>
          </cell>
          <cell r="D7816">
            <v>0</v>
          </cell>
          <cell r="E7816">
            <v>0</v>
          </cell>
          <cell r="F7816">
            <v>0</v>
          </cell>
          <cell r="G7816">
            <v>0</v>
          </cell>
        </row>
        <row r="7817">
          <cell r="A7817" t="str">
            <v>57-01-01-0225</v>
          </cell>
          <cell r="B7817">
            <v>0</v>
          </cell>
          <cell r="C7817" t="str">
            <v xml:space="preserve">  KHAN GUL 16858 JOBBER M-2</v>
          </cell>
          <cell r="D7817">
            <v>0</v>
          </cell>
          <cell r="E7817">
            <v>0</v>
          </cell>
          <cell r="F7817">
            <v>0</v>
          </cell>
          <cell r="G7817">
            <v>0</v>
          </cell>
        </row>
        <row r="7818">
          <cell r="A7818" t="str">
            <v>57-01-01-0226</v>
          </cell>
          <cell r="B7818">
            <v>0</v>
          </cell>
          <cell r="C7818" t="str">
            <v xml:space="preserve">  MUHAMMAD ANAR H/JOBBER RING-6.</v>
          </cell>
          <cell r="D7818">
            <v>0</v>
          </cell>
          <cell r="E7818">
            <v>0</v>
          </cell>
          <cell r="F7818">
            <v>0</v>
          </cell>
          <cell r="G7818">
            <v>0</v>
          </cell>
        </row>
        <row r="7819">
          <cell r="A7819" t="str">
            <v>57-01-01-0227</v>
          </cell>
          <cell r="B7819">
            <v>0</v>
          </cell>
          <cell r="C7819" t="str">
            <v xml:space="preserve">  MUHAMMAD YOUNAS 8539 FITTER RING 5 GE</v>
          </cell>
          <cell r="D7819">
            <v>0</v>
          </cell>
          <cell r="E7819">
            <v>0</v>
          </cell>
          <cell r="F7819">
            <v>0</v>
          </cell>
          <cell r="G7819">
            <v>0</v>
          </cell>
        </row>
        <row r="7820">
          <cell r="A7820" t="str">
            <v>57-01-01-0228</v>
          </cell>
          <cell r="B7820">
            <v>0</v>
          </cell>
          <cell r="C7820" t="str">
            <v xml:space="preserve">  M,AZHAR IQBAL 5631 FITTER RC 2 GEN</v>
          </cell>
          <cell r="D7820">
            <v>0</v>
          </cell>
          <cell r="E7820">
            <v>0</v>
          </cell>
          <cell r="F7820">
            <v>0</v>
          </cell>
          <cell r="G7820">
            <v>0</v>
          </cell>
        </row>
        <row r="7821">
          <cell r="A7821" t="str">
            <v>57-01-01-0229</v>
          </cell>
          <cell r="B7821">
            <v>0</v>
          </cell>
          <cell r="C7821" t="str">
            <v xml:space="preserve">  ABDUL HAKEEM 19862 W/BOY LAB-2.</v>
          </cell>
          <cell r="D7821">
            <v>0</v>
          </cell>
          <cell r="E7821">
            <v>0</v>
          </cell>
          <cell r="F7821">
            <v>0</v>
          </cell>
          <cell r="G7821">
            <v>0</v>
          </cell>
        </row>
        <row r="7822">
          <cell r="A7822" t="str">
            <v>57-01-01-0230</v>
          </cell>
          <cell r="B7822">
            <v>0</v>
          </cell>
          <cell r="C7822" t="str">
            <v xml:space="preserve">  MUHAMMED AFZAL 20805 R/C SHOP</v>
          </cell>
          <cell r="D7822">
            <v>0</v>
          </cell>
          <cell r="E7822">
            <v>0</v>
          </cell>
          <cell r="F7822">
            <v>0</v>
          </cell>
          <cell r="G7822">
            <v>0</v>
          </cell>
        </row>
        <row r="7823">
          <cell r="A7823" t="str">
            <v>57-01-01-0231</v>
          </cell>
          <cell r="B7823">
            <v>0</v>
          </cell>
          <cell r="C7823" t="str">
            <v xml:space="preserve">  MUHAMMED IQBAL 15707 FITTER CARD 2.</v>
          </cell>
          <cell r="D7823">
            <v>0</v>
          </cell>
          <cell r="E7823">
            <v>0</v>
          </cell>
          <cell r="F7823">
            <v>0</v>
          </cell>
          <cell r="G7823">
            <v>0</v>
          </cell>
        </row>
        <row r="7824">
          <cell r="A7824" t="str">
            <v>57-01-01-0232</v>
          </cell>
          <cell r="B7824">
            <v>0</v>
          </cell>
          <cell r="C7824" t="str">
            <v xml:space="preserve">  MUHAMMED ASHRAF 17063 H/FITTER.</v>
          </cell>
          <cell r="D7824">
            <v>0</v>
          </cell>
          <cell r="E7824">
            <v>0</v>
          </cell>
          <cell r="F7824">
            <v>0</v>
          </cell>
          <cell r="G7824">
            <v>0</v>
          </cell>
        </row>
        <row r="7825">
          <cell r="A7825" t="str">
            <v>57-01-01-0233</v>
          </cell>
          <cell r="B7825">
            <v>0</v>
          </cell>
          <cell r="C7825" t="str">
            <v xml:space="preserve">  NASIR MEHMOOD 22103 COMP/OPT STORE (G)</v>
          </cell>
          <cell r="D7825">
            <v>0</v>
          </cell>
          <cell r="E7825">
            <v>0</v>
          </cell>
          <cell r="F7825">
            <v>0</v>
          </cell>
          <cell r="G7825">
            <v>0</v>
          </cell>
        </row>
        <row r="7826">
          <cell r="A7826" t="str">
            <v>57-01-01-0234</v>
          </cell>
          <cell r="B7826">
            <v>0</v>
          </cell>
          <cell r="C7826" t="str">
            <v xml:space="preserve">  IFTIKHAR HUSSAIN 8357 JOBBER CARD 2.</v>
          </cell>
          <cell r="D7826">
            <v>0</v>
          </cell>
          <cell r="E7826">
            <v>0</v>
          </cell>
          <cell r="F7826">
            <v>0</v>
          </cell>
          <cell r="G7826">
            <v>0</v>
          </cell>
        </row>
        <row r="7827">
          <cell r="A7827" t="str">
            <v>57-01-01-0235</v>
          </cell>
          <cell r="B7827">
            <v>0</v>
          </cell>
          <cell r="C7827" t="str">
            <v xml:space="preserve">  HAQ NAWAZ 20786 JOBBER RING 1 SHIFT.</v>
          </cell>
          <cell r="D7827">
            <v>0</v>
          </cell>
          <cell r="E7827">
            <v>0</v>
          </cell>
          <cell r="F7827">
            <v>0</v>
          </cell>
          <cell r="G7827">
            <v>0</v>
          </cell>
        </row>
        <row r="7828">
          <cell r="A7828" t="str">
            <v>57-01-01-0236</v>
          </cell>
          <cell r="B7828">
            <v>0</v>
          </cell>
          <cell r="C7828" t="str">
            <v xml:space="preserve">  MUHAMMED NAWAZ 873 JOBBER A/CONE 2</v>
          </cell>
          <cell r="D7828">
            <v>0</v>
          </cell>
          <cell r="E7828">
            <v>0</v>
          </cell>
          <cell r="F7828">
            <v>0</v>
          </cell>
          <cell r="G7828">
            <v>0</v>
          </cell>
        </row>
        <row r="7829">
          <cell r="A7829" t="str">
            <v>57-01-01-0237</v>
          </cell>
          <cell r="B7829">
            <v>0</v>
          </cell>
          <cell r="C7829" t="str">
            <v xml:space="preserve">  EJAZ AHMED 8536 FITTER RING 6 SHIFT.</v>
          </cell>
          <cell r="D7829">
            <v>0</v>
          </cell>
          <cell r="E7829">
            <v>0</v>
          </cell>
          <cell r="F7829">
            <v>0</v>
          </cell>
          <cell r="G7829">
            <v>0</v>
          </cell>
        </row>
        <row r="7830">
          <cell r="A7830" t="str">
            <v>57-01-01-0238</v>
          </cell>
          <cell r="B7830">
            <v>0</v>
          </cell>
          <cell r="C7830" t="str">
            <v xml:space="preserve">  MUHAMMED AKRAM 16976 A/FORMAN A/C (G)</v>
          </cell>
          <cell r="D7830">
            <v>0</v>
          </cell>
          <cell r="E7830">
            <v>0</v>
          </cell>
          <cell r="F7830">
            <v>0</v>
          </cell>
          <cell r="G7830">
            <v>0</v>
          </cell>
        </row>
        <row r="7831">
          <cell r="A7831" t="str">
            <v>57-01-01-0239</v>
          </cell>
          <cell r="B7831">
            <v>0</v>
          </cell>
          <cell r="C7831" t="str">
            <v xml:space="preserve">  BAKHT AFSAR COOK GHAZI GUEST HOUSE.</v>
          </cell>
          <cell r="D7831">
            <v>0</v>
          </cell>
          <cell r="E7831">
            <v>0</v>
          </cell>
          <cell r="F7831">
            <v>0</v>
          </cell>
          <cell r="G7831">
            <v>0</v>
          </cell>
        </row>
        <row r="7832">
          <cell r="A7832" t="str">
            <v>57-01-01-0240</v>
          </cell>
          <cell r="B7832">
            <v>0</v>
          </cell>
          <cell r="C7832" t="str">
            <v xml:space="preserve">  RAMZAN GUL 5269 MIXING LABOUR SHIFT.</v>
          </cell>
          <cell r="D7832">
            <v>0</v>
          </cell>
          <cell r="E7832">
            <v>0</v>
          </cell>
          <cell r="F7832">
            <v>0</v>
          </cell>
          <cell r="G7832">
            <v>0</v>
          </cell>
        </row>
        <row r="7833">
          <cell r="A7833" t="str">
            <v>57-01-01-0241</v>
          </cell>
          <cell r="B7833">
            <v>0</v>
          </cell>
          <cell r="C7833" t="str">
            <v xml:space="preserve">  ABDUL WAHEED 13230 FITTER B/ROOM 2/G</v>
          </cell>
          <cell r="D7833">
            <v>0</v>
          </cell>
          <cell r="E7833">
            <v>0</v>
          </cell>
          <cell r="F7833">
            <v>0</v>
          </cell>
          <cell r="G7833">
            <v>0</v>
          </cell>
        </row>
        <row r="7834">
          <cell r="A7834" t="str">
            <v>57-01-01-0242</v>
          </cell>
          <cell r="B7834">
            <v>0</v>
          </cell>
          <cell r="C7834" t="str">
            <v xml:space="preserve">  QURBAN ALI 16153 JOBBER RING</v>
          </cell>
          <cell r="D7834">
            <v>0</v>
          </cell>
          <cell r="E7834">
            <v>0</v>
          </cell>
          <cell r="F7834">
            <v>0</v>
          </cell>
          <cell r="G7834">
            <v>0</v>
          </cell>
        </row>
        <row r="7835">
          <cell r="A7835" t="str">
            <v>57-01-01-0243</v>
          </cell>
          <cell r="B7835">
            <v>0</v>
          </cell>
          <cell r="C7835" t="str">
            <v xml:space="preserve">  HABIB ULLAH H/JOBBER  RING NO: 2.</v>
          </cell>
          <cell r="D7835">
            <v>0</v>
          </cell>
          <cell r="E7835">
            <v>0</v>
          </cell>
          <cell r="F7835">
            <v>0</v>
          </cell>
          <cell r="G7835">
            <v>0</v>
          </cell>
        </row>
        <row r="7836">
          <cell r="A7836" t="str">
            <v>57-01-01-0244</v>
          </cell>
          <cell r="B7836">
            <v>0</v>
          </cell>
          <cell r="C7836" t="str">
            <v xml:space="preserve">  RIAZ GUL 15066 FITTER R/C 1 SHIFT.</v>
          </cell>
          <cell r="D7836">
            <v>0</v>
          </cell>
          <cell r="E7836">
            <v>0</v>
          </cell>
          <cell r="F7836">
            <v>0</v>
          </cell>
          <cell r="G7836">
            <v>0</v>
          </cell>
        </row>
        <row r="7837">
          <cell r="A7837" t="str">
            <v>57-01-01-0245</v>
          </cell>
          <cell r="B7837">
            <v>0</v>
          </cell>
          <cell r="C7837" t="str">
            <v xml:space="preserve">  MUHAMMAD AFZAL S/I/C RING 2</v>
          </cell>
          <cell r="D7837">
            <v>0</v>
          </cell>
          <cell r="E7837">
            <v>0</v>
          </cell>
          <cell r="F7837">
            <v>0</v>
          </cell>
          <cell r="G7837">
            <v>0</v>
          </cell>
        </row>
        <row r="7838">
          <cell r="A7838" t="str">
            <v>57-01-01-0246</v>
          </cell>
          <cell r="B7838">
            <v>0</v>
          </cell>
          <cell r="C7838" t="str">
            <v xml:space="preserve">  ABDUL MANAF 20349 JOBBER RING 3 SHIFT</v>
          </cell>
          <cell r="D7838">
            <v>0</v>
          </cell>
          <cell r="E7838">
            <v>0</v>
          </cell>
          <cell r="F7838">
            <v>0</v>
          </cell>
          <cell r="G7838">
            <v>0</v>
          </cell>
        </row>
        <row r="7839">
          <cell r="A7839" t="str">
            <v>57-01-01-0247</v>
          </cell>
          <cell r="B7839">
            <v>0</v>
          </cell>
          <cell r="C7839" t="str">
            <v xml:space="preserve">  MUHAMMAD IBRAHIM 17533 4/S RING 3 (C)</v>
          </cell>
          <cell r="D7839">
            <v>0</v>
          </cell>
          <cell r="E7839">
            <v>0</v>
          </cell>
          <cell r="F7839">
            <v>0</v>
          </cell>
          <cell r="G7839">
            <v>0</v>
          </cell>
        </row>
        <row r="7840">
          <cell r="A7840" t="str">
            <v>57-01-01-0248</v>
          </cell>
          <cell r="B7840">
            <v>0</v>
          </cell>
          <cell r="C7840" t="str">
            <v xml:space="preserve">  AKHTAR HUSSAIN 17532 D/F RING 3 SHIFT.</v>
          </cell>
          <cell r="D7840">
            <v>0</v>
          </cell>
          <cell r="E7840">
            <v>0</v>
          </cell>
          <cell r="F7840">
            <v>0</v>
          </cell>
          <cell r="G7840">
            <v>0</v>
          </cell>
        </row>
        <row r="7841">
          <cell r="A7841" t="str">
            <v>57-01-01-0249</v>
          </cell>
          <cell r="B7841">
            <v>0</v>
          </cell>
          <cell r="C7841" t="str">
            <v xml:space="preserve">  ABDUL WADOOD 17699 4/S RING 3 SHIFT.</v>
          </cell>
          <cell r="D7841">
            <v>0</v>
          </cell>
          <cell r="E7841">
            <v>0</v>
          </cell>
          <cell r="F7841">
            <v>0</v>
          </cell>
          <cell r="G7841">
            <v>0</v>
          </cell>
        </row>
        <row r="7842">
          <cell r="A7842" t="str">
            <v>57-01-01-0250</v>
          </cell>
          <cell r="B7842">
            <v>0</v>
          </cell>
          <cell r="C7842" t="str">
            <v xml:space="preserve">  HAJI KAMIL KHAN 514 ADM/ASST ADMIN.</v>
          </cell>
          <cell r="D7842">
            <v>0</v>
          </cell>
          <cell r="E7842">
            <v>0</v>
          </cell>
          <cell r="F7842">
            <v>0</v>
          </cell>
          <cell r="G7842">
            <v>0</v>
          </cell>
        </row>
        <row r="7843">
          <cell r="A7843" t="str">
            <v>57-01-01-0251</v>
          </cell>
          <cell r="B7843">
            <v>0</v>
          </cell>
          <cell r="C7843" t="str">
            <v xml:space="preserve">  ZAFAR IQBAL 6242 4/S RING 3 SHIFT.</v>
          </cell>
          <cell r="D7843">
            <v>0</v>
          </cell>
          <cell r="E7843">
            <v>0</v>
          </cell>
          <cell r="F7843">
            <v>0</v>
          </cell>
          <cell r="G7843">
            <v>0</v>
          </cell>
        </row>
        <row r="7844">
          <cell r="A7844" t="str">
            <v>57-01-01-0252</v>
          </cell>
          <cell r="B7844">
            <v>0</v>
          </cell>
          <cell r="C7844" t="str">
            <v xml:space="preserve">  IMTIAZ ALI 5726 4/S RING 3 SHIFT.</v>
          </cell>
          <cell r="D7844">
            <v>0</v>
          </cell>
          <cell r="E7844">
            <v>0</v>
          </cell>
          <cell r="F7844">
            <v>0</v>
          </cell>
          <cell r="G7844">
            <v>0</v>
          </cell>
        </row>
        <row r="7845">
          <cell r="A7845" t="str">
            <v>57-01-01-0253</v>
          </cell>
          <cell r="B7845">
            <v>0</v>
          </cell>
          <cell r="C7845" t="str">
            <v xml:space="preserve">  NIAZ ALI 8447 4/S RING 3 SHIFT (C).</v>
          </cell>
          <cell r="D7845">
            <v>0</v>
          </cell>
          <cell r="E7845">
            <v>0</v>
          </cell>
          <cell r="F7845">
            <v>0</v>
          </cell>
          <cell r="G7845">
            <v>0</v>
          </cell>
        </row>
        <row r="7846">
          <cell r="A7846" t="str">
            <v>57-01-01-0254</v>
          </cell>
          <cell r="B7846">
            <v>0</v>
          </cell>
          <cell r="C7846" t="str">
            <v xml:space="preserve">  NADEEM QAISER 7592 4/S RING 3 SHIFT</v>
          </cell>
          <cell r="D7846">
            <v>0</v>
          </cell>
          <cell r="E7846">
            <v>0</v>
          </cell>
          <cell r="F7846">
            <v>0</v>
          </cell>
          <cell r="G7846">
            <v>0</v>
          </cell>
        </row>
        <row r="7847">
          <cell r="A7847" t="str">
            <v>57-01-01-0255</v>
          </cell>
          <cell r="B7847">
            <v>0</v>
          </cell>
          <cell r="C7847" t="str">
            <v xml:space="preserve">  ANSAR ALI 15566 FITTER R/C SHOP NO: 1.</v>
          </cell>
          <cell r="D7847">
            <v>0</v>
          </cell>
          <cell r="E7847">
            <v>0</v>
          </cell>
          <cell r="F7847">
            <v>0</v>
          </cell>
          <cell r="G7847">
            <v>0</v>
          </cell>
        </row>
        <row r="7848">
          <cell r="A7848" t="str">
            <v>57-01-01-0256</v>
          </cell>
          <cell r="B7848">
            <v>0</v>
          </cell>
          <cell r="C7848" t="str">
            <v xml:space="preserve">  MUHAMMAD ARIF 11836 D/D/T D/SIMPLEX 1.</v>
          </cell>
          <cell r="D7848">
            <v>0</v>
          </cell>
          <cell r="E7848">
            <v>0</v>
          </cell>
          <cell r="F7848">
            <v>0</v>
          </cell>
          <cell r="G7848">
            <v>0</v>
          </cell>
        </row>
        <row r="7849">
          <cell r="A7849" t="str">
            <v>57-01-01-0257</v>
          </cell>
          <cell r="B7849">
            <v>0</v>
          </cell>
          <cell r="C7849" t="str">
            <v xml:space="preserve">  RASHID 11718 D/S/T D/SIMPLEX 1 SHIFT (</v>
          </cell>
          <cell r="D7849">
            <v>0</v>
          </cell>
          <cell r="E7849">
            <v>0</v>
          </cell>
          <cell r="F7849">
            <v>0</v>
          </cell>
          <cell r="G7849">
            <v>0</v>
          </cell>
        </row>
        <row r="7850">
          <cell r="A7850" t="str">
            <v>57-01-01-0258</v>
          </cell>
          <cell r="B7850">
            <v>0</v>
          </cell>
          <cell r="C7850" t="str">
            <v xml:space="preserve">  MUHAMMAD RAFIQ 17534 A/FITTER A/C 2.</v>
          </cell>
          <cell r="D7850">
            <v>0</v>
          </cell>
          <cell r="E7850">
            <v>0</v>
          </cell>
          <cell r="F7850">
            <v>0</v>
          </cell>
          <cell r="G7850">
            <v>0</v>
          </cell>
        </row>
        <row r="7851">
          <cell r="A7851" t="str">
            <v>57-01-01-0259</v>
          </cell>
          <cell r="B7851">
            <v>0</v>
          </cell>
          <cell r="C7851" t="str">
            <v xml:space="preserve">  MUHAMMED SARWAR 17293 MOULDER W/SHOP.</v>
          </cell>
          <cell r="D7851">
            <v>0</v>
          </cell>
          <cell r="E7851">
            <v>0</v>
          </cell>
          <cell r="F7851">
            <v>0</v>
          </cell>
          <cell r="G7851">
            <v>0</v>
          </cell>
        </row>
        <row r="7852">
          <cell r="A7852" t="str">
            <v>57-01-01-0260</v>
          </cell>
          <cell r="B7852">
            <v>0</v>
          </cell>
          <cell r="C7852" t="str">
            <v xml:space="preserve">  MUHAMMAD SARWAR 13891 S/FIT A/CONE.</v>
          </cell>
          <cell r="D7852">
            <v>0</v>
          </cell>
          <cell r="E7852">
            <v>0</v>
          </cell>
          <cell r="F7852">
            <v>0</v>
          </cell>
          <cell r="G7852">
            <v>0</v>
          </cell>
        </row>
        <row r="7853">
          <cell r="A7853" t="str">
            <v>57-01-01-0261</v>
          </cell>
          <cell r="B7853">
            <v>0</v>
          </cell>
          <cell r="C7853" t="str">
            <v xml:space="preserve">  GHULAM YOUNUS 17502 JOBBER RING 4(B).</v>
          </cell>
          <cell r="D7853">
            <v>0</v>
          </cell>
          <cell r="E7853">
            <v>0</v>
          </cell>
          <cell r="F7853">
            <v>0</v>
          </cell>
          <cell r="G7853">
            <v>0</v>
          </cell>
        </row>
        <row r="7854">
          <cell r="A7854" t="str">
            <v>57-01-01-0262</v>
          </cell>
          <cell r="B7854">
            <v>0</v>
          </cell>
          <cell r="C7854" t="str">
            <v xml:space="preserve">  ABDUL RASHEED 5893 JOBBER A/CONE 1 (A)</v>
          </cell>
          <cell r="D7854">
            <v>0</v>
          </cell>
          <cell r="E7854">
            <v>0</v>
          </cell>
          <cell r="F7854">
            <v>0</v>
          </cell>
          <cell r="G7854">
            <v>0</v>
          </cell>
        </row>
        <row r="7855">
          <cell r="A7855" t="str">
            <v>57-01-01-0263</v>
          </cell>
          <cell r="B7855">
            <v>0</v>
          </cell>
          <cell r="C7855" t="str">
            <v xml:space="preserve">  MUHAMMAD SHAFIQUE 17066 F/MAN CARD.</v>
          </cell>
          <cell r="D7855">
            <v>0</v>
          </cell>
          <cell r="E7855">
            <v>0</v>
          </cell>
          <cell r="F7855">
            <v>0</v>
          </cell>
          <cell r="G7855">
            <v>0</v>
          </cell>
        </row>
        <row r="7856">
          <cell r="A7856" t="str">
            <v>57-01-01-0264</v>
          </cell>
          <cell r="B7856">
            <v>0</v>
          </cell>
          <cell r="C7856" t="str">
            <v xml:space="preserve">  MUHAMMAD YOUSAF 15276 JOBBER. A/CONE.</v>
          </cell>
          <cell r="D7856">
            <v>0</v>
          </cell>
          <cell r="E7856">
            <v>0</v>
          </cell>
          <cell r="F7856">
            <v>0</v>
          </cell>
          <cell r="G7856">
            <v>0</v>
          </cell>
        </row>
        <row r="7857">
          <cell r="A7857" t="str">
            <v>57-01-01-0265</v>
          </cell>
          <cell r="B7857">
            <v>0</v>
          </cell>
          <cell r="C7857" t="str">
            <v xml:space="preserve">  SAEED HAIDER 16977 S/QT/OBS.</v>
          </cell>
          <cell r="D7857">
            <v>0</v>
          </cell>
          <cell r="E7857">
            <v>0</v>
          </cell>
          <cell r="F7857">
            <v>0</v>
          </cell>
          <cell r="G7857">
            <v>0</v>
          </cell>
        </row>
        <row r="7858">
          <cell r="A7858" t="str">
            <v>57-01-01-0266</v>
          </cell>
          <cell r="B7858">
            <v>0</v>
          </cell>
          <cell r="C7858" t="str">
            <v xml:space="preserve">  PITRUS MASIH SWEEPER FACTORY.</v>
          </cell>
          <cell r="D7858">
            <v>0</v>
          </cell>
          <cell r="E7858">
            <v>0</v>
          </cell>
          <cell r="F7858">
            <v>0</v>
          </cell>
          <cell r="G7858">
            <v>0</v>
          </cell>
        </row>
        <row r="7859">
          <cell r="A7859" t="str">
            <v>57-01-01-0267</v>
          </cell>
          <cell r="B7859">
            <v>0</v>
          </cell>
          <cell r="C7859" t="str">
            <v xml:space="preserve">  GHULAM SARWAR 23779 4/S RING.</v>
          </cell>
          <cell r="D7859">
            <v>0</v>
          </cell>
          <cell r="E7859">
            <v>0</v>
          </cell>
          <cell r="F7859">
            <v>0</v>
          </cell>
          <cell r="G7859">
            <v>0</v>
          </cell>
        </row>
        <row r="7860">
          <cell r="A7860" t="str">
            <v>57-01-01-0268</v>
          </cell>
          <cell r="B7860">
            <v>0</v>
          </cell>
          <cell r="C7860" t="str">
            <v xml:space="preserve">  MUHAMMAD SHAHBAZ 7211 OPT A/CONE (A)</v>
          </cell>
          <cell r="D7860">
            <v>0</v>
          </cell>
          <cell r="E7860">
            <v>0</v>
          </cell>
          <cell r="F7860">
            <v>0</v>
          </cell>
          <cell r="G7860">
            <v>0</v>
          </cell>
        </row>
        <row r="7861">
          <cell r="A7861" t="str">
            <v>57-01-01-0269</v>
          </cell>
          <cell r="B7861">
            <v>0</v>
          </cell>
          <cell r="C7861" t="str">
            <v xml:space="preserve">  LIAQAT ALI 17694 JOBBER D/SIMPLEX.</v>
          </cell>
          <cell r="D7861">
            <v>0</v>
          </cell>
          <cell r="E7861">
            <v>0</v>
          </cell>
          <cell r="F7861">
            <v>0</v>
          </cell>
          <cell r="G7861">
            <v>0</v>
          </cell>
        </row>
        <row r="7862">
          <cell r="A7862" t="str">
            <v>57-01-01-0270</v>
          </cell>
          <cell r="B7862">
            <v>0</v>
          </cell>
          <cell r="C7862" t="str">
            <v xml:space="preserve">  MUHAMMAD HANIF 18640 C/T CARDING.</v>
          </cell>
          <cell r="D7862">
            <v>0</v>
          </cell>
          <cell r="E7862">
            <v>0</v>
          </cell>
          <cell r="F7862">
            <v>0</v>
          </cell>
          <cell r="G7862">
            <v>0</v>
          </cell>
        </row>
        <row r="7863">
          <cell r="A7863" t="str">
            <v>57-01-01-0271</v>
          </cell>
          <cell r="B7863">
            <v>0</v>
          </cell>
          <cell r="C7863" t="str">
            <v xml:space="preserve">  ZAMEER HUSSAIN 19186 P/T B/ROOM.</v>
          </cell>
          <cell r="D7863">
            <v>0</v>
          </cell>
          <cell r="E7863">
            <v>0</v>
          </cell>
          <cell r="F7863">
            <v>0</v>
          </cell>
          <cell r="G7863">
            <v>0</v>
          </cell>
        </row>
        <row r="7864">
          <cell r="A7864" t="str">
            <v>57-01-01-0272</v>
          </cell>
          <cell r="B7864">
            <v>0</v>
          </cell>
          <cell r="C7864" t="str">
            <v xml:space="preserve">  HAFEEZ UR REHMAN 16432 S/FIT CARD 1.</v>
          </cell>
          <cell r="D7864">
            <v>0</v>
          </cell>
          <cell r="E7864">
            <v>0</v>
          </cell>
          <cell r="F7864">
            <v>0</v>
          </cell>
          <cell r="G7864">
            <v>0</v>
          </cell>
        </row>
        <row r="7865">
          <cell r="A7865" t="str">
            <v>57-01-01-0273</v>
          </cell>
          <cell r="B7865">
            <v>0</v>
          </cell>
          <cell r="C7865" t="str">
            <v xml:space="preserve">  SHAHID MEHMOOD 19438 WELDER WORK SHOP.</v>
          </cell>
          <cell r="D7865">
            <v>0</v>
          </cell>
          <cell r="E7865">
            <v>0</v>
          </cell>
          <cell r="F7865">
            <v>0</v>
          </cell>
          <cell r="G7865">
            <v>0</v>
          </cell>
        </row>
        <row r="7866">
          <cell r="A7866" t="str">
            <v>57-01-01-0274</v>
          </cell>
          <cell r="B7866">
            <v>0</v>
          </cell>
          <cell r="C7866" t="str">
            <v xml:space="preserve">  IBRAR HUSSAIN SHAH 20628 S/A/F/MAN RI</v>
          </cell>
          <cell r="D7866">
            <v>0</v>
          </cell>
          <cell r="E7866">
            <v>0</v>
          </cell>
          <cell r="F7866">
            <v>0</v>
          </cell>
          <cell r="G7866">
            <v>0</v>
          </cell>
        </row>
        <row r="7867">
          <cell r="A7867" t="str">
            <v>57-01-01-0275</v>
          </cell>
          <cell r="B7867">
            <v>0</v>
          </cell>
          <cell r="C7867" t="str">
            <v xml:space="preserve">  MAZHAR IQBAL 20316 JOBBER RING 2 SHI</v>
          </cell>
          <cell r="D7867">
            <v>0</v>
          </cell>
          <cell r="E7867">
            <v>0</v>
          </cell>
          <cell r="F7867">
            <v>0</v>
          </cell>
          <cell r="G7867">
            <v>0</v>
          </cell>
        </row>
        <row r="7868">
          <cell r="A7868" t="str">
            <v>57-01-01-0276</v>
          </cell>
          <cell r="B7868">
            <v>0</v>
          </cell>
          <cell r="C7868" t="str">
            <v xml:space="preserve">  MUHAMMAD ASIF 16167 JOBBER RING 1 (C)</v>
          </cell>
          <cell r="D7868">
            <v>0</v>
          </cell>
          <cell r="E7868">
            <v>0</v>
          </cell>
          <cell r="F7868">
            <v>0</v>
          </cell>
          <cell r="G7868">
            <v>0</v>
          </cell>
        </row>
        <row r="7869">
          <cell r="A7869" t="str">
            <v>57-01-01-0277</v>
          </cell>
          <cell r="B7869">
            <v>0</v>
          </cell>
          <cell r="C7869" t="str">
            <v xml:space="preserve">  MUHAMMAD AKRAM 22792 JOBBER RING 2 (B</v>
          </cell>
          <cell r="D7869">
            <v>0</v>
          </cell>
          <cell r="E7869">
            <v>0</v>
          </cell>
          <cell r="F7869">
            <v>0</v>
          </cell>
          <cell r="G7869">
            <v>0</v>
          </cell>
        </row>
        <row r="7870">
          <cell r="A7870" t="str">
            <v>57-01-01-0278</v>
          </cell>
          <cell r="B7870">
            <v>0</v>
          </cell>
          <cell r="C7870" t="str">
            <v xml:space="preserve">  RAFAQAT ALI 23461 D/D/T D/S 1 SHIFT</v>
          </cell>
          <cell r="D7870">
            <v>0</v>
          </cell>
          <cell r="E7870">
            <v>0</v>
          </cell>
          <cell r="F7870">
            <v>0</v>
          </cell>
          <cell r="G7870">
            <v>0</v>
          </cell>
        </row>
        <row r="7871">
          <cell r="A7871" t="str">
            <v>57-01-01-0279</v>
          </cell>
          <cell r="B7871">
            <v>0</v>
          </cell>
          <cell r="C7871" t="str">
            <v xml:space="preserve">  SADAQAT ALI 25077 D/D/T D/S 1 SHIFT</v>
          </cell>
          <cell r="D7871">
            <v>0</v>
          </cell>
          <cell r="E7871">
            <v>0</v>
          </cell>
          <cell r="F7871">
            <v>0</v>
          </cell>
          <cell r="G7871">
            <v>0</v>
          </cell>
        </row>
        <row r="7872">
          <cell r="A7872" t="str">
            <v>57-01-01-0280</v>
          </cell>
          <cell r="B7872">
            <v>0</v>
          </cell>
          <cell r="C7872" t="str">
            <v xml:space="preserve">  SHAHID SHARIF 19439 F/MAN D/SIMPLEX 1</v>
          </cell>
          <cell r="D7872">
            <v>0</v>
          </cell>
          <cell r="E7872">
            <v>0</v>
          </cell>
          <cell r="F7872">
            <v>0</v>
          </cell>
          <cell r="G7872">
            <v>0</v>
          </cell>
        </row>
        <row r="7873">
          <cell r="A7873" t="str">
            <v>57-01-01-0281</v>
          </cell>
          <cell r="B7873">
            <v>0</v>
          </cell>
          <cell r="C7873" t="str">
            <v xml:space="preserve">  MUHAMMAD WAKEEL 14975 G/KEEPER ACCOUNT</v>
          </cell>
          <cell r="D7873">
            <v>0</v>
          </cell>
          <cell r="E7873">
            <v>0</v>
          </cell>
          <cell r="F7873">
            <v>0</v>
          </cell>
          <cell r="G7873">
            <v>0</v>
          </cell>
        </row>
        <row r="7874">
          <cell r="A7874" t="str">
            <v>57-01-01-0282</v>
          </cell>
          <cell r="B7874">
            <v>0</v>
          </cell>
          <cell r="C7874" t="str">
            <v xml:space="preserve">  ARSHAD IQBAL 20609 JOBBER D/SIMP 2 (C</v>
          </cell>
          <cell r="D7874">
            <v>0</v>
          </cell>
          <cell r="E7874">
            <v>0</v>
          </cell>
          <cell r="F7874">
            <v>0</v>
          </cell>
          <cell r="G7874">
            <v>0</v>
          </cell>
        </row>
        <row r="7875">
          <cell r="A7875" t="str">
            <v>57-01-01-0283</v>
          </cell>
          <cell r="B7875">
            <v>0</v>
          </cell>
          <cell r="C7875" t="str">
            <v xml:space="preserve">  JAVAID ANWAR 19953 CASHIER ACCOUNTS</v>
          </cell>
          <cell r="D7875">
            <v>0</v>
          </cell>
          <cell r="E7875">
            <v>0</v>
          </cell>
          <cell r="F7875">
            <v>0</v>
          </cell>
          <cell r="G7875">
            <v>0</v>
          </cell>
        </row>
        <row r="7876">
          <cell r="A7876" t="str">
            <v>57-01-01-0284</v>
          </cell>
          <cell r="B7876">
            <v>0</v>
          </cell>
          <cell r="C7876" t="str">
            <v xml:space="preserve">  MUHAMMAD ASIF 23794 FITTER RING 5 (G)</v>
          </cell>
          <cell r="D7876">
            <v>0</v>
          </cell>
          <cell r="E7876">
            <v>0</v>
          </cell>
          <cell r="F7876">
            <v>0</v>
          </cell>
          <cell r="G7876">
            <v>0</v>
          </cell>
        </row>
        <row r="7877">
          <cell r="A7877" t="str">
            <v>57-01-01-0285</v>
          </cell>
          <cell r="B7877">
            <v>0</v>
          </cell>
          <cell r="C7877" t="str">
            <v xml:space="preserve">  MUHAMMAD JHANGIR 22384 A/FITTER RING</v>
          </cell>
          <cell r="D7877">
            <v>0</v>
          </cell>
          <cell r="E7877">
            <v>0</v>
          </cell>
          <cell r="F7877">
            <v>0</v>
          </cell>
          <cell r="G7877">
            <v>0</v>
          </cell>
        </row>
        <row r="7878">
          <cell r="A7878" t="str">
            <v>57-01-01-0286</v>
          </cell>
          <cell r="B7878">
            <v>0</v>
          </cell>
          <cell r="C7878" t="str">
            <v xml:space="preserve">  BANARAS ALI 22969 JOBBER RING-1</v>
          </cell>
          <cell r="D7878">
            <v>0</v>
          </cell>
          <cell r="E7878">
            <v>0</v>
          </cell>
          <cell r="F7878">
            <v>0</v>
          </cell>
          <cell r="G7878">
            <v>0</v>
          </cell>
        </row>
        <row r="7879">
          <cell r="A7879" t="str">
            <v>57-01-01-0287</v>
          </cell>
          <cell r="B7879">
            <v>0</v>
          </cell>
          <cell r="C7879" t="str">
            <v xml:space="preserve">  QAISAR MEHMOOD 5671 RING-3 SHIFT C</v>
          </cell>
          <cell r="D7879">
            <v>0</v>
          </cell>
          <cell r="E7879">
            <v>0</v>
          </cell>
          <cell r="F7879">
            <v>0</v>
          </cell>
          <cell r="G7879">
            <v>0</v>
          </cell>
        </row>
        <row r="7880">
          <cell r="A7880" t="str">
            <v>57-01-01-0288</v>
          </cell>
          <cell r="B7880">
            <v>0</v>
          </cell>
          <cell r="C7880" t="str">
            <v xml:space="preserve">  DOST MUHAMMAD 19964 JOBBER CARDING-1</v>
          </cell>
          <cell r="D7880">
            <v>0</v>
          </cell>
          <cell r="E7880">
            <v>0</v>
          </cell>
          <cell r="F7880">
            <v>0</v>
          </cell>
          <cell r="G7880">
            <v>0</v>
          </cell>
        </row>
        <row r="7881">
          <cell r="A7881" t="str">
            <v>57-01-01-0289</v>
          </cell>
          <cell r="B7881">
            <v>0</v>
          </cell>
          <cell r="C7881" t="str">
            <v xml:space="preserve">  PERVAIZ AHMED 17319 JOBBER RING 5 (G)</v>
          </cell>
          <cell r="D7881">
            <v>0</v>
          </cell>
          <cell r="E7881">
            <v>0</v>
          </cell>
          <cell r="F7881">
            <v>0</v>
          </cell>
          <cell r="G7881">
            <v>0</v>
          </cell>
        </row>
        <row r="7882">
          <cell r="A7882" t="str">
            <v>57-01-01-0290</v>
          </cell>
          <cell r="B7882">
            <v>0</v>
          </cell>
          <cell r="C7882" t="str">
            <v xml:space="preserve">  8636 MUHAMMAD BASHIR S/ELECT ELECTRIC</v>
          </cell>
          <cell r="D7882">
            <v>0</v>
          </cell>
          <cell r="E7882">
            <v>0</v>
          </cell>
          <cell r="F7882">
            <v>0</v>
          </cell>
          <cell r="G7882">
            <v>0</v>
          </cell>
        </row>
        <row r="7883">
          <cell r="A7883" t="str">
            <v>57-01-01-0291</v>
          </cell>
          <cell r="B7883">
            <v>0</v>
          </cell>
          <cell r="C7883" t="str">
            <v xml:space="preserve">  16576 QAISER ALI A/FITTER R/C 2 (G)</v>
          </cell>
          <cell r="D7883">
            <v>0</v>
          </cell>
          <cell r="E7883">
            <v>0</v>
          </cell>
          <cell r="F7883">
            <v>0</v>
          </cell>
          <cell r="G7883">
            <v>0</v>
          </cell>
        </row>
        <row r="7884">
          <cell r="A7884" t="str">
            <v>57-01-01-0292</v>
          </cell>
          <cell r="B7884">
            <v>0</v>
          </cell>
          <cell r="C7884" t="str">
            <v xml:space="preserve">  20955 MUHAMMAD RIAZ W/SHOP MALING/OPT</v>
          </cell>
          <cell r="D7884">
            <v>0</v>
          </cell>
          <cell r="E7884">
            <v>0</v>
          </cell>
          <cell r="F7884">
            <v>0</v>
          </cell>
          <cell r="G7884">
            <v>0</v>
          </cell>
        </row>
        <row r="7885">
          <cell r="A7885" t="str">
            <v>57-01-01-0293</v>
          </cell>
          <cell r="B7885">
            <v>0</v>
          </cell>
          <cell r="C7885" t="str">
            <v xml:space="preserve">  23037 MUHAMMAD ZAFAR ULLAH FITTER CAR</v>
          </cell>
          <cell r="D7885">
            <v>0</v>
          </cell>
          <cell r="E7885">
            <v>0</v>
          </cell>
          <cell r="F7885">
            <v>0</v>
          </cell>
          <cell r="G7885">
            <v>0</v>
          </cell>
        </row>
        <row r="7886">
          <cell r="A7886" t="str">
            <v>57-01-01-0294</v>
          </cell>
          <cell r="B7886">
            <v>0</v>
          </cell>
          <cell r="C7886" t="str">
            <v xml:space="preserve">  23219 MUHAMMAD AFZAL JOBBER RING 2 (C</v>
          </cell>
          <cell r="D7886">
            <v>0</v>
          </cell>
          <cell r="E7886">
            <v>0</v>
          </cell>
          <cell r="F7886">
            <v>0</v>
          </cell>
          <cell r="G7886">
            <v>0</v>
          </cell>
        </row>
        <row r="7887">
          <cell r="A7887" t="str">
            <v>57-01-01-0295</v>
          </cell>
          <cell r="B7887">
            <v>0</v>
          </cell>
          <cell r="C7887" t="str">
            <v xml:space="preserve">  15169 WAJID RASHID COMP/OPT ACCOUNT</v>
          </cell>
          <cell r="D7887">
            <v>0</v>
          </cell>
          <cell r="E7887">
            <v>0</v>
          </cell>
          <cell r="F7887">
            <v>0</v>
          </cell>
          <cell r="G7887">
            <v>0</v>
          </cell>
        </row>
        <row r="7888">
          <cell r="A7888" t="str">
            <v>57-01-01-0296</v>
          </cell>
          <cell r="B7888">
            <v>0</v>
          </cell>
          <cell r="C7888" t="str">
            <v xml:space="preserve">  20935 SHAH MUHAMMAD S/I/C RING 3 (G)</v>
          </cell>
          <cell r="D7888">
            <v>0</v>
          </cell>
          <cell r="E7888">
            <v>0</v>
          </cell>
          <cell r="F7888">
            <v>0</v>
          </cell>
          <cell r="G7888">
            <v>0</v>
          </cell>
        </row>
        <row r="7889">
          <cell r="A7889" t="str">
            <v>57-01-01-0297</v>
          </cell>
          <cell r="B7889">
            <v>0</v>
          </cell>
          <cell r="C7889" t="str">
            <v xml:space="preserve">  24313 MUHAMMAD ANWAR FITTER RING 4 (G</v>
          </cell>
          <cell r="D7889">
            <v>0</v>
          </cell>
          <cell r="E7889">
            <v>0</v>
          </cell>
          <cell r="F7889">
            <v>0</v>
          </cell>
          <cell r="G7889">
            <v>0</v>
          </cell>
        </row>
        <row r="7890">
          <cell r="A7890" t="str">
            <v>57-01-01-0298</v>
          </cell>
          <cell r="B7890">
            <v>0</v>
          </cell>
          <cell r="C7890" t="str">
            <v xml:space="preserve">  21937 MUHAMMAD IQBAL JOBBER RING 4 (B</v>
          </cell>
          <cell r="D7890">
            <v>0</v>
          </cell>
          <cell r="E7890">
            <v>0</v>
          </cell>
          <cell r="F7890">
            <v>0</v>
          </cell>
          <cell r="G7890">
            <v>0</v>
          </cell>
        </row>
        <row r="7891">
          <cell r="A7891" t="str">
            <v>57-01-01-0299</v>
          </cell>
          <cell r="B7891">
            <v>0</v>
          </cell>
          <cell r="C7891" t="str">
            <v xml:space="preserve">  14860 S.SAJJAD BASHIR T/CLERK LAB 2</v>
          </cell>
          <cell r="D7891">
            <v>0</v>
          </cell>
          <cell r="E7891">
            <v>0</v>
          </cell>
          <cell r="F7891">
            <v>0</v>
          </cell>
          <cell r="G7891">
            <v>0</v>
          </cell>
        </row>
        <row r="7892">
          <cell r="A7892" t="str">
            <v>57-01-01-0300</v>
          </cell>
          <cell r="B7892">
            <v>0</v>
          </cell>
          <cell r="C7892" t="str">
            <v xml:space="preserve">  AKRAM MASIH SWEEPER FACTORY</v>
          </cell>
          <cell r="D7892">
            <v>0</v>
          </cell>
          <cell r="E7892">
            <v>0</v>
          </cell>
          <cell r="F7892">
            <v>0</v>
          </cell>
          <cell r="G7892">
            <v>0</v>
          </cell>
        </row>
        <row r="7893">
          <cell r="A7893" t="str">
            <v>57-01-01-0301</v>
          </cell>
          <cell r="B7893">
            <v>0</v>
          </cell>
          <cell r="C7893" t="str">
            <v xml:space="preserve">  WAQAR KHAN G.M.-ADMIN.</v>
          </cell>
          <cell r="D7893">
            <v>0</v>
          </cell>
          <cell r="E7893">
            <v>0</v>
          </cell>
          <cell r="F7893">
            <v>0</v>
          </cell>
          <cell r="G7893">
            <v>0</v>
          </cell>
        </row>
        <row r="7894">
          <cell r="A7894" t="str">
            <v>57-01-01-0302</v>
          </cell>
          <cell r="B7894">
            <v>0</v>
          </cell>
          <cell r="C7894" t="str">
            <v xml:space="preserve">  MUHAMMAD IFTIKHAR AHMED</v>
          </cell>
          <cell r="D7894">
            <v>0</v>
          </cell>
          <cell r="E7894">
            <v>0</v>
          </cell>
          <cell r="F7894">
            <v>0</v>
          </cell>
          <cell r="G7894">
            <v>0</v>
          </cell>
        </row>
        <row r="7895">
          <cell r="A7895" t="str">
            <v>57-01-01-0303</v>
          </cell>
          <cell r="B7895">
            <v>0</v>
          </cell>
          <cell r="C7895" t="str">
            <v xml:space="preserve">  14293 ABDUL WAHID E/ASSISTANT ACCOUNT</v>
          </cell>
          <cell r="D7895">
            <v>0</v>
          </cell>
          <cell r="E7895">
            <v>0</v>
          </cell>
          <cell r="F7895">
            <v>0</v>
          </cell>
          <cell r="G7895">
            <v>0</v>
          </cell>
        </row>
        <row r="7896">
          <cell r="A7896" t="str">
            <v>57-01-01-0304</v>
          </cell>
          <cell r="B7896">
            <v>0</v>
          </cell>
          <cell r="C7896" t="str">
            <v xml:space="preserve">  19720 ABDUL LATIF A/FITTER A/C 2 (G)</v>
          </cell>
          <cell r="D7896">
            <v>0</v>
          </cell>
          <cell r="E7896">
            <v>0</v>
          </cell>
          <cell r="F7896">
            <v>0</v>
          </cell>
          <cell r="G7896">
            <v>0</v>
          </cell>
        </row>
        <row r="7897">
          <cell r="A7897" t="str">
            <v>57-01-01-0305</v>
          </cell>
          <cell r="B7897">
            <v>0</v>
          </cell>
          <cell r="C7897" t="str">
            <v xml:space="preserve">  17378 GHULAM YASIN C/T CARD 1 (A)</v>
          </cell>
          <cell r="D7897">
            <v>0</v>
          </cell>
          <cell r="E7897">
            <v>0</v>
          </cell>
          <cell r="F7897">
            <v>0</v>
          </cell>
          <cell r="G7897">
            <v>0</v>
          </cell>
        </row>
        <row r="7898">
          <cell r="A7898" t="str">
            <v>57-01-01-0306</v>
          </cell>
          <cell r="B7898">
            <v>0</v>
          </cell>
          <cell r="C7898" t="str">
            <v xml:space="preserve">  19838 MUHAMMAD NAEEM A/FITTER A/CONE</v>
          </cell>
          <cell r="D7898">
            <v>0</v>
          </cell>
          <cell r="E7898">
            <v>0</v>
          </cell>
          <cell r="F7898">
            <v>0</v>
          </cell>
          <cell r="G7898">
            <v>0</v>
          </cell>
        </row>
        <row r="7899">
          <cell r="A7899" t="str">
            <v>57-01-01-0307</v>
          </cell>
          <cell r="B7899">
            <v>0</v>
          </cell>
          <cell r="C7899" t="str">
            <v xml:space="preserve">  21120 RIAZ ALI LIFTER OPERATOR</v>
          </cell>
          <cell r="D7899">
            <v>0</v>
          </cell>
          <cell r="E7899">
            <v>0</v>
          </cell>
          <cell r="F7899">
            <v>0</v>
          </cell>
          <cell r="G7899">
            <v>0</v>
          </cell>
        </row>
        <row r="7900">
          <cell r="A7900" t="str">
            <v>57-01-01-0308</v>
          </cell>
          <cell r="B7900">
            <v>0</v>
          </cell>
          <cell r="C7900" t="str">
            <v xml:space="preserve">  MIR AZAM 18721 WATCHMAN SECURITY GEN</v>
          </cell>
          <cell r="D7900">
            <v>0</v>
          </cell>
          <cell r="E7900">
            <v>0</v>
          </cell>
          <cell r="F7900">
            <v>0</v>
          </cell>
          <cell r="G7900">
            <v>0</v>
          </cell>
        </row>
        <row r="7901">
          <cell r="A7901" t="str">
            <v>57-01-01-0309</v>
          </cell>
          <cell r="B7901">
            <v>0</v>
          </cell>
          <cell r="C7901" t="str">
            <v xml:space="preserve">  ABDUL QADIR 20525 JOBBER RING-6 (A)</v>
          </cell>
          <cell r="D7901">
            <v>0</v>
          </cell>
          <cell r="E7901">
            <v>0</v>
          </cell>
          <cell r="F7901">
            <v>0</v>
          </cell>
          <cell r="G7901">
            <v>0</v>
          </cell>
        </row>
        <row r="7902">
          <cell r="A7902" t="str">
            <v>57-01-01-0310</v>
          </cell>
          <cell r="B7902">
            <v>0</v>
          </cell>
          <cell r="C7902" t="str">
            <v xml:space="preserve">  ZIARAT GUL 20470 JOBBER RING-6 (G)</v>
          </cell>
          <cell r="D7902">
            <v>0</v>
          </cell>
          <cell r="E7902">
            <v>0</v>
          </cell>
          <cell r="F7902">
            <v>0</v>
          </cell>
          <cell r="G7902">
            <v>0</v>
          </cell>
        </row>
        <row r="7903">
          <cell r="A7903" t="str">
            <v>57-01-01-0311</v>
          </cell>
          <cell r="B7903">
            <v>0</v>
          </cell>
          <cell r="C7903" t="str">
            <v xml:space="preserve">  17099 YAQOOT HUSSAIN P/FITTER A/C-1 G</v>
          </cell>
          <cell r="D7903">
            <v>0</v>
          </cell>
          <cell r="E7903">
            <v>0</v>
          </cell>
          <cell r="F7903">
            <v>0</v>
          </cell>
          <cell r="G7903">
            <v>0</v>
          </cell>
        </row>
        <row r="7904">
          <cell r="A7904" t="str">
            <v>57-01-01-0312</v>
          </cell>
          <cell r="B7904">
            <v>0</v>
          </cell>
          <cell r="C7904" t="str">
            <v xml:space="preserve">  22730 MUHAMMAD ASLAM FITTER RING-5 (G)</v>
          </cell>
          <cell r="D7904">
            <v>0</v>
          </cell>
          <cell r="E7904">
            <v>0</v>
          </cell>
          <cell r="F7904">
            <v>0</v>
          </cell>
          <cell r="G7904">
            <v>0</v>
          </cell>
        </row>
        <row r="7905">
          <cell r="A7905" t="str">
            <v>57-01-01-0313</v>
          </cell>
          <cell r="B7905">
            <v>0</v>
          </cell>
          <cell r="C7905" t="str">
            <v xml:space="preserve">  19855 SHABAZ AHMED B.SHIFT RING-4</v>
          </cell>
          <cell r="D7905">
            <v>0</v>
          </cell>
          <cell r="E7905">
            <v>0</v>
          </cell>
          <cell r="F7905">
            <v>0</v>
          </cell>
          <cell r="G7905">
            <v>0</v>
          </cell>
        </row>
        <row r="7906">
          <cell r="A7906" t="str">
            <v>57-01-01-0314</v>
          </cell>
          <cell r="B7906">
            <v>0</v>
          </cell>
          <cell r="C7906" t="str">
            <v xml:space="preserve">  10460 SAJID SHEHZAD FITTER D/SIMP-1</v>
          </cell>
          <cell r="D7906">
            <v>0</v>
          </cell>
          <cell r="E7906">
            <v>0</v>
          </cell>
          <cell r="F7906">
            <v>0</v>
          </cell>
          <cell r="G7906">
            <v>0</v>
          </cell>
        </row>
        <row r="7907">
          <cell r="A7907" t="str">
            <v>57-01-01-0315</v>
          </cell>
          <cell r="B7907">
            <v>0</v>
          </cell>
          <cell r="C7907" t="str">
            <v xml:space="preserve">  21166 MUHAMMAD EJAZ 4/S RING-1 (B)</v>
          </cell>
          <cell r="D7907">
            <v>0</v>
          </cell>
          <cell r="E7907">
            <v>0</v>
          </cell>
          <cell r="F7907">
            <v>0</v>
          </cell>
          <cell r="G7907">
            <v>0</v>
          </cell>
        </row>
        <row r="7908">
          <cell r="A7908" t="str">
            <v>57-01-01-0316</v>
          </cell>
          <cell r="B7908">
            <v>0</v>
          </cell>
          <cell r="C7908" t="str">
            <v xml:space="preserve">  17078 JAGER HAYAT D.D.T D/SIMP-1 (A)</v>
          </cell>
          <cell r="D7908">
            <v>0</v>
          </cell>
          <cell r="E7908">
            <v>0</v>
          </cell>
          <cell r="F7908">
            <v>0</v>
          </cell>
          <cell r="G7908">
            <v>0</v>
          </cell>
        </row>
        <row r="7909">
          <cell r="A7909" t="str">
            <v>57-01-01-0317</v>
          </cell>
          <cell r="B7909">
            <v>0</v>
          </cell>
          <cell r="C7909" t="str">
            <v xml:space="preserve">  8123 MUHAMMAD NAZIR D.D.T D/SIMPLEX (</v>
          </cell>
          <cell r="D7909">
            <v>0</v>
          </cell>
          <cell r="E7909">
            <v>0</v>
          </cell>
          <cell r="F7909">
            <v>0</v>
          </cell>
          <cell r="G7909">
            <v>0</v>
          </cell>
        </row>
        <row r="7910">
          <cell r="A7910" t="str">
            <v>57-01-01-0318</v>
          </cell>
          <cell r="B7910">
            <v>0</v>
          </cell>
          <cell r="C7910" t="str">
            <v xml:space="preserve">  22637 M.SHAKIL AHMED PROCUR.OFFICER</v>
          </cell>
          <cell r="D7910">
            <v>0</v>
          </cell>
          <cell r="E7910">
            <v>0</v>
          </cell>
          <cell r="F7910">
            <v>0</v>
          </cell>
          <cell r="G7910">
            <v>0</v>
          </cell>
        </row>
        <row r="7911">
          <cell r="A7911" t="str">
            <v>57-01-01-0319</v>
          </cell>
          <cell r="B7911">
            <v>0</v>
          </cell>
          <cell r="C7911" t="str">
            <v xml:space="preserve">  19381 MUHAMMAD RAFIQ A/FITTER A/C (G)</v>
          </cell>
          <cell r="D7911">
            <v>0</v>
          </cell>
          <cell r="E7911">
            <v>0</v>
          </cell>
          <cell r="F7911">
            <v>0</v>
          </cell>
          <cell r="G7911">
            <v>0</v>
          </cell>
        </row>
        <row r="7912">
          <cell r="A7912" t="str">
            <v>57-01-01-0320</v>
          </cell>
          <cell r="B7912">
            <v>0</v>
          </cell>
          <cell r="C7912" t="str">
            <v xml:space="preserve">  28391 MUHAMMAD ASHRAF H/JOBB RING MIL</v>
          </cell>
          <cell r="D7912">
            <v>0</v>
          </cell>
          <cell r="E7912">
            <v>0</v>
          </cell>
          <cell r="F7912">
            <v>0</v>
          </cell>
          <cell r="G7912">
            <v>0</v>
          </cell>
        </row>
        <row r="7913">
          <cell r="A7913" t="str">
            <v>57-01-01-0321</v>
          </cell>
          <cell r="B7913">
            <v>0</v>
          </cell>
          <cell r="C7913" t="str">
            <v xml:space="preserve">  18606 FARMAN ALI SHIFT INCH.RING-II</v>
          </cell>
          <cell r="D7913">
            <v>0</v>
          </cell>
          <cell r="E7913">
            <v>0</v>
          </cell>
          <cell r="F7913">
            <v>0</v>
          </cell>
          <cell r="G7913">
            <v>0</v>
          </cell>
        </row>
        <row r="7914">
          <cell r="A7914" t="str">
            <v>57-01-01-0322</v>
          </cell>
          <cell r="B7914">
            <v>0</v>
          </cell>
          <cell r="C7914" t="str">
            <v xml:space="preserve">  16155 AMRAIZ IQBAL JOBBER RING-I (C)</v>
          </cell>
          <cell r="D7914">
            <v>0</v>
          </cell>
          <cell r="E7914">
            <v>0</v>
          </cell>
          <cell r="F7914">
            <v>0</v>
          </cell>
          <cell r="G7914">
            <v>0</v>
          </cell>
        </row>
        <row r="7915">
          <cell r="A7915" t="str">
            <v>57-01-01-0323</v>
          </cell>
          <cell r="B7915">
            <v>0</v>
          </cell>
          <cell r="C7915" t="str">
            <v xml:space="preserve">  13762 ALAM ZAIB D.S.T. D/SIMPLEX (C)</v>
          </cell>
          <cell r="D7915">
            <v>0</v>
          </cell>
          <cell r="E7915">
            <v>0</v>
          </cell>
          <cell r="F7915">
            <v>0</v>
          </cell>
          <cell r="G7915">
            <v>0</v>
          </cell>
        </row>
        <row r="7916">
          <cell r="A7916" t="str">
            <v>57-01-01-0324</v>
          </cell>
          <cell r="B7916">
            <v>0</v>
          </cell>
          <cell r="C7916" t="str">
            <v xml:space="preserve">  19407 MUHAMMAD ZUBAIR D.S.T D/SIMP (C</v>
          </cell>
          <cell r="D7916">
            <v>0</v>
          </cell>
          <cell r="E7916">
            <v>0</v>
          </cell>
          <cell r="F7916">
            <v>0</v>
          </cell>
          <cell r="G7916">
            <v>0</v>
          </cell>
        </row>
        <row r="7917">
          <cell r="A7917" t="str">
            <v>57-01-01-0325</v>
          </cell>
          <cell r="B7917">
            <v>0</v>
          </cell>
          <cell r="C7917" t="str">
            <v xml:space="preserve">  6056 NASER IQBAL JOBBER A/CONE (B)</v>
          </cell>
          <cell r="D7917">
            <v>0</v>
          </cell>
          <cell r="E7917">
            <v>0</v>
          </cell>
          <cell r="F7917">
            <v>0</v>
          </cell>
          <cell r="G7917">
            <v>0</v>
          </cell>
        </row>
        <row r="7918">
          <cell r="A7918" t="str">
            <v>57-01-01-0326</v>
          </cell>
          <cell r="B7918">
            <v>0</v>
          </cell>
          <cell r="C7918" t="str">
            <v xml:space="preserve">  17012 JAMSHAID ALI ASSTT.FITTER RING-</v>
          </cell>
          <cell r="D7918">
            <v>0</v>
          </cell>
          <cell r="E7918">
            <v>0</v>
          </cell>
          <cell r="F7918">
            <v>0</v>
          </cell>
          <cell r="G7918">
            <v>0</v>
          </cell>
        </row>
        <row r="7919">
          <cell r="A7919" t="str">
            <v>57-01-01-0327</v>
          </cell>
          <cell r="B7919">
            <v>0</v>
          </cell>
          <cell r="C7919" t="str">
            <v xml:space="preserve">  14514 MUHAMMAD AKHTAR D.D.T. D/SIMP (</v>
          </cell>
          <cell r="D7919">
            <v>0</v>
          </cell>
          <cell r="E7919">
            <v>0</v>
          </cell>
          <cell r="F7919">
            <v>0</v>
          </cell>
          <cell r="G7919">
            <v>0</v>
          </cell>
        </row>
        <row r="7920">
          <cell r="A7920" t="str">
            <v>57-01-01-0328</v>
          </cell>
          <cell r="B7920">
            <v>0</v>
          </cell>
          <cell r="C7920" t="str">
            <v xml:space="preserve">  22127 ALLAH YAR D.S.T (A) D/SIMP-1</v>
          </cell>
          <cell r="D7920">
            <v>0</v>
          </cell>
          <cell r="E7920">
            <v>0</v>
          </cell>
          <cell r="F7920">
            <v>0</v>
          </cell>
          <cell r="G7920">
            <v>0</v>
          </cell>
        </row>
        <row r="7921">
          <cell r="A7921" t="str">
            <v>57-01-01-0329</v>
          </cell>
          <cell r="B7921">
            <v>0</v>
          </cell>
          <cell r="C7921" t="str">
            <v xml:space="preserve">  22835 NAEEM-UD-DIN C.T.CARDING-1 (B)</v>
          </cell>
          <cell r="D7921">
            <v>0</v>
          </cell>
          <cell r="E7921">
            <v>0</v>
          </cell>
          <cell r="F7921">
            <v>0</v>
          </cell>
          <cell r="G7921">
            <v>0</v>
          </cell>
        </row>
        <row r="7922">
          <cell r="A7922" t="str">
            <v>57-01-01-0330</v>
          </cell>
          <cell r="B7922">
            <v>0</v>
          </cell>
          <cell r="C7922" t="str">
            <v xml:space="preserve">  16387 MUHAMMAD AFZAL JOBBER (B) RING</v>
          </cell>
          <cell r="D7922">
            <v>0</v>
          </cell>
          <cell r="E7922">
            <v>0</v>
          </cell>
          <cell r="F7922">
            <v>0</v>
          </cell>
          <cell r="G7922">
            <v>0</v>
          </cell>
        </row>
        <row r="7923">
          <cell r="A7923" t="str">
            <v>57-01-01-0331</v>
          </cell>
          <cell r="B7923">
            <v>0</v>
          </cell>
          <cell r="C7923" t="str">
            <v xml:space="preserve">  360 ZIARAT SHAH LABOUR MIXING-2</v>
          </cell>
          <cell r="D7923">
            <v>0</v>
          </cell>
          <cell r="E7923">
            <v>0</v>
          </cell>
          <cell r="F7923">
            <v>0</v>
          </cell>
          <cell r="G7923">
            <v>0</v>
          </cell>
        </row>
        <row r="7924">
          <cell r="A7924" t="str">
            <v>57-01-01-0332</v>
          </cell>
          <cell r="B7924">
            <v>0</v>
          </cell>
          <cell r="C7924" t="str">
            <v xml:space="preserve">  20408 MUHAMMAD AMEEN D/F D/SIMP-1 (C)</v>
          </cell>
          <cell r="D7924">
            <v>0</v>
          </cell>
          <cell r="E7924">
            <v>0</v>
          </cell>
          <cell r="F7924">
            <v>0</v>
          </cell>
          <cell r="G7924">
            <v>0</v>
          </cell>
        </row>
        <row r="7925">
          <cell r="A7925" t="str">
            <v>57-01-01-0333</v>
          </cell>
          <cell r="B7925">
            <v>0</v>
          </cell>
          <cell r="C7925" t="str">
            <v xml:space="preserve">  15531 MUHAMMAD SHAFIQUE FITTER A/CONE</v>
          </cell>
          <cell r="D7925">
            <v>0</v>
          </cell>
          <cell r="E7925">
            <v>0</v>
          </cell>
          <cell r="F7925">
            <v>0</v>
          </cell>
          <cell r="G7925">
            <v>0</v>
          </cell>
        </row>
        <row r="7926">
          <cell r="A7926" t="str">
            <v>57-01-01-0334</v>
          </cell>
          <cell r="B7926">
            <v>0</v>
          </cell>
          <cell r="C7926" t="str">
            <v xml:space="preserve">  23090 ZAHID MEHMOOD GODOWN CLERK (ACC</v>
          </cell>
          <cell r="D7926">
            <v>0</v>
          </cell>
          <cell r="E7926">
            <v>0</v>
          </cell>
          <cell r="F7926">
            <v>0</v>
          </cell>
          <cell r="G7926">
            <v>0</v>
          </cell>
        </row>
        <row r="7927">
          <cell r="A7927" t="str">
            <v>57-01-01-0335</v>
          </cell>
          <cell r="B7927">
            <v>0</v>
          </cell>
          <cell r="C7927" t="str">
            <v xml:space="preserve">  17478 ATTA ULLAH ASSTT.FITTER W/SHOP</v>
          </cell>
          <cell r="D7927">
            <v>0</v>
          </cell>
          <cell r="E7927">
            <v>0</v>
          </cell>
          <cell r="F7927">
            <v>0</v>
          </cell>
          <cell r="G7927">
            <v>0</v>
          </cell>
        </row>
        <row r="7928">
          <cell r="A7928" t="str">
            <v>57-01-01-0336</v>
          </cell>
          <cell r="B7928">
            <v>0</v>
          </cell>
          <cell r="C7928" t="str">
            <v xml:space="preserve">  22020 MUHMMAD RAZA JOBBER RING-4</v>
          </cell>
          <cell r="D7928">
            <v>0</v>
          </cell>
          <cell r="E7928">
            <v>0</v>
          </cell>
          <cell r="F7928">
            <v>0</v>
          </cell>
          <cell r="G7928">
            <v>0</v>
          </cell>
        </row>
        <row r="7929">
          <cell r="A7929" t="str">
            <v>57-01-01-0337</v>
          </cell>
          <cell r="B7929">
            <v>0</v>
          </cell>
          <cell r="C7929" t="str">
            <v xml:space="preserve">  21939 SADAQAT ALI 4/S RING-4 (C)</v>
          </cell>
          <cell r="D7929">
            <v>0</v>
          </cell>
          <cell r="E7929">
            <v>0</v>
          </cell>
          <cell r="F7929">
            <v>0</v>
          </cell>
          <cell r="G7929">
            <v>0</v>
          </cell>
        </row>
        <row r="7930">
          <cell r="A7930" t="str">
            <v>57-01-01-0338</v>
          </cell>
          <cell r="B7930">
            <v>0</v>
          </cell>
          <cell r="C7930" t="str">
            <v xml:space="preserve">  14767 MUHAMMAD SARWAR FITTER RING-4</v>
          </cell>
          <cell r="D7930">
            <v>0</v>
          </cell>
          <cell r="E7930">
            <v>0</v>
          </cell>
          <cell r="F7930">
            <v>0</v>
          </cell>
          <cell r="G7930">
            <v>0</v>
          </cell>
        </row>
        <row r="7931">
          <cell r="A7931" t="str">
            <v>57-01-01-0339</v>
          </cell>
          <cell r="B7931">
            <v>0</v>
          </cell>
          <cell r="C7931" t="str">
            <v xml:space="preserve">  19863 BASHRAT ALI A/FITTER RING-4</v>
          </cell>
          <cell r="D7931">
            <v>0</v>
          </cell>
          <cell r="E7931">
            <v>0</v>
          </cell>
          <cell r="F7931">
            <v>0</v>
          </cell>
          <cell r="G7931">
            <v>0</v>
          </cell>
        </row>
        <row r="7932">
          <cell r="A7932" t="str">
            <v>57-01-01-0340</v>
          </cell>
          <cell r="B7932">
            <v>0</v>
          </cell>
          <cell r="C7932" t="str">
            <v xml:space="preserve">  22729 AKBAR ALI FITTER RING-4 (G)</v>
          </cell>
          <cell r="D7932">
            <v>0</v>
          </cell>
          <cell r="E7932">
            <v>0</v>
          </cell>
          <cell r="F7932">
            <v>0</v>
          </cell>
          <cell r="G7932">
            <v>0</v>
          </cell>
        </row>
        <row r="7933">
          <cell r="A7933" t="str">
            <v>57-01-01-0341</v>
          </cell>
          <cell r="B7933">
            <v>0</v>
          </cell>
          <cell r="C7933" t="str">
            <v xml:space="preserve">  18767 YOUNUS EJAZ FITTER R/C-2 (G)</v>
          </cell>
          <cell r="D7933">
            <v>0</v>
          </cell>
          <cell r="E7933">
            <v>0</v>
          </cell>
          <cell r="F7933">
            <v>0</v>
          </cell>
          <cell r="G7933">
            <v>0</v>
          </cell>
        </row>
        <row r="7934">
          <cell r="A7934" t="str">
            <v>57-01-01-0342</v>
          </cell>
          <cell r="B7934">
            <v>0</v>
          </cell>
          <cell r="C7934" t="str">
            <v xml:space="preserve">  20523 RAFAQAT ALI FITTER R/C -3 (G)</v>
          </cell>
          <cell r="D7934">
            <v>0</v>
          </cell>
          <cell r="E7934">
            <v>0</v>
          </cell>
          <cell r="F7934">
            <v>0</v>
          </cell>
          <cell r="G7934">
            <v>0</v>
          </cell>
        </row>
        <row r="7935">
          <cell r="A7935" t="str">
            <v>57-01-01-0343</v>
          </cell>
          <cell r="B7935">
            <v>0</v>
          </cell>
          <cell r="C7935" t="str">
            <v xml:space="preserve">  20939 MUHAMMAD YAQOOB JOBBER RING-3 (</v>
          </cell>
          <cell r="D7935">
            <v>0</v>
          </cell>
          <cell r="E7935">
            <v>0</v>
          </cell>
          <cell r="F7935">
            <v>0</v>
          </cell>
          <cell r="G7935">
            <v>0</v>
          </cell>
        </row>
        <row r="7936">
          <cell r="A7936" t="str">
            <v>57-01-01-0344</v>
          </cell>
          <cell r="B7936">
            <v>0</v>
          </cell>
          <cell r="C7936" t="str">
            <v xml:space="preserve">  7934 MOHSIN SHAH EXCISE CLERK ACCOUNT</v>
          </cell>
          <cell r="D7936">
            <v>0</v>
          </cell>
          <cell r="E7936">
            <v>0</v>
          </cell>
          <cell r="F7936">
            <v>0</v>
          </cell>
          <cell r="G7936">
            <v>0</v>
          </cell>
        </row>
        <row r="7937">
          <cell r="A7937" t="str">
            <v>57-01-01-0345</v>
          </cell>
          <cell r="B7937">
            <v>0</v>
          </cell>
          <cell r="C7937" t="str">
            <v xml:space="preserve">  8756 MUHAMMAD BASHIR ASSTT.JOBB (C)</v>
          </cell>
          <cell r="D7937">
            <v>0</v>
          </cell>
          <cell r="E7937">
            <v>0</v>
          </cell>
          <cell r="F7937">
            <v>0</v>
          </cell>
          <cell r="G7937">
            <v>0</v>
          </cell>
        </row>
        <row r="7938">
          <cell r="A7938" t="str">
            <v>57-01-01-0346</v>
          </cell>
          <cell r="B7938">
            <v>0</v>
          </cell>
          <cell r="C7938" t="str">
            <v xml:space="preserve">  17215 MUSTAFA SARWAR 4/S RING-4 (B)</v>
          </cell>
          <cell r="D7938">
            <v>0</v>
          </cell>
          <cell r="E7938">
            <v>0</v>
          </cell>
          <cell r="F7938">
            <v>0</v>
          </cell>
          <cell r="G7938">
            <v>0</v>
          </cell>
        </row>
        <row r="7939">
          <cell r="A7939" t="str">
            <v>57-01-01-0347</v>
          </cell>
          <cell r="B7939">
            <v>0</v>
          </cell>
          <cell r="C7939" t="str">
            <v xml:space="preserve">  9327 FAYAZ AHMED KHAN FITTER D/SIMP-2</v>
          </cell>
          <cell r="D7939">
            <v>0</v>
          </cell>
          <cell r="E7939">
            <v>0</v>
          </cell>
          <cell r="F7939">
            <v>0</v>
          </cell>
          <cell r="G7939">
            <v>0</v>
          </cell>
        </row>
        <row r="7940">
          <cell r="A7940" t="str">
            <v>57-01-01-0348</v>
          </cell>
          <cell r="B7940">
            <v>0</v>
          </cell>
          <cell r="C7940" t="str">
            <v xml:space="preserve">  20607 SAJID HUSSAIN A.JOB D/SIMP-2 (B)</v>
          </cell>
          <cell r="D7940">
            <v>0</v>
          </cell>
          <cell r="E7940">
            <v>0</v>
          </cell>
          <cell r="F7940">
            <v>0</v>
          </cell>
          <cell r="G7940">
            <v>0</v>
          </cell>
        </row>
        <row r="7941">
          <cell r="A7941" t="str">
            <v>57-01-01-0349</v>
          </cell>
          <cell r="B7941">
            <v>0</v>
          </cell>
          <cell r="C7941" t="str">
            <v xml:space="preserve">  22724 MUHAMMAD ALTAF P.T B/ROOM (C)</v>
          </cell>
          <cell r="D7941">
            <v>0</v>
          </cell>
          <cell r="E7941">
            <v>0</v>
          </cell>
          <cell r="F7941">
            <v>0</v>
          </cell>
          <cell r="G7941">
            <v>0</v>
          </cell>
        </row>
        <row r="7942">
          <cell r="A7942" t="str">
            <v>57-01-01-0350</v>
          </cell>
          <cell r="B7942">
            <v>0</v>
          </cell>
          <cell r="C7942" t="str">
            <v xml:space="preserve">  8617 MAZHAR IQBAL OPT A/CONE (B)</v>
          </cell>
          <cell r="D7942">
            <v>0</v>
          </cell>
          <cell r="E7942">
            <v>0</v>
          </cell>
          <cell r="F7942">
            <v>0</v>
          </cell>
          <cell r="G7942">
            <v>0</v>
          </cell>
        </row>
        <row r="7943">
          <cell r="A7943" t="str">
            <v>57-01-01-0351</v>
          </cell>
          <cell r="B7943">
            <v>0</v>
          </cell>
          <cell r="C7943" t="str">
            <v xml:space="preserve">  13900 ATTA-UR-REHMAN A/FITT RING-5 (G</v>
          </cell>
          <cell r="D7943">
            <v>0</v>
          </cell>
          <cell r="E7943">
            <v>0</v>
          </cell>
          <cell r="F7943">
            <v>0</v>
          </cell>
          <cell r="G7943">
            <v>0</v>
          </cell>
        </row>
        <row r="7944">
          <cell r="A7944" t="str">
            <v>57-01-01-0352</v>
          </cell>
          <cell r="B7944">
            <v>0</v>
          </cell>
          <cell r="C7944" t="str">
            <v xml:space="preserve">  MOHAMMAD KASHIF 17523 FITT. RONG 3 GE</v>
          </cell>
          <cell r="D7944">
            <v>0</v>
          </cell>
          <cell r="E7944">
            <v>0</v>
          </cell>
          <cell r="F7944">
            <v>0</v>
          </cell>
          <cell r="G7944">
            <v>0</v>
          </cell>
        </row>
        <row r="7945">
          <cell r="A7945" t="str">
            <v>57-01-01-0353</v>
          </cell>
          <cell r="B7945">
            <v>0</v>
          </cell>
          <cell r="C7945" t="str">
            <v xml:space="preserve">  MUHAMMAD RIAZ 5143 H/FITTER D/S GEN</v>
          </cell>
          <cell r="D7945">
            <v>0</v>
          </cell>
          <cell r="E7945">
            <v>0</v>
          </cell>
          <cell r="F7945">
            <v>0</v>
          </cell>
          <cell r="G7945">
            <v>0</v>
          </cell>
        </row>
        <row r="7946">
          <cell r="A7946" t="str">
            <v>57-01-01-0354</v>
          </cell>
          <cell r="B7946">
            <v>0</v>
          </cell>
          <cell r="C7946" t="str">
            <v xml:space="preserve">  16180 MUHAMMAD AFZAL JOBBER RING MILL</v>
          </cell>
          <cell r="D7946">
            <v>0</v>
          </cell>
          <cell r="E7946">
            <v>0</v>
          </cell>
          <cell r="F7946">
            <v>0</v>
          </cell>
          <cell r="G7946">
            <v>0</v>
          </cell>
        </row>
        <row r="7947">
          <cell r="A7947" t="str">
            <v>57-01-01-0355</v>
          </cell>
          <cell r="B7947">
            <v>0</v>
          </cell>
          <cell r="C7947" t="str">
            <v xml:space="preserve">  23435 WAJID MEHMOOD D.DT D/SIMP-1 (C</v>
          </cell>
          <cell r="D7947">
            <v>0</v>
          </cell>
          <cell r="E7947">
            <v>0</v>
          </cell>
          <cell r="F7947">
            <v>0</v>
          </cell>
          <cell r="G7947">
            <v>0</v>
          </cell>
        </row>
        <row r="7948">
          <cell r="A7948" t="str">
            <v>57-01-01-0356</v>
          </cell>
          <cell r="B7948">
            <v>0</v>
          </cell>
          <cell r="C7948" t="str">
            <v xml:space="preserve">  10442 MUHAMMAD RAMZAN D.D.T D/SIMP (A</v>
          </cell>
          <cell r="D7948">
            <v>0</v>
          </cell>
          <cell r="E7948">
            <v>0</v>
          </cell>
          <cell r="F7948">
            <v>0</v>
          </cell>
          <cell r="G7948">
            <v>0</v>
          </cell>
        </row>
        <row r="7949">
          <cell r="A7949" t="str">
            <v>57-01-01-0357</v>
          </cell>
          <cell r="B7949">
            <v>0</v>
          </cell>
          <cell r="C7949" t="str">
            <v xml:space="preserve">  15177 GUL SHAD D.S.T D/SIMP-1 (C)</v>
          </cell>
          <cell r="D7949">
            <v>0</v>
          </cell>
          <cell r="E7949">
            <v>0</v>
          </cell>
          <cell r="F7949">
            <v>0</v>
          </cell>
          <cell r="G7949">
            <v>0</v>
          </cell>
        </row>
        <row r="7950">
          <cell r="A7950" t="str">
            <v>57-01-01-0358</v>
          </cell>
          <cell r="B7950">
            <v>0</v>
          </cell>
          <cell r="C7950" t="str">
            <v xml:space="preserve">  21673 GULZAR HUSSAIN 4/S RING-3</v>
          </cell>
          <cell r="D7950">
            <v>0</v>
          </cell>
          <cell r="E7950">
            <v>0</v>
          </cell>
          <cell r="F7950">
            <v>0</v>
          </cell>
          <cell r="G7950">
            <v>0</v>
          </cell>
        </row>
        <row r="7951">
          <cell r="A7951" t="str">
            <v>57-01-01-0359</v>
          </cell>
          <cell r="B7951">
            <v>0</v>
          </cell>
          <cell r="C7951" t="str">
            <v xml:space="preserve">  11669 ABDUL REHMAN OPT A/CONE-1</v>
          </cell>
          <cell r="D7951">
            <v>0</v>
          </cell>
          <cell r="E7951">
            <v>0</v>
          </cell>
          <cell r="F7951">
            <v>0</v>
          </cell>
          <cell r="G7951">
            <v>0</v>
          </cell>
        </row>
        <row r="7952">
          <cell r="A7952" t="str">
            <v>57-01-01-0360</v>
          </cell>
          <cell r="B7952">
            <v>0</v>
          </cell>
          <cell r="C7952" t="str">
            <v xml:space="preserve">  14616 MUHAMMAD RAMZAN OPT A/CONE-2 (A</v>
          </cell>
          <cell r="D7952">
            <v>0</v>
          </cell>
          <cell r="E7952">
            <v>0</v>
          </cell>
          <cell r="F7952">
            <v>0</v>
          </cell>
          <cell r="G7952">
            <v>0</v>
          </cell>
        </row>
        <row r="7953">
          <cell r="A7953" t="str">
            <v>57-01-01-0361</v>
          </cell>
          <cell r="B7953">
            <v>0</v>
          </cell>
          <cell r="C7953" t="str">
            <v xml:space="preserve">  22587 MUHAMMAD IQBAL D.S.T D/SIMP (A)</v>
          </cell>
          <cell r="D7953">
            <v>0</v>
          </cell>
          <cell r="E7953">
            <v>0</v>
          </cell>
          <cell r="F7953">
            <v>0</v>
          </cell>
          <cell r="G7953">
            <v>0</v>
          </cell>
        </row>
        <row r="7954">
          <cell r="A7954" t="str">
            <v>57-01-01-0362</v>
          </cell>
          <cell r="B7954">
            <v>0</v>
          </cell>
          <cell r="C7954" t="str">
            <v xml:space="preserve">  23627 UMAR HAYAT JOBBER RING-2 (GEN)</v>
          </cell>
          <cell r="D7954">
            <v>0</v>
          </cell>
          <cell r="E7954">
            <v>0</v>
          </cell>
          <cell r="F7954">
            <v>0</v>
          </cell>
          <cell r="G7954">
            <v>0</v>
          </cell>
        </row>
        <row r="7955">
          <cell r="A7955" t="str">
            <v>57-01-01-0363</v>
          </cell>
          <cell r="B7955">
            <v>0</v>
          </cell>
          <cell r="C7955" t="str">
            <v xml:space="preserve">  18864 ABDUL GHAFFAR FITTER RING-3 GEN</v>
          </cell>
          <cell r="D7955">
            <v>0</v>
          </cell>
          <cell r="E7955">
            <v>0</v>
          </cell>
          <cell r="F7955">
            <v>0</v>
          </cell>
          <cell r="G7955">
            <v>0</v>
          </cell>
        </row>
        <row r="7956">
          <cell r="A7956" t="str">
            <v>57-01-01-0364</v>
          </cell>
          <cell r="B7956">
            <v>0</v>
          </cell>
          <cell r="C7956" t="str">
            <v xml:space="preserve">  15386 MUHAMMAD YUNUS4/S (B) RING-4</v>
          </cell>
          <cell r="D7956">
            <v>0</v>
          </cell>
          <cell r="E7956">
            <v>0</v>
          </cell>
          <cell r="F7956">
            <v>0</v>
          </cell>
          <cell r="G7956">
            <v>0</v>
          </cell>
        </row>
        <row r="7957">
          <cell r="A7957" t="str">
            <v>57-01-01-0365</v>
          </cell>
          <cell r="B7957">
            <v>0</v>
          </cell>
          <cell r="C7957" t="str">
            <v xml:space="preserve">  19043 ABDUL SATTAR4/S (B) RING-4</v>
          </cell>
          <cell r="D7957">
            <v>0</v>
          </cell>
          <cell r="E7957">
            <v>0</v>
          </cell>
          <cell r="F7957">
            <v>0</v>
          </cell>
          <cell r="G7957">
            <v>0</v>
          </cell>
        </row>
        <row r="7958">
          <cell r="A7958" t="str">
            <v>57-01-01-0366</v>
          </cell>
          <cell r="B7958">
            <v>0</v>
          </cell>
          <cell r="C7958" t="str">
            <v xml:space="preserve">  20976 ANSAR HUSSAINJOBBER RING-1</v>
          </cell>
          <cell r="D7958">
            <v>0</v>
          </cell>
          <cell r="E7958">
            <v>0</v>
          </cell>
          <cell r="F7958">
            <v>0</v>
          </cell>
          <cell r="G7958">
            <v>0</v>
          </cell>
        </row>
        <row r="7959">
          <cell r="A7959" t="str">
            <v>57-01-01-0367</v>
          </cell>
          <cell r="B7959">
            <v>0</v>
          </cell>
          <cell r="C7959" t="str">
            <v xml:space="preserve">  23212 YASIR IQBAL 4/S RING-2 (C).</v>
          </cell>
          <cell r="D7959">
            <v>0</v>
          </cell>
          <cell r="E7959">
            <v>0</v>
          </cell>
          <cell r="F7959">
            <v>0</v>
          </cell>
          <cell r="G7959">
            <v>0</v>
          </cell>
        </row>
        <row r="7960">
          <cell r="A7960" t="str">
            <v>57-01-01-0368</v>
          </cell>
          <cell r="B7960">
            <v>0</v>
          </cell>
          <cell r="C7960" t="str">
            <v xml:space="preserve">  25079 UMER DARAZ 4/S RING-2 (C).</v>
          </cell>
          <cell r="D7960">
            <v>0</v>
          </cell>
          <cell r="E7960">
            <v>0</v>
          </cell>
          <cell r="F7960">
            <v>0</v>
          </cell>
          <cell r="G7960">
            <v>0</v>
          </cell>
        </row>
        <row r="7961">
          <cell r="A7961" t="str">
            <v>57-01-01-0369</v>
          </cell>
          <cell r="B7961">
            <v>0</v>
          </cell>
          <cell r="C7961" t="str">
            <v xml:space="preserve">  26131 AZHAR HUSSAINDF D/SIMPLEX-1</v>
          </cell>
          <cell r="D7961">
            <v>0</v>
          </cell>
          <cell r="E7961">
            <v>0</v>
          </cell>
          <cell r="F7961">
            <v>0</v>
          </cell>
          <cell r="G7961">
            <v>0</v>
          </cell>
        </row>
        <row r="7962">
          <cell r="A7962" t="str">
            <v>57-01-01-0370</v>
          </cell>
          <cell r="B7962">
            <v>0</v>
          </cell>
          <cell r="C7962" t="str">
            <v xml:space="preserve">  26960 MAZHAR IQBAL OPT. A/C MILL # 2.</v>
          </cell>
          <cell r="D7962">
            <v>0</v>
          </cell>
          <cell r="E7962">
            <v>0</v>
          </cell>
          <cell r="F7962">
            <v>0</v>
          </cell>
          <cell r="G7962">
            <v>0</v>
          </cell>
        </row>
        <row r="7963">
          <cell r="A7963" t="str">
            <v>57-01-01-0371</v>
          </cell>
          <cell r="B7963">
            <v>0</v>
          </cell>
          <cell r="C7963" t="str">
            <v xml:space="preserve">  25931 TANVEER AHMED FITTER A/C-II G</v>
          </cell>
          <cell r="D7963">
            <v>0</v>
          </cell>
          <cell r="E7963">
            <v>0</v>
          </cell>
          <cell r="F7963">
            <v>0</v>
          </cell>
          <cell r="G7963">
            <v>0</v>
          </cell>
        </row>
        <row r="7964">
          <cell r="A7964" t="str">
            <v>57-01-01-0372</v>
          </cell>
          <cell r="B7964">
            <v>0</v>
          </cell>
          <cell r="C7964" t="str">
            <v xml:space="preserve">  26799 MUHAMMAD HAFEEZ A. FOREMAN RING</v>
          </cell>
          <cell r="D7964">
            <v>0</v>
          </cell>
          <cell r="E7964">
            <v>0</v>
          </cell>
          <cell r="F7964">
            <v>0</v>
          </cell>
          <cell r="G7964">
            <v>0</v>
          </cell>
        </row>
        <row r="7965">
          <cell r="A7965" t="str">
            <v>57-01-01-0373</v>
          </cell>
          <cell r="B7965">
            <v>0</v>
          </cell>
          <cell r="C7965" t="str">
            <v xml:space="preserve">  24024 AKHTAR ZAMAN OIL MAN RING-3 (G)</v>
          </cell>
          <cell r="D7965">
            <v>0</v>
          </cell>
          <cell r="E7965">
            <v>0</v>
          </cell>
          <cell r="F7965">
            <v>0</v>
          </cell>
          <cell r="G7965">
            <v>0</v>
          </cell>
        </row>
        <row r="7966">
          <cell r="A7966" t="str">
            <v>57-01-01-0374</v>
          </cell>
          <cell r="B7966">
            <v>0</v>
          </cell>
          <cell r="C7966" t="str">
            <v xml:space="preserve">  27038 ANSAR ABBAS FITTER D/SIMP-1 (G)</v>
          </cell>
          <cell r="D7966">
            <v>0</v>
          </cell>
          <cell r="E7966">
            <v>0</v>
          </cell>
          <cell r="F7966">
            <v>0</v>
          </cell>
          <cell r="G7966">
            <v>0</v>
          </cell>
        </row>
        <row r="7967">
          <cell r="A7967" t="str">
            <v>57-01-01-0375</v>
          </cell>
          <cell r="B7967">
            <v>0</v>
          </cell>
          <cell r="C7967" t="str">
            <v xml:space="preserve">  16126 MUHAMMAD ILYAS 4/S RING-3 (C)</v>
          </cell>
          <cell r="D7967">
            <v>0</v>
          </cell>
          <cell r="E7967">
            <v>0</v>
          </cell>
          <cell r="F7967">
            <v>0</v>
          </cell>
          <cell r="G7967">
            <v>0</v>
          </cell>
        </row>
        <row r="7968">
          <cell r="A7968" t="str">
            <v>57-01-01-0376</v>
          </cell>
          <cell r="B7968">
            <v>0</v>
          </cell>
          <cell r="C7968" t="str">
            <v xml:space="preserve">  18676 MUHAMMAD SAQLAIN 4/S RING-3 (C)</v>
          </cell>
          <cell r="D7968">
            <v>0</v>
          </cell>
          <cell r="E7968">
            <v>0</v>
          </cell>
          <cell r="F7968">
            <v>0</v>
          </cell>
          <cell r="G7968">
            <v>0</v>
          </cell>
        </row>
        <row r="7969">
          <cell r="A7969" t="str">
            <v>57-01-01-0377</v>
          </cell>
          <cell r="B7969">
            <v>0</v>
          </cell>
          <cell r="C7969" t="str">
            <v xml:space="preserve">  25043 MUHAMMAD FAISAL 4/S RING-3 (C)</v>
          </cell>
          <cell r="D7969">
            <v>0</v>
          </cell>
          <cell r="E7969">
            <v>0</v>
          </cell>
          <cell r="F7969">
            <v>0</v>
          </cell>
          <cell r="G7969">
            <v>0</v>
          </cell>
        </row>
        <row r="7970">
          <cell r="A7970" t="str">
            <v>57-01-01-0378</v>
          </cell>
          <cell r="B7970">
            <v>0</v>
          </cell>
          <cell r="C7970" t="str">
            <v xml:space="preserve">  16273 MUHAMMAD AMIN FITTER A/C -1 (G)</v>
          </cell>
          <cell r="D7970">
            <v>0</v>
          </cell>
          <cell r="E7970">
            <v>0</v>
          </cell>
          <cell r="F7970">
            <v>0</v>
          </cell>
          <cell r="G7970">
            <v>0</v>
          </cell>
        </row>
        <row r="7971">
          <cell r="A7971" t="str">
            <v>57-01-01-0379</v>
          </cell>
          <cell r="B7971">
            <v>0</v>
          </cell>
          <cell r="C7971" t="str">
            <v xml:space="preserve">  26408 ANSAR IQBAL A. FITTER RING-4 (G)</v>
          </cell>
          <cell r="D7971">
            <v>0</v>
          </cell>
          <cell r="E7971">
            <v>0</v>
          </cell>
          <cell r="F7971">
            <v>0</v>
          </cell>
          <cell r="G7971">
            <v>0</v>
          </cell>
        </row>
        <row r="7972">
          <cell r="A7972" t="str">
            <v>57-01-01-0380</v>
          </cell>
          <cell r="B7972">
            <v>0</v>
          </cell>
          <cell r="C7972" t="str">
            <v xml:space="preserve">  26332 MUHAMMAD ASHRAF DDT D/SIMP- (C)</v>
          </cell>
          <cell r="D7972">
            <v>0</v>
          </cell>
          <cell r="E7972">
            <v>0</v>
          </cell>
          <cell r="F7972">
            <v>0</v>
          </cell>
          <cell r="G7972">
            <v>0</v>
          </cell>
        </row>
        <row r="7973">
          <cell r="A7973" t="str">
            <v>57-01-01-0381</v>
          </cell>
          <cell r="B7973">
            <v>0</v>
          </cell>
          <cell r="C7973" t="str">
            <v xml:space="preserve">  26333 MUHAMMAD ASGHAR DDT D/SIMP-2 (C)</v>
          </cell>
          <cell r="D7973">
            <v>0</v>
          </cell>
          <cell r="E7973">
            <v>0</v>
          </cell>
          <cell r="F7973">
            <v>0</v>
          </cell>
          <cell r="G7973">
            <v>0</v>
          </cell>
        </row>
        <row r="7974">
          <cell r="A7974" t="str">
            <v>57-01-01-0382</v>
          </cell>
          <cell r="B7974">
            <v>0</v>
          </cell>
          <cell r="C7974" t="str">
            <v xml:space="preserve">  35477 MEHDI KHAN H/JOBBER RING MILL</v>
          </cell>
          <cell r="D7974">
            <v>0</v>
          </cell>
          <cell r="E7974">
            <v>0</v>
          </cell>
          <cell r="F7974">
            <v>0</v>
          </cell>
          <cell r="G7974">
            <v>0</v>
          </cell>
        </row>
        <row r="7975">
          <cell r="A7975" t="str">
            <v>57-01-01-0383</v>
          </cell>
          <cell r="B7975">
            <v>0</v>
          </cell>
          <cell r="C7975" t="str">
            <v xml:space="preserve">  25630 MUHAMMAD MISKIN D/F D/SIMP-1 (C)</v>
          </cell>
          <cell r="D7975">
            <v>0</v>
          </cell>
          <cell r="E7975">
            <v>0</v>
          </cell>
          <cell r="F7975">
            <v>0</v>
          </cell>
          <cell r="G7975">
            <v>0</v>
          </cell>
        </row>
        <row r="7976">
          <cell r="A7976" t="str">
            <v>57-01-01-0384</v>
          </cell>
          <cell r="B7976">
            <v>0</v>
          </cell>
          <cell r="C7976" t="str">
            <v xml:space="preserve">  23676 MUHAMMAD MANSHA A/ JOBB A/CONE</v>
          </cell>
          <cell r="D7976">
            <v>0</v>
          </cell>
          <cell r="E7976">
            <v>0</v>
          </cell>
          <cell r="F7976">
            <v>0</v>
          </cell>
          <cell r="G7976">
            <v>0</v>
          </cell>
        </row>
        <row r="7977">
          <cell r="A7977" t="str">
            <v>57-01-01-0385</v>
          </cell>
          <cell r="B7977">
            <v>0</v>
          </cell>
          <cell r="C7977" t="str">
            <v xml:space="preserve">  23755 NASIR ALI A/JOBB A/CONE (A)</v>
          </cell>
          <cell r="D7977">
            <v>0</v>
          </cell>
          <cell r="E7977">
            <v>0</v>
          </cell>
          <cell r="F7977">
            <v>0</v>
          </cell>
          <cell r="G7977">
            <v>0</v>
          </cell>
        </row>
        <row r="7978">
          <cell r="A7978" t="str">
            <v>57-01-01-0386</v>
          </cell>
          <cell r="B7978">
            <v>0</v>
          </cell>
          <cell r="C7978" t="str">
            <v xml:space="preserve">  26271 GHULAM RASOOL D/F RING-4 (C)</v>
          </cell>
          <cell r="D7978">
            <v>0</v>
          </cell>
          <cell r="E7978">
            <v>0</v>
          </cell>
          <cell r="F7978">
            <v>0</v>
          </cell>
          <cell r="G7978">
            <v>0</v>
          </cell>
        </row>
        <row r="7979">
          <cell r="A7979" t="str">
            <v>57-01-01-0387</v>
          </cell>
          <cell r="B7979">
            <v>0</v>
          </cell>
          <cell r="C7979" t="str">
            <v xml:space="preserve">  20561 MUHAMMAD NAWAZ 4/S RING-1 (C)</v>
          </cell>
          <cell r="D7979">
            <v>0</v>
          </cell>
          <cell r="E7979">
            <v>0</v>
          </cell>
          <cell r="F7979">
            <v>0</v>
          </cell>
          <cell r="G7979">
            <v>0</v>
          </cell>
        </row>
        <row r="7980">
          <cell r="A7980" t="str">
            <v>57-01-01-0388</v>
          </cell>
          <cell r="B7980">
            <v>0</v>
          </cell>
          <cell r="C7980" t="str">
            <v xml:space="preserve">  23149 NOOR MUHAMMAD D.D.T D/SIMPLEX</v>
          </cell>
          <cell r="D7980">
            <v>0</v>
          </cell>
          <cell r="E7980">
            <v>0</v>
          </cell>
          <cell r="F7980">
            <v>0</v>
          </cell>
          <cell r="G7980">
            <v>0</v>
          </cell>
        </row>
        <row r="7981">
          <cell r="A7981" t="str">
            <v>57-01-01-0389</v>
          </cell>
          <cell r="B7981">
            <v>0</v>
          </cell>
          <cell r="C7981" t="str">
            <v xml:space="preserve">  20038 SHER MUHAMMAD 4/S RING-3 (B)</v>
          </cell>
          <cell r="D7981">
            <v>0</v>
          </cell>
          <cell r="E7981">
            <v>0</v>
          </cell>
          <cell r="F7981">
            <v>0</v>
          </cell>
          <cell r="G7981">
            <v>0</v>
          </cell>
        </row>
        <row r="7982">
          <cell r="A7982" t="str">
            <v>57-01-01-0390</v>
          </cell>
          <cell r="B7982">
            <v>0</v>
          </cell>
          <cell r="C7982" t="str">
            <v xml:space="preserve">  18581 MUHAMMAD AFZAL FITTER CARD-2 (GE</v>
          </cell>
          <cell r="D7982">
            <v>0</v>
          </cell>
          <cell r="E7982">
            <v>0</v>
          </cell>
          <cell r="F7982">
            <v>0</v>
          </cell>
          <cell r="G7982">
            <v>0</v>
          </cell>
        </row>
        <row r="7983">
          <cell r="A7983" t="str">
            <v>57-01-01-0391</v>
          </cell>
          <cell r="B7983">
            <v>0</v>
          </cell>
          <cell r="C7983" t="str">
            <v xml:space="preserve">  20302 MANZOOR AHMED PACKING CLERK</v>
          </cell>
          <cell r="D7983">
            <v>0</v>
          </cell>
          <cell r="E7983">
            <v>0</v>
          </cell>
          <cell r="F7983">
            <v>0</v>
          </cell>
          <cell r="G7983">
            <v>0</v>
          </cell>
        </row>
        <row r="7984">
          <cell r="A7984" t="str">
            <v>57-01-01-0392</v>
          </cell>
          <cell r="B7984">
            <v>0</v>
          </cell>
          <cell r="C7984" t="str">
            <v xml:space="preserve">  26062 MUHAMMAD BOOTA D.D.T D/SIMP-2</v>
          </cell>
          <cell r="D7984">
            <v>0</v>
          </cell>
          <cell r="E7984">
            <v>0</v>
          </cell>
          <cell r="F7984">
            <v>0</v>
          </cell>
          <cell r="G7984">
            <v>0</v>
          </cell>
        </row>
        <row r="7985">
          <cell r="A7985" t="str">
            <v>57-01-01-0393</v>
          </cell>
          <cell r="B7985">
            <v>0</v>
          </cell>
          <cell r="C7985" t="str">
            <v xml:space="preserve">  16146 LIAQAT ALI 4/S RING-1 (C)</v>
          </cell>
          <cell r="D7985">
            <v>0</v>
          </cell>
          <cell r="E7985">
            <v>0</v>
          </cell>
          <cell r="F7985">
            <v>0</v>
          </cell>
          <cell r="G7985">
            <v>0</v>
          </cell>
        </row>
        <row r="7986">
          <cell r="A7986" t="str">
            <v>57-01-01-0394</v>
          </cell>
          <cell r="B7986">
            <v>0</v>
          </cell>
          <cell r="C7986" t="str">
            <v xml:space="preserve">  16159 SHAUKAT ALI 4/S RING-1 (C)</v>
          </cell>
          <cell r="D7986">
            <v>0</v>
          </cell>
          <cell r="E7986">
            <v>0</v>
          </cell>
          <cell r="F7986">
            <v>0</v>
          </cell>
          <cell r="G7986">
            <v>0</v>
          </cell>
        </row>
        <row r="7987">
          <cell r="A7987" t="str">
            <v>57-01-01-0395</v>
          </cell>
          <cell r="B7987">
            <v>0</v>
          </cell>
          <cell r="C7987" t="str">
            <v xml:space="preserve">  20462 MUHAMMAD WASIM ASSTT.FITT A/CON</v>
          </cell>
          <cell r="D7987">
            <v>0</v>
          </cell>
          <cell r="E7987">
            <v>0</v>
          </cell>
          <cell r="F7987">
            <v>0</v>
          </cell>
          <cell r="G7987">
            <v>0</v>
          </cell>
        </row>
        <row r="7988">
          <cell r="A7988" t="str">
            <v>57-01-01-0396</v>
          </cell>
          <cell r="B7988">
            <v>0</v>
          </cell>
          <cell r="C7988" t="str">
            <v xml:space="preserve">  16891 IMRAN KHAN 4/S RING-1 (A)</v>
          </cell>
          <cell r="D7988">
            <v>0</v>
          </cell>
          <cell r="E7988">
            <v>0</v>
          </cell>
          <cell r="F7988">
            <v>0</v>
          </cell>
          <cell r="G7988">
            <v>0</v>
          </cell>
        </row>
        <row r="7989">
          <cell r="A7989" t="str">
            <v>57-01-01-0397</v>
          </cell>
          <cell r="B7989">
            <v>0</v>
          </cell>
          <cell r="C7989" t="str">
            <v xml:space="preserve">  22402 MUHAMMAD NAWAZ P.T B/ROOM-1 (A)</v>
          </cell>
          <cell r="D7989">
            <v>0</v>
          </cell>
          <cell r="E7989">
            <v>0</v>
          </cell>
          <cell r="F7989">
            <v>0</v>
          </cell>
          <cell r="G7989">
            <v>0</v>
          </cell>
        </row>
        <row r="7990">
          <cell r="A7990" t="str">
            <v>57-01-01-0398</v>
          </cell>
          <cell r="B7990">
            <v>0</v>
          </cell>
          <cell r="C7990" t="str">
            <v xml:space="preserve">  26757 SHAUKAT ALI JOBBER CARDING-2.</v>
          </cell>
          <cell r="D7990">
            <v>0</v>
          </cell>
          <cell r="E7990">
            <v>0</v>
          </cell>
          <cell r="F7990">
            <v>0</v>
          </cell>
          <cell r="G7990">
            <v>0</v>
          </cell>
        </row>
        <row r="7991">
          <cell r="A7991" t="str">
            <v>57-01-01-0399</v>
          </cell>
          <cell r="B7991">
            <v>0</v>
          </cell>
          <cell r="C7991" t="str">
            <v xml:space="preserve">  28137 MUHAMMAD ASLAM OPT A/C-2 (G)</v>
          </cell>
          <cell r="D7991">
            <v>0</v>
          </cell>
          <cell r="E7991">
            <v>0</v>
          </cell>
          <cell r="F7991">
            <v>0</v>
          </cell>
          <cell r="G7991">
            <v>0</v>
          </cell>
        </row>
        <row r="7992">
          <cell r="A7992" t="str">
            <v>57-01-01-0400</v>
          </cell>
          <cell r="B7992">
            <v>0</v>
          </cell>
          <cell r="C7992" t="str">
            <v xml:space="preserve">  28728 MUHAMMAD RASHID A/FILTER RING-3</v>
          </cell>
          <cell r="D7992">
            <v>0</v>
          </cell>
          <cell r="E7992">
            <v>0</v>
          </cell>
          <cell r="F7992">
            <v>0</v>
          </cell>
          <cell r="G7992">
            <v>0</v>
          </cell>
        </row>
        <row r="7993">
          <cell r="A7993" t="str">
            <v>57-01-01-0401</v>
          </cell>
          <cell r="B7993">
            <v>0</v>
          </cell>
          <cell r="C7993" t="str">
            <v xml:space="preserve">  26989 HAMID SALEEM ASST.FORMAN B/ROOM</v>
          </cell>
          <cell r="D7993">
            <v>0</v>
          </cell>
          <cell r="E7993">
            <v>0</v>
          </cell>
          <cell r="F7993">
            <v>0</v>
          </cell>
          <cell r="G7993">
            <v>0</v>
          </cell>
        </row>
        <row r="7994">
          <cell r="A7994" t="str">
            <v>57-01-01-0402</v>
          </cell>
          <cell r="B7994">
            <v>0</v>
          </cell>
          <cell r="C7994" t="str">
            <v xml:space="preserve">  27410 KASHIF MEHMOODFOREMAN B/ROOM-3</v>
          </cell>
          <cell r="D7994">
            <v>0</v>
          </cell>
          <cell r="E7994">
            <v>0</v>
          </cell>
          <cell r="F7994">
            <v>0</v>
          </cell>
          <cell r="G7994">
            <v>0</v>
          </cell>
        </row>
        <row r="7995">
          <cell r="A7995" t="str">
            <v>57-01-01-0403</v>
          </cell>
          <cell r="B7995">
            <v>0</v>
          </cell>
          <cell r="C7995" t="str">
            <v xml:space="preserve">  22383 HAMID HUSSAIN HELPER RING-4</v>
          </cell>
          <cell r="D7995">
            <v>0</v>
          </cell>
          <cell r="E7995">
            <v>0</v>
          </cell>
          <cell r="F7995">
            <v>0</v>
          </cell>
          <cell r="G7995">
            <v>0</v>
          </cell>
        </row>
        <row r="7996">
          <cell r="A7996" t="str">
            <v>57-01-01-0404</v>
          </cell>
          <cell r="B7996">
            <v>0</v>
          </cell>
          <cell r="C7996" t="str">
            <v xml:space="preserve">  29583 TARIQ MEHMOOD A/FILTER RING-3</v>
          </cell>
          <cell r="D7996">
            <v>0</v>
          </cell>
          <cell r="E7996">
            <v>0</v>
          </cell>
          <cell r="F7996">
            <v>0</v>
          </cell>
          <cell r="G7996">
            <v>0</v>
          </cell>
        </row>
        <row r="7997">
          <cell r="A7997" t="str">
            <v>57-01-01-0405</v>
          </cell>
          <cell r="B7997">
            <v>0</v>
          </cell>
          <cell r="C7997" t="str">
            <v xml:space="preserve">  21996 MUHAMMAD RIFAT D.D.T D/SIMP-1</v>
          </cell>
          <cell r="D7997">
            <v>0</v>
          </cell>
          <cell r="E7997">
            <v>0</v>
          </cell>
          <cell r="F7997">
            <v>0</v>
          </cell>
          <cell r="G7997">
            <v>0</v>
          </cell>
        </row>
        <row r="7998">
          <cell r="A7998" t="str">
            <v>57-01-01-0406</v>
          </cell>
          <cell r="B7998">
            <v>0</v>
          </cell>
          <cell r="C7998" t="str">
            <v xml:space="preserve">  27650 ASGHAR ALIFITTER A/C-4 (G)</v>
          </cell>
          <cell r="D7998">
            <v>0</v>
          </cell>
          <cell r="E7998">
            <v>0</v>
          </cell>
          <cell r="F7998">
            <v>0</v>
          </cell>
          <cell r="G7998">
            <v>0</v>
          </cell>
        </row>
        <row r="7999">
          <cell r="A7999" t="str">
            <v>57-01-01-0407</v>
          </cell>
          <cell r="B7999">
            <v>0</v>
          </cell>
          <cell r="C7999" t="str">
            <v xml:space="preserve">  28720 SAFDAR SHIFT I/C RING</v>
          </cell>
          <cell r="D7999">
            <v>0</v>
          </cell>
          <cell r="E7999">
            <v>0</v>
          </cell>
          <cell r="F7999">
            <v>0</v>
          </cell>
          <cell r="G7999">
            <v>0</v>
          </cell>
        </row>
        <row r="8000">
          <cell r="A8000" t="str">
            <v>57-01-01-0408</v>
          </cell>
          <cell r="B8000">
            <v>0</v>
          </cell>
          <cell r="C8000" t="str">
            <v xml:space="preserve">  28304 ZAHID IQBAL D.S.T D/SIMP-1 (C)</v>
          </cell>
          <cell r="D8000">
            <v>0</v>
          </cell>
          <cell r="E8000">
            <v>0</v>
          </cell>
          <cell r="F8000">
            <v>0</v>
          </cell>
          <cell r="G8000">
            <v>0</v>
          </cell>
        </row>
        <row r="8001">
          <cell r="A8001" t="str">
            <v>57-01-01-0409</v>
          </cell>
          <cell r="B8001">
            <v>0</v>
          </cell>
          <cell r="C8001" t="str">
            <v xml:space="preserve">  11969 IFTIKHAR AHMAD A/FITTER RING-1 (</v>
          </cell>
          <cell r="D8001">
            <v>0</v>
          </cell>
          <cell r="E8001">
            <v>0</v>
          </cell>
          <cell r="F8001">
            <v>0</v>
          </cell>
          <cell r="G8001">
            <v>0</v>
          </cell>
        </row>
        <row r="8002">
          <cell r="A8002" t="str">
            <v>57-01-01-0410</v>
          </cell>
          <cell r="B8002">
            <v>0</v>
          </cell>
          <cell r="C8002" t="str">
            <v xml:space="preserve">  25190 ASIF ALI OIL MAN RING-5 MILL2</v>
          </cell>
          <cell r="D8002">
            <v>0</v>
          </cell>
          <cell r="E8002">
            <v>0</v>
          </cell>
          <cell r="F8002">
            <v>0</v>
          </cell>
          <cell r="G8002">
            <v>0</v>
          </cell>
        </row>
        <row r="8003">
          <cell r="A8003" t="str">
            <v>57-01-01-0411</v>
          </cell>
          <cell r="B8003">
            <v>0</v>
          </cell>
          <cell r="C8003" t="str">
            <v xml:space="preserve">  16757 QAMAR ABBAS 4/S RING 1</v>
          </cell>
          <cell r="D8003">
            <v>0</v>
          </cell>
          <cell r="E8003">
            <v>0</v>
          </cell>
          <cell r="F8003">
            <v>0</v>
          </cell>
          <cell r="G8003">
            <v>0</v>
          </cell>
        </row>
        <row r="8004">
          <cell r="A8004" t="str">
            <v>57-01-01-0412</v>
          </cell>
          <cell r="B8004">
            <v>0</v>
          </cell>
          <cell r="C8004" t="str">
            <v xml:space="preserve">  13346 MUHAMMAD SALEEM D.D.T MILL#2</v>
          </cell>
          <cell r="D8004">
            <v>0</v>
          </cell>
          <cell r="E8004">
            <v>0</v>
          </cell>
          <cell r="F8004">
            <v>0</v>
          </cell>
          <cell r="G8004">
            <v>0</v>
          </cell>
        </row>
        <row r="8005">
          <cell r="A8005" t="str">
            <v>57-01-01-0413</v>
          </cell>
          <cell r="B8005">
            <v>0</v>
          </cell>
          <cell r="C8005" t="str">
            <v xml:space="preserve">  25191 ABDUL QAYYUM AUTO CONE MILL#2</v>
          </cell>
          <cell r="D8005">
            <v>0</v>
          </cell>
          <cell r="E8005">
            <v>0</v>
          </cell>
          <cell r="F8005">
            <v>0</v>
          </cell>
          <cell r="G8005">
            <v>0</v>
          </cell>
        </row>
        <row r="8006">
          <cell r="A8006" t="str">
            <v>57-01-01-0414</v>
          </cell>
          <cell r="B8006">
            <v>0</v>
          </cell>
          <cell r="C8006" t="str">
            <v xml:space="preserve">  28429 ASHFAQ AHMAD RING #4 SHIFT B</v>
          </cell>
          <cell r="D8006">
            <v>0</v>
          </cell>
          <cell r="E8006">
            <v>0</v>
          </cell>
          <cell r="F8006">
            <v>0</v>
          </cell>
          <cell r="G8006">
            <v>0</v>
          </cell>
        </row>
        <row r="8007">
          <cell r="A8007" t="str">
            <v>57-01-01-0415</v>
          </cell>
          <cell r="B8007">
            <v>0</v>
          </cell>
          <cell r="C8007" t="str">
            <v xml:space="preserve">  18977 MUHAMMAD AZMAT FITTER A/CONE</v>
          </cell>
          <cell r="D8007">
            <v>0</v>
          </cell>
          <cell r="E8007">
            <v>0</v>
          </cell>
          <cell r="F8007">
            <v>0</v>
          </cell>
          <cell r="G8007">
            <v>0</v>
          </cell>
        </row>
        <row r="8008">
          <cell r="A8008" t="str">
            <v>57-01-01-0416</v>
          </cell>
          <cell r="B8008">
            <v>0</v>
          </cell>
          <cell r="C8008" t="str">
            <v xml:space="preserve">  25900 SHAMS KHAN 4/S RING-6 MILL-1</v>
          </cell>
          <cell r="D8008">
            <v>0</v>
          </cell>
          <cell r="E8008">
            <v>0</v>
          </cell>
          <cell r="F8008">
            <v>0</v>
          </cell>
          <cell r="G8008">
            <v>0</v>
          </cell>
        </row>
        <row r="8009">
          <cell r="A8009" t="str">
            <v>57-01-01-0417</v>
          </cell>
          <cell r="B8009">
            <v>0</v>
          </cell>
          <cell r="C8009" t="str">
            <v xml:space="preserve">  7219 ZAHID IQBAL A/F/MAN A/CONE-2 (G)</v>
          </cell>
          <cell r="D8009">
            <v>8000</v>
          </cell>
          <cell r="E8009">
            <v>0</v>
          </cell>
          <cell r="F8009">
            <v>0</v>
          </cell>
          <cell r="G8009">
            <v>0</v>
          </cell>
        </row>
        <row r="8010">
          <cell r="A8010" t="str">
            <v>57-01-01-0418</v>
          </cell>
          <cell r="B8010">
            <v>0</v>
          </cell>
          <cell r="C8010" t="str">
            <v xml:space="preserve">  24035 JEHANGIR AHMED JOBBER RING-4</v>
          </cell>
          <cell r="D8010">
            <v>0</v>
          </cell>
          <cell r="E8010">
            <v>0</v>
          </cell>
          <cell r="F8010">
            <v>0</v>
          </cell>
          <cell r="G8010">
            <v>0</v>
          </cell>
        </row>
        <row r="8011">
          <cell r="A8011" t="str">
            <v>57-01-01-0419</v>
          </cell>
          <cell r="B8011">
            <v>0</v>
          </cell>
          <cell r="C8011" t="str">
            <v xml:space="preserve">  27496 MUHAMMAD USMAN A/FITTER RING-5</v>
          </cell>
          <cell r="D8011">
            <v>0</v>
          </cell>
          <cell r="E8011">
            <v>0</v>
          </cell>
          <cell r="F8011">
            <v>0</v>
          </cell>
          <cell r="G8011">
            <v>0</v>
          </cell>
        </row>
        <row r="8012">
          <cell r="A8012" t="str">
            <v>57-01-01-0420</v>
          </cell>
          <cell r="B8012">
            <v>0</v>
          </cell>
          <cell r="C8012" t="str">
            <v xml:space="preserve">  9039 MUHAMMAD TAHIR CEN.HELPER (ADMN)</v>
          </cell>
          <cell r="D8012">
            <v>0</v>
          </cell>
          <cell r="E8012">
            <v>0</v>
          </cell>
          <cell r="F8012">
            <v>0</v>
          </cell>
          <cell r="G8012">
            <v>0</v>
          </cell>
        </row>
        <row r="8013">
          <cell r="A8013" t="str">
            <v>57-01-01-0421</v>
          </cell>
          <cell r="B8013">
            <v>0</v>
          </cell>
          <cell r="C8013" t="str">
            <v xml:space="preserve">  29962 IMAM DIN FOREMAN D/SIMPLEX-3 (G)</v>
          </cell>
          <cell r="D8013">
            <v>0</v>
          </cell>
          <cell r="E8013">
            <v>0</v>
          </cell>
          <cell r="F8013">
            <v>0</v>
          </cell>
          <cell r="G8013">
            <v>0</v>
          </cell>
        </row>
        <row r="8014">
          <cell r="A8014" t="str">
            <v>57-01-01-0422</v>
          </cell>
          <cell r="B8014">
            <v>0</v>
          </cell>
          <cell r="C8014" t="str">
            <v xml:space="preserve">  23531 MUHAMMAD SAJJAD A/FITT D/SIMP-1</v>
          </cell>
          <cell r="D8014">
            <v>0</v>
          </cell>
          <cell r="E8014">
            <v>0</v>
          </cell>
          <cell r="F8014">
            <v>0</v>
          </cell>
          <cell r="G8014">
            <v>0</v>
          </cell>
        </row>
        <row r="8015">
          <cell r="A8015" t="str">
            <v>57-01-01-0423</v>
          </cell>
          <cell r="B8015">
            <v>0</v>
          </cell>
          <cell r="C8015" t="str">
            <v xml:space="preserve">  30196 NAZAKAT ALI D/F D/SIMP-1 (C)</v>
          </cell>
          <cell r="D8015">
            <v>0</v>
          </cell>
          <cell r="E8015">
            <v>0</v>
          </cell>
          <cell r="F8015">
            <v>0</v>
          </cell>
          <cell r="G8015">
            <v>0</v>
          </cell>
        </row>
        <row r="8016">
          <cell r="A8016" t="str">
            <v>57-01-01-0424</v>
          </cell>
          <cell r="B8016">
            <v>0</v>
          </cell>
          <cell r="C8016" t="str">
            <v xml:space="preserve">  27495 MUHAMMAD SHAHID H/FITTER RING</v>
          </cell>
          <cell r="D8016">
            <v>0</v>
          </cell>
          <cell r="E8016">
            <v>0</v>
          </cell>
          <cell r="F8016">
            <v>0</v>
          </cell>
          <cell r="G8016">
            <v>0</v>
          </cell>
        </row>
        <row r="8017">
          <cell r="A8017" t="str">
            <v>57-01-01-0425</v>
          </cell>
          <cell r="B8017">
            <v>0</v>
          </cell>
          <cell r="C8017" t="str">
            <v xml:space="preserve">  26362 AKBAR ALI JOBBER D/SIMP-2</v>
          </cell>
          <cell r="D8017">
            <v>0</v>
          </cell>
          <cell r="E8017">
            <v>0</v>
          </cell>
          <cell r="F8017">
            <v>0</v>
          </cell>
          <cell r="G8017">
            <v>0</v>
          </cell>
        </row>
        <row r="8018">
          <cell r="A8018" t="str">
            <v>57-01-01-0426</v>
          </cell>
          <cell r="B8018">
            <v>0</v>
          </cell>
          <cell r="C8018" t="str">
            <v xml:space="preserve">  22331 FARYAD HUSSAIN 4/S RING-1 (C)</v>
          </cell>
          <cell r="D8018">
            <v>0</v>
          </cell>
          <cell r="E8018">
            <v>0</v>
          </cell>
          <cell r="F8018">
            <v>0</v>
          </cell>
          <cell r="G8018">
            <v>0</v>
          </cell>
        </row>
        <row r="8019">
          <cell r="A8019" t="str">
            <v>57-01-01-0427</v>
          </cell>
          <cell r="B8019">
            <v>0</v>
          </cell>
          <cell r="C8019" t="str">
            <v xml:space="preserve">  17606 LIAQAT ALI JOBBER RING-3</v>
          </cell>
          <cell r="D8019">
            <v>0</v>
          </cell>
          <cell r="E8019">
            <v>0</v>
          </cell>
          <cell r="F8019">
            <v>0</v>
          </cell>
          <cell r="G8019">
            <v>0</v>
          </cell>
        </row>
        <row r="8020">
          <cell r="A8020" t="str">
            <v>57-01-01-0428</v>
          </cell>
          <cell r="B8020">
            <v>0</v>
          </cell>
          <cell r="C8020" t="str">
            <v xml:space="preserve">  24190 MANZAR ABBAS JOBBER B/ROOM (C)</v>
          </cell>
          <cell r="D8020">
            <v>0</v>
          </cell>
          <cell r="E8020">
            <v>0</v>
          </cell>
          <cell r="F8020">
            <v>0</v>
          </cell>
          <cell r="G8020">
            <v>0</v>
          </cell>
        </row>
        <row r="8021">
          <cell r="A8021" t="str">
            <v>57-01-01-0429</v>
          </cell>
          <cell r="B8021">
            <v>0</v>
          </cell>
          <cell r="C8021" t="str">
            <v xml:space="preserve">  28899 IFTIKHAR AHMED TAPE MAN RING-4</v>
          </cell>
          <cell r="D8021">
            <v>0</v>
          </cell>
          <cell r="E8021">
            <v>0</v>
          </cell>
          <cell r="F8021">
            <v>0</v>
          </cell>
          <cell r="G8021">
            <v>0</v>
          </cell>
        </row>
        <row r="8022">
          <cell r="A8022" t="str">
            <v>57-01-01-0430</v>
          </cell>
          <cell r="B8022">
            <v>0</v>
          </cell>
          <cell r="C8022" t="str">
            <v xml:space="preserve">  19068 MUSLIM KHAN ASSTT. JOBBER D/SIMP</v>
          </cell>
          <cell r="D8022">
            <v>0</v>
          </cell>
          <cell r="E8022">
            <v>0</v>
          </cell>
          <cell r="F8022">
            <v>0</v>
          </cell>
          <cell r="G8022">
            <v>0</v>
          </cell>
        </row>
        <row r="8023">
          <cell r="A8023" t="str">
            <v>57-01-01-0431</v>
          </cell>
          <cell r="B8023">
            <v>0</v>
          </cell>
          <cell r="C8023" t="str">
            <v xml:space="preserve">  30989 SHAFQAT ALI D/F SIMPLEX-1 (C)</v>
          </cell>
          <cell r="D8023">
            <v>0</v>
          </cell>
          <cell r="E8023">
            <v>0</v>
          </cell>
          <cell r="F8023">
            <v>0</v>
          </cell>
          <cell r="G8023">
            <v>0</v>
          </cell>
        </row>
        <row r="8024">
          <cell r="A8024" t="str">
            <v>57-01-01-0432</v>
          </cell>
          <cell r="B8024">
            <v>0</v>
          </cell>
          <cell r="C8024" t="str">
            <v xml:space="preserve">  15975 MUHAMMAD AKHTAR JOBBER RING-5</v>
          </cell>
          <cell r="D8024">
            <v>0</v>
          </cell>
          <cell r="E8024">
            <v>0</v>
          </cell>
          <cell r="F8024">
            <v>0</v>
          </cell>
          <cell r="G8024">
            <v>0</v>
          </cell>
        </row>
        <row r="8025">
          <cell r="A8025" t="str">
            <v>57-01-01-0433</v>
          </cell>
          <cell r="B8025">
            <v>0</v>
          </cell>
          <cell r="C8025" t="str">
            <v xml:space="preserve">  29481 MUHAMMAD ASHRAF A/F/MAN RING-3</v>
          </cell>
          <cell r="D8025">
            <v>0</v>
          </cell>
          <cell r="E8025">
            <v>0</v>
          </cell>
          <cell r="F8025">
            <v>0</v>
          </cell>
          <cell r="G8025">
            <v>0</v>
          </cell>
        </row>
        <row r="8026">
          <cell r="A8026" t="str">
            <v>57-01-01-0434</v>
          </cell>
          <cell r="B8026">
            <v>0</v>
          </cell>
          <cell r="C8026" t="str">
            <v xml:space="preserve">  28062 ASGHAR ALI H/ FITTER A/CONE-3 (G</v>
          </cell>
          <cell r="D8026">
            <v>0</v>
          </cell>
          <cell r="E8026">
            <v>0</v>
          </cell>
          <cell r="F8026">
            <v>0</v>
          </cell>
          <cell r="G8026">
            <v>0</v>
          </cell>
        </row>
        <row r="8027">
          <cell r="A8027" t="str">
            <v>57-01-01-0435</v>
          </cell>
          <cell r="B8027">
            <v>0</v>
          </cell>
          <cell r="C8027" t="str">
            <v xml:space="preserve">  28088 BASIT MEHMOOD FOREMAN MILL-3 (G)</v>
          </cell>
          <cell r="D8027">
            <v>0</v>
          </cell>
          <cell r="E8027">
            <v>0</v>
          </cell>
          <cell r="F8027">
            <v>0</v>
          </cell>
          <cell r="G8027">
            <v>0</v>
          </cell>
        </row>
        <row r="8028">
          <cell r="A8028" t="str">
            <v>57-01-01-0436</v>
          </cell>
          <cell r="B8028">
            <v>0</v>
          </cell>
          <cell r="C8028" t="str">
            <v xml:space="preserve">  29966 GHULAM SABIR HELPER RING-4 (G)</v>
          </cell>
          <cell r="D8028">
            <v>0</v>
          </cell>
          <cell r="E8028">
            <v>0</v>
          </cell>
          <cell r="F8028">
            <v>0</v>
          </cell>
          <cell r="G8028">
            <v>0</v>
          </cell>
        </row>
        <row r="8029">
          <cell r="A8029" t="str">
            <v>57-01-01-0437</v>
          </cell>
          <cell r="B8029">
            <v>0</v>
          </cell>
          <cell r="C8029" t="str">
            <v xml:space="preserve">  24387 FAYAZ AHMED JOBBER D/SIMP-2</v>
          </cell>
          <cell r="D8029">
            <v>0</v>
          </cell>
          <cell r="E8029">
            <v>0</v>
          </cell>
          <cell r="F8029">
            <v>0</v>
          </cell>
          <cell r="G8029">
            <v>0</v>
          </cell>
        </row>
        <row r="8030">
          <cell r="A8030" t="str">
            <v>57-01-01-0438</v>
          </cell>
          <cell r="B8030">
            <v>0</v>
          </cell>
          <cell r="C8030" t="str">
            <v xml:space="preserve">  29904 AMJAD HUSSAIN P.T B/ROOM-2 (C)</v>
          </cell>
          <cell r="D8030">
            <v>0</v>
          </cell>
          <cell r="E8030">
            <v>0</v>
          </cell>
          <cell r="F8030">
            <v>0</v>
          </cell>
          <cell r="G8030">
            <v>0</v>
          </cell>
        </row>
        <row r="8031">
          <cell r="A8031" t="str">
            <v>57-01-01-0439</v>
          </cell>
          <cell r="B8031">
            <v>0</v>
          </cell>
          <cell r="C8031" t="str">
            <v xml:space="preserve">  29143 GHULAM MUSTAFA OPT. A/C-2 (G)</v>
          </cell>
          <cell r="D8031">
            <v>0</v>
          </cell>
          <cell r="E8031">
            <v>0</v>
          </cell>
          <cell r="F8031">
            <v>0</v>
          </cell>
          <cell r="G8031">
            <v>0</v>
          </cell>
        </row>
        <row r="8032">
          <cell r="A8032" t="str">
            <v>57-01-01-0440</v>
          </cell>
          <cell r="B8032">
            <v>0</v>
          </cell>
          <cell r="C8032" t="str">
            <v xml:space="preserve">  24191 IFTIKHAR AHMED WIRE MAN ELECTRIC</v>
          </cell>
          <cell r="D8032">
            <v>0</v>
          </cell>
          <cell r="E8032">
            <v>0</v>
          </cell>
          <cell r="F8032">
            <v>0</v>
          </cell>
          <cell r="G8032">
            <v>0</v>
          </cell>
        </row>
        <row r="8033">
          <cell r="A8033" t="str">
            <v>57-01-01-0441</v>
          </cell>
          <cell r="B8033">
            <v>0</v>
          </cell>
          <cell r="C8033" t="str">
            <v xml:space="preserve">  30097 MUHAMMAD FAYYAZ JOBBER RING-4</v>
          </cell>
          <cell r="D8033">
            <v>0</v>
          </cell>
          <cell r="E8033">
            <v>0</v>
          </cell>
          <cell r="F8033">
            <v>0</v>
          </cell>
          <cell r="G8033">
            <v>0</v>
          </cell>
        </row>
        <row r="8034">
          <cell r="A8034" t="str">
            <v>57-01-01-0442</v>
          </cell>
          <cell r="B8034">
            <v>0</v>
          </cell>
          <cell r="C8034" t="str">
            <v xml:space="preserve">  SHABBIR AHMED DRIVER</v>
          </cell>
          <cell r="D8034">
            <v>0</v>
          </cell>
          <cell r="E8034">
            <v>0</v>
          </cell>
          <cell r="F8034">
            <v>0</v>
          </cell>
          <cell r="G8034">
            <v>0</v>
          </cell>
        </row>
        <row r="8035">
          <cell r="A8035" t="str">
            <v>57-01-01-0443</v>
          </cell>
          <cell r="B8035">
            <v>0</v>
          </cell>
          <cell r="C8035" t="str">
            <v xml:space="preserve">  24987 MUSHTAQ AHMEDS/FITTERRING-4</v>
          </cell>
          <cell r="D8035">
            <v>0</v>
          </cell>
          <cell r="E8035">
            <v>0</v>
          </cell>
          <cell r="F8035">
            <v>0</v>
          </cell>
          <cell r="G8035">
            <v>0</v>
          </cell>
        </row>
        <row r="8036">
          <cell r="A8036" t="str">
            <v>57-01-01-0444</v>
          </cell>
          <cell r="B8036">
            <v>0</v>
          </cell>
          <cell r="C8036" t="str">
            <v xml:space="preserve">  22172 GHULAM YASIN P.T B/ROOM-2 (A)</v>
          </cell>
          <cell r="D8036">
            <v>0</v>
          </cell>
          <cell r="E8036">
            <v>0</v>
          </cell>
          <cell r="F8036">
            <v>0</v>
          </cell>
          <cell r="G8036">
            <v>0</v>
          </cell>
        </row>
        <row r="8037">
          <cell r="A8037" t="str">
            <v>57-01-01-0445</v>
          </cell>
          <cell r="B8037">
            <v>0</v>
          </cell>
          <cell r="C8037" t="str">
            <v xml:space="preserve">  25065 AHMED YAR OPT A/CONE-1 (B)</v>
          </cell>
          <cell r="D8037">
            <v>0</v>
          </cell>
          <cell r="E8037">
            <v>0</v>
          </cell>
          <cell r="F8037">
            <v>0</v>
          </cell>
          <cell r="G8037">
            <v>0</v>
          </cell>
        </row>
        <row r="8038">
          <cell r="A8038" t="str">
            <v>57-01-01-0446</v>
          </cell>
          <cell r="B8038">
            <v>0</v>
          </cell>
          <cell r="C8038" t="str">
            <v xml:space="preserve">  30622 SYED ABBAS SHAH A/JOBB CARD-2</v>
          </cell>
          <cell r="D8038">
            <v>0</v>
          </cell>
          <cell r="E8038">
            <v>0</v>
          </cell>
          <cell r="F8038">
            <v>0</v>
          </cell>
          <cell r="G8038">
            <v>0</v>
          </cell>
        </row>
        <row r="8039">
          <cell r="A8039" t="str">
            <v>57-01-01-0447</v>
          </cell>
          <cell r="B8039">
            <v>0</v>
          </cell>
          <cell r="C8039" t="str">
            <v xml:space="preserve">  20928 JAVAID IQBAL 4/S RING-1 (A)</v>
          </cell>
          <cell r="D8039">
            <v>0</v>
          </cell>
          <cell r="E8039">
            <v>0</v>
          </cell>
          <cell r="F8039">
            <v>0</v>
          </cell>
          <cell r="G8039">
            <v>0</v>
          </cell>
        </row>
        <row r="8040">
          <cell r="A8040" t="str">
            <v>57-01-01-0448</v>
          </cell>
          <cell r="B8040">
            <v>0</v>
          </cell>
          <cell r="C8040" t="str">
            <v xml:space="preserve">  29789 JAVAID IQBAL OPT. A/CONE-1 (B)</v>
          </cell>
          <cell r="D8040">
            <v>0</v>
          </cell>
          <cell r="E8040">
            <v>0</v>
          </cell>
          <cell r="F8040">
            <v>0</v>
          </cell>
          <cell r="G8040">
            <v>0</v>
          </cell>
        </row>
        <row r="8041">
          <cell r="A8041" t="str">
            <v>57-01-01-0449</v>
          </cell>
          <cell r="B8041">
            <v>0</v>
          </cell>
          <cell r="C8041" t="str">
            <v xml:space="preserve">  15459 ALLAH YAR OPT. A/CONE-1 (A)</v>
          </cell>
          <cell r="D8041">
            <v>0</v>
          </cell>
          <cell r="E8041">
            <v>0</v>
          </cell>
          <cell r="F8041">
            <v>0</v>
          </cell>
          <cell r="G8041">
            <v>0</v>
          </cell>
        </row>
        <row r="8042">
          <cell r="A8042" t="str">
            <v>57-01-01-0450</v>
          </cell>
          <cell r="B8042">
            <v>0</v>
          </cell>
          <cell r="C8042" t="str">
            <v xml:space="preserve">  23052 AMJAD ALI JOBBER RING-3</v>
          </cell>
          <cell r="D8042">
            <v>0</v>
          </cell>
          <cell r="E8042">
            <v>0</v>
          </cell>
          <cell r="F8042">
            <v>0</v>
          </cell>
          <cell r="G8042">
            <v>0</v>
          </cell>
        </row>
        <row r="8043">
          <cell r="A8043" t="str">
            <v>57-01-01-0451</v>
          </cell>
          <cell r="B8043">
            <v>0</v>
          </cell>
          <cell r="C8043" t="str">
            <v xml:space="preserve">  26636 MUHAMMAD SUFYAN HELPER W/SHOP</v>
          </cell>
          <cell r="D8043">
            <v>0</v>
          </cell>
          <cell r="E8043">
            <v>0</v>
          </cell>
          <cell r="F8043">
            <v>0</v>
          </cell>
          <cell r="G8043">
            <v>0</v>
          </cell>
        </row>
        <row r="8044">
          <cell r="A8044" t="str">
            <v>57-01-01-0452</v>
          </cell>
          <cell r="B8044">
            <v>0</v>
          </cell>
          <cell r="C8044" t="str">
            <v xml:space="preserve">  23002 ASIF MEHMOOD A/FITTER A/CONE-4</v>
          </cell>
          <cell r="D8044">
            <v>0</v>
          </cell>
          <cell r="E8044">
            <v>0</v>
          </cell>
          <cell r="F8044">
            <v>0</v>
          </cell>
          <cell r="G8044">
            <v>0</v>
          </cell>
        </row>
        <row r="8045">
          <cell r="A8045" t="str">
            <v>57-01-01-0453</v>
          </cell>
          <cell r="B8045">
            <v>0</v>
          </cell>
          <cell r="C8045" t="str">
            <v xml:space="preserve">  31300 HUSSAIN SUBHANI HELPER RING-4</v>
          </cell>
          <cell r="D8045">
            <v>0</v>
          </cell>
          <cell r="E8045">
            <v>0</v>
          </cell>
          <cell r="F8045">
            <v>0</v>
          </cell>
          <cell r="G8045">
            <v>0</v>
          </cell>
        </row>
        <row r="8046">
          <cell r="A8046" t="str">
            <v>57-01-01-0454</v>
          </cell>
          <cell r="B8046">
            <v>0</v>
          </cell>
          <cell r="C8046" t="str">
            <v xml:space="preserve">  27309 MEHDI KHAN 4/S RING-4 (B)</v>
          </cell>
          <cell r="D8046">
            <v>0</v>
          </cell>
          <cell r="E8046">
            <v>0</v>
          </cell>
          <cell r="F8046">
            <v>0</v>
          </cell>
          <cell r="G8046">
            <v>0</v>
          </cell>
        </row>
        <row r="8047">
          <cell r="A8047" t="str">
            <v>57-01-01-0455</v>
          </cell>
          <cell r="B8047">
            <v>0</v>
          </cell>
          <cell r="C8047" t="str">
            <v xml:space="preserve">  24572 MUHAMMAD JEHANGIR A/FITTER RING</v>
          </cell>
          <cell r="D8047">
            <v>0</v>
          </cell>
          <cell r="E8047">
            <v>0</v>
          </cell>
          <cell r="F8047">
            <v>0</v>
          </cell>
          <cell r="G8047">
            <v>0</v>
          </cell>
        </row>
        <row r="8048">
          <cell r="A8048" t="str">
            <v>57-01-01-0456</v>
          </cell>
          <cell r="B8048">
            <v>0</v>
          </cell>
          <cell r="C8048" t="str">
            <v xml:space="preserve">  30313 ABDUL SATTAR JOBBER RING MILL-3</v>
          </cell>
          <cell r="D8048">
            <v>0</v>
          </cell>
          <cell r="E8048">
            <v>0</v>
          </cell>
          <cell r="F8048">
            <v>0</v>
          </cell>
          <cell r="G8048">
            <v>0</v>
          </cell>
        </row>
        <row r="8049">
          <cell r="A8049" t="str">
            <v>57-01-01-0457</v>
          </cell>
          <cell r="B8049">
            <v>0</v>
          </cell>
          <cell r="C8049" t="str">
            <v xml:space="preserve">  30098 MUZAFFAR HUSSAIN 4/S RING-4 (A)</v>
          </cell>
          <cell r="D8049">
            <v>0</v>
          </cell>
          <cell r="E8049">
            <v>0</v>
          </cell>
          <cell r="F8049">
            <v>0</v>
          </cell>
          <cell r="G8049">
            <v>0</v>
          </cell>
        </row>
        <row r="8050">
          <cell r="A8050" t="str">
            <v>57-01-01-0458</v>
          </cell>
          <cell r="B8050">
            <v>0</v>
          </cell>
          <cell r="C8050" t="str">
            <v xml:space="preserve">  8202 SHER MUHAMMAD D.D.T D/SIMP-1 (A)</v>
          </cell>
          <cell r="D8050">
            <v>0</v>
          </cell>
          <cell r="E8050">
            <v>0</v>
          </cell>
          <cell r="F8050">
            <v>0</v>
          </cell>
          <cell r="G8050">
            <v>0</v>
          </cell>
        </row>
        <row r="8051">
          <cell r="A8051" t="str">
            <v>57-01-01-0459</v>
          </cell>
          <cell r="B8051">
            <v>0</v>
          </cell>
          <cell r="C8051" t="str">
            <v xml:space="preserve">  21123 MUHAMMAD IDREES JOBBER RING-1</v>
          </cell>
          <cell r="D8051">
            <v>0</v>
          </cell>
          <cell r="E8051">
            <v>0</v>
          </cell>
          <cell r="F8051">
            <v>0</v>
          </cell>
          <cell r="G8051">
            <v>0</v>
          </cell>
        </row>
        <row r="8052">
          <cell r="A8052" t="str">
            <v>57-01-01-0460</v>
          </cell>
          <cell r="B8052">
            <v>0</v>
          </cell>
          <cell r="C8052" t="str">
            <v xml:space="preserve">  31410 ABDUL AZIZ S/INC RING-4 SH-AM</v>
          </cell>
          <cell r="D8052">
            <v>0</v>
          </cell>
          <cell r="E8052">
            <v>0</v>
          </cell>
          <cell r="F8052">
            <v>0</v>
          </cell>
          <cell r="G8052">
            <v>0</v>
          </cell>
        </row>
        <row r="8053">
          <cell r="A8053" t="str">
            <v>57-01-01-0461</v>
          </cell>
          <cell r="B8053">
            <v>0</v>
          </cell>
          <cell r="C8053" t="str">
            <v xml:space="preserve">  16131 RASHID ALI S.INCH R-1 S.C MILL</v>
          </cell>
          <cell r="D8053">
            <v>0</v>
          </cell>
          <cell r="E8053">
            <v>0</v>
          </cell>
          <cell r="F8053">
            <v>0</v>
          </cell>
          <cell r="G8053">
            <v>0</v>
          </cell>
        </row>
        <row r="8054">
          <cell r="A8054" t="str">
            <v>57-01-01-0462</v>
          </cell>
          <cell r="B8054">
            <v>0</v>
          </cell>
          <cell r="C8054" t="str">
            <v xml:space="preserve">  27516 IMTIAZ HUSSAIN D.S.T. D/S-I SH.</v>
          </cell>
          <cell r="D8054">
            <v>0</v>
          </cell>
          <cell r="E8054">
            <v>0</v>
          </cell>
          <cell r="F8054">
            <v>0</v>
          </cell>
          <cell r="G8054">
            <v>0</v>
          </cell>
        </row>
        <row r="8055">
          <cell r="A8055" t="str">
            <v>57-01-01-0463</v>
          </cell>
          <cell r="B8055">
            <v>0</v>
          </cell>
          <cell r="C8055" t="str">
            <v xml:space="preserve">  24818 MUHAMMAD KHAN JOBBER D/SIMP-1</v>
          </cell>
          <cell r="D8055">
            <v>0</v>
          </cell>
          <cell r="E8055">
            <v>0</v>
          </cell>
          <cell r="F8055">
            <v>0</v>
          </cell>
          <cell r="G8055">
            <v>0</v>
          </cell>
        </row>
        <row r="8056">
          <cell r="A8056" t="str">
            <v>57-01-01-0464</v>
          </cell>
          <cell r="B8056">
            <v>0</v>
          </cell>
          <cell r="C8056" t="str">
            <v xml:space="preserve">  8277 MUHAMMAD ASADULLAH MIXIXNG SUPER</v>
          </cell>
          <cell r="D8056">
            <v>0</v>
          </cell>
          <cell r="E8056">
            <v>0</v>
          </cell>
          <cell r="F8056">
            <v>0</v>
          </cell>
          <cell r="G8056">
            <v>0</v>
          </cell>
        </row>
        <row r="8057">
          <cell r="A8057" t="str">
            <v>57-01-01-0465</v>
          </cell>
          <cell r="B8057">
            <v>0</v>
          </cell>
          <cell r="C8057" t="str">
            <v xml:space="preserve">  26261 ABDULLAH KHAN JOBBER MILL-3</v>
          </cell>
          <cell r="D8057">
            <v>0</v>
          </cell>
          <cell r="E8057">
            <v>0</v>
          </cell>
          <cell r="F8057">
            <v>0</v>
          </cell>
          <cell r="G8057">
            <v>0</v>
          </cell>
        </row>
        <row r="8058">
          <cell r="A8058" t="str">
            <v>57-01-01-0466</v>
          </cell>
          <cell r="B8058">
            <v>0</v>
          </cell>
          <cell r="C8058" t="str">
            <v xml:space="preserve">  29353 ABDUL RAZZAK SHIFT INCH. MILL-3</v>
          </cell>
          <cell r="D8058">
            <v>0</v>
          </cell>
          <cell r="E8058">
            <v>0</v>
          </cell>
          <cell r="F8058">
            <v>0</v>
          </cell>
          <cell r="G8058">
            <v>0</v>
          </cell>
        </row>
        <row r="8059">
          <cell r="A8059" t="str">
            <v>57-01-01-0467</v>
          </cell>
          <cell r="B8059">
            <v>0</v>
          </cell>
          <cell r="C8059" t="str">
            <v xml:space="preserve">  23598 MURID ABBAS JOBBER A/CONE-3</v>
          </cell>
          <cell r="D8059">
            <v>0</v>
          </cell>
          <cell r="E8059">
            <v>0</v>
          </cell>
          <cell r="F8059">
            <v>0</v>
          </cell>
          <cell r="G8059">
            <v>0</v>
          </cell>
        </row>
        <row r="8060">
          <cell r="A8060" t="str">
            <v>57-01-01-0468</v>
          </cell>
          <cell r="B8060">
            <v>0</v>
          </cell>
          <cell r="C8060" t="str">
            <v xml:space="preserve">  27303 TALAT HUSSAIN 4/S (B) RING-4</v>
          </cell>
          <cell r="D8060">
            <v>0</v>
          </cell>
          <cell r="E8060">
            <v>0</v>
          </cell>
          <cell r="F8060">
            <v>0</v>
          </cell>
          <cell r="G8060">
            <v>0</v>
          </cell>
        </row>
        <row r="8061">
          <cell r="A8061" t="str">
            <v>57-01-01-0469</v>
          </cell>
          <cell r="B8061">
            <v>0</v>
          </cell>
          <cell r="C8061" t="str">
            <v xml:space="preserve">  31867 KHALID MEHMOOD 4/S RING-4</v>
          </cell>
          <cell r="D8061">
            <v>0</v>
          </cell>
          <cell r="E8061">
            <v>0</v>
          </cell>
          <cell r="F8061">
            <v>0</v>
          </cell>
          <cell r="G8061">
            <v>0</v>
          </cell>
        </row>
        <row r="8062">
          <cell r="A8062" t="str">
            <v>57-01-01-0470</v>
          </cell>
          <cell r="B8062">
            <v>0</v>
          </cell>
          <cell r="C8062" t="str">
            <v xml:space="preserve">  28067 SALAMAT ALI SR.QTY OBS LAB-2</v>
          </cell>
          <cell r="D8062">
            <v>0</v>
          </cell>
          <cell r="E8062">
            <v>0</v>
          </cell>
          <cell r="F8062">
            <v>0</v>
          </cell>
          <cell r="G8062">
            <v>0</v>
          </cell>
        </row>
        <row r="8063">
          <cell r="A8063" t="str">
            <v>57-01-01-0471</v>
          </cell>
          <cell r="B8063">
            <v>0</v>
          </cell>
          <cell r="C8063" t="str">
            <v xml:space="preserve">  29679 MUHAMMAD JAMIL A/FIT R-3 MILL #</v>
          </cell>
          <cell r="D8063">
            <v>0</v>
          </cell>
          <cell r="E8063">
            <v>0</v>
          </cell>
          <cell r="F8063">
            <v>0</v>
          </cell>
          <cell r="G8063">
            <v>0</v>
          </cell>
        </row>
        <row r="8064">
          <cell r="A8064" t="str">
            <v>57-01-01-0472</v>
          </cell>
          <cell r="B8064">
            <v>0</v>
          </cell>
          <cell r="C8064" t="str">
            <v xml:space="preserve">  27730 MUHAMMAD AFSAR H/FITTER CARDING</v>
          </cell>
          <cell r="D8064">
            <v>0</v>
          </cell>
          <cell r="E8064">
            <v>0</v>
          </cell>
          <cell r="F8064">
            <v>0</v>
          </cell>
          <cell r="G8064">
            <v>0</v>
          </cell>
        </row>
        <row r="8065">
          <cell r="A8065" t="str">
            <v>57-01-01-0473</v>
          </cell>
          <cell r="B8065">
            <v>0</v>
          </cell>
          <cell r="C8065" t="str">
            <v xml:space="preserve">  29919 EJAZ ALI DDT D/SIMP-1 (C)</v>
          </cell>
          <cell r="D8065">
            <v>0</v>
          </cell>
          <cell r="E8065">
            <v>0</v>
          </cell>
          <cell r="F8065">
            <v>0</v>
          </cell>
          <cell r="G8065">
            <v>0</v>
          </cell>
        </row>
        <row r="8066">
          <cell r="A8066" t="str">
            <v>57-01-01-0474</v>
          </cell>
          <cell r="B8066">
            <v>0</v>
          </cell>
          <cell r="C8066" t="str">
            <v xml:space="preserve">  17118 QAISER MUBEEN A/F/MAN CARD-1</v>
          </cell>
          <cell r="D8066">
            <v>0</v>
          </cell>
          <cell r="E8066">
            <v>0</v>
          </cell>
          <cell r="F8066">
            <v>0</v>
          </cell>
          <cell r="G8066">
            <v>0</v>
          </cell>
        </row>
        <row r="8067">
          <cell r="A8067" t="str">
            <v>57-01-01-0475</v>
          </cell>
          <cell r="B8067">
            <v>0</v>
          </cell>
          <cell r="C8067" t="str">
            <v xml:space="preserve">  32506 IRSHAD AHMED 4/S RING-4 (C)</v>
          </cell>
          <cell r="D8067">
            <v>0</v>
          </cell>
          <cell r="E8067">
            <v>0</v>
          </cell>
          <cell r="F8067">
            <v>0</v>
          </cell>
          <cell r="G8067">
            <v>0</v>
          </cell>
        </row>
        <row r="8068">
          <cell r="A8068" t="str">
            <v>57-01-01-0476</v>
          </cell>
          <cell r="B8068">
            <v>0</v>
          </cell>
          <cell r="C8068" t="str">
            <v xml:space="preserve">  32513 MUHAMMAD RAMZAN 4/S RING-4 (C)</v>
          </cell>
          <cell r="D8068">
            <v>0</v>
          </cell>
          <cell r="E8068">
            <v>0</v>
          </cell>
          <cell r="F8068">
            <v>0</v>
          </cell>
          <cell r="G8068">
            <v>0</v>
          </cell>
        </row>
        <row r="8069">
          <cell r="A8069" t="str">
            <v>57-01-01-0477</v>
          </cell>
          <cell r="B8069">
            <v>0</v>
          </cell>
          <cell r="C8069" t="str">
            <v xml:space="preserve">  33776 GHULAM MURTAZA H/JOBBER MILL-1</v>
          </cell>
          <cell r="D8069">
            <v>0</v>
          </cell>
          <cell r="E8069">
            <v>0</v>
          </cell>
          <cell r="F8069">
            <v>0</v>
          </cell>
          <cell r="G8069">
            <v>0</v>
          </cell>
        </row>
        <row r="8070">
          <cell r="A8070" t="str">
            <v>57-01-01-0478</v>
          </cell>
          <cell r="B8070">
            <v>0</v>
          </cell>
          <cell r="C8070" t="str">
            <v xml:space="preserve">  34839 FALAK SHER KHAN DY.FOREMAN MILL</v>
          </cell>
          <cell r="D8070">
            <v>0</v>
          </cell>
          <cell r="E8070">
            <v>0</v>
          </cell>
          <cell r="F8070">
            <v>0</v>
          </cell>
          <cell r="G8070">
            <v>0</v>
          </cell>
        </row>
        <row r="8071">
          <cell r="A8071" t="str">
            <v>57-01-01-0479</v>
          </cell>
          <cell r="B8071">
            <v>0</v>
          </cell>
          <cell r="C8071" t="str">
            <v xml:space="preserve">  34558 MUHAMMAD ARSHAD S.I.C RING MILL</v>
          </cell>
          <cell r="D8071">
            <v>0</v>
          </cell>
          <cell r="E8071">
            <v>0</v>
          </cell>
          <cell r="F8071">
            <v>0</v>
          </cell>
          <cell r="G8071">
            <v>0</v>
          </cell>
        </row>
        <row r="8072">
          <cell r="A8072" t="str">
            <v>57-01-01-0480</v>
          </cell>
          <cell r="B8072">
            <v>0</v>
          </cell>
          <cell r="C8072" t="str">
            <v xml:space="preserve">  33072 MUSHTAQ AHMED JOBBER RING MILL</v>
          </cell>
          <cell r="D8072">
            <v>0</v>
          </cell>
          <cell r="E8072">
            <v>0</v>
          </cell>
          <cell r="F8072">
            <v>0</v>
          </cell>
          <cell r="G8072">
            <v>0</v>
          </cell>
        </row>
        <row r="8073">
          <cell r="A8073" t="str">
            <v>57-01-01-0481</v>
          </cell>
          <cell r="B8073">
            <v>0</v>
          </cell>
          <cell r="C8073" t="str">
            <v xml:space="preserve">  35093 MUHAMMAD IBRAHIM FITTER A/C-2</v>
          </cell>
          <cell r="D8073">
            <v>0</v>
          </cell>
          <cell r="E8073">
            <v>0</v>
          </cell>
          <cell r="F8073">
            <v>0</v>
          </cell>
          <cell r="G8073">
            <v>0</v>
          </cell>
        </row>
        <row r="8074">
          <cell r="A8074" t="str">
            <v>57-01-01-0482</v>
          </cell>
          <cell r="B8074">
            <v>0</v>
          </cell>
          <cell r="C8074" t="str">
            <v xml:space="preserve">  33377 MUHAMMAD NAEEM H/FITT RING MILL</v>
          </cell>
          <cell r="D8074">
            <v>0</v>
          </cell>
          <cell r="E8074">
            <v>0</v>
          </cell>
          <cell r="F8074">
            <v>0</v>
          </cell>
          <cell r="G8074">
            <v>0</v>
          </cell>
        </row>
        <row r="8075">
          <cell r="A8075" t="str">
            <v>57-01-01-0483</v>
          </cell>
          <cell r="B8075">
            <v>0</v>
          </cell>
          <cell r="C8075" t="str">
            <v xml:space="preserve">  34258 HAQ NAWAZ D.S.T D/SIMPLEX-3 (A)</v>
          </cell>
          <cell r="D8075">
            <v>0</v>
          </cell>
          <cell r="E8075">
            <v>0</v>
          </cell>
          <cell r="F8075">
            <v>0</v>
          </cell>
          <cell r="G8075">
            <v>0</v>
          </cell>
        </row>
        <row r="8076">
          <cell r="A8076" t="str">
            <v>57-01-01-0484</v>
          </cell>
          <cell r="B8076">
            <v>0</v>
          </cell>
          <cell r="C8076" t="str">
            <v xml:space="preserve">  MUHAMMAD SARWAR COMP.</v>
          </cell>
          <cell r="D8076">
            <v>270000</v>
          </cell>
          <cell r="E8076">
            <v>0</v>
          </cell>
          <cell r="F8076">
            <v>0</v>
          </cell>
          <cell r="G8076">
            <v>0</v>
          </cell>
        </row>
        <row r="8077">
          <cell r="A8077" t="str">
            <v>57-01-01-0485</v>
          </cell>
          <cell r="B8077">
            <v>0</v>
          </cell>
          <cell r="C8077" t="str">
            <v xml:space="preserve">  26146 MUSHTAQ AHMED JOBBER D/SIMP MILL</v>
          </cell>
          <cell r="D8077">
            <v>0</v>
          </cell>
          <cell r="E8077">
            <v>0</v>
          </cell>
          <cell r="F8077">
            <v>0</v>
          </cell>
          <cell r="G8077">
            <v>0</v>
          </cell>
        </row>
        <row r="8078">
          <cell r="A8078" t="str">
            <v>57-01-01-0486</v>
          </cell>
          <cell r="B8078">
            <v>0</v>
          </cell>
          <cell r="C8078" t="str">
            <v xml:space="preserve">  23818 TARIQ MASOOD ASSTT.F/MAN/D/SIM</v>
          </cell>
          <cell r="D8078">
            <v>0</v>
          </cell>
          <cell r="E8078">
            <v>0</v>
          </cell>
          <cell r="F8078">
            <v>0</v>
          </cell>
          <cell r="G8078">
            <v>0</v>
          </cell>
        </row>
        <row r="8079">
          <cell r="A8079" t="str">
            <v>57-01-01-0487</v>
          </cell>
          <cell r="B8079">
            <v>0</v>
          </cell>
          <cell r="C8079" t="str">
            <v xml:space="preserve">  28638 MUHAMMAD SHEHBAZ SR.FITT.D/SIM</v>
          </cell>
          <cell r="D8079">
            <v>0</v>
          </cell>
          <cell r="E8079">
            <v>0</v>
          </cell>
          <cell r="F8079">
            <v>0</v>
          </cell>
          <cell r="G8079">
            <v>0</v>
          </cell>
        </row>
        <row r="8080">
          <cell r="A8080" t="str">
            <v>57-01-01-0488</v>
          </cell>
          <cell r="B8080">
            <v>0</v>
          </cell>
          <cell r="C8080" t="str">
            <v xml:space="preserve">  31975 MUHAMMAD YOUNAS D.D.T (B) D/SIM</v>
          </cell>
          <cell r="D8080">
            <v>0</v>
          </cell>
          <cell r="E8080">
            <v>0</v>
          </cell>
          <cell r="F8080">
            <v>0</v>
          </cell>
          <cell r="G8080">
            <v>0</v>
          </cell>
        </row>
        <row r="8081">
          <cell r="A8081" t="str">
            <v>57-01-01-0489</v>
          </cell>
          <cell r="B8081">
            <v>0</v>
          </cell>
          <cell r="C8081" t="str">
            <v xml:space="preserve">  18921 ABDUL HAFEEZ A/FITTER RING-6</v>
          </cell>
          <cell r="D8081">
            <v>0</v>
          </cell>
          <cell r="E8081">
            <v>0</v>
          </cell>
          <cell r="F8081">
            <v>0</v>
          </cell>
          <cell r="G8081">
            <v>0</v>
          </cell>
        </row>
        <row r="8082">
          <cell r="A8082" t="str">
            <v>57-01-01-0490</v>
          </cell>
          <cell r="B8082">
            <v>0</v>
          </cell>
          <cell r="C8082" t="str">
            <v xml:space="preserve">  33458 QAISER MEHMOOD FITTER RING MILL</v>
          </cell>
          <cell r="D8082">
            <v>0</v>
          </cell>
          <cell r="E8082">
            <v>0</v>
          </cell>
          <cell r="F8082">
            <v>0</v>
          </cell>
          <cell r="G8082">
            <v>0</v>
          </cell>
        </row>
        <row r="8083">
          <cell r="A8083" t="str">
            <v>57-01-01-0491</v>
          </cell>
          <cell r="B8083">
            <v>0</v>
          </cell>
          <cell r="C8083" t="str">
            <v xml:space="preserve">  34341 ABDUL KHALIQ FINISHING INCH.MIL</v>
          </cell>
          <cell r="D8083">
            <v>0</v>
          </cell>
          <cell r="E8083">
            <v>0</v>
          </cell>
          <cell r="F8083">
            <v>0</v>
          </cell>
          <cell r="G8083">
            <v>0</v>
          </cell>
        </row>
        <row r="8084">
          <cell r="A8084" t="str">
            <v>57-01-01-0492</v>
          </cell>
          <cell r="B8084">
            <v>0</v>
          </cell>
          <cell r="C8084" t="str">
            <v xml:space="preserve">  33587 ZAHID SHAHEEN SR-FITTER A/CONE</v>
          </cell>
          <cell r="D8084">
            <v>0</v>
          </cell>
          <cell r="E8084">
            <v>0</v>
          </cell>
          <cell r="F8084">
            <v>0</v>
          </cell>
          <cell r="G8084">
            <v>0</v>
          </cell>
        </row>
        <row r="8085">
          <cell r="A8085" t="str">
            <v>57-01-01-0493</v>
          </cell>
          <cell r="B8085">
            <v>0</v>
          </cell>
          <cell r="C8085" t="str">
            <v xml:space="preserve">  26204 MUHAMMAD RAMZAN QLTY.OBS LAB-2</v>
          </cell>
          <cell r="D8085">
            <v>0</v>
          </cell>
          <cell r="E8085">
            <v>0</v>
          </cell>
          <cell r="F8085">
            <v>0</v>
          </cell>
          <cell r="G8085">
            <v>0</v>
          </cell>
        </row>
        <row r="8086">
          <cell r="A8086" t="str">
            <v>57-01-01-0494</v>
          </cell>
          <cell r="B8086">
            <v>0</v>
          </cell>
          <cell r="C8086" t="str">
            <v xml:space="preserve">  32337 MIAN KHAN DDT D/SIMP-1 (A)</v>
          </cell>
          <cell r="D8086">
            <v>0</v>
          </cell>
          <cell r="E8086">
            <v>0</v>
          </cell>
          <cell r="F8086">
            <v>0</v>
          </cell>
          <cell r="G8086">
            <v>0</v>
          </cell>
        </row>
        <row r="8087">
          <cell r="A8087" t="str">
            <v>57-01-01-0495</v>
          </cell>
          <cell r="B8087">
            <v>0</v>
          </cell>
          <cell r="C8087" t="str">
            <v xml:space="preserve">  32807 GHULAM SARWAR A/FITTER RING MILL</v>
          </cell>
          <cell r="D8087">
            <v>0</v>
          </cell>
          <cell r="E8087">
            <v>0</v>
          </cell>
          <cell r="F8087">
            <v>0</v>
          </cell>
          <cell r="G8087">
            <v>0</v>
          </cell>
        </row>
        <row r="8088">
          <cell r="A8088" t="str">
            <v>57-01-01-0496</v>
          </cell>
          <cell r="B8088">
            <v>0</v>
          </cell>
          <cell r="C8088" t="str">
            <v xml:space="preserve">  36038 BAHDAR KHAN 4/S RING MILL-4</v>
          </cell>
          <cell r="D8088">
            <v>0</v>
          </cell>
          <cell r="E8088">
            <v>0</v>
          </cell>
          <cell r="F8088">
            <v>0</v>
          </cell>
          <cell r="G8088">
            <v>0</v>
          </cell>
        </row>
        <row r="8089">
          <cell r="A8089" t="str">
            <v>57-01-01-0497</v>
          </cell>
          <cell r="B8089">
            <v>0</v>
          </cell>
          <cell r="C8089" t="str">
            <v xml:space="preserve">  34178 MUHAMMAD SAJID QLTY.CTRL.OFFICE</v>
          </cell>
          <cell r="D8089">
            <v>0</v>
          </cell>
          <cell r="E8089">
            <v>0</v>
          </cell>
          <cell r="F8089">
            <v>0</v>
          </cell>
          <cell r="G8089">
            <v>0</v>
          </cell>
        </row>
        <row r="8090">
          <cell r="A8090" t="str">
            <v>57-01-01-0498</v>
          </cell>
          <cell r="B8090">
            <v>0</v>
          </cell>
          <cell r="C8090" t="str">
            <v xml:space="preserve">  34351 NOWBAHAR JOBBER B/ROOM-1</v>
          </cell>
          <cell r="D8090">
            <v>0</v>
          </cell>
          <cell r="E8090">
            <v>0</v>
          </cell>
          <cell r="F8090">
            <v>0</v>
          </cell>
          <cell r="G8090">
            <v>0</v>
          </cell>
        </row>
        <row r="8091">
          <cell r="A8091" t="str">
            <v>57-01-01-0499</v>
          </cell>
          <cell r="B8091">
            <v>0</v>
          </cell>
          <cell r="C8091" t="str">
            <v xml:space="preserve">  34570 KHALID HUSSAIN JOBBER MILL-4</v>
          </cell>
          <cell r="D8091">
            <v>0</v>
          </cell>
          <cell r="E8091">
            <v>0</v>
          </cell>
          <cell r="F8091">
            <v>0</v>
          </cell>
          <cell r="G8091">
            <v>0</v>
          </cell>
        </row>
        <row r="8092">
          <cell r="A8092" t="str">
            <v>57-01-01-0500</v>
          </cell>
          <cell r="B8092">
            <v>0</v>
          </cell>
          <cell r="C8092" t="str">
            <v xml:space="preserve">  11711 MUHAMMAD SULTAN FITTER RING-1</v>
          </cell>
          <cell r="D8092">
            <v>0</v>
          </cell>
          <cell r="E8092">
            <v>0</v>
          </cell>
          <cell r="F8092">
            <v>0</v>
          </cell>
          <cell r="G8092">
            <v>0</v>
          </cell>
        </row>
        <row r="8093">
          <cell r="A8093" t="str">
            <v>57-01-01-0501</v>
          </cell>
          <cell r="B8093">
            <v>0</v>
          </cell>
          <cell r="C8093" t="str">
            <v xml:space="preserve">  23211 QAISER MEHMOOD 4/S (C) RING-1</v>
          </cell>
          <cell r="D8093">
            <v>0</v>
          </cell>
          <cell r="E8093">
            <v>0</v>
          </cell>
          <cell r="F8093">
            <v>0</v>
          </cell>
          <cell r="G8093">
            <v>0</v>
          </cell>
        </row>
        <row r="8094">
          <cell r="A8094" t="str">
            <v>57-01-01-0502</v>
          </cell>
          <cell r="B8094">
            <v>0</v>
          </cell>
          <cell r="C8094" t="str">
            <v xml:space="preserve">  29618 MUHAD AKRAM GRIND FITTER CARD-1</v>
          </cell>
          <cell r="D8094">
            <v>0</v>
          </cell>
          <cell r="E8094">
            <v>0</v>
          </cell>
          <cell r="F8094">
            <v>0</v>
          </cell>
          <cell r="G8094">
            <v>0</v>
          </cell>
        </row>
        <row r="8095">
          <cell r="A8095" t="str">
            <v>57-01-01-0503</v>
          </cell>
          <cell r="B8095">
            <v>0</v>
          </cell>
          <cell r="C8095" t="str">
            <v xml:space="preserve">  23779 GHULAM SARWAR JOBBER RING-4 MILL</v>
          </cell>
          <cell r="D8095">
            <v>0</v>
          </cell>
          <cell r="E8095">
            <v>0</v>
          </cell>
          <cell r="F8095">
            <v>0</v>
          </cell>
          <cell r="G8095">
            <v>0</v>
          </cell>
        </row>
        <row r="8096">
          <cell r="A8096" t="str">
            <v>57-01-01-0504</v>
          </cell>
          <cell r="B8096">
            <v>0</v>
          </cell>
          <cell r="C8096" t="str">
            <v xml:space="preserve">  34506 ASHFAQ AHMED FOREMAN COMBER MILL</v>
          </cell>
          <cell r="D8096">
            <v>0</v>
          </cell>
          <cell r="E8096">
            <v>0</v>
          </cell>
          <cell r="F8096">
            <v>0</v>
          </cell>
          <cell r="G8096">
            <v>0</v>
          </cell>
        </row>
        <row r="8097">
          <cell r="A8097" t="str">
            <v>57-01-01-0505</v>
          </cell>
          <cell r="B8097">
            <v>0</v>
          </cell>
          <cell r="C8097" t="str">
            <v xml:space="preserve">  33455 MUHAMMAD YOUNAS H/JOBBER RING M</v>
          </cell>
          <cell r="D8097">
            <v>0</v>
          </cell>
          <cell r="E8097">
            <v>0</v>
          </cell>
          <cell r="F8097">
            <v>0</v>
          </cell>
          <cell r="G8097">
            <v>0</v>
          </cell>
        </row>
        <row r="8098">
          <cell r="A8098" t="str">
            <v>57-01-01-0506</v>
          </cell>
          <cell r="B8098">
            <v>0</v>
          </cell>
          <cell r="C8098" t="str">
            <v xml:space="preserve">  35493 SAJJAD ALI SHIFT INCHARGE RING</v>
          </cell>
          <cell r="D8098">
            <v>0</v>
          </cell>
          <cell r="E8098">
            <v>0</v>
          </cell>
          <cell r="F8098">
            <v>0</v>
          </cell>
          <cell r="G8098">
            <v>0</v>
          </cell>
        </row>
        <row r="8099">
          <cell r="A8099" t="str">
            <v>57-01-01-0507</v>
          </cell>
          <cell r="B8099">
            <v>0</v>
          </cell>
          <cell r="C8099" t="str">
            <v xml:space="preserve">  33588 MUHAMMAD JEHANGIR JOBBER MILL-3</v>
          </cell>
          <cell r="D8099">
            <v>0</v>
          </cell>
          <cell r="E8099">
            <v>0</v>
          </cell>
          <cell r="F8099">
            <v>0</v>
          </cell>
          <cell r="G8099">
            <v>0</v>
          </cell>
        </row>
        <row r="8100">
          <cell r="A8100" t="str">
            <v>57-01-01-0508</v>
          </cell>
          <cell r="B8100">
            <v>0</v>
          </cell>
          <cell r="C8100" t="str">
            <v xml:space="preserve">  33741 ZAFAR ISLAM H/JOBB B/ROOM/CARD</v>
          </cell>
          <cell r="D8100">
            <v>0</v>
          </cell>
          <cell r="E8100">
            <v>0</v>
          </cell>
          <cell r="F8100">
            <v>0</v>
          </cell>
          <cell r="G8100">
            <v>0</v>
          </cell>
        </row>
        <row r="8101">
          <cell r="A8101" t="str">
            <v>57-01-01-0509</v>
          </cell>
          <cell r="B8101">
            <v>0</v>
          </cell>
          <cell r="C8101" t="str">
            <v xml:space="preserve">  33638 WASIF HUSSAIN JOBBER D/SIMP MILL</v>
          </cell>
          <cell r="D8101">
            <v>0</v>
          </cell>
          <cell r="E8101">
            <v>0</v>
          </cell>
          <cell r="F8101">
            <v>0</v>
          </cell>
          <cell r="G8101">
            <v>0</v>
          </cell>
        </row>
        <row r="8102">
          <cell r="A8102" t="str">
            <v>57-01-01-0510</v>
          </cell>
          <cell r="B8102">
            <v>0</v>
          </cell>
          <cell r="C8102" t="str">
            <v xml:space="preserve">  16324 EJAZ SHAH OPT (C) A/CONE-1</v>
          </cell>
          <cell r="D8102">
            <v>0</v>
          </cell>
          <cell r="E8102">
            <v>0</v>
          </cell>
          <cell r="F8102">
            <v>0</v>
          </cell>
          <cell r="G8102">
            <v>0</v>
          </cell>
        </row>
        <row r="8103">
          <cell r="A8103" t="str">
            <v>57-01-01-0511</v>
          </cell>
          <cell r="B8103">
            <v>0</v>
          </cell>
          <cell r="C8103" t="str">
            <v xml:space="preserve">  32953 MUHAMMAD RAMZAN DDT D/SIMP-1 (A</v>
          </cell>
          <cell r="D8103">
            <v>0</v>
          </cell>
          <cell r="E8103">
            <v>0</v>
          </cell>
          <cell r="F8103">
            <v>0</v>
          </cell>
          <cell r="G8103">
            <v>0</v>
          </cell>
        </row>
        <row r="8104">
          <cell r="A8104" t="str">
            <v>57-01-01-0512</v>
          </cell>
          <cell r="B8104">
            <v>0</v>
          </cell>
          <cell r="C8104" t="str">
            <v xml:space="preserve">  33156 MUHAMMAD LATIF OPT (B) A/CONE-3</v>
          </cell>
          <cell r="D8104">
            <v>0</v>
          </cell>
          <cell r="E8104">
            <v>0</v>
          </cell>
          <cell r="F8104">
            <v>0</v>
          </cell>
          <cell r="G8104">
            <v>0</v>
          </cell>
        </row>
        <row r="8105">
          <cell r="A8105" t="str">
            <v>57-01-01-0513</v>
          </cell>
          <cell r="B8105">
            <v>0</v>
          </cell>
          <cell r="C8105" t="str">
            <v xml:space="preserve">  29744 ZAFAR IQBAL JOBBER RING MILL-3</v>
          </cell>
          <cell r="D8105">
            <v>0</v>
          </cell>
          <cell r="E8105">
            <v>0</v>
          </cell>
          <cell r="F8105">
            <v>0</v>
          </cell>
          <cell r="G8105">
            <v>0</v>
          </cell>
        </row>
        <row r="8106">
          <cell r="A8106" t="str">
            <v>57-01-01-0514</v>
          </cell>
          <cell r="B8106">
            <v>0</v>
          </cell>
          <cell r="C8106" t="str">
            <v xml:space="preserve">  32123 MUHAMMAD JEHANGIR TAPE MAN RING</v>
          </cell>
          <cell r="D8106">
            <v>0</v>
          </cell>
          <cell r="E8106">
            <v>0</v>
          </cell>
          <cell r="F8106">
            <v>0</v>
          </cell>
          <cell r="G8106">
            <v>0</v>
          </cell>
        </row>
        <row r="8107">
          <cell r="A8107" t="str">
            <v>57-01-01-0515</v>
          </cell>
          <cell r="B8107">
            <v>0</v>
          </cell>
          <cell r="C8107" t="str">
            <v xml:space="preserve">  32811 GHULAM YASIN A/FITTER RING-4</v>
          </cell>
          <cell r="D8107">
            <v>0</v>
          </cell>
          <cell r="E8107">
            <v>0</v>
          </cell>
          <cell r="F8107">
            <v>0</v>
          </cell>
          <cell r="G8107">
            <v>0</v>
          </cell>
        </row>
        <row r="8108">
          <cell r="A8108" t="str">
            <v>57-01-01-0516</v>
          </cell>
          <cell r="B8108">
            <v>0</v>
          </cell>
          <cell r="C8108" t="str">
            <v xml:space="preserve">  37454 NAJEEB ALI JOBBER RING MILL-4</v>
          </cell>
          <cell r="D8108">
            <v>0</v>
          </cell>
          <cell r="E8108">
            <v>0</v>
          </cell>
          <cell r="F8108">
            <v>0</v>
          </cell>
          <cell r="G8108">
            <v>0</v>
          </cell>
        </row>
        <row r="8109">
          <cell r="A8109" t="str">
            <v>57-01-01-0517</v>
          </cell>
          <cell r="B8109">
            <v>0</v>
          </cell>
          <cell r="C8109" t="str">
            <v xml:space="preserve">  33071 MUKHTAR AHMED S.INCH. RING MILL</v>
          </cell>
          <cell r="D8109">
            <v>0</v>
          </cell>
          <cell r="E8109">
            <v>0</v>
          </cell>
          <cell r="F8109">
            <v>0</v>
          </cell>
          <cell r="G8109">
            <v>0</v>
          </cell>
        </row>
        <row r="8110">
          <cell r="A8110" t="str">
            <v>57-01-01-0518</v>
          </cell>
          <cell r="B8110">
            <v>0</v>
          </cell>
          <cell r="C8110" t="str">
            <v xml:space="preserve">  33076 SAIF ULLAH JOBBER RING MILL-3</v>
          </cell>
          <cell r="D8110">
            <v>0</v>
          </cell>
          <cell r="E8110">
            <v>0</v>
          </cell>
          <cell r="F8110">
            <v>0</v>
          </cell>
          <cell r="G8110">
            <v>0</v>
          </cell>
        </row>
        <row r="8111">
          <cell r="A8111" t="str">
            <v>57-01-01-0519</v>
          </cell>
          <cell r="B8111">
            <v>0</v>
          </cell>
          <cell r="C8111" t="str">
            <v xml:space="preserve">  32946 MUHAMMAD ASHRAF SR.ASSTT.FOREMAN</v>
          </cell>
          <cell r="D8111">
            <v>0</v>
          </cell>
          <cell r="E8111">
            <v>0</v>
          </cell>
          <cell r="F8111">
            <v>0</v>
          </cell>
          <cell r="G8111">
            <v>0</v>
          </cell>
        </row>
        <row r="8112">
          <cell r="A8112" t="str">
            <v>57-01-01-0520</v>
          </cell>
          <cell r="B8112">
            <v>0</v>
          </cell>
          <cell r="C8112" t="str">
            <v xml:space="preserve">  19304 ZAHOOR ALI FITTER R/C MILL-1</v>
          </cell>
          <cell r="D8112">
            <v>0</v>
          </cell>
          <cell r="E8112">
            <v>0</v>
          </cell>
          <cell r="F8112">
            <v>0</v>
          </cell>
          <cell r="G8112">
            <v>0</v>
          </cell>
        </row>
        <row r="8113">
          <cell r="A8113" t="str">
            <v>57-01-01-0521</v>
          </cell>
          <cell r="B8113">
            <v>0</v>
          </cell>
          <cell r="C8113" t="str">
            <v xml:space="preserve">  29354 LIAQAT ALI JOBBER RING MILL-3</v>
          </cell>
          <cell r="D8113">
            <v>0</v>
          </cell>
          <cell r="E8113">
            <v>0</v>
          </cell>
          <cell r="F8113">
            <v>0</v>
          </cell>
          <cell r="G8113">
            <v>0</v>
          </cell>
        </row>
        <row r="8114">
          <cell r="A8114" t="str">
            <v>57-01-01-0522</v>
          </cell>
          <cell r="B8114">
            <v>0</v>
          </cell>
          <cell r="C8114" t="str">
            <v xml:space="preserve">  10303 KHAWAR FAYAZ H/FITTER A/CONE-2</v>
          </cell>
          <cell r="D8114">
            <v>0</v>
          </cell>
          <cell r="E8114">
            <v>0</v>
          </cell>
          <cell r="F8114">
            <v>0</v>
          </cell>
          <cell r="G8114">
            <v>0</v>
          </cell>
        </row>
        <row r="8115">
          <cell r="A8115" t="str">
            <v>57-01-01-0523</v>
          </cell>
          <cell r="B8115">
            <v>0</v>
          </cell>
          <cell r="C8115" t="str">
            <v xml:space="preserve">  36086 GULZAR AHMED A/JOBBER (C) COMB</v>
          </cell>
          <cell r="D8115">
            <v>0</v>
          </cell>
          <cell r="E8115">
            <v>0</v>
          </cell>
          <cell r="F8115">
            <v>0</v>
          </cell>
          <cell r="G8115">
            <v>0</v>
          </cell>
        </row>
        <row r="8116">
          <cell r="A8116" t="str">
            <v>57-01-01-0524</v>
          </cell>
          <cell r="B8116">
            <v>0</v>
          </cell>
          <cell r="C8116" t="str">
            <v xml:space="preserve">  33202 ZAHID ABBAS S.A.FOREMAN COMBER</v>
          </cell>
          <cell r="D8116">
            <v>0</v>
          </cell>
          <cell r="E8116">
            <v>0</v>
          </cell>
          <cell r="F8116">
            <v>0</v>
          </cell>
          <cell r="G8116">
            <v>0</v>
          </cell>
        </row>
        <row r="8117">
          <cell r="A8117" t="str">
            <v>57-01-01-0525</v>
          </cell>
          <cell r="B8117">
            <v>0</v>
          </cell>
          <cell r="C8117" t="str">
            <v xml:space="preserve">  33603 MUHAMMAD ARIF JOBBER B/ROOM MIL</v>
          </cell>
          <cell r="D8117">
            <v>0</v>
          </cell>
          <cell r="E8117">
            <v>0</v>
          </cell>
          <cell r="F8117">
            <v>0</v>
          </cell>
          <cell r="G8117">
            <v>0</v>
          </cell>
        </row>
        <row r="8118">
          <cell r="A8118" t="str">
            <v>57-01-01-0526</v>
          </cell>
          <cell r="B8118">
            <v>0</v>
          </cell>
          <cell r="C8118" t="str">
            <v xml:space="preserve">  37622 ZAHID MEHMOOD JOBBER CARDING M</v>
          </cell>
          <cell r="D8118">
            <v>0</v>
          </cell>
          <cell r="E8118">
            <v>0</v>
          </cell>
          <cell r="F8118">
            <v>0</v>
          </cell>
          <cell r="G8118">
            <v>0</v>
          </cell>
        </row>
        <row r="8119">
          <cell r="A8119" t="str">
            <v>57-01-01-0527</v>
          </cell>
          <cell r="B8119">
            <v>0</v>
          </cell>
          <cell r="C8119" t="str">
            <v xml:space="preserve">  26740 MUHAMMAD RAMZAN 4/S RING 2 M.1</v>
          </cell>
          <cell r="D8119">
            <v>0</v>
          </cell>
          <cell r="E8119">
            <v>0</v>
          </cell>
          <cell r="F8119">
            <v>0</v>
          </cell>
          <cell r="G8119">
            <v>0</v>
          </cell>
        </row>
        <row r="8120">
          <cell r="A8120" t="str">
            <v>57-01-01-0528</v>
          </cell>
          <cell r="B8120">
            <v>0</v>
          </cell>
          <cell r="C8120" t="str">
            <v xml:space="preserve">  32947 MUHAMMAD SHAHID FITTER CARDING</v>
          </cell>
          <cell r="D8120">
            <v>0</v>
          </cell>
          <cell r="E8120">
            <v>0</v>
          </cell>
          <cell r="F8120">
            <v>0</v>
          </cell>
          <cell r="G8120">
            <v>0</v>
          </cell>
        </row>
        <row r="8121">
          <cell r="A8121" t="str">
            <v>57-01-01-0529</v>
          </cell>
          <cell r="B8121">
            <v>0</v>
          </cell>
          <cell r="C8121" t="str">
            <v xml:space="preserve">  31381 SAFDAR HUSSAIN A/JOBB (C) A/CONE</v>
          </cell>
          <cell r="D8121">
            <v>0</v>
          </cell>
          <cell r="E8121">
            <v>0</v>
          </cell>
          <cell r="F8121">
            <v>0</v>
          </cell>
          <cell r="G8121">
            <v>0</v>
          </cell>
        </row>
        <row r="8122">
          <cell r="A8122" t="str">
            <v>57-01-01-0530</v>
          </cell>
          <cell r="B8122">
            <v>0</v>
          </cell>
          <cell r="C8122" t="str">
            <v xml:space="preserve">  26063 WARIS ALI D.D.T (C) D/SIMP-2</v>
          </cell>
          <cell r="D8122">
            <v>0</v>
          </cell>
          <cell r="E8122">
            <v>0</v>
          </cell>
          <cell r="F8122">
            <v>0</v>
          </cell>
          <cell r="G8122">
            <v>0</v>
          </cell>
        </row>
        <row r="8123">
          <cell r="A8123" t="str">
            <v>57-01-01-0531</v>
          </cell>
          <cell r="B8123">
            <v>0</v>
          </cell>
          <cell r="C8123" t="str">
            <v xml:space="preserve">  34594 MUHAMMAD ILYAS D.D.T (A) D/SIMP</v>
          </cell>
          <cell r="D8123">
            <v>0</v>
          </cell>
          <cell r="E8123">
            <v>0</v>
          </cell>
          <cell r="F8123">
            <v>0</v>
          </cell>
          <cell r="G8123">
            <v>0</v>
          </cell>
        </row>
        <row r="8124">
          <cell r="A8124" t="str">
            <v>57-01-01-0532</v>
          </cell>
          <cell r="B8124">
            <v>0</v>
          </cell>
          <cell r="C8124" t="str">
            <v xml:space="preserve">  21152MUHAMMAD SHEHBAZ 4/S (B) RING-4</v>
          </cell>
          <cell r="D8124">
            <v>0</v>
          </cell>
          <cell r="E8124">
            <v>0</v>
          </cell>
          <cell r="F8124">
            <v>0</v>
          </cell>
          <cell r="G8124">
            <v>0</v>
          </cell>
        </row>
        <row r="8125">
          <cell r="A8125" t="str">
            <v>57-01-01-0533</v>
          </cell>
          <cell r="B8125">
            <v>0</v>
          </cell>
          <cell r="C8125" t="str">
            <v xml:space="preserve">  35482 KHALID MEHMOOD JOBBER MILL-3</v>
          </cell>
          <cell r="D8125">
            <v>0</v>
          </cell>
          <cell r="E8125">
            <v>0</v>
          </cell>
          <cell r="F8125">
            <v>0</v>
          </cell>
          <cell r="G8125">
            <v>0</v>
          </cell>
        </row>
        <row r="8126">
          <cell r="A8126" t="str">
            <v>57-01-01-0534</v>
          </cell>
          <cell r="B8126">
            <v>0</v>
          </cell>
          <cell r="C8126" t="str">
            <v xml:space="preserve">  MUHAMMAD AFZAL D.S.T.</v>
          </cell>
          <cell r="D8126">
            <v>0</v>
          </cell>
          <cell r="E8126">
            <v>0</v>
          </cell>
          <cell r="F8126">
            <v>0</v>
          </cell>
          <cell r="G8126">
            <v>0</v>
          </cell>
        </row>
        <row r="8127">
          <cell r="A8127" t="str">
            <v>57-01-01-0535</v>
          </cell>
          <cell r="B8127">
            <v>0</v>
          </cell>
          <cell r="C8127" t="str">
            <v xml:space="preserve">  NADIM IQBAL FITTER A/CONE:2.</v>
          </cell>
          <cell r="D8127">
            <v>0</v>
          </cell>
          <cell r="E8127">
            <v>0</v>
          </cell>
          <cell r="F8127">
            <v>0</v>
          </cell>
          <cell r="G8127">
            <v>0</v>
          </cell>
        </row>
        <row r="8128">
          <cell r="A8128" t="str">
            <v>57-01-01-0536</v>
          </cell>
          <cell r="B8128">
            <v>0</v>
          </cell>
          <cell r="C8128" t="str">
            <v xml:space="preserve">  ALI BAHADAR A.S.O SECURITY.</v>
          </cell>
          <cell r="D8128">
            <v>0</v>
          </cell>
          <cell r="E8128">
            <v>0</v>
          </cell>
          <cell r="F8128">
            <v>0</v>
          </cell>
          <cell r="G8128">
            <v>0</v>
          </cell>
        </row>
        <row r="8129">
          <cell r="A8129" t="str">
            <v>57-01-01-0537</v>
          </cell>
          <cell r="B8129">
            <v>0</v>
          </cell>
          <cell r="C8129" t="str">
            <v xml:space="preserve">  BASHIR AHMEDM S.I.C.</v>
          </cell>
          <cell r="D8129">
            <v>0</v>
          </cell>
          <cell r="E8129">
            <v>0</v>
          </cell>
          <cell r="F8129">
            <v>0</v>
          </cell>
          <cell r="G8129">
            <v>0</v>
          </cell>
        </row>
        <row r="8130">
          <cell r="A8130" t="str">
            <v>57-01-01-0538</v>
          </cell>
          <cell r="B8130">
            <v>0</v>
          </cell>
          <cell r="C8130" t="str">
            <v xml:space="preserve">  MUHAMMAD NAWAZZ SR.FITTER A/CONE.</v>
          </cell>
          <cell r="D8130">
            <v>0</v>
          </cell>
          <cell r="E8130">
            <v>0</v>
          </cell>
          <cell r="F8130">
            <v>0</v>
          </cell>
          <cell r="G8130">
            <v>0</v>
          </cell>
        </row>
        <row r="8131">
          <cell r="A8131" t="str">
            <v>57-01-01-0539</v>
          </cell>
          <cell r="B8131">
            <v>0</v>
          </cell>
          <cell r="C8131" t="str">
            <v xml:space="preserve">  NAVID ANWAR FITTER A/CONE</v>
          </cell>
          <cell r="D8131">
            <v>0</v>
          </cell>
          <cell r="E8131">
            <v>0</v>
          </cell>
          <cell r="F8131">
            <v>0</v>
          </cell>
          <cell r="G8131">
            <v>0</v>
          </cell>
        </row>
        <row r="8132">
          <cell r="A8132" t="str">
            <v>57-01-01-0540</v>
          </cell>
          <cell r="B8132">
            <v>0</v>
          </cell>
          <cell r="C8132" t="str">
            <v xml:space="preserve">  MUHAMMAD ASIF FITTER CARDING -1.</v>
          </cell>
          <cell r="D8132">
            <v>0</v>
          </cell>
          <cell r="E8132">
            <v>0</v>
          </cell>
          <cell r="F8132">
            <v>0</v>
          </cell>
          <cell r="G8132">
            <v>0</v>
          </cell>
        </row>
        <row r="8133">
          <cell r="A8133" t="str">
            <v>57-01-01-0541</v>
          </cell>
          <cell r="B8133">
            <v>0</v>
          </cell>
          <cell r="C8133" t="str">
            <v xml:space="preserve">  QAISAR SHAHZZAD DF RING-1.</v>
          </cell>
          <cell r="D8133">
            <v>0</v>
          </cell>
          <cell r="E8133">
            <v>0</v>
          </cell>
          <cell r="F8133">
            <v>0</v>
          </cell>
          <cell r="G8133">
            <v>0</v>
          </cell>
        </row>
        <row r="8134">
          <cell r="A8134" t="str">
            <v>57-01-01-0542</v>
          </cell>
          <cell r="B8134">
            <v>0</v>
          </cell>
          <cell r="C8134" t="str">
            <v xml:space="preserve">  SHAHBAZ AHMED A.J.CARDING MILL</v>
          </cell>
          <cell r="D8134">
            <v>0</v>
          </cell>
          <cell r="E8134">
            <v>0</v>
          </cell>
          <cell r="F8134">
            <v>0</v>
          </cell>
          <cell r="G8134">
            <v>0</v>
          </cell>
        </row>
        <row r="8135">
          <cell r="A8135" t="str">
            <v>57-01-01-0543</v>
          </cell>
          <cell r="B8135">
            <v>0</v>
          </cell>
          <cell r="C8135" t="str">
            <v xml:space="preserve">  AZHAR IQBAL SHIFT INCHARGE RING.</v>
          </cell>
          <cell r="D8135">
            <v>0</v>
          </cell>
          <cell r="E8135">
            <v>0</v>
          </cell>
          <cell r="F8135">
            <v>0</v>
          </cell>
          <cell r="G8135">
            <v>0</v>
          </cell>
        </row>
        <row r="8136">
          <cell r="A8136" t="str">
            <v>57-01-01-0544</v>
          </cell>
          <cell r="B8136">
            <v>0</v>
          </cell>
          <cell r="C8136" t="str">
            <v xml:space="preserve">  SHAUKAT ALI MILL # 3.</v>
          </cell>
          <cell r="D8136">
            <v>0</v>
          </cell>
          <cell r="E8136">
            <v>0</v>
          </cell>
          <cell r="F8136">
            <v>0</v>
          </cell>
          <cell r="G8136">
            <v>0</v>
          </cell>
        </row>
        <row r="8137">
          <cell r="A8137" t="str">
            <v>57-01-01-0545</v>
          </cell>
          <cell r="B8137">
            <v>0</v>
          </cell>
          <cell r="C8137" t="str">
            <v xml:space="preserve">  MAZHAR HUSSAIN OPT A/C MILL-1.</v>
          </cell>
          <cell r="D8137">
            <v>0</v>
          </cell>
          <cell r="E8137">
            <v>0</v>
          </cell>
          <cell r="F8137">
            <v>0</v>
          </cell>
          <cell r="G8137">
            <v>0</v>
          </cell>
        </row>
        <row r="8138">
          <cell r="A8138" t="str">
            <v>57-01-01-0546</v>
          </cell>
          <cell r="B8138">
            <v>0</v>
          </cell>
          <cell r="C8138" t="str">
            <v xml:space="preserve">  MUHAHAD ALI A/FITTER RING MILL</v>
          </cell>
          <cell r="D8138">
            <v>0</v>
          </cell>
          <cell r="E8138">
            <v>0</v>
          </cell>
          <cell r="F8138">
            <v>0</v>
          </cell>
          <cell r="G8138">
            <v>0</v>
          </cell>
        </row>
        <row r="8139">
          <cell r="A8139" t="str">
            <v>57-01-01-0547</v>
          </cell>
          <cell r="B8139">
            <v>0</v>
          </cell>
          <cell r="C8139" t="str">
            <v xml:space="preserve">  PERVAIZ AKHTAR 4/S RING.</v>
          </cell>
          <cell r="D8139">
            <v>0</v>
          </cell>
          <cell r="E8139">
            <v>0</v>
          </cell>
          <cell r="F8139">
            <v>0</v>
          </cell>
          <cell r="G8139">
            <v>0</v>
          </cell>
        </row>
        <row r="8140">
          <cell r="A8140" t="str">
            <v>57-01-01-0548</v>
          </cell>
          <cell r="B8140">
            <v>0</v>
          </cell>
          <cell r="C8140" t="str">
            <v xml:space="preserve">  GHULAM RASOOL OPT A/C. MILL.</v>
          </cell>
          <cell r="D8140">
            <v>0</v>
          </cell>
          <cell r="E8140">
            <v>0</v>
          </cell>
          <cell r="F8140">
            <v>0</v>
          </cell>
          <cell r="G8140">
            <v>0</v>
          </cell>
        </row>
        <row r="8141">
          <cell r="A8141" t="str">
            <v>57-01-01-0549</v>
          </cell>
          <cell r="B8141">
            <v>0</v>
          </cell>
          <cell r="C8141" t="str">
            <v xml:space="preserve">  MUHAMMAD AFZAL G.FITTER CARD.</v>
          </cell>
          <cell r="D8141">
            <v>0</v>
          </cell>
          <cell r="E8141">
            <v>0</v>
          </cell>
          <cell r="F8141">
            <v>0</v>
          </cell>
          <cell r="G8141">
            <v>0</v>
          </cell>
        </row>
        <row r="8142">
          <cell r="A8142" t="str">
            <v>57-01-01-0550</v>
          </cell>
          <cell r="B8142">
            <v>0</v>
          </cell>
          <cell r="C8142" t="str">
            <v xml:space="preserve">  MUHAMMAD SHAFIQUE FITTER A/C.</v>
          </cell>
          <cell r="D8142">
            <v>0</v>
          </cell>
          <cell r="E8142">
            <v>0</v>
          </cell>
          <cell r="F8142">
            <v>0</v>
          </cell>
          <cell r="G8142">
            <v>0</v>
          </cell>
        </row>
        <row r="8143">
          <cell r="A8143" t="str">
            <v>57-01-01-0551</v>
          </cell>
          <cell r="B8143">
            <v>0</v>
          </cell>
          <cell r="C8143" t="str">
            <v xml:space="preserve">  GHULAM YASIN OPT A/CONE.</v>
          </cell>
          <cell r="D8143">
            <v>0</v>
          </cell>
          <cell r="E8143">
            <v>0</v>
          </cell>
          <cell r="F8143">
            <v>0</v>
          </cell>
          <cell r="G8143">
            <v>0</v>
          </cell>
        </row>
        <row r="8144">
          <cell r="A8144" t="str">
            <v>57-01-01-0552</v>
          </cell>
          <cell r="B8144">
            <v>0</v>
          </cell>
          <cell r="C8144" t="str">
            <v xml:space="preserve">  AFZAL AHMED D/F RING # 4.</v>
          </cell>
          <cell r="D8144">
            <v>0</v>
          </cell>
          <cell r="E8144">
            <v>0</v>
          </cell>
          <cell r="F8144">
            <v>0</v>
          </cell>
          <cell r="G8144">
            <v>0</v>
          </cell>
        </row>
        <row r="8145">
          <cell r="A8145" t="str">
            <v>57-01-01-0553</v>
          </cell>
          <cell r="B8145">
            <v>0</v>
          </cell>
          <cell r="C8145" t="str">
            <v xml:space="preserve">  SABIR HUSSAIN OPT A/CONE.</v>
          </cell>
          <cell r="D8145">
            <v>0</v>
          </cell>
          <cell r="E8145">
            <v>0</v>
          </cell>
          <cell r="F8145">
            <v>0</v>
          </cell>
          <cell r="G8145">
            <v>0</v>
          </cell>
        </row>
        <row r="8146">
          <cell r="A8146" t="str">
            <v>57-01-01-0554</v>
          </cell>
          <cell r="B8146">
            <v>0</v>
          </cell>
          <cell r="C8146" t="str">
            <v xml:space="preserve">  AHSAN ALLAH 4/S RING MILL.1.</v>
          </cell>
          <cell r="D8146">
            <v>0</v>
          </cell>
          <cell r="E8146">
            <v>0</v>
          </cell>
          <cell r="F8146">
            <v>0</v>
          </cell>
          <cell r="G8146">
            <v>0</v>
          </cell>
        </row>
        <row r="8147">
          <cell r="A8147" t="str">
            <v>57-01-01-0555</v>
          </cell>
          <cell r="B8147">
            <v>0</v>
          </cell>
          <cell r="C8147" t="str">
            <v xml:space="preserve">  M.WALAYAT 4/S RING MILL # 1.</v>
          </cell>
          <cell r="D8147">
            <v>0</v>
          </cell>
          <cell r="E8147">
            <v>0</v>
          </cell>
          <cell r="F8147">
            <v>0</v>
          </cell>
          <cell r="G8147">
            <v>0</v>
          </cell>
        </row>
        <row r="8148">
          <cell r="A8148" t="str">
            <v>57-01-01-0556</v>
          </cell>
          <cell r="B8148">
            <v>0</v>
          </cell>
          <cell r="C8148" t="str">
            <v xml:space="preserve">  MUHAMMAD ASHFAQ FITTER MILL-4.</v>
          </cell>
          <cell r="D8148">
            <v>0</v>
          </cell>
          <cell r="E8148">
            <v>0</v>
          </cell>
          <cell r="F8148">
            <v>0</v>
          </cell>
          <cell r="G8148">
            <v>0</v>
          </cell>
        </row>
        <row r="8149">
          <cell r="A8149" t="str">
            <v>57-01-01-0557</v>
          </cell>
          <cell r="B8149">
            <v>0</v>
          </cell>
          <cell r="C8149" t="str">
            <v xml:space="preserve">  TALAT MEHMOOD Q/OPT LIB MILL-2</v>
          </cell>
          <cell r="D8149">
            <v>0</v>
          </cell>
          <cell r="E8149">
            <v>0</v>
          </cell>
          <cell r="F8149">
            <v>0</v>
          </cell>
          <cell r="G8149">
            <v>0</v>
          </cell>
        </row>
        <row r="8150">
          <cell r="A8150" t="str">
            <v>57-01-01-0558</v>
          </cell>
          <cell r="B8150">
            <v>0</v>
          </cell>
          <cell r="C8150" t="str">
            <v xml:space="preserve">  MUHAMMAD RIAZ DST D/S-1 SHIFT.</v>
          </cell>
          <cell r="D8150">
            <v>0</v>
          </cell>
          <cell r="E8150">
            <v>0</v>
          </cell>
          <cell r="F8150">
            <v>0</v>
          </cell>
          <cell r="G8150">
            <v>0</v>
          </cell>
        </row>
        <row r="8151">
          <cell r="A8151" t="str">
            <v>57-01-01-0559</v>
          </cell>
          <cell r="B8151">
            <v>0</v>
          </cell>
          <cell r="C8151" t="str">
            <v xml:space="preserve">  LIAQAT HAYAT C.T.CARDING.</v>
          </cell>
          <cell r="D8151">
            <v>0</v>
          </cell>
          <cell r="E8151">
            <v>0</v>
          </cell>
          <cell r="F8151">
            <v>0</v>
          </cell>
          <cell r="G8151">
            <v>0</v>
          </cell>
        </row>
        <row r="8152">
          <cell r="A8152" t="str">
            <v>57-01-01-0560</v>
          </cell>
          <cell r="B8152">
            <v>0</v>
          </cell>
          <cell r="C8152" t="str">
            <v xml:space="preserve">  NADIR ALI JOBBER RING'4  MILL:2</v>
          </cell>
          <cell r="D8152">
            <v>10000</v>
          </cell>
          <cell r="E8152">
            <v>0</v>
          </cell>
          <cell r="F8152">
            <v>0</v>
          </cell>
          <cell r="G8152">
            <v>0</v>
          </cell>
        </row>
        <row r="8153">
          <cell r="A8153" t="str">
            <v>57-01-01-0561</v>
          </cell>
          <cell r="B8153">
            <v>0</v>
          </cell>
          <cell r="C8153" t="str">
            <v xml:space="preserve">  MAZHAR IQBAL JOBBER RING 3.</v>
          </cell>
          <cell r="D8153">
            <v>0</v>
          </cell>
          <cell r="E8153">
            <v>0</v>
          </cell>
          <cell r="F8153">
            <v>0</v>
          </cell>
          <cell r="G8153">
            <v>0</v>
          </cell>
        </row>
        <row r="8154">
          <cell r="A8154" t="str">
            <v>57-01-01-0562</v>
          </cell>
          <cell r="B8154">
            <v>0</v>
          </cell>
          <cell r="C8154" t="str">
            <v xml:space="preserve">  ABDUL LATIF OIL MAN</v>
          </cell>
          <cell r="D8154">
            <v>0</v>
          </cell>
          <cell r="E8154">
            <v>0</v>
          </cell>
          <cell r="F8154">
            <v>0</v>
          </cell>
          <cell r="G8154">
            <v>0</v>
          </cell>
        </row>
        <row r="8155">
          <cell r="A8155" t="str">
            <v>57-01-01-0563</v>
          </cell>
          <cell r="B8155">
            <v>0</v>
          </cell>
          <cell r="C8155" t="str">
            <v xml:space="preserve">  ASIF NADEEM A/FITTER CARD</v>
          </cell>
          <cell r="D8155">
            <v>0</v>
          </cell>
          <cell r="E8155">
            <v>0</v>
          </cell>
          <cell r="F8155">
            <v>0</v>
          </cell>
          <cell r="G8155">
            <v>0</v>
          </cell>
        </row>
        <row r="8156">
          <cell r="A8156" t="str">
            <v>57-01-01-0564</v>
          </cell>
          <cell r="B8156">
            <v>0</v>
          </cell>
          <cell r="C8156" t="str">
            <v xml:space="preserve">  MOHAMMAD SAJJAD 4/S RING 4.</v>
          </cell>
          <cell r="D8156">
            <v>0</v>
          </cell>
          <cell r="E8156">
            <v>0</v>
          </cell>
          <cell r="F8156">
            <v>0</v>
          </cell>
          <cell r="G8156">
            <v>0</v>
          </cell>
        </row>
        <row r="8157">
          <cell r="A8157" t="str">
            <v>57-01-01-0565</v>
          </cell>
          <cell r="B8157">
            <v>0</v>
          </cell>
          <cell r="C8157" t="str">
            <v xml:space="preserve">  BABAR ALMS 4/S RING  4 MILL:2.</v>
          </cell>
          <cell r="D8157">
            <v>0</v>
          </cell>
          <cell r="E8157">
            <v>0</v>
          </cell>
          <cell r="F8157">
            <v>0</v>
          </cell>
          <cell r="G8157">
            <v>0</v>
          </cell>
        </row>
        <row r="8158">
          <cell r="A8158" t="str">
            <v>57-01-01-0566</v>
          </cell>
          <cell r="B8158">
            <v>0</v>
          </cell>
          <cell r="C8158" t="str">
            <v xml:space="preserve">  MUHAMMAD NAVEED 4/S RING'4.</v>
          </cell>
          <cell r="D8158">
            <v>0</v>
          </cell>
          <cell r="E8158">
            <v>0</v>
          </cell>
          <cell r="F8158">
            <v>0</v>
          </cell>
          <cell r="G8158">
            <v>0</v>
          </cell>
        </row>
        <row r="8159">
          <cell r="A8159" t="str">
            <v>57-01-01-0567</v>
          </cell>
          <cell r="B8159">
            <v>0</v>
          </cell>
          <cell r="C8159" t="str">
            <v xml:space="preserve">  MAQSOOD NADIM JOBBER A/CONE-MILL</v>
          </cell>
          <cell r="D8159">
            <v>0</v>
          </cell>
          <cell r="E8159">
            <v>0</v>
          </cell>
          <cell r="F8159">
            <v>0</v>
          </cell>
          <cell r="G8159">
            <v>0</v>
          </cell>
        </row>
        <row r="8160">
          <cell r="A8160" t="str">
            <v>57-01-01-0568</v>
          </cell>
          <cell r="B8160">
            <v>0</v>
          </cell>
          <cell r="C8160" t="str">
            <v xml:space="preserve">  KHADIM HUSSAIN A/JOBBER A/CONE</v>
          </cell>
          <cell r="D8160">
            <v>10000</v>
          </cell>
          <cell r="E8160">
            <v>0</v>
          </cell>
          <cell r="F8160">
            <v>0</v>
          </cell>
          <cell r="G8160">
            <v>0</v>
          </cell>
        </row>
        <row r="8161">
          <cell r="A8161" t="str">
            <v>57-01-01-0569</v>
          </cell>
          <cell r="B8161">
            <v>0</v>
          </cell>
          <cell r="C8161" t="str">
            <v xml:space="preserve">  MUHAMMAD NAWAZ 4/S RING 1 MILL.</v>
          </cell>
          <cell r="D8161">
            <v>0</v>
          </cell>
          <cell r="E8161">
            <v>0</v>
          </cell>
          <cell r="F8161">
            <v>0</v>
          </cell>
          <cell r="G8161">
            <v>0</v>
          </cell>
        </row>
        <row r="8162">
          <cell r="A8162" t="str">
            <v>57-01-01-0570</v>
          </cell>
          <cell r="B8162">
            <v>0</v>
          </cell>
          <cell r="C8162" t="str">
            <v xml:space="preserve">  MUHAMMAD SHAFIQUE FITTER</v>
          </cell>
          <cell r="D8162">
            <v>0</v>
          </cell>
          <cell r="E8162">
            <v>0</v>
          </cell>
          <cell r="F8162">
            <v>0</v>
          </cell>
          <cell r="G8162">
            <v>0</v>
          </cell>
        </row>
        <row r="8163">
          <cell r="A8163" t="str">
            <v>57-01-01-0571</v>
          </cell>
          <cell r="B8163">
            <v>0</v>
          </cell>
          <cell r="C8163" t="str">
            <v xml:space="preserve">  MUHAMMAD AKRAM 4/S RING-1 MILL</v>
          </cell>
          <cell r="D8163">
            <v>0</v>
          </cell>
          <cell r="E8163">
            <v>0</v>
          </cell>
          <cell r="F8163">
            <v>0</v>
          </cell>
          <cell r="G8163">
            <v>0</v>
          </cell>
        </row>
        <row r="8164">
          <cell r="A8164" t="str">
            <v>57-01-01-0572</v>
          </cell>
          <cell r="B8164">
            <v>0</v>
          </cell>
          <cell r="C8164" t="str">
            <v xml:space="preserve">  MUHAMMED ALTAF FITTER D/S-M-1.</v>
          </cell>
          <cell r="D8164">
            <v>0</v>
          </cell>
          <cell r="E8164">
            <v>0</v>
          </cell>
          <cell r="F8164">
            <v>0</v>
          </cell>
          <cell r="G8164">
            <v>0</v>
          </cell>
        </row>
        <row r="8165">
          <cell r="A8165" t="str">
            <v>57-01-01-0573</v>
          </cell>
          <cell r="B8165">
            <v>0</v>
          </cell>
          <cell r="C8165" t="str">
            <v xml:space="preserve">  WARIS ALI A/FITTER R-8 MILL # 4.</v>
          </cell>
          <cell r="D8165">
            <v>0</v>
          </cell>
          <cell r="E8165">
            <v>0</v>
          </cell>
          <cell r="F8165">
            <v>0</v>
          </cell>
          <cell r="G8165">
            <v>0</v>
          </cell>
        </row>
        <row r="8166">
          <cell r="A8166" t="str">
            <v>57-01-01-0574</v>
          </cell>
          <cell r="B8166">
            <v>0</v>
          </cell>
          <cell r="C8166" t="str">
            <v xml:space="preserve">  MUHAMMAD SHAHID H/FITTER D/S M-3.</v>
          </cell>
          <cell r="D8166">
            <v>0</v>
          </cell>
          <cell r="E8166">
            <v>0</v>
          </cell>
          <cell r="F8166">
            <v>0</v>
          </cell>
          <cell r="G8166">
            <v>0</v>
          </cell>
        </row>
        <row r="8167">
          <cell r="A8167" t="str">
            <v>57-01-01-0575</v>
          </cell>
          <cell r="B8167">
            <v>0</v>
          </cell>
          <cell r="C8167" t="str">
            <v xml:space="preserve">  AMIR SHAHZAD 4/S RING</v>
          </cell>
          <cell r="D8167">
            <v>0</v>
          </cell>
          <cell r="E8167">
            <v>0</v>
          </cell>
          <cell r="F8167">
            <v>0</v>
          </cell>
          <cell r="G8167">
            <v>0</v>
          </cell>
        </row>
        <row r="8168">
          <cell r="A8168" t="str">
            <v>57-01-01-0576</v>
          </cell>
          <cell r="B8168">
            <v>0</v>
          </cell>
          <cell r="C8168" t="str">
            <v xml:space="preserve">  SHAHBAZ AHMED 4/S RING M-4.</v>
          </cell>
          <cell r="D8168">
            <v>0</v>
          </cell>
          <cell r="E8168">
            <v>0</v>
          </cell>
          <cell r="F8168">
            <v>0</v>
          </cell>
          <cell r="G8168">
            <v>0</v>
          </cell>
        </row>
        <row r="8169">
          <cell r="A8169" t="str">
            <v>57-01-01-0577</v>
          </cell>
          <cell r="B8169">
            <v>0</v>
          </cell>
          <cell r="C8169" t="str">
            <v xml:space="preserve">  MUHAMMAD RIAZ 4/S RING -4.</v>
          </cell>
          <cell r="D8169">
            <v>0</v>
          </cell>
          <cell r="E8169">
            <v>0</v>
          </cell>
          <cell r="F8169">
            <v>0</v>
          </cell>
          <cell r="G8169">
            <v>0</v>
          </cell>
        </row>
        <row r="8170">
          <cell r="A8170" t="str">
            <v>57-01-01-0578</v>
          </cell>
          <cell r="B8170">
            <v>0</v>
          </cell>
          <cell r="C8170" t="str">
            <v xml:space="preserve">  MUHAMMAD ASHRAF DST D/S MILL-3.</v>
          </cell>
          <cell r="D8170">
            <v>0</v>
          </cell>
          <cell r="E8170">
            <v>0</v>
          </cell>
          <cell r="F8170">
            <v>0</v>
          </cell>
          <cell r="G8170">
            <v>0</v>
          </cell>
        </row>
        <row r="8171">
          <cell r="A8171" t="str">
            <v>57-01-01-0579</v>
          </cell>
          <cell r="B8171">
            <v>0</v>
          </cell>
          <cell r="C8171" t="str">
            <v xml:space="preserve">  RUKHSAR AHMED OPT A/CONE MILL-1.</v>
          </cell>
          <cell r="D8171">
            <v>0</v>
          </cell>
          <cell r="E8171">
            <v>0</v>
          </cell>
          <cell r="F8171">
            <v>0</v>
          </cell>
          <cell r="G8171">
            <v>0</v>
          </cell>
        </row>
        <row r="8172">
          <cell r="A8172" t="str">
            <v>57-01-01-0580</v>
          </cell>
          <cell r="B8172">
            <v>0</v>
          </cell>
          <cell r="C8172" t="str">
            <v xml:space="preserve">  BILAL AHMED DST. D/S MILL-3.</v>
          </cell>
          <cell r="D8172">
            <v>0</v>
          </cell>
          <cell r="E8172">
            <v>0</v>
          </cell>
          <cell r="F8172">
            <v>0</v>
          </cell>
          <cell r="G8172">
            <v>0</v>
          </cell>
        </row>
        <row r="8173">
          <cell r="A8173" t="str">
            <v>57-01-01-0581</v>
          </cell>
          <cell r="B8173">
            <v>0</v>
          </cell>
          <cell r="C8173" t="str">
            <v xml:space="preserve">  MUHAMMAD ISMAIL DST.D/S MILL-1</v>
          </cell>
          <cell r="D8173">
            <v>0</v>
          </cell>
          <cell r="E8173">
            <v>0</v>
          </cell>
          <cell r="F8173">
            <v>0</v>
          </cell>
          <cell r="G8173">
            <v>0</v>
          </cell>
        </row>
        <row r="8174">
          <cell r="A8174" t="str">
            <v>57-01-01-0582</v>
          </cell>
          <cell r="B8174">
            <v>0</v>
          </cell>
          <cell r="C8174" t="str">
            <v xml:space="preserve">  MUHAMMAD YUNUS A/JOBBER B/ROOM M-3.</v>
          </cell>
          <cell r="D8174">
            <v>0</v>
          </cell>
          <cell r="E8174">
            <v>0</v>
          </cell>
          <cell r="F8174">
            <v>0</v>
          </cell>
          <cell r="G8174">
            <v>0</v>
          </cell>
        </row>
        <row r="8175">
          <cell r="A8175" t="str">
            <v>57-01-01-0583</v>
          </cell>
          <cell r="B8175">
            <v>0</v>
          </cell>
          <cell r="C8175" t="str">
            <v xml:space="preserve">  MUHAMMAD HUSSAIN JOBBER CARDING.</v>
          </cell>
          <cell r="D8175">
            <v>0</v>
          </cell>
          <cell r="E8175">
            <v>0</v>
          </cell>
          <cell r="F8175">
            <v>0</v>
          </cell>
          <cell r="G8175">
            <v>0</v>
          </cell>
        </row>
        <row r="8176">
          <cell r="A8176" t="str">
            <v>57-01-01-0584</v>
          </cell>
          <cell r="B8176">
            <v>0</v>
          </cell>
          <cell r="C8176" t="str">
            <v xml:space="preserve">  MUHAMMAD RAMZAN DST.D/SIMPLEX M-3.</v>
          </cell>
          <cell r="D8176">
            <v>0</v>
          </cell>
          <cell r="E8176">
            <v>0</v>
          </cell>
          <cell r="F8176">
            <v>0</v>
          </cell>
          <cell r="G8176">
            <v>0</v>
          </cell>
        </row>
        <row r="8177">
          <cell r="A8177" t="str">
            <v>57-01-01-0585</v>
          </cell>
          <cell r="B8177">
            <v>0</v>
          </cell>
          <cell r="C8177" t="str">
            <v xml:space="preserve">  MUHAMMAD ASGHAR DDT D/SIMPLEX MILL.</v>
          </cell>
          <cell r="D8177">
            <v>0</v>
          </cell>
          <cell r="E8177">
            <v>0</v>
          </cell>
          <cell r="F8177">
            <v>0</v>
          </cell>
          <cell r="G8177">
            <v>0</v>
          </cell>
        </row>
        <row r="8178">
          <cell r="A8178" t="str">
            <v>57-01-01-0586</v>
          </cell>
          <cell r="B8178">
            <v>0</v>
          </cell>
          <cell r="C8178" t="str">
            <v xml:space="preserve">  MUKHTAR AHMED 4/S RING-7 MILL-3.</v>
          </cell>
          <cell r="D8178">
            <v>0</v>
          </cell>
          <cell r="E8178">
            <v>0</v>
          </cell>
          <cell r="F8178">
            <v>0</v>
          </cell>
          <cell r="G8178">
            <v>0</v>
          </cell>
        </row>
        <row r="8179">
          <cell r="A8179" t="str">
            <v>57-01-01-0587</v>
          </cell>
          <cell r="B8179">
            <v>0</v>
          </cell>
          <cell r="C8179" t="str">
            <v xml:space="preserve">  MUHAMMAD SAQLAIN DDT D/SIMPLEX M-1.</v>
          </cell>
          <cell r="D8179">
            <v>0</v>
          </cell>
          <cell r="E8179">
            <v>0</v>
          </cell>
          <cell r="F8179">
            <v>0</v>
          </cell>
          <cell r="G8179">
            <v>0</v>
          </cell>
        </row>
        <row r="8180">
          <cell r="A8180" t="str">
            <v>57-01-01-0588</v>
          </cell>
          <cell r="B8180">
            <v>0</v>
          </cell>
          <cell r="C8180" t="str">
            <v xml:space="preserve">  MUHAMMAD BASHIR CT.B/ROOM MILL-3.</v>
          </cell>
          <cell r="D8180">
            <v>0</v>
          </cell>
          <cell r="E8180">
            <v>0</v>
          </cell>
          <cell r="F8180">
            <v>0</v>
          </cell>
          <cell r="G8180">
            <v>0</v>
          </cell>
        </row>
        <row r="8181">
          <cell r="A8181" t="str">
            <v>57-01-01-0589</v>
          </cell>
          <cell r="B8181">
            <v>0</v>
          </cell>
          <cell r="C8181" t="str">
            <v xml:space="preserve">  TASAWAR ABBAS CT COMBER MILL-3.</v>
          </cell>
          <cell r="D8181">
            <v>0</v>
          </cell>
          <cell r="E8181">
            <v>0</v>
          </cell>
          <cell r="F8181">
            <v>0</v>
          </cell>
          <cell r="G8181">
            <v>0</v>
          </cell>
        </row>
        <row r="8182">
          <cell r="A8182" t="str">
            <v>57-01-01-0590</v>
          </cell>
          <cell r="B8182">
            <v>0</v>
          </cell>
          <cell r="C8182" t="str">
            <v xml:space="preserve">  GHULAM YASIN CT.CARDING MILL-1.</v>
          </cell>
          <cell r="D8182">
            <v>0</v>
          </cell>
          <cell r="E8182">
            <v>0</v>
          </cell>
          <cell r="F8182">
            <v>0</v>
          </cell>
          <cell r="G8182">
            <v>0</v>
          </cell>
        </row>
        <row r="8183">
          <cell r="A8183" t="str">
            <v>57-01-01-0591</v>
          </cell>
          <cell r="B8183">
            <v>0</v>
          </cell>
          <cell r="C8183" t="str">
            <v xml:space="preserve">  TANVEER AHMED 4/S RING 1 MILL</v>
          </cell>
          <cell r="D8183">
            <v>0</v>
          </cell>
          <cell r="E8183">
            <v>0</v>
          </cell>
          <cell r="F8183">
            <v>0</v>
          </cell>
          <cell r="G8183">
            <v>0</v>
          </cell>
        </row>
        <row r="8184">
          <cell r="A8184" t="str">
            <v>57-01-01-0592</v>
          </cell>
          <cell r="B8184">
            <v>0</v>
          </cell>
          <cell r="C8184" t="str">
            <v xml:space="preserve">  MUHAMMAD IQBAL 4/S RING MILL-2.</v>
          </cell>
          <cell r="D8184">
            <v>0</v>
          </cell>
          <cell r="E8184">
            <v>0</v>
          </cell>
          <cell r="F8184">
            <v>0</v>
          </cell>
          <cell r="G8184">
            <v>0</v>
          </cell>
        </row>
        <row r="8185">
          <cell r="A8185" t="str">
            <v>57-01-01-0593</v>
          </cell>
          <cell r="B8185">
            <v>0</v>
          </cell>
          <cell r="C8185" t="str">
            <v xml:space="preserve">  MUHAMMAD RAMZAN A/JOBBER</v>
          </cell>
          <cell r="D8185">
            <v>0</v>
          </cell>
          <cell r="E8185">
            <v>0</v>
          </cell>
          <cell r="F8185">
            <v>0</v>
          </cell>
          <cell r="G8185">
            <v>0</v>
          </cell>
        </row>
        <row r="8186">
          <cell r="A8186" t="str">
            <v>57-01-01-0594</v>
          </cell>
          <cell r="B8186">
            <v>0</v>
          </cell>
          <cell r="C8186" t="str">
            <v xml:space="preserve">  HAMID SHER OPT A/CONE MILL-1.</v>
          </cell>
          <cell r="D8186">
            <v>0</v>
          </cell>
          <cell r="E8186">
            <v>0</v>
          </cell>
          <cell r="F8186">
            <v>0</v>
          </cell>
          <cell r="G8186">
            <v>0</v>
          </cell>
        </row>
        <row r="8187">
          <cell r="A8187" t="str">
            <v>57-01-01-0595</v>
          </cell>
          <cell r="B8187">
            <v>0</v>
          </cell>
          <cell r="C8187" t="str">
            <v xml:space="preserve">  ABDUL HAQ CT.CARDING MILL-2</v>
          </cell>
          <cell r="D8187">
            <v>0</v>
          </cell>
          <cell r="E8187">
            <v>0</v>
          </cell>
          <cell r="F8187">
            <v>0</v>
          </cell>
          <cell r="G8187">
            <v>0</v>
          </cell>
        </row>
        <row r="8188">
          <cell r="A8188" t="str">
            <v>57-01-01-0596</v>
          </cell>
          <cell r="B8188">
            <v>0</v>
          </cell>
          <cell r="C8188" t="str">
            <v xml:space="preserve">  MUHAMMAD AMJAD DDT D/SIMPLEX</v>
          </cell>
          <cell r="D8188">
            <v>0</v>
          </cell>
          <cell r="E8188">
            <v>0</v>
          </cell>
          <cell r="F8188">
            <v>0</v>
          </cell>
          <cell r="G8188">
            <v>0</v>
          </cell>
        </row>
        <row r="8189">
          <cell r="A8189" t="str">
            <v>57-01-01-0597</v>
          </cell>
          <cell r="B8189">
            <v>0</v>
          </cell>
          <cell r="C8189" t="str">
            <v xml:space="preserve">  QALANDAR SHAH HELPER RING M-2.</v>
          </cell>
          <cell r="D8189">
            <v>0</v>
          </cell>
          <cell r="E8189">
            <v>0</v>
          </cell>
          <cell r="F8189">
            <v>0</v>
          </cell>
          <cell r="G8189">
            <v>0</v>
          </cell>
        </row>
        <row r="8190">
          <cell r="A8190" t="str">
            <v>57-01-01-0598</v>
          </cell>
          <cell r="B8190">
            <v>0</v>
          </cell>
          <cell r="C8190" t="str">
            <v xml:space="preserve">  GHULAM SARWAR S/INCH RING M-3.</v>
          </cell>
          <cell r="D8190">
            <v>0</v>
          </cell>
          <cell r="E8190">
            <v>0</v>
          </cell>
          <cell r="F8190">
            <v>0</v>
          </cell>
          <cell r="G8190">
            <v>0</v>
          </cell>
        </row>
        <row r="8191">
          <cell r="A8191" t="str">
            <v>57-01-01-0599</v>
          </cell>
          <cell r="B8191">
            <v>0</v>
          </cell>
          <cell r="C8191" t="str">
            <v xml:space="preserve">  WAJID ALI PT.B/ROOM</v>
          </cell>
          <cell r="D8191">
            <v>0</v>
          </cell>
          <cell r="E8191">
            <v>0</v>
          </cell>
          <cell r="F8191">
            <v>0</v>
          </cell>
          <cell r="G8191">
            <v>0</v>
          </cell>
        </row>
        <row r="8192">
          <cell r="A8192" t="str">
            <v>57-01-01-0600</v>
          </cell>
          <cell r="B8192">
            <v>0</v>
          </cell>
          <cell r="C8192" t="str">
            <v xml:space="preserve">  ASGHAR ALI PT.B/ROOM MILL-1.</v>
          </cell>
          <cell r="D8192">
            <v>0</v>
          </cell>
          <cell r="E8192">
            <v>0</v>
          </cell>
          <cell r="F8192">
            <v>0</v>
          </cell>
          <cell r="G8192">
            <v>0</v>
          </cell>
        </row>
        <row r="8193">
          <cell r="A8193" t="str">
            <v>57-01-01-0601</v>
          </cell>
          <cell r="B8193">
            <v>0</v>
          </cell>
          <cell r="C8193" t="str">
            <v xml:space="preserve">  IMTIAZ 4/S RING MILL-2.</v>
          </cell>
          <cell r="D8193">
            <v>0</v>
          </cell>
          <cell r="E8193">
            <v>0</v>
          </cell>
          <cell r="F8193">
            <v>0</v>
          </cell>
          <cell r="G8193">
            <v>0</v>
          </cell>
        </row>
        <row r="8194">
          <cell r="A8194" t="str">
            <v>57-01-01-0602</v>
          </cell>
          <cell r="B8194">
            <v>0</v>
          </cell>
          <cell r="C8194" t="str">
            <v xml:space="preserve">  FATEH MUHAMMAD OPT A/CONE MILL-1.</v>
          </cell>
          <cell r="D8194">
            <v>0</v>
          </cell>
          <cell r="E8194">
            <v>0</v>
          </cell>
          <cell r="F8194">
            <v>0</v>
          </cell>
          <cell r="G8194">
            <v>0</v>
          </cell>
        </row>
        <row r="8195">
          <cell r="A8195" t="str">
            <v>57-01-01-0603</v>
          </cell>
          <cell r="B8195">
            <v>0</v>
          </cell>
          <cell r="C8195" t="str">
            <v xml:space="preserve">  SHABBIR HUSSAIN 4/S RING MILL-3.</v>
          </cell>
          <cell r="D8195">
            <v>0</v>
          </cell>
          <cell r="E8195">
            <v>0</v>
          </cell>
          <cell r="F8195">
            <v>0</v>
          </cell>
          <cell r="G8195">
            <v>0</v>
          </cell>
        </row>
        <row r="8196">
          <cell r="A8196" t="str">
            <v>57-01-01-0604</v>
          </cell>
          <cell r="B8196">
            <v>0</v>
          </cell>
          <cell r="C8196" t="str">
            <v xml:space="preserve">  KHAN IQBAL CT.CARDING</v>
          </cell>
          <cell r="D8196">
            <v>0</v>
          </cell>
          <cell r="E8196">
            <v>0</v>
          </cell>
          <cell r="F8196">
            <v>0</v>
          </cell>
          <cell r="G8196">
            <v>0</v>
          </cell>
        </row>
        <row r="8197">
          <cell r="A8197" t="str">
            <v>57-01-01-0605</v>
          </cell>
          <cell r="B8197">
            <v>0</v>
          </cell>
          <cell r="C8197" t="str">
            <v xml:space="preserve">  ZAFAR IQBAL JOBBER D/S M-1.</v>
          </cell>
          <cell r="D8197">
            <v>0</v>
          </cell>
          <cell r="E8197">
            <v>0</v>
          </cell>
          <cell r="F8197">
            <v>0</v>
          </cell>
          <cell r="G8197">
            <v>0</v>
          </cell>
        </row>
        <row r="8198">
          <cell r="A8198" t="str">
            <v>57-01-01-0606</v>
          </cell>
          <cell r="B8198">
            <v>0</v>
          </cell>
          <cell r="C8198" t="str">
            <v xml:space="preserve">  MUHAMMAD ASLAM HVI OPT LAB M-3.</v>
          </cell>
          <cell r="D8198">
            <v>0</v>
          </cell>
          <cell r="E8198">
            <v>0</v>
          </cell>
          <cell r="F8198">
            <v>0</v>
          </cell>
          <cell r="G8198">
            <v>0</v>
          </cell>
        </row>
        <row r="8199">
          <cell r="A8199" t="str">
            <v>57-01-01-0607</v>
          </cell>
          <cell r="B8199">
            <v>0</v>
          </cell>
          <cell r="C8199" t="str">
            <v xml:space="preserve">  MUHAMMAD AZIZ OPT A/CONE MILL-1.</v>
          </cell>
          <cell r="D8199">
            <v>0</v>
          </cell>
          <cell r="E8199">
            <v>0</v>
          </cell>
          <cell r="F8199">
            <v>0</v>
          </cell>
          <cell r="G8199">
            <v>0</v>
          </cell>
        </row>
        <row r="8200">
          <cell r="A8200" t="str">
            <v>57-01-01-0608</v>
          </cell>
          <cell r="B8200">
            <v>0</v>
          </cell>
          <cell r="C8200" t="str">
            <v xml:space="preserve">  MUHAMMAD AKRAM OPT A/CONE</v>
          </cell>
          <cell r="D8200">
            <v>0</v>
          </cell>
          <cell r="E8200">
            <v>0</v>
          </cell>
          <cell r="F8200">
            <v>0</v>
          </cell>
          <cell r="G8200">
            <v>0</v>
          </cell>
        </row>
        <row r="8201">
          <cell r="A8201" t="str">
            <v>57-01-01-0609</v>
          </cell>
          <cell r="B8201">
            <v>0</v>
          </cell>
          <cell r="C8201" t="str">
            <v xml:space="preserve">  MUHAMMED RAFIQ S/INCHARGE RING M-4.</v>
          </cell>
          <cell r="D8201">
            <v>0</v>
          </cell>
          <cell r="E8201">
            <v>0</v>
          </cell>
          <cell r="F8201">
            <v>0</v>
          </cell>
          <cell r="G8201">
            <v>0</v>
          </cell>
        </row>
        <row r="8202">
          <cell r="A8202" t="str">
            <v>57-01-01-0610</v>
          </cell>
          <cell r="B8202">
            <v>0</v>
          </cell>
          <cell r="C8202" t="str">
            <v xml:space="preserve">  GHULAM WASIM JOBBER RING M-4.</v>
          </cell>
          <cell r="D8202">
            <v>0</v>
          </cell>
          <cell r="E8202">
            <v>0</v>
          </cell>
          <cell r="F8202">
            <v>0</v>
          </cell>
          <cell r="G8202">
            <v>0</v>
          </cell>
        </row>
        <row r="8203">
          <cell r="A8203" t="str">
            <v>57-01-01-0611</v>
          </cell>
          <cell r="B8203">
            <v>0</v>
          </cell>
          <cell r="C8203" t="str">
            <v xml:space="preserve">  SHAHID IQBAL 4/S RING MILL-2.</v>
          </cell>
          <cell r="D8203">
            <v>0</v>
          </cell>
          <cell r="E8203">
            <v>0</v>
          </cell>
          <cell r="F8203">
            <v>0</v>
          </cell>
          <cell r="G8203">
            <v>0</v>
          </cell>
        </row>
        <row r="8204">
          <cell r="A8204" t="str">
            <v>57-01-01-0612</v>
          </cell>
          <cell r="B8204">
            <v>0</v>
          </cell>
          <cell r="C8204" t="str">
            <v xml:space="preserve">  SAFDAR HUSSAIN OPT A/CONE MILL-3.</v>
          </cell>
          <cell r="D8204">
            <v>0</v>
          </cell>
          <cell r="E8204">
            <v>0</v>
          </cell>
          <cell r="F8204">
            <v>0</v>
          </cell>
          <cell r="G8204">
            <v>0</v>
          </cell>
        </row>
        <row r="8205">
          <cell r="A8205" t="str">
            <v>57-01-01-0613</v>
          </cell>
          <cell r="B8205">
            <v>0</v>
          </cell>
          <cell r="C8205" t="str">
            <v xml:space="preserve">  MUHAMMED SULEMAN A/FITTER CARDING</v>
          </cell>
          <cell r="D8205">
            <v>0</v>
          </cell>
          <cell r="E8205">
            <v>0</v>
          </cell>
          <cell r="F8205">
            <v>0</v>
          </cell>
          <cell r="G8205">
            <v>0</v>
          </cell>
        </row>
        <row r="8206">
          <cell r="A8206" t="str">
            <v>57-01-01-0614</v>
          </cell>
          <cell r="B8206">
            <v>0</v>
          </cell>
          <cell r="C8206" t="str">
            <v xml:space="preserve">  TAHIR MEHMOOD 4/S RING MILL-2.</v>
          </cell>
          <cell r="D8206">
            <v>0</v>
          </cell>
          <cell r="E8206">
            <v>0</v>
          </cell>
          <cell r="F8206">
            <v>0</v>
          </cell>
          <cell r="G8206">
            <v>0</v>
          </cell>
        </row>
        <row r="8207">
          <cell r="A8207" t="str">
            <v>57-01-01-0615</v>
          </cell>
          <cell r="B8207">
            <v>0</v>
          </cell>
          <cell r="C8207" t="str">
            <v xml:space="preserve">  ATTA UR REHMAN OPT A/CONE MILL-2.</v>
          </cell>
          <cell r="D8207">
            <v>0</v>
          </cell>
          <cell r="E8207">
            <v>0</v>
          </cell>
          <cell r="F8207">
            <v>0</v>
          </cell>
          <cell r="G8207">
            <v>0</v>
          </cell>
        </row>
        <row r="8208">
          <cell r="A8208" t="str">
            <v>57-01-01-0616</v>
          </cell>
          <cell r="B8208">
            <v>0</v>
          </cell>
          <cell r="C8208" t="str">
            <v xml:space="preserve">  MUHAMMAD AMIR OPT A/CONE MILL-4.</v>
          </cell>
          <cell r="D8208">
            <v>0</v>
          </cell>
          <cell r="E8208">
            <v>0</v>
          </cell>
          <cell r="F8208">
            <v>0</v>
          </cell>
          <cell r="G8208">
            <v>0</v>
          </cell>
        </row>
        <row r="8209">
          <cell r="A8209" t="str">
            <v>57-01-01-0617</v>
          </cell>
          <cell r="B8209">
            <v>0</v>
          </cell>
          <cell r="C8209" t="str">
            <v xml:space="preserve">  QAISER JAMIL 4/S RING MILL-2.</v>
          </cell>
          <cell r="D8209">
            <v>0</v>
          </cell>
          <cell r="E8209">
            <v>0</v>
          </cell>
          <cell r="F8209">
            <v>0</v>
          </cell>
          <cell r="G8209">
            <v>0</v>
          </cell>
        </row>
        <row r="8210">
          <cell r="A8210" t="str">
            <v>57-01-01-0618</v>
          </cell>
          <cell r="B8210">
            <v>0</v>
          </cell>
          <cell r="C8210" t="str">
            <v xml:space="preserve">  SAFEER AHMED OPT A/CONE.</v>
          </cell>
          <cell r="D8210">
            <v>0</v>
          </cell>
          <cell r="E8210">
            <v>0</v>
          </cell>
          <cell r="F8210">
            <v>0</v>
          </cell>
          <cell r="G8210">
            <v>0</v>
          </cell>
        </row>
        <row r="8211">
          <cell r="A8211" t="str">
            <v>57-01-01-0619</v>
          </cell>
          <cell r="B8211">
            <v>0</v>
          </cell>
          <cell r="C8211" t="str">
            <v xml:space="preserve">  BABR ALI 4/S RING MILL-3.</v>
          </cell>
          <cell r="D8211">
            <v>0</v>
          </cell>
          <cell r="E8211">
            <v>0</v>
          </cell>
          <cell r="F8211">
            <v>0</v>
          </cell>
          <cell r="G8211">
            <v>0</v>
          </cell>
        </row>
        <row r="8212">
          <cell r="A8212" t="str">
            <v>57-01-01-0620</v>
          </cell>
          <cell r="B8212">
            <v>0</v>
          </cell>
          <cell r="C8212" t="str">
            <v xml:space="preserve">  MUHAMMAD ARSHAD DDT D/SIMPLEX M-2.</v>
          </cell>
          <cell r="D8212">
            <v>0</v>
          </cell>
          <cell r="E8212">
            <v>0</v>
          </cell>
          <cell r="F8212">
            <v>0</v>
          </cell>
          <cell r="G8212">
            <v>0</v>
          </cell>
        </row>
        <row r="8213">
          <cell r="A8213" t="str">
            <v>57-01-01-0621</v>
          </cell>
          <cell r="B8213">
            <v>0</v>
          </cell>
          <cell r="C8213" t="str">
            <v xml:space="preserve">  GULZAR HUSSAIN 4/S RING M-3.</v>
          </cell>
          <cell r="D8213">
            <v>0</v>
          </cell>
          <cell r="E8213">
            <v>0</v>
          </cell>
          <cell r="F8213">
            <v>0</v>
          </cell>
          <cell r="G8213">
            <v>0</v>
          </cell>
        </row>
        <row r="8214">
          <cell r="A8214" t="str">
            <v>57-01-01-0622</v>
          </cell>
          <cell r="B8214">
            <v>0</v>
          </cell>
          <cell r="C8214" t="str">
            <v xml:space="preserve">  SANOBAR IQBAL CT COMBER MILL-3.</v>
          </cell>
          <cell r="D8214">
            <v>0</v>
          </cell>
          <cell r="E8214">
            <v>0</v>
          </cell>
          <cell r="F8214">
            <v>0</v>
          </cell>
          <cell r="G8214">
            <v>0</v>
          </cell>
        </row>
        <row r="8215">
          <cell r="A8215" t="str">
            <v>57-01-01-0623</v>
          </cell>
          <cell r="B8215">
            <v>0</v>
          </cell>
          <cell r="C8215" t="str">
            <v xml:space="preserve">  ALLAH DITTACT.CARDING MILL-2.</v>
          </cell>
          <cell r="D8215">
            <v>0</v>
          </cell>
          <cell r="E8215">
            <v>0</v>
          </cell>
          <cell r="F8215">
            <v>0</v>
          </cell>
          <cell r="G8215">
            <v>0</v>
          </cell>
        </row>
        <row r="8216">
          <cell r="A8216" t="str">
            <v>57-01-01-0624</v>
          </cell>
          <cell r="B8216">
            <v>0</v>
          </cell>
          <cell r="C8216" t="str">
            <v xml:space="preserve">  MUHAMMED SULTAN FITTER RING MILL-1.</v>
          </cell>
          <cell r="D8216">
            <v>0</v>
          </cell>
          <cell r="E8216">
            <v>0</v>
          </cell>
          <cell r="F8216">
            <v>0</v>
          </cell>
          <cell r="G8216">
            <v>0</v>
          </cell>
        </row>
        <row r="8217">
          <cell r="A8217" t="str">
            <v>57-01-01-0625</v>
          </cell>
          <cell r="B8217">
            <v>0</v>
          </cell>
          <cell r="C8217" t="str">
            <v xml:space="preserve">  NAZIR MUHAMMAD DDT D/SIMPLEX</v>
          </cell>
          <cell r="D8217">
            <v>0</v>
          </cell>
          <cell r="E8217">
            <v>0</v>
          </cell>
          <cell r="F8217">
            <v>0</v>
          </cell>
          <cell r="G8217">
            <v>0</v>
          </cell>
        </row>
        <row r="8218">
          <cell r="A8218" t="str">
            <v>57-01-01-0626</v>
          </cell>
          <cell r="B8218">
            <v>0</v>
          </cell>
          <cell r="C8218" t="str">
            <v xml:space="preserve">  FAYAZ MUHAMMED DDT D/SIMPLEX M-1.</v>
          </cell>
          <cell r="D8218">
            <v>0</v>
          </cell>
          <cell r="E8218">
            <v>0</v>
          </cell>
          <cell r="F8218">
            <v>0</v>
          </cell>
          <cell r="G8218">
            <v>0</v>
          </cell>
        </row>
        <row r="8219">
          <cell r="A8219" t="str">
            <v>57-01-01-0627</v>
          </cell>
          <cell r="B8219">
            <v>0</v>
          </cell>
          <cell r="C8219" t="str">
            <v xml:space="preserve">  MUHAMMED ASLAM OPT A/CONE M-1.</v>
          </cell>
          <cell r="D8219">
            <v>0</v>
          </cell>
          <cell r="E8219">
            <v>0</v>
          </cell>
          <cell r="F8219">
            <v>0</v>
          </cell>
          <cell r="G8219">
            <v>0</v>
          </cell>
        </row>
        <row r="8220">
          <cell r="A8220" t="str">
            <v>57-01-01-0628</v>
          </cell>
          <cell r="B8220">
            <v>0</v>
          </cell>
          <cell r="C8220" t="str">
            <v xml:space="preserve">  42309 ARIF RAZA A/OFFICER (ACCOUNTS)</v>
          </cell>
          <cell r="D8220">
            <v>0</v>
          </cell>
          <cell r="E8220">
            <v>0</v>
          </cell>
          <cell r="F8220">
            <v>0</v>
          </cell>
          <cell r="G8220">
            <v>0</v>
          </cell>
        </row>
        <row r="8221">
          <cell r="A8221" t="str">
            <v>57-01-01-0629</v>
          </cell>
          <cell r="B8221">
            <v>0</v>
          </cell>
          <cell r="C8221" t="str">
            <v xml:space="preserve">  SAJJAD HUSSAIN HELPER RING M-2.</v>
          </cell>
          <cell r="D8221">
            <v>0</v>
          </cell>
          <cell r="E8221">
            <v>0</v>
          </cell>
          <cell r="F8221">
            <v>0</v>
          </cell>
          <cell r="G8221">
            <v>0</v>
          </cell>
        </row>
        <row r="8222">
          <cell r="A8222" t="str">
            <v>57-01-01-0630</v>
          </cell>
          <cell r="B8222">
            <v>0</v>
          </cell>
          <cell r="C8222" t="str">
            <v xml:space="preserve">  BASHARAT ALI A/FITTER RING M-2.</v>
          </cell>
          <cell r="D8222">
            <v>0</v>
          </cell>
          <cell r="E8222">
            <v>0</v>
          </cell>
          <cell r="F8222">
            <v>0</v>
          </cell>
          <cell r="G8222">
            <v>0</v>
          </cell>
        </row>
        <row r="8223">
          <cell r="A8223" t="str">
            <v>57-01-01-0631</v>
          </cell>
          <cell r="B8223">
            <v>0</v>
          </cell>
          <cell r="C8223" t="str">
            <v xml:space="preserve">  MUHAMMAD NAWAZ OPT A/CONE M-2.</v>
          </cell>
          <cell r="D8223">
            <v>0</v>
          </cell>
          <cell r="E8223">
            <v>0</v>
          </cell>
          <cell r="F8223">
            <v>0</v>
          </cell>
          <cell r="G8223">
            <v>0</v>
          </cell>
        </row>
        <row r="8224">
          <cell r="A8224" t="str">
            <v>57-01-01-0632</v>
          </cell>
          <cell r="B8224">
            <v>0</v>
          </cell>
          <cell r="C8224" t="str">
            <v xml:space="preserve">  SADDIQ UR REHMAN S.Q.O. LAB.</v>
          </cell>
          <cell r="D8224">
            <v>0</v>
          </cell>
          <cell r="E8224">
            <v>0</v>
          </cell>
          <cell r="F8224">
            <v>0</v>
          </cell>
          <cell r="G8224">
            <v>0</v>
          </cell>
        </row>
        <row r="8225">
          <cell r="A8225" t="str">
            <v>57-01-01-0633</v>
          </cell>
          <cell r="B8225">
            <v>0</v>
          </cell>
          <cell r="C8225" t="str">
            <v xml:space="preserve">  ALI BHADAR OIL MAN RING M-2.</v>
          </cell>
          <cell r="D8225">
            <v>0</v>
          </cell>
          <cell r="E8225">
            <v>0</v>
          </cell>
          <cell r="F8225">
            <v>0</v>
          </cell>
          <cell r="G8225">
            <v>0</v>
          </cell>
        </row>
        <row r="8226">
          <cell r="A8226" t="str">
            <v>57-01-01-0634</v>
          </cell>
          <cell r="B8226">
            <v>0</v>
          </cell>
          <cell r="C8226" t="str">
            <v xml:space="preserve">  HAZRAT HUSSAIN DRIVER</v>
          </cell>
          <cell r="D8226">
            <v>0</v>
          </cell>
          <cell r="E8226">
            <v>0</v>
          </cell>
          <cell r="F8226">
            <v>0</v>
          </cell>
          <cell r="G8226">
            <v>0</v>
          </cell>
        </row>
        <row r="8227">
          <cell r="A8227" t="str">
            <v>57-01-01-0635</v>
          </cell>
          <cell r="B8227">
            <v>0</v>
          </cell>
          <cell r="C8227" t="str">
            <v xml:space="preserve">  JAVAID IQBAL JOBBER RING M-1.</v>
          </cell>
          <cell r="D8227">
            <v>0</v>
          </cell>
          <cell r="E8227">
            <v>0</v>
          </cell>
          <cell r="F8227">
            <v>0</v>
          </cell>
          <cell r="G8227">
            <v>0</v>
          </cell>
        </row>
        <row r="8228">
          <cell r="A8228" t="str">
            <v>57-01-01-0636</v>
          </cell>
          <cell r="B8228">
            <v>0</v>
          </cell>
          <cell r="C8228" t="str">
            <v xml:space="preserve">  ZAKIR ALI JOBBER RING M-2.</v>
          </cell>
          <cell r="D8228">
            <v>0</v>
          </cell>
          <cell r="E8228">
            <v>0</v>
          </cell>
          <cell r="F8228">
            <v>0</v>
          </cell>
          <cell r="G8228">
            <v>0</v>
          </cell>
        </row>
        <row r="8229">
          <cell r="A8229" t="str">
            <v>57-01-01-0637</v>
          </cell>
          <cell r="B8229">
            <v>0</v>
          </cell>
          <cell r="C8229" t="str">
            <v xml:space="preserve">  MUHAMMAD ANSAR H/FITTER B/ROOM</v>
          </cell>
          <cell r="D8229">
            <v>0</v>
          </cell>
          <cell r="E8229">
            <v>0</v>
          </cell>
          <cell r="F8229">
            <v>0</v>
          </cell>
          <cell r="G8229">
            <v>0</v>
          </cell>
        </row>
        <row r="8230">
          <cell r="A8230" t="str">
            <v>57-01-01-0638</v>
          </cell>
          <cell r="B8230">
            <v>0</v>
          </cell>
          <cell r="C8230" t="str">
            <v xml:space="preserve">  KHALID MEHMOOD S/INC.RING</v>
          </cell>
          <cell r="D8230">
            <v>0</v>
          </cell>
          <cell r="E8230">
            <v>0</v>
          </cell>
          <cell r="F8230">
            <v>0</v>
          </cell>
          <cell r="G8230">
            <v>0</v>
          </cell>
        </row>
        <row r="8231">
          <cell r="A8231" t="str">
            <v>57-01-01-0639</v>
          </cell>
          <cell r="B8231">
            <v>0</v>
          </cell>
          <cell r="C8231" t="str">
            <v xml:space="preserve">  SHABBIR AHMED DOFFER RING -4.</v>
          </cell>
          <cell r="D8231">
            <v>0</v>
          </cell>
          <cell r="E8231">
            <v>0</v>
          </cell>
          <cell r="F8231">
            <v>0</v>
          </cell>
          <cell r="G8231">
            <v>0</v>
          </cell>
        </row>
        <row r="8232">
          <cell r="A8232" t="str">
            <v>57-01-01-0640</v>
          </cell>
          <cell r="B8232">
            <v>0</v>
          </cell>
          <cell r="C8232" t="str">
            <v xml:space="preserve">  MUHAMMAD ISHTIAQ 4/S RING-4.</v>
          </cell>
          <cell r="D8232">
            <v>0</v>
          </cell>
          <cell r="E8232">
            <v>0</v>
          </cell>
          <cell r="F8232">
            <v>0</v>
          </cell>
          <cell r="G8232">
            <v>0</v>
          </cell>
        </row>
        <row r="8233">
          <cell r="A8233" t="str">
            <v>57-01-01-0641</v>
          </cell>
          <cell r="B8233">
            <v>0</v>
          </cell>
          <cell r="C8233" t="str">
            <v xml:space="preserve">  KHALID MEHMOOD DOFFER RING-4.</v>
          </cell>
          <cell r="D8233">
            <v>0</v>
          </cell>
          <cell r="E8233">
            <v>0</v>
          </cell>
          <cell r="F8233">
            <v>0</v>
          </cell>
          <cell r="G8233">
            <v>0</v>
          </cell>
        </row>
        <row r="8234">
          <cell r="A8234" t="str">
            <v>57-01-01-0642</v>
          </cell>
          <cell r="B8234">
            <v>0</v>
          </cell>
          <cell r="C8234" t="str">
            <v xml:space="preserve">  MUHAMMAD RIAZ DOFFER</v>
          </cell>
          <cell r="D8234">
            <v>0</v>
          </cell>
          <cell r="E8234">
            <v>0</v>
          </cell>
          <cell r="F8234">
            <v>0</v>
          </cell>
          <cell r="G8234">
            <v>0</v>
          </cell>
        </row>
        <row r="8235">
          <cell r="A8235" t="str">
            <v>57-01-01-0643</v>
          </cell>
          <cell r="B8235">
            <v>0</v>
          </cell>
          <cell r="C8235" t="str">
            <v xml:space="preserve">  NAVEED AHMED DOFFER RING-4.</v>
          </cell>
          <cell r="D8235">
            <v>0</v>
          </cell>
          <cell r="E8235">
            <v>0</v>
          </cell>
          <cell r="F8235">
            <v>0</v>
          </cell>
          <cell r="G8235">
            <v>0</v>
          </cell>
        </row>
        <row r="8236">
          <cell r="A8236" t="str">
            <v>57-01-01-0644</v>
          </cell>
          <cell r="B8236">
            <v>0</v>
          </cell>
          <cell r="C8236" t="str">
            <v xml:space="preserve">  KHALID KHAN A/ACCOUNTANT</v>
          </cell>
          <cell r="D8236">
            <v>0</v>
          </cell>
          <cell r="E8236">
            <v>0</v>
          </cell>
          <cell r="F8236">
            <v>0</v>
          </cell>
          <cell r="G8236">
            <v>0</v>
          </cell>
        </row>
        <row r="8237">
          <cell r="A8237" t="str">
            <v>57-01-01-0645</v>
          </cell>
          <cell r="B8237">
            <v>0</v>
          </cell>
          <cell r="C8237" t="str">
            <v xml:space="preserve">  KHALID HUSSAIN A/OFFICER</v>
          </cell>
          <cell r="D8237">
            <v>0</v>
          </cell>
          <cell r="E8237">
            <v>0</v>
          </cell>
          <cell r="F8237">
            <v>0</v>
          </cell>
          <cell r="G8237">
            <v>0</v>
          </cell>
        </row>
        <row r="8238">
          <cell r="A8238" t="str">
            <v>57-01-01-0646</v>
          </cell>
          <cell r="B8238">
            <v>0</v>
          </cell>
          <cell r="C8238" t="str">
            <v xml:space="preserve">  NOBAT KHAN 4/S RING-3 M-2.</v>
          </cell>
          <cell r="D8238">
            <v>0</v>
          </cell>
          <cell r="E8238">
            <v>0</v>
          </cell>
          <cell r="F8238">
            <v>0</v>
          </cell>
          <cell r="G8238">
            <v>0</v>
          </cell>
        </row>
        <row r="8239">
          <cell r="A8239" t="str">
            <v>57-01-01-0647</v>
          </cell>
          <cell r="B8239">
            <v>0</v>
          </cell>
          <cell r="C8239" t="str">
            <v xml:space="preserve">  MUNIR AHMED OPT A/CONE M-1.</v>
          </cell>
          <cell r="D8239">
            <v>0</v>
          </cell>
          <cell r="E8239">
            <v>0</v>
          </cell>
          <cell r="F8239">
            <v>0</v>
          </cell>
          <cell r="G8239">
            <v>0</v>
          </cell>
        </row>
        <row r="8240">
          <cell r="A8240" t="str">
            <v>57-01-01-0648</v>
          </cell>
          <cell r="B8240">
            <v>0</v>
          </cell>
          <cell r="C8240" t="str">
            <v xml:space="preserve">  FAZAL AKBAR OPT A/CONE M-2.</v>
          </cell>
          <cell r="D8240">
            <v>0</v>
          </cell>
          <cell r="E8240">
            <v>0</v>
          </cell>
          <cell r="F8240">
            <v>0</v>
          </cell>
          <cell r="G8240">
            <v>0</v>
          </cell>
        </row>
        <row r="8241">
          <cell r="A8241" t="str">
            <v>57-01-01-0649</v>
          </cell>
          <cell r="B8241">
            <v>0</v>
          </cell>
          <cell r="C8241" t="str">
            <v xml:space="preserve">  DORAN ALI OPT A/CONE M-2.</v>
          </cell>
          <cell r="D8241">
            <v>0</v>
          </cell>
          <cell r="E8241">
            <v>0</v>
          </cell>
          <cell r="F8241">
            <v>0</v>
          </cell>
          <cell r="G8241">
            <v>0</v>
          </cell>
        </row>
        <row r="8242">
          <cell r="A8242" t="str">
            <v>57-01-01-0650</v>
          </cell>
          <cell r="B8242">
            <v>0</v>
          </cell>
          <cell r="C8242" t="str">
            <v xml:space="preserve">  MUHAMMAD BOOTA PACKING SUPERVISOR.</v>
          </cell>
          <cell r="D8242">
            <v>0</v>
          </cell>
          <cell r="E8242">
            <v>0</v>
          </cell>
          <cell r="F8242">
            <v>0</v>
          </cell>
          <cell r="G8242">
            <v>0</v>
          </cell>
        </row>
        <row r="8243">
          <cell r="A8243" t="str">
            <v>57-01-01-0651</v>
          </cell>
          <cell r="B8243">
            <v>0</v>
          </cell>
          <cell r="C8243" t="str">
            <v xml:space="preserve">  HASSAN SHAH JOBBER R-2 SHIFT B-M-1.</v>
          </cell>
          <cell r="D8243">
            <v>0</v>
          </cell>
          <cell r="E8243">
            <v>0</v>
          </cell>
          <cell r="F8243">
            <v>0</v>
          </cell>
          <cell r="G8243">
            <v>0</v>
          </cell>
        </row>
        <row r="8244">
          <cell r="A8244" t="str">
            <v>57-01-01-0652</v>
          </cell>
          <cell r="B8244">
            <v>0</v>
          </cell>
          <cell r="C8244" t="str">
            <v xml:space="preserve">  SHAHID RAZA Q/OBSERVER LAB # 4.</v>
          </cell>
          <cell r="D8244">
            <v>0</v>
          </cell>
          <cell r="E8244">
            <v>0</v>
          </cell>
          <cell r="F8244">
            <v>0</v>
          </cell>
          <cell r="G8244">
            <v>0</v>
          </cell>
        </row>
        <row r="8245">
          <cell r="A8245" t="str">
            <v>57-01-01-0653</v>
          </cell>
          <cell r="B8245">
            <v>0</v>
          </cell>
          <cell r="C8245" t="str">
            <v xml:space="preserve">  ZAMIR-UL-HASAN DSM M-3.</v>
          </cell>
          <cell r="D8245">
            <v>0</v>
          </cell>
          <cell r="E8245">
            <v>0</v>
          </cell>
          <cell r="F8245">
            <v>0</v>
          </cell>
          <cell r="G8245">
            <v>0</v>
          </cell>
        </row>
        <row r="8246">
          <cell r="A8246" t="str">
            <v>57-01-01-0654</v>
          </cell>
          <cell r="B8246">
            <v>0</v>
          </cell>
          <cell r="C8246" t="str">
            <v xml:space="preserve">  REHMAT ALI OPERATOR SHIFT 'A'</v>
          </cell>
          <cell r="D8246">
            <v>0</v>
          </cell>
          <cell r="E8246">
            <v>0</v>
          </cell>
          <cell r="F8246">
            <v>0</v>
          </cell>
          <cell r="G8246">
            <v>0</v>
          </cell>
        </row>
        <row r="8247">
          <cell r="A8247" t="str">
            <v>57-01-01-0655</v>
          </cell>
          <cell r="B8247">
            <v>0</v>
          </cell>
          <cell r="C8247" t="str">
            <v xml:space="preserve">  RAJAB ALI D.S.T SHIFT C MILL-1.</v>
          </cell>
          <cell r="D8247">
            <v>0</v>
          </cell>
          <cell r="E8247">
            <v>0</v>
          </cell>
          <cell r="F8247">
            <v>0</v>
          </cell>
          <cell r="G8247">
            <v>0</v>
          </cell>
        </row>
        <row r="8248">
          <cell r="A8248" t="str">
            <v>57-01-01-0656</v>
          </cell>
          <cell r="B8248">
            <v>0</v>
          </cell>
          <cell r="C8248" t="str">
            <v xml:space="preserve">  MUHAMMAD SADDIQUE P.SUPERVISOR</v>
          </cell>
          <cell r="D8248">
            <v>0</v>
          </cell>
          <cell r="E8248">
            <v>0</v>
          </cell>
          <cell r="F8248">
            <v>0</v>
          </cell>
          <cell r="G8248">
            <v>0</v>
          </cell>
        </row>
        <row r="8249">
          <cell r="A8249" t="str">
            <v>57-01-01-0657</v>
          </cell>
          <cell r="B8249">
            <v>0</v>
          </cell>
          <cell r="C8249" t="str">
            <v xml:space="preserve">  MUHAMMAD MALIK 4/S RING # 3.</v>
          </cell>
          <cell r="D8249">
            <v>0</v>
          </cell>
          <cell r="E8249">
            <v>0</v>
          </cell>
          <cell r="F8249">
            <v>0</v>
          </cell>
          <cell r="G8249">
            <v>0</v>
          </cell>
        </row>
        <row r="8250">
          <cell r="A8250" t="str">
            <v>57-01-01-0659</v>
          </cell>
          <cell r="B8250">
            <v>0</v>
          </cell>
          <cell r="C8250" t="str">
            <v xml:space="preserve">  MUHAMMAD AKRAM A/F RING.</v>
          </cell>
          <cell r="D8250">
            <v>0</v>
          </cell>
          <cell r="E8250">
            <v>0</v>
          </cell>
          <cell r="F8250">
            <v>0</v>
          </cell>
          <cell r="G8250">
            <v>0</v>
          </cell>
        </row>
        <row r="8251">
          <cell r="A8251" t="str">
            <v>57-01-01-0660</v>
          </cell>
          <cell r="B8251">
            <v>0</v>
          </cell>
          <cell r="C8251" t="str">
            <v xml:space="preserve">  MUHAMMAD J.IQBAL F/MAN</v>
          </cell>
          <cell r="D8251">
            <v>0</v>
          </cell>
          <cell r="E8251">
            <v>0</v>
          </cell>
          <cell r="F8251">
            <v>0</v>
          </cell>
          <cell r="G8251">
            <v>0</v>
          </cell>
        </row>
        <row r="8252">
          <cell r="A8252" t="str">
            <v>57-01-01-0661</v>
          </cell>
          <cell r="B8252">
            <v>0</v>
          </cell>
          <cell r="C8252" t="str">
            <v xml:space="preserve">  NAVEED HUSSAIN SH.INCHARGES S.B</v>
          </cell>
          <cell r="D8252">
            <v>0</v>
          </cell>
          <cell r="E8252">
            <v>0</v>
          </cell>
          <cell r="F8252">
            <v>0</v>
          </cell>
          <cell r="G8252">
            <v>0</v>
          </cell>
        </row>
        <row r="8253">
          <cell r="A8253" t="str">
            <v>57-01-01-0662</v>
          </cell>
          <cell r="B8253">
            <v>0</v>
          </cell>
          <cell r="C8253" t="str">
            <v xml:space="preserve">  GULZAR HUSSAIN SHAH OPT. M# 4.</v>
          </cell>
          <cell r="D8253">
            <v>0</v>
          </cell>
          <cell r="E8253">
            <v>0</v>
          </cell>
          <cell r="F8253">
            <v>0</v>
          </cell>
          <cell r="G8253">
            <v>0</v>
          </cell>
        </row>
        <row r="8254">
          <cell r="A8254" t="str">
            <v>57-01-01-0663</v>
          </cell>
          <cell r="B8254">
            <v>0</v>
          </cell>
          <cell r="C8254" t="str">
            <v xml:space="preserve">  ZULFIQAR ALI A/F SHIFT G M # 3</v>
          </cell>
          <cell r="D8254">
            <v>0</v>
          </cell>
          <cell r="E8254">
            <v>0</v>
          </cell>
          <cell r="F8254">
            <v>0</v>
          </cell>
          <cell r="G8254">
            <v>0</v>
          </cell>
        </row>
        <row r="8255">
          <cell r="A8255" t="str">
            <v>57-01-01-0664</v>
          </cell>
          <cell r="B8255">
            <v>0</v>
          </cell>
          <cell r="C8255" t="str">
            <v xml:space="preserve">  AKHLAQ AHMED S/FITTER</v>
          </cell>
          <cell r="D8255">
            <v>0</v>
          </cell>
          <cell r="E8255">
            <v>0</v>
          </cell>
          <cell r="F8255">
            <v>0</v>
          </cell>
          <cell r="G8255">
            <v>0</v>
          </cell>
        </row>
        <row r="8256">
          <cell r="A8256" t="str">
            <v>57-01-01-0665</v>
          </cell>
          <cell r="B8256">
            <v>0</v>
          </cell>
          <cell r="C8256" t="str">
            <v xml:space="preserve">  ALLAH SHER HOBBER SH.B M # 4.</v>
          </cell>
          <cell r="D8256">
            <v>0</v>
          </cell>
          <cell r="E8256">
            <v>0</v>
          </cell>
          <cell r="F8256">
            <v>0</v>
          </cell>
          <cell r="G8256">
            <v>0</v>
          </cell>
        </row>
        <row r="8257">
          <cell r="A8257" t="str">
            <v>57-01-01-0666</v>
          </cell>
          <cell r="B8257">
            <v>0</v>
          </cell>
          <cell r="C8257" t="str">
            <v xml:space="preserve">  MUHAMMAD NADEEM S.FITTER SHIFTT 'G' M#</v>
          </cell>
          <cell r="D8257">
            <v>0</v>
          </cell>
          <cell r="E8257">
            <v>0</v>
          </cell>
          <cell r="F8257">
            <v>0</v>
          </cell>
          <cell r="G8257">
            <v>0</v>
          </cell>
        </row>
        <row r="8258">
          <cell r="A8258" t="str">
            <v>57-01-01-0667</v>
          </cell>
          <cell r="B8258">
            <v>0</v>
          </cell>
          <cell r="C8258" t="str">
            <v xml:space="preserve">  MUHAMMAD ASLAM TAHIR L/SUP M# 4.</v>
          </cell>
          <cell r="D8258">
            <v>0</v>
          </cell>
          <cell r="E8258">
            <v>0</v>
          </cell>
          <cell r="F8258">
            <v>0</v>
          </cell>
          <cell r="G8258">
            <v>0</v>
          </cell>
        </row>
        <row r="8259">
          <cell r="A8259" t="str">
            <v>57-01-01-0668</v>
          </cell>
          <cell r="B8259">
            <v>0</v>
          </cell>
          <cell r="C8259" t="str">
            <v xml:space="preserve">  KHALID RASHEED</v>
          </cell>
          <cell r="D8259">
            <v>429000</v>
          </cell>
          <cell r="E8259">
            <v>0</v>
          </cell>
          <cell r="F8259">
            <v>0</v>
          </cell>
          <cell r="G8259">
            <v>0</v>
          </cell>
        </row>
        <row r="8260">
          <cell r="A8260" t="str">
            <v>57-01-01-0669</v>
          </cell>
          <cell r="B8260">
            <v>0</v>
          </cell>
          <cell r="C8260" t="str">
            <v xml:space="preserve">  MUHAMMAD SARWAR GM-3</v>
          </cell>
          <cell r="D8260">
            <v>0</v>
          </cell>
          <cell r="E8260">
            <v>0</v>
          </cell>
          <cell r="F8260">
            <v>0</v>
          </cell>
          <cell r="G8260">
            <v>0</v>
          </cell>
        </row>
        <row r="8261">
          <cell r="A8261" t="str">
            <v>57-01-01-0670</v>
          </cell>
          <cell r="B8261">
            <v>0</v>
          </cell>
          <cell r="C8261" t="str">
            <v xml:space="preserve">  WASIM YASIR 4/S SHIFT</v>
          </cell>
          <cell r="D8261">
            <v>0</v>
          </cell>
          <cell r="E8261">
            <v>0</v>
          </cell>
          <cell r="F8261">
            <v>0</v>
          </cell>
          <cell r="G8261">
            <v>0</v>
          </cell>
        </row>
        <row r="8262">
          <cell r="A8262" t="str">
            <v>57-01-01-0671</v>
          </cell>
          <cell r="B8262">
            <v>0</v>
          </cell>
          <cell r="C8262" t="str">
            <v xml:space="preserve">  TARIQ MEHMOOD FITTER</v>
          </cell>
          <cell r="D8262">
            <v>0</v>
          </cell>
          <cell r="E8262">
            <v>0</v>
          </cell>
          <cell r="F8262">
            <v>0</v>
          </cell>
          <cell r="G8262">
            <v>0</v>
          </cell>
        </row>
        <row r="8263">
          <cell r="A8263" t="str">
            <v>57-01-01-0672</v>
          </cell>
          <cell r="B8263">
            <v>0</v>
          </cell>
          <cell r="C8263" t="str">
            <v xml:space="preserve">  ABBAS ALI HELPER SH.</v>
          </cell>
          <cell r="D8263">
            <v>0</v>
          </cell>
          <cell r="E8263">
            <v>0</v>
          </cell>
          <cell r="F8263">
            <v>0</v>
          </cell>
          <cell r="G8263">
            <v>0</v>
          </cell>
        </row>
        <row r="8264">
          <cell r="A8264" t="str">
            <v>57-01-01-0673</v>
          </cell>
          <cell r="B8264">
            <v>0</v>
          </cell>
          <cell r="C8264" t="str">
            <v xml:space="preserve">  NAIR AHMAD DEPTT RING SH:</v>
          </cell>
          <cell r="D8264">
            <v>0</v>
          </cell>
          <cell r="E8264">
            <v>0</v>
          </cell>
          <cell r="F8264">
            <v>0</v>
          </cell>
          <cell r="G8264">
            <v>0</v>
          </cell>
        </row>
        <row r="8265">
          <cell r="A8265" t="str">
            <v>57-01-01-0674</v>
          </cell>
          <cell r="B8265">
            <v>0</v>
          </cell>
          <cell r="C8265" t="str">
            <v xml:space="preserve">  AMANAT ALI 4/S SH.</v>
          </cell>
          <cell r="D8265">
            <v>0</v>
          </cell>
          <cell r="E8265">
            <v>0</v>
          </cell>
          <cell r="F8265">
            <v>0</v>
          </cell>
          <cell r="G8265">
            <v>0</v>
          </cell>
        </row>
        <row r="8266">
          <cell r="A8266" t="str">
            <v>57-01-01-0675</v>
          </cell>
          <cell r="B8266">
            <v>0</v>
          </cell>
          <cell r="C8266" t="str">
            <v xml:space="preserve">  AII AHMAD 4/S SH.</v>
          </cell>
          <cell r="D8266">
            <v>0</v>
          </cell>
          <cell r="E8266">
            <v>0</v>
          </cell>
          <cell r="F8266">
            <v>0</v>
          </cell>
          <cell r="G8266">
            <v>0</v>
          </cell>
        </row>
        <row r="8267">
          <cell r="A8267" t="str">
            <v>57-01-01-0676</v>
          </cell>
          <cell r="B8267">
            <v>0</v>
          </cell>
          <cell r="C8267" t="str">
            <v xml:space="preserve">  GHULAM MUSTAFA JOBBER DEP.</v>
          </cell>
          <cell r="D8267">
            <v>0</v>
          </cell>
          <cell r="E8267">
            <v>0</v>
          </cell>
          <cell r="F8267">
            <v>0</v>
          </cell>
          <cell r="G8267">
            <v>0</v>
          </cell>
        </row>
        <row r="8268">
          <cell r="A8268" t="str">
            <v>57-01-01-0677</v>
          </cell>
          <cell r="B8268">
            <v>0</v>
          </cell>
          <cell r="C8268" t="str">
            <v xml:space="preserve">  BEHRAM KHAN 4/S SHIFT.</v>
          </cell>
          <cell r="D8268">
            <v>0</v>
          </cell>
          <cell r="E8268">
            <v>0</v>
          </cell>
          <cell r="F8268">
            <v>0</v>
          </cell>
          <cell r="G8268">
            <v>0</v>
          </cell>
        </row>
        <row r="8269">
          <cell r="A8269" t="str">
            <v>57-01-01-0678</v>
          </cell>
          <cell r="B8269">
            <v>0</v>
          </cell>
          <cell r="C8269" t="str">
            <v xml:space="preserve">  HAQ NAWA DGT SHIFT</v>
          </cell>
          <cell r="D8269">
            <v>0</v>
          </cell>
          <cell r="E8269">
            <v>0</v>
          </cell>
          <cell r="F8269">
            <v>0</v>
          </cell>
          <cell r="G8269">
            <v>0</v>
          </cell>
        </row>
        <row r="8270">
          <cell r="A8270" t="str">
            <v>57-01-01-0679</v>
          </cell>
          <cell r="B8270">
            <v>0</v>
          </cell>
          <cell r="C8270" t="str">
            <v xml:space="preserve">  MUHAMMAD ASGHAR DOFFER</v>
          </cell>
          <cell r="D8270">
            <v>0</v>
          </cell>
          <cell r="E8270">
            <v>0</v>
          </cell>
          <cell r="F8270">
            <v>0</v>
          </cell>
          <cell r="G8270">
            <v>0</v>
          </cell>
        </row>
        <row r="8271">
          <cell r="A8271" t="str">
            <v>57-01-01-0680</v>
          </cell>
          <cell r="B8271">
            <v>0</v>
          </cell>
          <cell r="C8271" t="str">
            <v xml:space="preserve">  MUHAMMAD IRFAN DOFFER</v>
          </cell>
          <cell r="D8271">
            <v>0</v>
          </cell>
          <cell r="E8271">
            <v>0</v>
          </cell>
          <cell r="F8271">
            <v>0</v>
          </cell>
          <cell r="G8271">
            <v>0</v>
          </cell>
        </row>
        <row r="8272">
          <cell r="A8272" t="str">
            <v>57-01-01-0681</v>
          </cell>
          <cell r="B8272">
            <v>0</v>
          </cell>
          <cell r="C8272" t="str">
            <v xml:space="preserve">  GUL ZAMAN 4/S SHIFT</v>
          </cell>
          <cell r="D8272">
            <v>0</v>
          </cell>
          <cell r="E8272">
            <v>0</v>
          </cell>
          <cell r="F8272">
            <v>0</v>
          </cell>
          <cell r="G8272">
            <v>0</v>
          </cell>
        </row>
        <row r="8273">
          <cell r="A8273" t="str">
            <v>57-01-01-0682</v>
          </cell>
          <cell r="B8273">
            <v>0</v>
          </cell>
          <cell r="C8273" t="str">
            <v xml:space="preserve">  ANWARUL HASSAN A/F SH.</v>
          </cell>
          <cell r="D8273">
            <v>0</v>
          </cell>
          <cell r="E8273">
            <v>0</v>
          </cell>
          <cell r="F8273">
            <v>0</v>
          </cell>
          <cell r="G8273">
            <v>0</v>
          </cell>
        </row>
        <row r="8274">
          <cell r="A8274" t="str">
            <v>57-01-01-0683</v>
          </cell>
          <cell r="B8274">
            <v>0</v>
          </cell>
          <cell r="C8274" t="str">
            <v xml:space="preserve">  MUHAMMAD NAEEM FITTER</v>
          </cell>
          <cell r="D8274">
            <v>0</v>
          </cell>
          <cell r="E8274">
            <v>0</v>
          </cell>
          <cell r="F8274">
            <v>0</v>
          </cell>
          <cell r="G8274">
            <v>0</v>
          </cell>
        </row>
        <row r="8275">
          <cell r="A8275" t="str">
            <v>57-01-01-0684</v>
          </cell>
          <cell r="B8275">
            <v>0</v>
          </cell>
          <cell r="C8275" t="str">
            <v xml:space="preserve">  ASIF ALI DOFFER SHIFT 'B'.</v>
          </cell>
          <cell r="D8275">
            <v>0</v>
          </cell>
          <cell r="E8275">
            <v>0</v>
          </cell>
          <cell r="F8275">
            <v>0</v>
          </cell>
          <cell r="G8275">
            <v>0</v>
          </cell>
        </row>
        <row r="8276">
          <cell r="A8276" t="str">
            <v>57-01-01-0685</v>
          </cell>
          <cell r="B8276">
            <v>0</v>
          </cell>
          <cell r="C8276" t="str">
            <v xml:space="preserve">  MUHAMMAD KHALID DOFFER SH.</v>
          </cell>
          <cell r="D8276">
            <v>0</v>
          </cell>
          <cell r="E8276">
            <v>0</v>
          </cell>
          <cell r="F8276">
            <v>0</v>
          </cell>
          <cell r="G8276">
            <v>0</v>
          </cell>
        </row>
        <row r="8277">
          <cell r="A8277" t="str">
            <v>57-01-01-0686</v>
          </cell>
          <cell r="B8277">
            <v>0</v>
          </cell>
          <cell r="C8277" t="str">
            <v xml:space="preserve">  SHAH MUHAMMAD Q.OBSERVER LAB.</v>
          </cell>
          <cell r="D8277">
            <v>0</v>
          </cell>
          <cell r="E8277">
            <v>0</v>
          </cell>
          <cell r="F8277">
            <v>0</v>
          </cell>
          <cell r="G8277">
            <v>0</v>
          </cell>
        </row>
        <row r="8278">
          <cell r="A8278" t="str">
            <v>57-01-01-0687</v>
          </cell>
          <cell r="B8278">
            <v>0</v>
          </cell>
          <cell r="C8278" t="str">
            <v xml:space="preserve">  MUHAMMAD IRSHAD JOBBER</v>
          </cell>
          <cell r="D8278">
            <v>0</v>
          </cell>
          <cell r="E8278">
            <v>0</v>
          </cell>
          <cell r="F8278">
            <v>0</v>
          </cell>
          <cell r="G8278">
            <v>0</v>
          </cell>
        </row>
        <row r="8279">
          <cell r="A8279" t="str">
            <v>57-01-01-0688</v>
          </cell>
          <cell r="B8279">
            <v>0</v>
          </cell>
          <cell r="C8279" t="str">
            <v xml:space="preserve">  MOHSEN SHAH 4/S .</v>
          </cell>
          <cell r="D8279">
            <v>0</v>
          </cell>
          <cell r="E8279">
            <v>0</v>
          </cell>
          <cell r="F8279">
            <v>0</v>
          </cell>
          <cell r="G8279">
            <v>0</v>
          </cell>
        </row>
        <row r="8280">
          <cell r="A8280" t="str">
            <v>57-01-01-0689</v>
          </cell>
          <cell r="B8280">
            <v>0</v>
          </cell>
          <cell r="C8280" t="str">
            <v xml:space="preserve">  GHULAM MUHAMMAD DDT</v>
          </cell>
          <cell r="D8280">
            <v>0</v>
          </cell>
          <cell r="E8280">
            <v>0</v>
          </cell>
          <cell r="F8280">
            <v>0</v>
          </cell>
          <cell r="G8280">
            <v>0</v>
          </cell>
        </row>
        <row r="8281">
          <cell r="A8281" t="str">
            <v>57-01-01-0690</v>
          </cell>
          <cell r="B8281">
            <v>0</v>
          </cell>
          <cell r="C8281" t="str">
            <v xml:space="preserve">  ALI AKBAR D.S.T.</v>
          </cell>
          <cell r="D8281">
            <v>0</v>
          </cell>
          <cell r="E8281">
            <v>0</v>
          </cell>
          <cell r="F8281">
            <v>0</v>
          </cell>
          <cell r="G8281">
            <v>0</v>
          </cell>
        </row>
        <row r="8282">
          <cell r="A8282" t="str">
            <v>57-01-01-0691</v>
          </cell>
          <cell r="B8282">
            <v>0</v>
          </cell>
          <cell r="C8282" t="str">
            <v xml:space="preserve">  MUHAMMAD ISLAM 4/S</v>
          </cell>
          <cell r="D8282">
            <v>0</v>
          </cell>
          <cell r="E8282">
            <v>0</v>
          </cell>
          <cell r="F8282">
            <v>0</v>
          </cell>
          <cell r="G8282">
            <v>0</v>
          </cell>
        </row>
        <row r="8283">
          <cell r="A8283" t="str">
            <v>57-01-01-0692</v>
          </cell>
          <cell r="B8283">
            <v>0</v>
          </cell>
          <cell r="C8283" t="str">
            <v xml:space="preserve">  LIAQUAT ALI D.S.T SHIFT C</v>
          </cell>
          <cell r="D8283">
            <v>0</v>
          </cell>
          <cell r="E8283">
            <v>0</v>
          </cell>
          <cell r="F8283">
            <v>0</v>
          </cell>
          <cell r="G8283">
            <v>0</v>
          </cell>
        </row>
        <row r="8284">
          <cell r="A8284" t="str">
            <v>57-01-01-0693</v>
          </cell>
          <cell r="B8284">
            <v>0</v>
          </cell>
          <cell r="C8284" t="str">
            <v xml:space="preserve">  MUHAMMAD AMIN D.D.T.</v>
          </cell>
          <cell r="D8284">
            <v>0</v>
          </cell>
          <cell r="E8284">
            <v>0</v>
          </cell>
          <cell r="F8284">
            <v>0</v>
          </cell>
          <cell r="G8284">
            <v>0</v>
          </cell>
        </row>
        <row r="8285">
          <cell r="A8285" t="str">
            <v>57-01-01-0694</v>
          </cell>
          <cell r="B8285">
            <v>0</v>
          </cell>
          <cell r="C8285" t="str">
            <v xml:space="preserve">  KHALID MEHMOOD</v>
          </cell>
          <cell r="D8285">
            <v>0</v>
          </cell>
          <cell r="E8285">
            <v>0</v>
          </cell>
          <cell r="F8285">
            <v>0</v>
          </cell>
          <cell r="G8285">
            <v>0</v>
          </cell>
        </row>
        <row r="8286">
          <cell r="A8286" t="str">
            <v>57-01-01-0695</v>
          </cell>
          <cell r="B8286">
            <v>0</v>
          </cell>
          <cell r="C8286" t="str">
            <v xml:space="preserve">  GUL AMIN A/F SHIFT.</v>
          </cell>
          <cell r="D8286">
            <v>0</v>
          </cell>
          <cell r="E8286">
            <v>0</v>
          </cell>
          <cell r="F8286">
            <v>0</v>
          </cell>
          <cell r="G8286">
            <v>0</v>
          </cell>
        </row>
        <row r="8287">
          <cell r="A8287" t="str">
            <v>57-01-01-0696</v>
          </cell>
          <cell r="B8287">
            <v>0</v>
          </cell>
          <cell r="C8287" t="str">
            <v xml:space="preserve">  AKHTAR ZEB</v>
          </cell>
          <cell r="D8287">
            <v>0</v>
          </cell>
          <cell r="E8287">
            <v>0</v>
          </cell>
          <cell r="F8287">
            <v>0</v>
          </cell>
          <cell r="G8287">
            <v>0</v>
          </cell>
        </row>
        <row r="8288">
          <cell r="A8288" t="str">
            <v>57-01-01-0697</v>
          </cell>
          <cell r="B8288">
            <v>0</v>
          </cell>
          <cell r="C8288" t="str">
            <v xml:space="preserve">  MUHAMMAD NASIR FITTER</v>
          </cell>
          <cell r="D8288">
            <v>0</v>
          </cell>
          <cell r="E8288">
            <v>0</v>
          </cell>
          <cell r="F8288">
            <v>0</v>
          </cell>
          <cell r="G8288">
            <v>0</v>
          </cell>
        </row>
        <row r="8289">
          <cell r="A8289" t="str">
            <v>57-01-01-0698</v>
          </cell>
          <cell r="B8289">
            <v>0</v>
          </cell>
          <cell r="C8289" t="str">
            <v xml:space="preserve">  MUHAMMAD JAVAID 4/S</v>
          </cell>
          <cell r="D8289">
            <v>0</v>
          </cell>
          <cell r="E8289">
            <v>0</v>
          </cell>
          <cell r="F8289">
            <v>0</v>
          </cell>
          <cell r="G8289">
            <v>0</v>
          </cell>
        </row>
        <row r="8290">
          <cell r="A8290" t="str">
            <v>57-01-01-0699</v>
          </cell>
          <cell r="B8290">
            <v>0</v>
          </cell>
          <cell r="C8290" t="str">
            <v xml:space="preserve">  BASHIR AHMAD S.TIME KEEPER</v>
          </cell>
          <cell r="D8290">
            <v>0</v>
          </cell>
          <cell r="E8290">
            <v>0</v>
          </cell>
          <cell r="F8290">
            <v>0</v>
          </cell>
          <cell r="G8290">
            <v>0</v>
          </cell>
        </row>
        <row r="8291">
          <cell r="A8291" t="str">
            <v>57-01-01-0700</v>
          </cell>
          <cell r="B8291">
            <v>0</v>
          </cell>
          <cell r="C8291" t="str">
            <v xml:space="preserve">  ABID SULTAN Q.OBSERVER SH.</v>
          </cell>
          <cell r="D8291">
            <v>0</v>
          </cell>
          <cell r="E8291">
            <v>0</v>
          </cell>
          <cell r="F8291">
            <v>0</v>
          </cell>
          <cell r="G8291">
            <v>0</v>
          </cell>
        </row>
        <row r="8292">
          <cell r="A8292" t="str">
            <v>57-01-01-0701</v>
          </cell>
          <cell r="B8292">
            <v>0</v>
          </cell>
          <cell r="C8292" t="str">
            <v xml:space="preserve">  SHAUKAT AMAN DDT</v>
          </cell>
          <cell r="D8292">
            <v>0</v>
          </cell>
          <cell r="E8292">
            <v>0</v>
          </cell>
          <cell r="F8292">
            <v>0</v>
          </cell>
          <cell r="G8292">
            <v>0</v>
          </cell>
        </row>
        <row r="8293">
          <cell r="A8293" t="str">
            <v>57-01-01-0702</v>
          </cell>
          <cell r="B8293">
            <v>0</v>
          </cell>
          <cell r="C8293" t="str">
            <v xml:space="preserve">  MUHAMMAD SHANASAR A/F SH</v>
          </cell>
          <cell r="D8293">
            <v>0</v>
          </cell>
          <cell r="E8293">
            <v>0</v>
          </cell>
          <cell r="F8293">
            <v>0</v>
          </cell>
          <cell r="G8293">
            <v>0</v>
          </cell>
        </row>
        <row r="8294">
          <cell r="A8294" t="str">
            <v>57-01-01-0703</v>
          </cell>
          <cell r="B8294">
            <v>0</v>
          </cell>
          <cell r="C8294" t="str">
            <v xml:space="preserve">  MUHAMMAD WAQAS  HELPER</v>
          </cell>
          <cell r="D8294">
            <v>0</v>
          </cell>
          <cell r="E8294">
            <v>0</v>
          </cell>
          <cell r="F8294">
            <v>0</v>
          </cell>
          <cell r="G8294">
            <v>0</v>
          </cell>
        </row>
        <row r="8295">
          <cell r="A8295" t="str">
            <v>57-01-01-0704</v>
          </cell>
          <cell r="B8295">
            <v>0</v>
          </cell>
          <cell r="C8295" t="str">
            <v xml:space="preserve">  SAEED AKHTAR OILMAN</v>
          </cell>
          <cell r="D8295">
            <v>0</v>
          </cell>
          <cell r="E8295">
            <v>0</v>
          </cell>
          <cell r="F8295">
            <v>0</v>
          </cell>
          <cell r="G8295">
            <v>0</v>
          </cell>
        </row>
        <row r="8296">
          <cell r="A8296" t="str">
            <v>57-01-01-0705</v>
          </cell>
          <cell r="B8296">
            <v>0</v>
          </cell>
          <cell r="C8296" t="str">
            <v xml:space="preserve">  SAIFULLAH PACKING SUP.SH.G.MILL</v>
          </cell>
          <cell r="D8296">
            <v>0</v>
          </cell>
          <cell r="E8296">
            <v>0</v>
          </cell>
          <cell r="F8296">
            <v>0</v>
          </cell>
          <cell r="G8296">
            <v>0</v>
          </cell>
        </row>
        <row r="8297">
          <cell r="A8297" t="str">
            <v>57-01-01-0706</v>
          </cell>
          <cell r="B8297">
            <v>0</v>
          </cell>
          <cell r="C8297" t="str">
            <v xml:space="preserve">  GHULAM QASIM OPT.AUTO CONE:3.</v>
          </cell>
          <cell r="D8297">
            <v>0</v>
          </cell>
          <cell r="E8297">
            <v>0</v>
          </cell>
          <cell r="F8297">
            <v>0</v>
          </cell>
          <cell r="G8297">
            <v>0</v>
          </cell>
        </row>
        <row r="8298">
          <cell r="A8298" t="str">
            <v>57-01-01-0707</v>
          </cell>
          <cell r="B8298">
            <v>0</v>
          </cell>
          <cell r="C8298" t="str">
            <v xml:space="preserve">  RIFAQAT ALI JOBBER SHIFT C MILL</v>
          </cell>
          <cell r="D8298">
            <v>0</v>
          </cell>
          <cell r="E8298">
            <v>0</v>
          </cell>
          <cell r="F8298">
            <v>0</v>
          </cell>
          <cell r="G8298">
            <v>0</v>
          </cell>
        </row>
        <row r="8299">
          <cell r="A8299" t="str">
            <v>57-01-01-0708</v>
          </cell>
          <cell r="B8299">
            <v>0</v>
          </cell>
          <cell r="C8299" t="str">
            <v xml:space="preserve">  MUHAMMAD IQBAL JOBBER SH.</v>
          </cell>
          <cell r="D8299">
            <v>0</v>
          </cell>
          <cell r="E8299">
            <v>0</v>
          </cell>
          <cell r="F8299">
            <v>0</v>
          </cell>
          <cell r="G8299">
            <v>0</v>
          </cell>
        </row>
        <row r="8300">
          <cell r="A8300" t="str">
            <v>57-01-01-0709</v>
          </cell>
          <cell r="B8300">
            <v>0</v>
          </cell>
          <cell r="C8300" t="str">
            <v xml:space="preserve">  ABDUL RAAQ U.V.OPT.</v>
          </cell>
          <cell r="D8300">
            <v>0</v>
          </cell>
          <cell r="E8300">
            <v>0</v>
          </cell>
          <cell r="F8300">
            <v>0</v>
          </cell>
          <cell r="G8300">
            <v>0</v>
          </cell>
        </row>
        <row r="8301">
          <cell r="A8301" t="str">
            <v>57-01-01-0710</v>
          </cell>
          <cell r="B8301">
            <v>0</v>
          </cell>
          <cell r="C8301" t="str">
            <v xml:space="preserve">  MIAN KHAN DOFFER</v>
          </cell>
          <cell r="D8301">
            <v>0</v>
          </cell>
          <cell r="E8301">
            <v>0</v>
          </cell>
          <cell r="F8301">
            <v>0</v>
          </cell>
          <cell r="G8301">
            <v>0</v>
          </cell>
        </row>
        <row r="8302">
          <cell r="A8302" t="str">
            <v>57-01-01-0711</v>
          </cell>
          <cell r="B8302">
            <v>0</v>
          </cell>
          <cell r="C8302" t="str">
            <v xml:space="preserve">  ABUL KHALIL KHAN DY.MANAGER POWER PLAN</v>
          </cell>
          <cell r="D8302">
            <v>0</v>
          </cell>
          <cell r="E8302">
            <v>0</v>
          </cell>
          <cell r="F8302">
            <v>0</v>
          </cell>
          <cell r="G8302">
            <v>0</v>
          </cell>
        </row>
        <row r="8303">
          <cell r="A8303" t="str">
            <v>57-01-01-0712</v>
          </cell>
          <cell r="B8303">
            <v>0</v>
          </cell>
          <cell r="C8303" t="str">
            <v xml:space="preserve">  40921 SHER ZAMAN UST OPERATOR LAB# 3M#</v>
          </cell>
          <cell r="D8303">
            <v>0</v>
          </cell>
          <cell r="E8303">
            <v>0</v>
          </cell>
          <cell r="F8303">
            <v>0</v>
          </cell>
          <cell r="G8303">
            <v>0</v>
          </cell>
        </row>
        <row r="8304">
          <cell r="A8304" t="str">
            <v>57-01-01-0713</v>
          </cell>
          <cell r="B8304">
            <v>0</v>
          </cell>
          <cell r="C8304" t="str">
            <v xml:space="preserve">  45628 MUHAMMAD ARIF A/F SH:G MILL # 3</v>
          </cell>
          <cell r="D8304">
            <v>0</v>
          </cell>
          <cell r="E8304">
            <v>0</v>
          </cell>
          <cell r="F8304">
            <v>0</v>
          </cell>
          <cell r="G8304">
            <v>0</v>
          </cell>
        </row>
        <row r="8305">
          <cell r="A8305" t="str">
            <v>57-01-01-0714</v>
          </cell>
          <cell r="B8305">
            <v>0</v>
          </cell>
          <cell r="C8305" t="str">
            <v xml:space="preserve">  42784 ZAFAR IQBAL 4/S SH:B MILL # 4</v>
          </cell>
          <cell r="D8305">
            <v>0</v>
          </cell>
          <cell r="E8305">
            <v>0</v>
          </cell>
          <cell r="F8305">
            <v>0</v>
          </cell>
          <cell r="G8305">
            <v>0</v>
          </cell>
        </row>
        <row r="8306">
          <cell r="A8306" t="str">
            <v>57-01-01-0715</v>
          </cell>
          <cell r="B8306">
            <v>0</v>
          </cell>
          <cell r="C8306" t="str">
            <v xml:space="preserve">  46150 NOOR ZAMAN 4/S SHIFT B MILL # 4</v>
          </cell>
          <cell r="D8306">
            <v>0</v>
          </cell>
          <cell r="E8306">
            <v>0</v>
          </cell>
          <cell r="F8306">
            <v>0</v>
          </cell>
          <cell r="G8306">
            <v>0</v>
          </cell>
        </row>
        <row r="8307">
          <cell r="A8307" t="str">
            <v>57-01-01-0716</v>
          </cell>
          <cell r="B8307">
            <v>0</v>
          </cell>
          <cell r="C8307" t="str">
            <v xml:space="preserve">  HUKKUM KHAN DESPATCH CLERK</v>
          </cell>
          <cell r="D8307">
            <v>0</v>
          </cell>
          <cell r="E8307">
            <v>0</v>
          </cell>
          <cell r="F8307">
            <v>0</v>
          </cell>
          <cell r="G8307">
            <v>0</v>
          </cell>
        </row>
        <row r="8308">
          <cell r="A8308" t="str">
            <v>57-01-01-0717</v>
          </cell>
          <cell r="B8308">
            <v>0</v>
          </cell>
          <cell r="C8308" t="str">
            <v xml:space="preserve">  MUHAMMAD AFZAL SHAH HELPER RING # 4811</v>
          </cell>
          <cell r="D8308">
            <v>0</v>
          </cell>
          <cell r="E8308">
            <v>0</v>
          </cell>
          <cell r="F8308">
            <v>0</v>
          </cell>
          <cell r="G8308">
            <v>0</v>
          </cell>
        </row>
        <row r="8309">
          <cell r="A8309" t="str">
            <v>57-01-01-0718</v>
          </cell>
          <cell r="B8309">
            <v>0</v>
          </cell>
          <cell r="C8309" t="str">
            <v xml:space="preserve">  MUHAMMAD FAROOQ HELPER RING # 4.</v>
          </cell>
          <cell r="D8309">
            <v>0</v>
          </cell>
          <cell r="E8309">
            <v>0</v>
          </cell>
          <cell r="F8309">
            <v>0</v>
          </cell>
          <cell r="G8309">
            <v>0</v>
          </cell>
        </row>
        <row r="8310">
          <cell r="A8310" t="str">
            <v>57-01-01-0719</v>
          </cell>
          <cell r="B8310">
            <v>0</v>
          </cell>
          <cell r="C8310" t="str">
            <v xml:space="preserve">  TAJAMMUL HUSSAIN 4/S SH.C RING</v>
          </cell>
          <cell r="D8310">
            <v>0</v>
          </cell>
          <cell r="E8310">
            <v>0</v>
          </cell>
          <cell r="F8310">
            <v>0</v>
          </cell>
          <cell r="G8310">
            <v>0</v>
          </cell>
        </row>
        <row r="8311">
          <cell r="A8311" t="str">
            <v>57-01-01-0720</v>
          </cell>
          <cell r="B8311">
            <v>0</v>
          </cell>
          <cell r="C8311" t="str">
            <v xml:space="preserve">  IRSHAD AHMED JOBBER RING</v>
          </cell>
          <cell r="D8311">
            <v>0</v>
          </cell>
          <cell r="E8311">
            <v>0</v>
          </cell>
          <cell r="F8311">
            <v>0</v>
          </cell>
          <cell r="G8311">
            <v>0</v>
          </cell>
        </row>
        <row r="8312">
          <cell r="A8312" t="str">
            <v>57-01-01-0721</v>
          </cell>
          <cell r="B8312">
            <v>0</v>
          </cell>
          <cell r="C8312" t="str">
            <v xml:space="preserve">  SAGHIR AHMAD ELECTICIAN</v>
          </cell>
          <cell r="D8312">
            <v>0</v>
          </cell>
          <cell r="E8312">
            <v>0</v>
          </cell>
          <cell r="F8312">
            <v>0</v>
          </cell>
          <cell r="G8312">
            <v>0</v>
          </cell>
        </row>
        <row r="8313">
          <cell r="A8313" t="str">
            <v>57-01-01-0722</v>
          </cell>
          <cell r="B8313">
            <v>0</v>
          </cell>
          <cell r="C8313" t="str">
            <v xml:space="preserve">  FIRDUS KHAN JOBBER RING -4</v>
          </cell>
          <cell r="D8313">
            <v>0</v>
          </cell>
          <cell r="E8313">
            <v>0</v>
          </cell>
          <cell r="F8313">
            <v>0</v>
          </cell>
          <cell r="G8313">
            <v>0</v>
          </cell>
        </row>
        <row r="8314">
          <cell r="A8314" t="str">
            <v>57-01-01-0723</v>
          </cell>
          <cell r="B8314">
            <v>0</v>
          </cell>
          <cell r="C8314" t="str">
            <v xml:space="preserve">  IJAZ AHMAD DOFFER A/CONE-3</v>
          </cell>
          <cell r="D8314">
            <v>0</v>
          </cell>
          <cell r="E8314">
            <v>0</v>
          </cell>
          <cell r="F8314">
            <v>0</v>
          </cell>
          <cell r="G8314">
            <v>0</v>
          </cell>
        </row>
        <row r="8315">
          <cell r="A8315" t="str">
            <v>57-01-01-0724</v>
          </cell>
          <cell r="B8315">
            <v>0</v>
          </cell>
          <cell r="C8315" t="str">
            <v xml:space="preserve">  FIDA HUSSAIN SHAH DST D/SIMPLEX</v>
          </cell>
          <cell r="D8315">
            <v>0</v>
          </cell>
          <cell r="E8315">
            <v>0</v>
          </cell>
          <cell r="F8315">
            <v>0</v>
          </cell>
          <cell r="G8315">
            <v>0</v>
          </cell>
        </row>
        <row r="8316">
          <cell r="A8316" t="str">
            <v>57-01-01-0725</v>
          </cell>
          <cell r="B8316">
            <v>0</v>
          </cell>
          <cell r="C8316" t="str">
            <v xml:space="preserve">  NASIR AHMAD FITTER SHIFT "G".</v>
          </cell>
          <cell r="D8316">
            <v>0</v>
          </cell>
          <cell r="E8316">
            <v>0</v>
          </cell>
          <cell r="F8316">
            <v>0</v>
          </cell>
          <cell r="G8316">
            <v>0</v>
          </cell>
        </row>
        <row r="8317">
          <cell r="A8317" t="str">
            <v>57-01-01-0726</v>
          </cell>
          <cell r="B8317">
            <v>0</v>
          </cell>
          <cell r="C8317" t="str">
            <v xml:space="preserve">  ZAFAR IQBAL 4/S MILL # 4.</v>
          </cell>
          <cell r="D8317">
            <v>0</v>
          </cell>
          <cell r="E8317">
            <v>0</v>
          </cell>
          <cell r="F8317">
            <v>0</v>
          </cell>
          <cell r="G8317">
            <v>0</v>
          </cell>
        </row>
        <row r="8318">
          <cell r="A8318" t="str">
            <v>57-01-01-0727</v>
          </cell>
          <cell r="B8318">
            <v>0</v>
          </cell>
          <cell r="C8318" t="str">
            <v xml:space="preserve">  AMIR KHAN DOFFER SHIFT'C'</v>
          </cell>
          <cell r="D8318">
            <v>0</v>
          </cell>
          <cell r="E8318">
            <v>0</v>
          </cell>
          <cell r="F8318">
            <v>0</v>
          </cell>
          <cell r="G8318">
            <v>0</v>
          </cell>
        </row>
        <row r="8319">
          <cell r="A8319" t="str">
            <v>57-01-01-0728</v>
          </cell>
          <cell r="B8319">
            <v>0</v>
          </cell>
          <cell r="C8319" t="str">
            <v xml:space="preserve">  MUHAMMAD QASAR 4/S SHIFT C.</v>
          </cell>
          <cell r="D8319">
            <v>0</v>
          </cell>
          <cell r="E8319">
            <v>0</v>
          </cell>
          <cell r="F8319">
            <v>0</v>
          </cell>
          <cell r="G8319">
            <v>0</v>
          </cell>
        </row>
        <row r="8320">
          <cell r="A8320" t="str">
            <v>57-01-01-0729</v>
          </cell>
          <cell r="B8320">
            <v>0</v>
          </cell>
          <cell r="C8320" t="str">
            <v xml:space="preserve">  ARSHAD IQBAL JOBBER SHIFT G</v>
          </cell>
          <cell r="D8320">
            <v>8000</v>
          </cell>
          <cell r="E8320">
            <v>0</v>
          </cell>
          <cell r="F8320">
            <v>0</v>
          </cell>
          <cell r="G8320">
            <v>0</v>
          </cell>
        </row>
        <row r="8321">
          <cell r="A8321" t="str">
            <v>57-01-01-0730</v>
          </cell>
          <cell r="B8321">
            <v>0</v>
          </cell>
          <cell r="C8321" t="str">
            <v xml:space="preserve">  TARIQ MEHMOOD H/FITTER SHIFT 'G'</v>
          </cell>
          <cell r="D8321">
            <v>0</v>
          </cell>
          <cell r="E8321">
            <v>0</v>
          </cell>
          <cell r="F8321">
            <v>0</v>
          </cell>
          <cell r="G8321">
            <v>0</v>
          </cell>
        </row>
        <row r="8322">
          <cell r="A8322" t="str">
            <v>57-01-01-0731</v>
          </cell>
          <cell r="B8322">
            <v>0</v>
          </cell>
          <cell r="C8322" t="str">
            <v xml:space="preserve">  JAVIAD IQBAL JOBBER SHIFT</v>
          </cell>
          <cell r="D8322">
            <v>0</v>
          </cell>
          <cell r="E8322">
            <v>0</v>
          </cell>
          <cell r="F8322">
            <v>0</v>
          </cell>
          <cell r="G8322">
            <v>0</v>
          </cell>
        </row>
        <row r="8323">
          <cell r="A8323" t="str">
            <v>57-01-01-0732</v>
          </cell>
          <cell r="B8323">
            <v>0</v>
          </cell>
          <cell r="C8323" t="str">
            <v xml:space="preserve">  SHAIFULLAH JOBBER SHIFT G</v>
          </cell>
          <cell r="D8323">
            <v>0</v>
          </cell>
          <cell r="E8323">
            <v>0</v>
          </cell>
          <cell r="F8323">
            <v>0</v>
          </cell>
          <cell r="G8323">
            <v>0</v>
          </cell>
        </row>
        <row r="8324">
          <cell r="A8324" t="str">
            <v>57-01-01-0733</v>
          </cell>
          <cell r="B8324">
            <v>0</v>
          </cell>
          <cell r="C8324" t="str">
            <v xml:space="preserve">  SAJID NAWAZ SHIFT "G"</v>
          </cell>
          <cell r="D8324">
            <v>0</v>
          </cell>
          <cell r="E8324">
            <v>0</v>
          </cell>
          <cell r="F8324">
            <v>0</v>
          </cell>
          <cell r="G8324">
            <v>0</v>
          </cell>
        </row>
        <row r="8325">
          <cell r="A8325" t="str">
            <v>57-01-01-0734</v>
          </cell>
          <cell r="B8325">
            <v>0</v>
          </cell>
          <cell r="C8325" t="str">
            <v xml:space="preserve">  MUHAMMAD ASLAM JOBBER</v>
          </cell>
          <cell r="D8325">
            <v>0</v>
          </cell>
          <cell r="E8325">
            <v>0</v>
          </cell>
          <cell r="F8325">
            <v>0</v>
          </cell>
          <cell r="G8325">
            <v>0</v>
          </cell>
        </row>
        <row r="8326">
          <cell r="A8326" t="str">
            <v>57-01-01-0735</v>
          </cell>
          <cell r="B8326">
            <v>0</v>
          </cell>
          <cell r="C8326" t="str">
            <v xml:space="preserve">  MUHAMMAD ASHRAF DOFFER</v>
          </cell>
          <cell r="D8326">
            <v>0</v>
          </cell>
          <cell r="E8326">
            <v>0</v>
          </cell>
          <cell r="F8326">
            <v>0</v>
          </cell>
          <cell r="G8326">
            <v>0</v>
          </cell>
        </row>
        <row r="8327">
          <cell r="A8327" t="str">
            <v>57-01-01-0736</v>
          </cell>
          <cell r="B8327">
            <v>0</v>
          </cell>
          <cell r="C8327" t="str">
            <v xml:space="preserve">  SHAMRAIZ ALI D/F SHIFT C</v>
          </cell>
          <cell r="D8327">
            <v>0</v>
          </cell>
          <cell r="E8327">
            <v>0</v>
          </cell>
          <cell r="F8327">
            <v>0</v>
          </cell>
          <cell r="G8327">
            <v>0</v>
          </cell>
        </row>
        <row r="8328">
          <cell r="A8328" t="str">
            <v>57-01-01-0737</v>
          </cell>
          <cell r="B8328">
            <v>0</v>
          </cell>
          <cell r="C8328" t="str">
            <v xml:space="preserve">  MUHAMMAD IQBAL D/S SHIFT B.</v>
          </cell>
          <cell r="D8328">
            <v>2500</v>
          </cell>
          <cell r="E8328">
            <v>0</v>
          </cell>
          <cell r="F8328">
            <v>0</v>
          </cell>
          <cell r="G8328">
            <v>0</v>
          </cell>
        </row>
        <row r="8329">
          <cell r="A8329" t="str">
            <v>57-01-01-0738</v>
          </cell>
          <cell r="B8329">
            <v>0</v>
          </cell>
          <cell r="C8329" t="str">
            <v xml:space="preserve">  QADAR BAKHAS FITTER SH.G</v>
          </cell>
          <cell r="D8329">
            <v>0</v>
          </cell>
          <cell r="E8329">
            <v>0</v>
          </cell>
          <cell r="F8329">
            <v>0</v>
          </cell>
          <cell r="G8329">
            <v>0</v>
          </cell>
        </row>
        <row r="8330">
          <cell r="A8330" t="str">
            <v>57-01-01-0739</v>
          </cell>
          <cell r="B8330">
            <v>0</v>
          </cell>
          <cell r="C8330" t="str">
            <v xml:space="preserve">  SAFDAR ALI FITTER SH G MILL</v>
          </cell>
          <cell r="D8330">
            <v>0</v>
          </cell>
          <cell r="E8330">
            <v>0</v>
          </cell>
          <cell r="F8330">
            <v>0</v>
          </cell>
          <cell r="G8330">
            <v>0</v>
          </cell>
        </row>
        <row r="8331">
          <cell r="A8331" t="str">
            <v>57-01-01-0740</v>
          </cell>
          <cell r="B8331">
            <v>0</v>
          </cell>
          <cell r="C8331" t="str">
            <v xml:space="preserve">  MUHAMMAD SHABAZ T.MAN</v>
          </cell>
          <cell r="D8331">
            <v>0</v>
          </cell>
          <cell r="E8331">
            <v>0</v>
          </cell>
          <cell r="F8331">
            <v>0</v>
          </cell>
          <cell r="G8331">
            <v>0</v>
          </cell>
        </row>
        <row r="8332">
          <cell r="A8332" t="str">
            <v>57-01-01-0741</v>
          </cell>
          <cell r="B8332">
            <v>0</v>
          </cell>
          <cell r="C8332" t="str">
            <v xml:space="preserve">  MUHAMMAD ARIF ELECTIC</v>
          </cell>
          <cell r="D8332">
            <v>0</v>
          </cell>
          <cell r="E8332">
            <v>0</v>
          </cell>
          <cell r="F8332">
            <v>0</v>
          </cell>
          <cell r="G8332">
            <v>0</v>
          </cell>
        </row>
        <row r="8333">
          <cell r="A8333" t="str">
            <v>57-01-01-0742</v>
          </cell>
          <cell r="B8333">
            <v>0</v>
          </cell>
          <cell r="C8333" t="str">
            <v xml:space="preserve">  MUHAMMAD ALI OPT SHIFT A</v>
          </cell>
          <cell r="D8333">
            <v>0</v>
          </cell>
          <cell r="E8333">
            <v>0</v>
          </cell>
          <cell r="F8333">
            <v>0</v>
          </cell>
          <cell r="G8333">
            <v>0</v>
          </cell>
        </row>
        <row r="8334">
          <cell r="A8334" t="str">
            <v>57-01-01-0743</v>
          </cell>
          <cell r="B8334">
            <v>0</v>
          </cell>
          <cell r="C8334" t="str">
            <v xml:space="preserve">  ABDUL GHAFOOR OPERATOR SHS.</v>
          </cell>
          <cell r="D8334">
            <v>0</v>
          </cell>
          <cell r="E8334">
            <v>0</v>
          </cell>
          <cell r="F8334">
            <v>0</v>
          </cell>
          <cell r="G8334">
            <v>0</v>
          </cell>
        </row>
        <row r="8335">
          <cell r="A8335" t="str">
            <v>57-01-01-0744</v>
          </cell>
          <cell r="B8335">
            <v>0</v>
          </cell>
          <cell r="C8335" t="str">
            <v xml:space="preserve">  MUHAMMAD SHAKIL D/F SHIFT 'B'.</v>
          </cell>
          <cell r="D8335">
            <v>0</v>
          </cell>
          <cell r="E8335">
            <v>0</v>
          </cell>
          <cell r="F8335">
            <v>0</v>
          </cell>
          <cell r="G8335">
            <v>0</v>
          </cell>
        </row>
        <row r="8336">
          <cell r="A8336" t="str">
            <v>57-01-01-0745</v>
          </cell>
          <cell r="B8336">
            <v>0</v>
          </cell>
          <cell r="C8336" t="str">
            <v xml:space="preserve">  EJAZ MEHDI JOBBER SH.C MILL # 1.</v>
          </cell>
          <cell r="D8336">
            <v>0</v>
          </cell>
          <cell r="E8336">
            <v>0</v>
          </cell>
          <cell r="F8336">
            <v>0</v>
          </cell>
          <cell r="G8336">
            <v>0</v>
          </cell>
        </row>
        <row r="8337">
          <cell r="A8337" t="str">
            <v>57-01-01-0746</v>
          </cell>
          <cell r="B8337">
            <v>0</v>
          </cell>
          <cell r="C8337" t="str">
            <v xml:space="preserve">  AMIR HUSSAIN 4/S SH.C.</v>
          </cell>
          <cell r="D8337">
            <v>0</v>
          </cell>
          <cell r="E8337">
            <v>0</v>
          </cell>
          <cell r="F8337">
            <v>0</v>
          </cell>
          <cell r="G8337">
            <v>0</v>
          </cell>
        </row>
        <row r="8338">
          <cell r="A8338" t="str">
            <v>57-01-01-0747</v>
          </cell>
          <cell r="B8338">
            <v>0</v>
          </cell>
          <cell r="C8338" t="str">
            <v xml:space="preserve">  MUHAMMAD MUSHTAQ M/CLERK</v>
          </cell>
          <cell r="D8338">
            <v>0</v>
          </cell>
          <cell r="E8338">
            <v>0</v>
          </cell>
          <cell r="F8338">
            <v>0</v>
          </cell>
          <cell r="G8338">
            <v>0</v>
          </cell>
        </row>
        <row r="8339">
          <cell r="A8339" t="str">
            <v>57-01-01-0748</v>
          </cell>
          <cell r="B8339">
            <v>0</v>
          </cell>
          <cell r="C8339" t="str">
            <v xml:space="preserve">  MAQSOOD AHMAD JOBBER SH.</v>
          </cell>
          <cell r="D8339">
            <v>0</v>
          </cell>
          <cell r="E8339">
            <v>0</v>
          </cell>
          <cell r="F8339">
            <v>0</v>
          </cell>
          <cell r="G8339">
            <v>0</v>
          </cell>
        </row>
        <row r="8340">
          <cell r="A8340" t="str">
            <v>57-01-01-0749</v>
          </cell>
          <cell r="B8340">
            <v>0</v>
          </cell>
          <cell r="C8340" t="str">
            <v xml:space="preserve">  MUHAMMAD RAMZAN</v>
          </cell>
          <cell r="D8340">
            <v>0</v>
          </cell>
          <cell r="E8340">
            <v>0</v>
          </cell>
          <cell r="F8340">
            <v>0</v>
          </cell>
          <cell r="G8340">
            <v>0</v>
          </cell>
        </row>
        <row r="8341">
          <cell r="A8341" t="str">
            <v>57-01-01-0750</v>
          </cell>
          <cell r="B8341">
            <v>0</v>
          </cell>
          <cell r="C8341" t="str">
            <v xml:space="preserve">  SHAHBAZ AHMAD TECHNICAL MANAGER</v>
          </cell>
          <cell r="D8341">
            <v>0</v>
          </cell>
          <cell r="E8341">
            <v>45000</v>
          </cell>
          <cell r="F8341">
            <v>0</v>
          </cell>
          <cell r="G8341">
            <v>0</v>
          </cell>
        </row>
        <row r="8342">
          <cell r="A8342" t="str">
            <v>57-01-01-0751</v>
          </cell>
          <cell r="B8342">
            <v>0</v>
          </cell>
          <cell r="C8342" t="str">
            <v xml:space="preserve">  ZULFIQAR SHAH A/FITTER</v>
          </cell>
          <cell r="D8342">
            <v>0</v>
          </cell>
          <cell r="E8342">
            <v>0</v>
          </cell>
          <cell r="F8342">
            <v>0</v>
          </cell>
          <cell r="G8342">
            <v>0</v>
          </cell>
        </row>
        <row r="8343">
          <cell r="A8343" t="str">
            <v>57-01-01-0752</v>
          </cell>
          <cell r="B8343">
            <v>0</v>
          </cell>
          <cell r="C8343" t="str">
            <v xml:space="preserve">  BABAR RASHID HELPER</v>
          </cell>
          <cell r="D8343">
            <v>0</v>
          </cell>
          <cell r="E8343">
            <v>0</v>
          </cell>
          <cell r="F8343">
            <v>0</v>
          </cell>
          <cell r="G8343">
            <v>0</v>
          </cell>
        </row>
        <row r="8344">
          <cell r="A8344" t="str">
            <v>57-01-01-0753</v>
          </cell>
          <cell r="B8344">
            <v>0</v>
          </cell>
          <cell r="C8344" t="str">
            <v xml:space="preserve">  NASIR HUSSAIN OPT</v>
          </cell>
          <cell r="D8344">
            <v>0</v>
          </cell>
          <cell r="E8344">
            <v>0</v>
          </cell>
          <cell r="F8344">
            <v>0</v>
          </cell>
          <cell r="G8344">
            <v>0</v>
          </cell>
        </row>
        <row r="8345">
          <cell r="A8345" t="str">
            <v>57-01-01-0754</v>
          </cell>
          <cell r="B8345">
            <v>0</v>
          </cell>
          <cell r="C8345" t="str">
            <v xml:space="preserve">  IBRAR GUL FITTER</v>
          </cell>
          <cell r="D8345">
            <v>0</v>
          </cell>
          <cell r="E8345">
            <v>0</v>
          </cell>
          <cell r="F8345">
            <v>0</v>
          </cell>
          <cell r="G8345">
            <v>0</v>
          </cell>
        </row>
        <row r="8346">
          <cell r="A8346" t="str">
            <v>57-01-01-0755</v>
          </cell>
          <cell r="B8346">
            <v>0</v>
          </cell>
          <cell r="C8346" t="str">
            <v xml:space="preserve">  MUHAMMAD IRFAN A/JOBBER</v>
          </cell>
          <cell r="D8346">
            <v>0</v>
          </cell>
          <cell r="E8346">
            <v>0</v>
          </cell>
          <cell r="F8346">
            <v>0</v>
          </cell>
          <cell r="G8346">
            <v>0</v>
          </cell>
        </row>
        <row r="8347">
          <cell r="A8347" t="str">
            <v>57-01-01-0756</v>
          </cell>
          <cell r="B8347">
            <v>0</v>
          </cell>
          <cell r="C8347" t="str">
            <v xml:space="preserve">  MUHAMMAD IMRAN OPT</v>
          </cell>
          <cell r="D8347">
            <v>0</v>
          </cell>
          <cell r="E8347">
            <v>0</v>
          </cell>
          <cell r="F8347">
            <v>0</v>
          </cell>
          <cell r="G8347">
            <v>0</v>
          </cell>
        </row>
        <row r="8348">
          <cell r="A8348" t="str">
            <v>57-01-01-0757</v>
          </cell>
          <cell r="B8348">
            <v>0</v>
          </cell>
          <cell r="C8348" t="str">
            <v xml:space="preserve">  GHULAM ABBAS CT SHIFT</v>
          </cell>
          <cell r="D8348">
            <v>0</v>
          </cell>
          <cell r="E8348">
            <v>0</v>
          </cell>
          <cell r="F8348">
            <v>0</v>
          </cell>
          <cell r="G8348">
            <v>0</v>
          </cell>
        </row>
        <row r="8349">
          <cell r="A8349" t="str">
            <v>57-01-01-0758</v>
          </cell>
          <cell r="B8349">
            <v>0</v>
          </cell>
          <cell r="C8349" t="str">
            <v xml:space="preserve">  ARSHAD MEHMOOD A/JOBBER</v>
          </cell>
          <cell r="D8349">
            <v>0</v>
          </cell>
          <cell r="E8349">
            <v>0</v>
          </cell>
          <cell r="F8349">
            <v>0</v>
          </cell>
          <cell r="G8349">
            <v>0</v>
          </cell>
        </row>
        <row r="8350">
          <cell r="A8350" t="str">
            <v>57-01-01-0759</v>
          </cell>
          <cell r="B8350">
            <v>0</v>
          </cell>
          <cell r="C8350" t="str">
            <v xml:space="preserve">  BANARAS ALI JOBBER</v>
          </cell>
          <cell r="D8350">
            <v>0</v>
          </cell>
          <cell r="E8350">
            <v>0</v>
          </cell>
          <cell r="F8350">
            <v>0</v>
          </cell>
          <cell r="G8350">
            <v>0</v>
          </cell>
        </row>
        <row r="8351">
          <cell r="A8351" t="str">
            <v>57-01-01-0760</v>
          </cell>
          <cell r="B8351">
            <v>0</v>
          </cell>
          <cell r="C8351" t="str">
            <v xml:space="preserve">  GHULAM ABBAS 4/S SHIFT</v>
          </cell>
          <cell r="D8351">
            <v>0</v>
          </cell>
          <cell r="E8351">
            <v>0</v>
          </cell>
          <cell r="F8351">
            <v>0</v>
          </cell>
          <cell r="G8351">
            <v>0</v>
          </cell>
        </row>
        <row r="8352">
          <cell r="A8352" t="str">
            <v>57-01-01-0761</v>
          </cell>
          <cell r="B8352">
            <v>0</v>
          </cell>
          <cell r="C8352" t="str">
            <v xml:space="preserve">  SHAFAQAT ALI OPT SHIFT</v>
          </cell>
          <cell r="D8352">
            <v>0</v>
          </cell>
          <cell r="E8352">
            <v>0</v>
          </cell>
          <cell r="F8352">
            <v>0</v>
          </cell>
          <cell r="G8352">
            <v>0</v>
          </cell>
        </row>
        <row r="8353">
          <cell r="A8353" t="str">
            <v>57-01-01-0762</v>
          </cell>
          <cell r="B8353">
            <v>0</v>
          </cell>
          <cell r="C8353" t="str">
            <v xml:space="preserve">  DILWAR KHAN 4/S SHIFT C</v>
          </cell>
          <cell r="D8353">
            <v>0</v>
          </cell>
          <cell r="E8353">
            <v>0</v>
          </cell>
          <cell r="F8353">
            <v>0</v>
          </cell>
          <cell r="G8353">
            <v>0</v>
          </cell>
        </row>
        <row r="8354">
          <cell r="A8354" t="str">
            <v>57-01-01-0763</v>
          </cell>
          <cell r="B8354">
            <v>0</v>
          </cell>
          <cell r="C8354" t="str">
            <v xml:space="preserve">  BASHRAT ALI</v>
          </cell>
          <cell r="D8354">
            <v>0</v>
          </cell>
          <cell r="E8354">
            <v>0</v>
          </cell>
          <cell r="F8354">
            <v>0</v>
          </cell>
          <cell r="G8354">
            <v>0</v>
          </cell>
        </row>
        <row r="8355">
          <cell r="A8355" t="str">
            <v>57-01-01-0764</v>
          </cell>
          <cell r="B8355">
            <v>0</v>
          </cell>
          <cell r="C8355" t="str">
            <v xml:space="preserve">  LIAQUAT ALI 4/S SHIFT</v>
          </cell>
          <cell r="D8355">
            <v>0</v>
          </cell>
          <cell r="E8355">
            <v>0</v>
          </cell>
          <cell r="F8355">
            <v>0</v>
          </cell>
          <cell r="G8355">
            <v>0</v>
          </cell>
        </row>
        <row r="8356">
          <cell r="A8356" t="str">
            <v>57-01-01-0765</v>
          </cell>
          <cell r="B8356">
            <v>0</v>
          </cell>
          <cell r="C8356" t="str">
            <v xml:space="preserve">  YASIR IQBAL</v>
          </cell>
          <cell r="D8356">
            <v>0</v>
          </cell>
          <cell r="E8356">
            <v>0</v>
          </cell>
          <cell r="F8356">
            <v>0</v>
          </cell>
          <cell r="G8356">
            <v>0</v>
          </cell>
        </row>
        <row r="8357">
          <cell r="A8357" t="str">
            <v>57-01-01-0766</v>
          </cell>
          <cell r="B8357">
            <v>0</v>
          </cell>
          <cell r="C8357" t="str">
            <v xml:space="preserve">  ADALAT KHAN</v>
          </cell>
          <cell r="D8357">
            <v>0</v>
          </cell>
          <cell r="E8357">
            <v>0</v>
          </cell>
          <cell r="F8357">
            <v>0</v>
          </cell>
          <cell r="G8357">
            <v>0</v>
          </cell>
        </row>
        <row r="8358">
          <cell r="A8358" t="str">
            <v>57-01-01-0767</v>
          </cell>
          <cell r="B8358">
            <v>0</v>
          </cell>
          <cell r="C8358" t="str">
            <v xml:space="preserve">  MUHAMMAD ASLAM 4/S</v>
          </cell>
          <cell r="D8358">
            <v>0</v>
          </cell>
          <cell r="E8358">
            <v>0</v>
          </cell>
          <cell r="F8358">
            <v>0</v>
          </cell>
          <cell r="G8358">
            <v>0</v>
          </cell>
        </row>
        <row r="8359">
          <cell r="A8359" t="str">
            <v>57-01-01-0768</v>
          </cell>
          <cell r="B8359">
            <v>0</v>
          </cell>
          <cell r="C8359" t="str">
            <v xml:space="preserve">  GHAUS MUHAMMAD 4/S SHIFT</v>
          </cell>
          <cell r="D8359">
            <v>0</v>
          </cell>
          <cell r="E8359">
            <v>0</v>
          </cell>
          <cell r="F8359">
            <v>0</v>
          </cell>
          <cell r="G8359">
            <v>0</v>
          </cell>
        </row>
        <row r="8360">
          <cell r="A8360" t="str">
            <v>57-01-01-0769</v>
          </cell>
          <cell r="B8360">
            <v>0</v>
          </cell>
          <cell r="C8360" t="str">
            <v xml:space="preserve">  LIAQUAT HAYAT 4/S</v>
          </cell>
          <cell r="D8360">
            <v>0</v>
          </cell>
          <cell r="E8360">
            <v>0</v>
          </cell>
          <cell r="F8360">
            <v>0</v>
          </cell>
          <cell r="G8360">
            <v>0</v>
          </cell>
        </row>
        <row r="8361">
          <cell r="A8361" t="str">
            <v>57-01-01-0770</v>
          </cell>
          <cell r="B8361">
            <v>0</v>
          </cell>
          <cell r="C8361" t="str">
            <v xml:space="preserve">  MUHAMMAD IJAZ C.T.</v>
          </cell>
          <cell r="D8361">
            <v>0</v>
          </cell>
          <cell r="E8361">
            <v>0</v>
          </cell>
          <cell r="F8361">
            <v>0</v>
          </cell>
          <cell r="G8361">
            <v>0</v>
          </cell>
        </row>
        <row r="8362">
          <cell r="A8362" t="str">
            <v>57-01-01-0771</v>
          </cell>
          <cell r="B8362">
            <v>0</v>
          </cell>
          <cell r="C8362" t="str">
            <v xml:space="preserve">  RUKSHAR AHMAD C.T</v>
          </cell>
          <cell r="D8362">
            <v>0</v>
          </cell>
          <cell r="E8362">
            <v>0</v>
          </cell>
          <cell r="F8362">
            <v>0</v>
          </cell>
          <cell r="G8362">
            <v>0</v>
          </cell>
        </row>
        <row r="8363">
          <cell r="A8363" t="str">
            <v>57-01-01-0772</v>
          </cell>
          <cell r="B8363">
            <v>0</v>
          </cell>
          <cell r="C8363" t="str">
            <v xml:space="preserve">  GHULAM SHABBIR JOBBER</v>
          </cell>
          <cell r="D8363">
            <v>0</v>
          </cell>
          <cell r="E8363">
            <v>0</v>
          </cell>
          <cell r="F8363">
            <v>0</v>
          </cell>
          <cell r="G8363">
            <v>0</v>
          </cell>
        </row>
        <row r="8364">
          <cell r="A8364" t="str">
            <v>57-01-01-0773</v>
          </cell>
          <cell r="B8364">
            <v>0</v>
          </cell>
          <cell r="C8364" t="str">
            <v xml:space="preserve">  MUHAMMAD RAMZAN FITTER SHIFT</v>
          </cell>
          <cell r="D8364">
            <v>0</v>
          </cell>
          <cell r="E8364">
            <v>0</v>
          </cell>
          <cell r="F8364">
            <v>0</v>
          </cell>
          <cell r="G8364">
            <v>0</v>
          </cell>
        </row>
        <row r="8365">
          <cell r="A8365" t="str">
            <v>57-01-01-0774</v>
          </cell>
          <cell r="B8365">
            <v>0</v>
          </cell>
          <cell r="C8365" t="str">
            <v xml:space="preserve">  FALAK SHER</v>
          </cell>
          <cell r="D8365">
            <v>0</v>
          </cell>
          <cell r="E8365">
            <v>0</v>
          </cell>
          <cell r="F8365">
            <v>0</v>
          </cell>
          <cell r="G8365">
            <v>0</v>
          </cell>
        </row>
        <row r="8366">
          <cell r="A8366" t="str">
            <v>57-01-01-0776</v>
          </cell>
          <cell r="B8366">
            <v>0</v>
          </cell>
          <cell r="C8366" t="str">
            <v xml:space="preserve">  ANAYATULLAH</v>
          </cell>
          <cell r="D8366">
            <v>0</v>
          </cell>
          <cell r="E8366">
            <v>0</v>
          </cell>
          <cell r="F8366">
            <v>0</v>
          </cell>
          <cell r="G8366">
            <v>0</v>
          </cell>
        </row>
        <row r="8367">
          <cell r="A8367" t="str">
            <v>57-01-01-0777</v>
          </cell>
          <cell r="B8367">
            <v>0</v>
          </cell>
          <cell r="C8367" t="str">
            <v xml:space="preserve">  AAMIR ABBAS H/FITTER</v>
          </cell>
          <cell r="D8367">
            <v>0</v>
          </cell>
          <cell r="E8367">
            <v>0</v>
          </cell>
          <cell r="F8367">
            <v>0</v>
          </cell>
          <cell r="G8367">
            <v>0</v>
          </cell>
        </row>
        <row r="8368">
          <cell r="A8368" t="str">
            <v>57-01-01-0778</v>
          </cell>
          <cell r="B8368">
            <v>0</v>
          </cell>
          <cell r="C8368" t="str">
            <v xml:space="preserve">  SHAUKAT MEHMOOD S/F SHIFT</v>
          </cell>
          <cell r="D8368">
            <v>0</v>
          </cell>
          <cell r="E8368">
            <v>0</v>
          </cell>
          <cell r="F8368">
            <v>0</v>
          </cell>
          <cell r="G8368">
            <v>0</v>
          </cell>
        </row>
        <row r="8369">
          <cell r="A8369" t="str">
            <v>57-01-01-0779</v>
          </cell>
          <cell r="B8369">
            <v>0</v>
          </cell>
          <cell r="C8369" t="str">
            <v xml:space="preserve">  QAMAR ABBAS C.T</v>
          </cell>
          <cell r="D8369">
            <v>0</v>
          </cell>
          <cell r="E8369">
            <v>0</v>
          </cell>
          <cell r="F8369">
            <v>0</v>
          </cell>
          <cell r="G8369">
            <v>0</v>
          </cell>
        </row>
        <row r="8370">
          <cell r="A8370" t="str">
            <v>57-01-01-0780</v>
          </cell>
          <cell r="B8370">
            <v>0</v>
          </cell>
          <cell r="C8370" t="str">
            <v xml:space="preserve">  GHAZANFAR ABBAS</v>
          </cell>
          <cell r="D8370">
            <v>0</v>
          </cell>
          <cell r="E8370">
            <v>0</v>
          </cell>
          <cell r="F8370">
            <v>0</v>
          </cell>
          <cell r="G8370">
            <v>0</v>
          </cell>
        </row>
        <row r="8371">
          <cell r="A8371" t="str">
            <v>57-01-01-0781</v>
          </cell>
          <cell r="B8371">
            <v>0</v>
          </cell>
          <cell r="C8371" t="str">
            <v xml:space="preserve">  SAIFULLAH OPT. SH.G</v>
          </cell>
          <cell r="D8371">
            <v>0</v>
          </cell>
          <cell r="E8371">
            <v>0</v>
          </cell>
          <cell r="F8371">
            <v>0</v>
          </cell>
          <cell r="G8371">
            <v>0</v>
          </cell>
        </row>
        <row r="8372">
          <cell r="A8372" t="str">
            <v>57-01-01-0782</v>
          </cell>
          <cell r="B8372">
            <v>0</v>
          </cell>
          <cell r="C8372" t="str">
            <v xml:space="preserve">  ZAFAR IQBAL D.F. SHIFT A</v>
          </cell>
          <cell r="D8372">
            <v>0</v>
          </cell>
          <cell r="E8372">
            <v>0</v>
          </cell>
          <cell r="F8372">
            <v>0</v>
          </cell>
          <cell r="G8372">
            <v>0</v>
          </cell>
        </row>
        <row r="8373">
          <cell r="A8373" t="str">
            <v>57-01-01-0783</v>
          </cell>
          <cell r="B8373">
            <v>0</v>
          </cell>
          <cell r="C8373" t="str">
            <v xml:space="preserve">  MUHAMMAD IQBAL</v>
          </cell>
          <cell r="D8373">
            <v>0</v>
          </cell>
          <cell r="E8373">
            <v>0</v>
          </cell>
          <cell r="F8373">
            <v>0</v>
          </cell>
          <cell r="G8373">
            <v>0</v>
          </cell>
        </row>
        <row r="8374">
          <cell r="A8374" t="str">
            <v>57-01-01-0784</v>
          </cell>
          <cell r="B8374">
            <v>0</v>
          </cell>
          <cell r="C8374" t="str">
            <v xml:space="preserve">  GHULAM ASGHAR OPT</v>
          </cell>
          <cell r="D8374">
            <v>0</v>
          </cell>
          <cell r="E8374">
            <v>0</v>
          </cell>
          <cell r="F8374">
            <v>0</v>
          </cell>
          <cell r="G8374">
            <v>0</v>
          </cell>
        </row>
        <row r="8375">
          <cell r="A8375" t="str">
            <v>57-01-01-0785</v>
          </cell>
          <cell r="B8375">
            <v>0</v>
          </cell>
          <cell r="C8375" t="str">
            <v xml:space="preserve">  GHULAM YASIN OPT.</v>
          </cell>
          <cell r="D8375">
            <v>0</v>
          </cell>
          <cell r="E8375">
            <v>0</v>
          </cell>
          <cell r="F8375">
            <v>0</v>
          </cell>
          <cell r="G8375">
            <v>0</v>
          </cell>
        </row>
        <row r="8376">
          <cell r="A8376" t="str">
            <v>57-01-01-0786</v>
          </cell>
          <cell r="B8376">
            <v>0</v>
          </cell>
          <cell r="C8376" t="str">
            <v xml:space="preserve">  NIAMAT ALI A/FITTER</v>
          </cell>
          <cell r="D8376">
            <v>0</v>
          </cell>
          <cell r="E8376">
            <v>0</v>
          </cell>
          <cell r="F8376">
            <v>0</v>
          </cell>
          <cell r="G8376">
            <v>0</v>
          </cell>
        </row>
        <row r="8377">
          <cell r="A8377" t="str">
            <v>57-01-01-0787</v>
          </cell>
          <cell r="B8377">
            <v>0</v>
          </cell>
          <cell r="C8377" t="str">
            <v xml:space="preserve">  ISRAN KHAN 4/S SHIFT</v>
          </cell>
          <cell r="D8377">
            <v>0</v>
          </cell>
          <cell r="E8377">
            <v>0</v>
          </cell>
          <cell r="F8377">
            <v>0</v>
          </cell>
          <cell r="G8377">
            <v>0</v>
          </cell>
        </row>
        <row r="8378">
          <cell r="A8378" t="str">
            <v>57-01-01-0788</v>
          </cell>
          <cell r="B8378">
            <v>0</v>
          </cell>
          <cell r="C8378" t="str">
            <v xml:space="preserve">  MAQBOOL SHAH</v>
          </cell>
          <cell r="D8378">
            <v>0</v>
          </cell>
          <cell r="E8378">
            <v>0</v>
          </cell>
          <cell r="F8378">
            <v>0</v>
          </cell>
          <cell r="G8378">
            <v>0</v>
          </cell>
        </row>
        <row r="8379">
          <cell r="A8379" t="str">
            <v>57-01-01-0789</v>
          </cell>
          <cell r="B8379">
            <v>0</v>
          </cell>
          <cell r="C8379" t="str">
            <v xml:space="preserve">  GHAZANFAR ALI 4/S</v>
          </cell>
          <cell r="D8379">
            <v>0</v>
          </cell>
          <cell r="E8379">
            <v>0</v>
          </cell>
          <cell r="F8379">
            <v>0</v>
          </cell>
          <cell r="G8379">
            <v>0</v>
          </cell>
        </row>
        <row r="8380">
          <cell r="A8380" t="str">
            <v>57-01-01-0790</v>
          </cell>
          <cell r="B8380">
            <v>0</v>
          </cell>
          <cell r="C8380" t="str">
            <v xml:space="preserve">  KHALAS KHAN 4/S SHIFT A</v>
          </cell>
          <cell r="D8380">
            <v>0</v>
          </cell>
          <cell r="E8380">
            <v>0</v>
          </cell>
          <cell r="F8380">
            <v>0</v>
          </cell>
          <cell r="G8380">
            <v>0</v>
          </cell>
        </row>
        <row r="8381">
          <cell r="A8381" t="str">
            <v>57-01-01-0791</v>
          </cell>
          <cell r="B8381">
            <v>0</v>
          </cell>
          <cell r="C8381" t="str">
            <v xml:space="preserve">  MUHAMMAD AMIN JOBBER</v>
          </cell>
          <cell r="D8381">
            <v>0</v>
          </cell>
          <cell r="E8381">
            <v>0</v>
          </cell>
          <cell r="F8381">
            <v>0</v>
          </cell>
          <cell r="G8381">
            <v>0</v>
          </cell>
        </row>
        <row r="8382">
          <cell r="A8382" t="str">
            <v>57-01-01-0792</v>
          </cell>
          <cell r="B8382">
            <v>0</v>
          </cell>
          <cell r="C8382" t="str">
            <v xml:space="preserve">  HUSSAIN SUBHANI A/FITTER</v>
          </cell>
          <cell r="D8382">
            <v>0</v>
          </cell>
          <cell r="E8382">
            <v>0</v>
          </cell>
          <cell r="F8382">
            <v>0</v>
          </cell>
          <cell r="G8382">
            <v>0</v>
          </cell>
        </row>
        <row r="8383">
          <cell r="A8383" t="str">
            <v>57-01-01-0793</v>
          </cell>
          <cell r="B8383">
            <v>0</v>
          </cell>
          <cell r="C8383" t="str">
            <v xml:space="preserve">  MUHAMMAD NAZIR DST SHIFT</v>
          </cell>
          <cell r="D8383">
            <v>0</v>
          </cell>
          <cell r="E8383">
            <v>0</v>
          </cell>
          <cell r="F8383">
            <v>0</v>
          </cell>
          <cell r="G8383">
            <v>0</v>
          </cell>
        </row>
        <row r="8384">
          <cell r="A8384" t="str">
            <v>57-01-01-0794</v>
          </cell>
          <cell r="B8384">
            <v>0</v>
          </cell>
          <cell r="C8384" t="str">
            <v xml:space="preserve">  ASAD RAZA OBS LAB</v>
          </cell>
          <cell r="D8384">
            <v>0</v>
          </cell>
          <cell r="E8384">
            <v>0</v>
          </cell>
          <cell r="F8384">
            <v>0</v>
          </cell>
          <cell r="G8384">
            <v>0</v>
          </cell>
        </row>
        <row r="8385">
          <cell r="A8385" t="str">
            <v>57-01-01-0795</v>
          </cell>
          <cell r="B8385">
            <v>0</v>
          </cell>
          <cell r="C8385" t="str">
            <v xml:space="preserve">  MUHAMMAD ASIF FITTER</v>
          </cell>
          <cell r="D8385">
            <v>0</v>
          </cell>
          <cell r="E8385">
            <v>0</v>
          </cell>
          <cell r="F8385">
            <v>0</v>
          </cell>
          <cell r="G8385">
            <v>0</v>
          </cell>
        </row>
        <row r="8386">
          <cell r="A8386" t="str">
            <v>57-01-01-0796</v>
          </cell>
          <cell r="B8386">
            <v>0</v>
          </cell>
          <cell r="C8386" t="str">
            <v xml:space="preserve">  GUL REHAN 4/S SHIFT</v>
          </cell>
          <cell r="D8386">
            <v>0</v>
          </cell>
          <cell r="E8386">
            <v>0</v>
          </cell>
          <cell r="F8386">
            <v>0</v>
          </cell>
          <cell r="G8386">
            <v>0</v>
          </cell>
        </row>
        <row r="8387">
          <cell r="A8387" t="str">
            <v>57-01-01-0797</v>
          </cell>
          <cell r="B8387">
            <v>0</v>
          </cell>
          <cell r="C8387" t="str">
            <v xml:space="preserve">  MUHAMMAD BOOTA DOFFER</v>
          </cell>
          <cell r="D8387">
            <v>0</v>
          </cell>
          <cell r="E8387">
            <v>0</v>
          </cell>
          <cell r="F8387">
            <v>0</v>
          </cell>
          <cell r="G8387">
            <v>0</v>
          </cell>
        </row>
        <row r="8388">
          <cell r="A8388" t="str">
            <v>57-01-01-0798</v>
          </cell>
          <cell r="B8388">
            <v>0</v>
          </cell>
          <cell r="C8388" t="str">
            <v xml:space="preserve">  NASIR IQBAL 4/S SHIFT</v>
          </cell>
          <cell r="D8388">
            <v>0</v>
          </cell>
          <cell r="E8388">
            <v>0</v>
          </cell>
          <cell r="F8388">
            <v>0</v>
          </cell>
          <cell r="G8388">
            <v>0</v>
          </cell>
        </row>
        <row r="8389">
          <cell r="A8389" t="str">
            <v>57-01-01-0799</v>
          </cell>
          <cell r="B8389">
            <v>0</v>
          </cell>
          <cell r="C8389" t="str">
            <v xml:space="preserve">  MUMTAZ AGMAD OPT SHIFT A MILL</v>
          </cell>
          <cell r="D8389">
            <v>0</v>
          </cell>
          <cell r="E8389">
            <v>0</v>
          </cell>
          <cell r="F8389">
            <v>0</v>
          </cell>
          <cell r="G8389">
            <v>0</v>
          </cell>
        </row>
        <row r="8390">
          <cell r="A8390" t="str">
            <v>57-01-01-0800</v>
          </cell>
          <cell r="B8390">
            <v>0</v>
          </cell>
          <cell r="C8390" t="str">
            <v xml:space="preserve">  RIAZ AHMED  OPT</v>
          </cell>
          <cell r="D8390">
            <v>0</v>
          </cell>
          <cell r="E8390">
            <v>0</v>
          </cell>
          <cell r="F8390">
            <v>0</v>
          </cell>
          <cell r="G8390">
            <v>0</v>
          </cell>
        </row>
        <row r="8391">
          <cell r="A8391" t="str">
            <v>57-01-01-0801</v>
          </cell>
          <cell r="B8391">
            <v>0</v>
          </cell>
          <cell r="C8391" t="str">
            <v xml:space="preserve">  MIR SAYAD DST SHIFT</v>
          </cell>
          <cell r="D8391">
            <v>0</v>
          </cell>
          <cell r="E8391">
            <v>0</v>
          </cell>
          <cell r="F8391">
            <v>0</v>
          </cell>
          <cell r="G8391">
            <v>0</v>
          </cell>
        </row>
        <row r="8392">
          <cell r="A8392" t="str">
            <v>57-01-01-0802</v>
          </cell>
          <cell r="B8392">
            <v>0</v>
          </cell>
          <cell r="C8392" t="str">
            <v xml:space="preserve">  NIAZ HUSSAIN OPT SHIFT C</v>
          </cell>
          <cell r="D8392">
            <v>0</v>
          </cell>
          <cell r="E8392">
            <v>0</v>
          </cell>
          <cell r="F8392">
            <v>0</v>
          </cell>
          <cell r="G8392">
            <v>0</v>
          </cell>
        </row>
        <row r="8393">
          <cell r="A8393" t="str">
            <v>57-01-01-0803</v>
          </cell>
          <cell r="B8393">
            <v>0</v>
          </cell>
          <cell r="C8393" t="str">
            <v xml:space="preserve">  MUHAMMAD IRFAN JOBBER SHIFT C M</v>
          </cell>
          <cell r="D8393">
            <v>0</v>
          </cell>
          <cell r="E8393">
            <v>0</v>
          </cell>
          <cell r="F8393">
            <v>0</v>
          </cell>
          <cell r="G8393">
            <v>0</v>
          </cell>
        </row>
        <row r="8394">
          <cell r="A8394" t="str">
            <v>57-01-01-0804</v>
          </cell>
          <cell r="B8394">
            <v>0</v>
          </cell>
          <cell r="C8394" t="str">
            <v xml:space="preserve">  MUHAMMAD ABDULLAH CT SH.</v>
          </cell>
          <cell r="D8394">
            <v>0</v>
          </cell>
          <cell r="E8394">
            <v>0</v>
          </cell>
          <cell r="F8394">
            <v>0</v>
          </cell>
          <cell r="G8394">
            <v>0</v>
          </cell>
        </row>
        <row r="8395">
          <cell r="A8395" t="str">
            <v>57-01-01-0805</v>
          </cell>
          <cell r="B8395">
            <v>0</v>
          </cell>
          <cell r="C8395" t="str">
            <v xml:space="preserve">  ASGHAR ALI HELPER SHIFT G</v>
          </cell>
          <cell r="D8395">
            <v>0</v>
          </cell>
          <cell r="E8395">
            <v>0</v>
          </cell>
          <cell r="F8395">
            <v>0</v>
          </cell>
          <cell r="G8395">
            <v>0</v>
          </cell>
        </row>
        <row r="8396">
          <cell r="A8396" t="str">
            <v>57-01-01-0806</v>
          </cell>
          <cell r="B8396">
            <v>0</v>
          </cell>
          <cell r="C8396" t="str">
            <v xml:space="preserve">  TAHIR MEHMOOD 4/S SHIFT A</v>
          </cell>
          <cell r="D8396">
            <v>0</v>
          </cell>
          <cell r="E8396">
            <v>0</v>
          </cell>
          <cell r="F8396">
            <v>0</v>
          </cell>
          <cell r="G8396">
            <v>0</v>
          </cell>
        </row>
        <row r="8397">
          <cell r="A8397" t="str">
            <v>57-01-01-0807</v>
          </cell>
          <cell r="B8397">
            <v>0</v>
          </cell>
          <cell r="C8397" t="str">
            <v xml:space="preserve">  GHALIB HUSSAIN</v>
          </cell>
          <cell r="D8397">
            <v>0</v>
          </cell>
          <cell r="E8397">
            <v>0</v>
          </cell>
          <cell r="F8397">
            <v>0</v>
          </cell>
          <cell r="G8397">
            <v>0</v>
          </cell>
        </row>
        <row r="8398">
          <cell r="A8398" t="str">
            <v>57-01-01-0808</v>
          </cell>
          <cell r="B8398">
            <v>0</v>
          </cell>
          <cell r="C8398" t="str">
            <v xml:space="preserve">  MUHAMMAD AKHLAQ DOFFER RING</v>
          </cell>
          <cell r="D8398">
            <v>0</v>
          </cell>
          <cell r="E8398">
            <v>0</v>
          </cell>
          <cell r="F8398">
            <v>0</v>
          </cell>
          <cell r="G8398">
            <v>0</v>
          </cell>
        </row>
        <row r="8399">
          <cell r="A8399" t="str">
            <v>57-01-01-0809</v>
          </cell>
          <cell r="B8399">
            <v>0</v>
          </cell>
          <cell r="C8399" t="str">
            <v xml:space="preserve">  RAEES KHAN 4/S RING-4.</v>
          </cell>
          <cell r="D8399">
            <v>0</v>
          </cell>
          <cell r="E8399">
            <v>0</v>
          </cell>
          <cell r="F8399">
            <v>0</v>
          </cell>
          <cell r="G8399">
            <v>0</v>
          </cell>
        </row>
        <row r="8400">
          <cell r="A8400" t="str">
            <v>57-01-01-0810</v>
          </cell>
          <cell r="B8400">
            <v>0</v>
          </cell>
          <cell r="C8400" t="str">
            <v xml:space="preserve">  FHULAM MUHAMMAD DOFFER</v>
          </cell>
          <cell r="D8400">
            <v>0</v>
          </cell>
          <cell r="E8400">
            <v>0</v>
          </cell>
          <cell r="F8400">
            <v>0</v>
          </cell>
          <cell r="G8400">
            <v>0</v>
          </cell>
        </row>
        <row r="8401">
          <cell r="A8401" t="str">
            <v>57-01-01-0811</v>
          </cell>
          <cell r="B8401">
            <v>0</v>
          </cell>
          <cell r="C8401" t="str">
            <v xml:space="preserve">  MANZOOR ELLAHI OPT</v>
          </cell>
          <cell r="D8401">
            <v>0</v>
          </cell>
          <cell r="E8401">
            <v>0</v>
          </cell>
          <cell r="F8401">
            <v>0</v>
          </cell>
          <cell r="G8401">
            <v>0</v>
          </cell>
        </row>
        <row r="8402">
          <cell r="A8402" t="str">
            <v>57-01-01-0812</v>
          </cell>
          <cell r="B8402">
            <v>0</v>
          </cell>
          <cell r="C8402" t="str">
            <v xml:space="preserve">  ZAFAR IQBAL</v>
          </cell>
          <cell r="D8402">
            <v>0</v>
          </cell>
          <cell r="E8402">
            <v>0</v>
          </cell>
          <cell r="F8402">
            <v>0</v>
          </cell>
          <cell r="G8402">
            <v>0</v>
          </cell>
        </row>
        <row r="8403">
          <cell r="A8403" t="str">
            <v>57-01-01-0813</v>
          </cell>
          <cell r="B8403">
            <v>0</v>
          </cell>
          <cell r="C8403" t="str">
            <v xml:space="preserve">  MUHAMMAD QASIM Q/OBSERVER MILL.</v>
          </cell>
          <cell r="D8403">
            <v>0</v>
          </cell>
          <cell r="E8403">
            <v>0</v>
          </cell>
          <cell r="F8403">
            <v>0</v>
          </cell>
          <cell r="G8403">
            <v>0</v>
          </cell>
        </row>
        <row r="8404">
          <cell r="A8404" t="str">
            <v>57-01-01-0814</v>
          </cell>
          <cell r="B8404">
            <v>0</v>
          </cell>
          <cell r="C8404" t="str">
            <v xml:space="preserve">  MUHAMMAD ARIF JOBBER SHIFT C</v>
          </cell>
          <cell r="D8404">
            <v>0</v>
          </cell>
          <cell r="E8404">
            <v>0</v>
          </cell>
          <cell r="F8404">
            <v>0</v>
          </cell>
          <cell r="G8404">
            <v>0</v>
          </cell>
        </row>
        <row r="8405">
          <cell r="A8405" t="str">
            <v>57-01-01-0815</v>
          </cell>
          <cell r="B8405">
            <v>0</v>
          </cell>
          <cell r="C8405" t="str">
            <v xml:space="preserve">  MEHBOOB HUSSAIN CT SHIFT C.</v>
          </cell>
          <cell r="D8405">
            <v>0</v>
          </cell>
          <cell r="E8405">
            <v>0</v>
          </cell>
          <cell r="F8405">
            <v>0</v>
          </cell>
          <cell r="G8405">
            <v>0</v>
          </cell>
        </row>
        <row r="8406">
          <cell r="A8406" t="str">
            <v>57-01-01-0816</v>
          </cell>
          <cell r="B8406">
            <v>0</v>
          </cell>
          <cell r="C8406" t="str">
            <v xml:space="preserve">  SHAFIUR REHMAN JOBBER SHIFT A</v>
          </cell>
          <cell r="D8406">
            <v>0</v>
          </cell>
          <cell r="E8406">
            <v>0</v>
          </cell>
          <cell r="F8406">
            <v>0</v>
          </cell>
          <cell r="G8406">
            <v>0</v>
          </cell>
        </row>
        <row r="8407">
          <cell r="A8407" t="str">
            <v>57-01-01-0817</v>
          </cell>
          <cell r="B8407">
            <v>0</v>
          </cell>
          <cell r="C8407" t="str">
            <v xml:space="preserve">  ZAHEER ABBAS A/F SHIFT G.</v>
          </cell>
          <cell r="D8407">
            <v>4000</v>
          </cell>
          <cell r="E8407">
            <v>0</v>
          </cell>
          <cell r="F8407">
            <v>0</v>
          </cell>
          <cell r="G8407">
            <v>0</v>
          </cell>
        </row>
        <row r="8408">
          <cell r="A8408" t="str">
            <v>57-01-01-0818</v>
          </cell>
          <cell r="B8408">
            <v>0</v>
          </cell>
          <cell r="C8408" t="str">
            <v xml:space="preserve">  GUL ZAMIN HELPER SHIFT G.</v>
          </cell>
          <cell r="D8408">
            <v>0</v>
          </cell>
          <cell r="E8408">
            <v>0</v>
          </cell>
          <cell r="F8408">
            <v>0</v>
          </cell>
          <cell r="G8408">
            <v>0</v>
          </cell>
        </row>
        <row r="8409">
          <cell r="A8409" t="str">
            <v>57-01-01-0819</v>
          </cell>
          <cell r="B8409">
            <v>0</v>
          </cell>
          <cell r="C8409" t="str">
            <v xml:space="preserve">  MUSHTAQ AHMED DDT SHIFT C MILL</v>
          </cell>
          <cell r="D8409">
            <v>0</v>
          </cell>
          <cell r="E8409">
            <v>0</v>
          </cell>
          <cell r="F8409">
            <v>0</v>
          </cell>
          <cell r="G8409">
            <v>0</v>
          </cell>
        </row>
        <row r="8410">
          <cell r="A8410" t="str">
            <v>57-01-01-0820</v>
          </cell>
          <cell r="B8410">
            <v>0</v>
          </cell>
          <cell r="C8410" t="str">
            <v xml:space="preserve">  EJAZ AHMED 4/S SHIFT A MILL # 2.</v>
          </cell>
          <cell r="D8410">
            <v>0</v>
          </cell>
          <cell r="E8410">
            <v>0</v>
          </cell>
          <cell r="F8410">
            <v>0</v>
          </cell>
          <cell r="G8410">
            <v>0</v>
          </cell>
        </row>
        <row r="8411">
          <cell r="A8411" t="str">
            <v>57-01-01-0821</v>
          </cell>
          <cell r="B8411">
            <v>0</v>
          </cell>
          <cell r="C8411" t="str">
            <v xml:space="preserve">  JAFAR HUSSAIN HELPER SHIFT 'G'.</v>
          </cell>
          <cell r="D8411">
            <v>0</v>
          </cell>
          <cell r="E8411">
            <v>0</v>
          </cell>
          <cell r="F8411">
            <v>0</v>
          </cell>
          <cell r="G8411">
            <v>0</v>
          </cell>
        </row>
        <row r="8412">
          <cell r="A8412" t="str">
            <v>57-01-01-0822</v>
          </cell>
          <cell r="B8412">
            <v>0</v>
          </cell>
          <cell r="C8412" t="str">
            <v xml:space="preserve">  HAIBAT KHAN JOBBER SHIFT C</v>
          </cell>
          <cell r="D8412">
            <v>0</v>
          </cell>
          <cell r="E8412">
            <v>0</v>
          </cell>
          <cell r="F8412">
            <v>0</v>
          </cell>
          <cell r="G8412">
            <v>0</v>
          </cell>
        </row>
        <row r="8413">
          <cell r="A8413" t="str">
            <v>57-01-01-0823</v>
          </cell>
          <cell r="B8413">
            <v>0</v>
          </cell>
          <cell r="C8413" t="str">
            <v xml:space="preserve">  KHALIL AHMAD 4/S SHIFT</v>
          </cell>
          <cell r="D8413">
            <v>0</v>
          </cell>
          <cell r="E8413">
            <v>0</v>
          </cell>
          <cell r="F8413">
            <v>0</v>
          </cell>
          <cell r="G8413">
            <v>0</v>
          </cell>
        </row>
        <row r="8414">
          <cell r="A8414" t="str">
            <v>57-01-01-0824</v>
          </cell>
          <cell r="B8414">
            <v>0</v>
          </cell>
          <cell r="C8414" t="str">
            <v xml:space="preserve">  TANVEER HUSSAIN FITTER SH.G</v>
          </cell>
          <cell r="D8414">
            <v>0</v>
          </cell>
          <cell r="E8414">
            <v>0</v>
          </cell>
          <cell r="F8414">
            <v>0</v>
          </cell>
          <cell r="G8414">
            <v>0</v>
          </cell>
        </row>
        <row r="8415">
          <cell r="A8415" t="str">
            <v>57-01-01-0825</v>
          </cell>
          <cell r="B8415">
            <v>0</v>
          </cell>
          <cell r="C8415" t="str">
            <v xml:space="preserve">  MUHAMMAD KHAN 4/S SHIFT 'B'.</v>
          </cell>
          <cell r="D8415">
            <v>0</v>
          </cell>
          <cell r="E8415">
            <v>0</v>
          </cell>
          <cell r="F8415">
            <v>0</v>
          </cell>
          <cell r="G8415">
            <v>0</v>
          </cell>
        </row>
        <row r="8416">
          <cell r="A8416" t="str">
            <v>57-01-01-0826</v>
          </cell>
          <cell r="B8416">
            <v>0</v>
          </cell>
          <cell r="C8416" t="str">
            <v xml:space="preserve">  ABDUL WAHEED FITTER SHIFT.</v>
          </cell>
          <cell r="D8416">
            <v>0</v>
          </cell>
          <cell r="E8416">
            <v>0</v>
          </cell>
          <cell r="F8416">
            <v>0</v>
          </cell>
          <cell r="G8416">
            <v>0</v>
          </cell>
        </row>
        <row r="8417">
          <cell r="A8417" t="str">
            <v>57-01-01-0827</v>
          </cell>
          <cell r="B8417">
            <v>0</v>
          </cell>
          <cell r="C8417" t="str">
            <v xml:space="preserve">  GHULAM ABBAS 4/S SHIFT A.</v>
          </cell>
          <cell r="D8417">
            <v>0</v>
          </cell>
          <cell r="E8417">
            <v>0</v>
          </cell>
          <cell r="F8417">
            <v>0</v>
          </cell>
          <cell r="G8417">
            <v>0</v>
          </cell>
        </row>
        <row r="8418">
          <cell r="A8418" t="str">
            <v>57-01-01-0828</v>
          </cell>
          <cell r="B8418">
            <v>0</v>
          </cell>
          <cell r="C8418" t="str">
            <v xml:space="preserve">  GHULAM ABBAS A/FITTER SHIFT G</v>
          </cell>
          <cell r="D8418">
            <v>0</v>
          </cell>
          <cell r="E8418">
            <v>0</v>
          </cell>
          <cell r="F8418">
            <v>0</v>
          </cell>
          <cell r="G8418">
            <v>0</v>
          </cell>
        </row>
        <row r="8419">
          <cell r="A8419" t="str">
            <v>57-01-01-0829</v>
          </cell>
          <cell r="B8419">
            <v>0</v>
          </cell>
          <cell r="C8419" t="str">
            <v xml:space="preserve">  BASHIR AHMAD OPT SHIFT C</v>
          </cell>
          <cell r="D8419">
            <v>0</v>
          </cell>
          <cell r="E8419">
            <v>0</v>
          </cell>
          <cell r="F8419">
            <v>0</v>
          </cell>
          <cell r="G8419">
            <v>0</v>
          </cell>
        </row>
        <row r="8420">
          <cell r="A8420" t="str">
            <v>57-01-01-0830</v>
          </cell>
          <cell r="B8420">
            <v>0</v>
          </cell>
          <cell r="C8420" t="str">
            <v xml:space="preserve">  MUHAMMAD SHAHBAZ OPT SH.B.</v>
          </cell>
          <cell r="D8420">
            <v>0</v>
          </cell>
          <cell r="E8420">
            <v>0</v>
          </cell>
          <cell r="F8420">
            <v>0</v>
          </cell>
          <cell r="G8420">
            <v>0</v>
          </cell>
        </row>
        <row r="8421">
          <cell r="A8421" t="str">
            <v>57-01-01-0831</v>
          </cell>
          <cell r="B8421">
            <v>0</v>
          </cell>
          <cell r="C8421" t="str">
            <v xml:space="preserve">  AZIZ AHMAD OPT SHIFT G.</v>
          </cell>
          <cell r="D8421">
            <v>0</v>
          </cell>
          <cell r="E8421">
            <v>0</v>
          </cell>
          <cell r="F8421">
            <v>0</v>
          </cell>
          <cell r="G8421">
            <v>0</v>
          </cell>
        </row>
        <row r="8422">
          <cell r="A8422" t="str">
            <v>57-01-01-0832</v>
          </cell>
          <cell r="B8422">
            <v>0</v>
          </cell>
          <cell r="C8422" t="str">
            <v xml:space="preserve">  FAZAL WAHID DST SHIFT B.</v>
          </cell>
          <cell r="D8422">
            <v>0</v>
          </cell>
          <cell r="E8422">
            <v>0</v>
          </cell>
          <cell r="F8422">
            <v>0</v>
          </cell>
          <cell r="G8422">
            <v>0</v>
          </cell>
        </row>
        <row r="8423">
          <cell r="A8423" t="str">
            <v>57-01-01-0833</v>
          </cell>
          <cell r="B8423">
            <v>0</v>
          </cell>
          <cell r="C8423" t="str">
            <v xml:space="preserve">  MUHAMMAD SHARIF A/JOBBER SH.</v>
          </cell>
          <cell r="D8423">
            <v>0</v>
          </cell>
          <cell r="E8423">
            <v>0</v>
          </cell>
          <cell r="F8423">
            <v>0</v>
          </cell>
          <cell r="G8423">
            <v>0</v>
          </cell>
        </row>
        <row r="8424">
          <cell r="A8424" t="str">
            <v>57-01-01-0834</v>
          </cell>
          <cell r="B8424">
            <v>0</v>
          </cell>
          <cell r="C8424" t="str">
            <v xml:space="preserve">  QAMAR NADEEMFITTER SH.G.</v>
          </cell>
          <cell r="D8424">
            <v>0</v>
          </cell>
          <cell r="E8424">
            <v>0</v>
          </cell>
          <cell r="F8424">
            <v>0</v>
          </cell>
          <cell r="G8424">
            <v>0</v>
          </cell>
        </row>
        <row r="8425">
          <cell r="A8425" t="str">
            <v>57-01-01-0835</v>
          </cell>
          <cell r="B8425">
            <v>0</v>
          </cell>
          <cell r="C8425" t="str">
            <v xml:space="preserve">  ABDUR REHMAN OPT SHIFT A.</v>
          </cell>
          <cell r="D8425">
            <v>0</v>
          </cell>
          <cell r="E8425">
            <v>0</v>
          </cell>
          <cell r="F8425">
            <v>0</v>
          </cell>
          <cell r="G8425">
            <v>0</v>
          </cell>
        </row>
        <row r="8426">
          <cell r="A8426" t="str">
            <v>57-01-01-0836</v>
          </cell>
          <cell r="B8426">
            <v>0</v>
          </cell>
          <cell r="C8426" t="str">
            <v xml:space="preserve">  MUHAMMAD RASHID OPT SHIFT A.</v>
          </cell>
          <cell r="D8426">
            <v>0</v>
          </cell>
          <cell r="E8426">
            <v>0</v>
          </cell>
          <cell r="F8426">
            <v>0</v>
          </cell>
          <cell r="G8426">
            <v>0</v>
          </cell>
        </row>
        <row r="8427">
          <cell r="A8427" t="str">
            <v>57-01-01-0837</v>
          </cell>
          <cell r="B8427">
            <v>0</v>
          </cell>
          <cell r="C8427" t="str">
            <v xml:space="preserve">  SHAHID MEHMOOD S/FITTER SH.</v>
          </cell>
          <cell r="D8427">
            <v>0</v>
          </cell>
          <cell r="E8427">
            <v>0</v>
          </cell>
          <cell r="F8427">
            <v>0</v>
          </cell>
          <cell r="G8427">
            <v>0</v>
          </cell>
        </row>
        <row r="8428">
          <cell r="A8428" t="str">
            <v>57-01-01-0838</v>
          </cell>
          <cell r="B8428">
            <v>0</v>
          </cell>
          <cell r="C8428" t="str">
            <v xml:space="preserve">  ASHFAQ AHMED A/FITTER SH.G.MILL</v>
          </cell>
          <cell r="D8428">
            <v>0</v>
          </cell>
          <cell r="E8428">
            <v>0</v>
          </cell>
          <cell r="F8428">
            <v>0</v>
          </cell>
          <cell r="G8428">
            <v>0</v>
          </cell>
        </row>
        <row r="8429">
          <cell r="A8429" t="str">
            <v>57-01-01-0839</v>
          </cell>
          <cell r="B8429">
            <v>0</v>
          </cell>
          <cell r="C8429" t="str">
            <v xml:space="preserve">  TALIB HUSSAIN 4/S SHIFT.</v>
          </cell>
          <cell r="D8429">
            <v>0</v>
          </cell>
          <cell r="E8429">
            <v>0</v>
          </cell>
          <cell r="F8429">
            <v>0</v>
          </cell>
          <cell r="G8429">
            <v>0</v>
          </cell>
        </row>
        <row r="8430">
          <cell r="A8430" t="str">
            <v>57-01-01-0840</v>
          </cell>
          <cell r="B8430">
            <v>0</v>
          </cell>
          <cell r="C8430" t="str">
            <v xml:space="preserve">  EJAZ NADEEM PACKING CLERK.</v>
          </cell>
          <cell r="D8430">
            <v>0</v>
          </cell>
          <cell r="E8430">
            <v>0</v>
          </cell>
          <cell r="F8430">
            <v>0</v>
          </cell>
          <cell r="G8430">
            <v>0</v>
          </cell>
        </row>
        <row r="8431">
          <cell r="A8431" t="str">
            <v>57-01-01-0841</v>
          </cell>
          <cell r="B8431">
            <v>0</v>
          </cell>
          <cell r="C8431" t="str">
            <v xml:space="preserve">  MUHMMAD IRFAN 4/S SHIFT.</v>
          </cell>
          <cell r="D8431">
            <v>0</v>
          </cell>
          <cell r="E8431">
            <v>0</v>
          </cell>
          <cell r="F8431">
            <v>0</v>
          </cell>
          <cell r="G8431">
            <v>0</v>
          </cell>
        </row>
        <row r="8432">
          <cell r="A8432" t="str">
            <v>57-01-01-0842</v>
          </cell>
          <cell r="B8432">
            <v>0</v>
          </cell>
          <cell r="C8432" t="str">
            <v xml:space="preserve">  ASGHAR ALI 4/S SHIFT</v>
          </cell>
          <cell r="D8432">
            <v>0</v>
          </cell>
          <cell r="E8432">
            <v>0</v>
          </cell>
          <cell r="F8432">
            <v>0</v>
          </cell>
          <cell r="G8432">
            <v>0</v>
          </cell>
        </row>
        <row r="8433">
          <cell r="A8433" t="str">
            <v>57-01-01-0843</v>
          </cell>
          <cell r="B8433">
            <v>0</v>
          </cell>
          <cell r="C8433" t="str">
            <v xml:space="preserve">  MUHAMMAD AFZAL OPT SHIFT C</v>
          </cell>
          <cell r="D8433">
            <v>0</v>
          </cell>
          <cell r="E8433">
            <v>0</v>
          </cell>
          <cell r="F8433">
            <v>0</v>
          </cell>
          <cell r="G8433">
            <v>0</v>
          </cell>
        </row>
        <row r="8434">
          <cell r="A8434" t="str">
            <v>57-01-01-0844</v>
          </cell>
          <cell r="B8434">
            <v>0</v>
          </cell>
          <cell r="C8434" t="str">
            <v xml:space="preserve">  DILBAR NASEEM FITTER AUTO CONE.</v>
          </cell>
          <cell r="D8434">
            <v>0</v>
          </cell>
          <cell r="E8434">
            <v>0</v>
          </cell>
          <cell r="F8434">
            <v>0</v>
          </cell>
          <cell r="G8434">
            <v>0</v>
          </cell>
        </row>
        <row r="8435">
          <cell r="A8435" t="str">
            <v>57-01-01-0845</v>
          </cell>
          <cell r="B8435">
            <v>0</v>
          </cell>
          <cell r="C8435" t="str">
            <v xml:space="preserve">  TAWAB KHAN 4/S SHIFT-A</v>
          </cell>
          <cell r="D8435">
            <v>0</v>
          </cell>
          <cell r="E8435">
            <v>0</v>
          </cell>
          <cell r="F8435">
            <v>0</v>
          </cell>
          <cell r="G8435">
            <v>0</v>
          </cell>
        </row>
        <row r="8436">
          <cell r="A8436" t="str">
            <v>57-01-01-0846</v>
          </cell>
          <cell r="B8436">
            <v>0</v>
          </cell>
          <cell r="C8436" t="str">
            <v xml:space="preserve">  USMAN GUL MANAGER ACCOUNTS</v>
          </cell>
          <cell r="D8436">
            <v>0</v>
          </cell>
          <cell r="E8436">
            <v>33000</v>
          </cell>
          <cell r="F8436">
            <v>0</v>
          </cell>
          <cell r="G8436">
            <v>0</v>
          </cell>
        </row>
        <row r="8437">
          <cell r="A8437" t="str">
            <v>57-01-01-0847</v>
          </cell>
          <cell r="B8437">
            <v>0</v>
          </cell>
          <cell r="C8437" t="str">
            <v xml:space="preserve">  MUHAMMAD SULTAN S/FITTER CARDING</v>
          </cell>
          <cell r="D8437">
            <v>0</v>
          </cell>
          <cell r="E8437">
            <v>0</v>
          </cell>
          <cell r="F8437">
            <v>0</v>
          </cell>
          <cell r="G8437">
            <v>0</v>
          </cell>
        </row>
        <row r="8438">
          <cell r="A8438" t="str">
            <v>57-01-01-0848</v>
          </cell>
          <cell r="B8438">
            <v>0</v>
          </cell>
          <cell r="C8438" t="str">
            <v xml:space="preserve">  MUHAMMAD TARIQ SAEED FITTER</v>
          </cell>
          <cell r="D8438">
            <v>0</v>
          </cell>
          <cell r="E8438">
            <v>0</v>
          </cell>
          <cell r="F8438">
            <v>0</v>
          </cell>
          <cell r="G8438">
            <v>0</v>
          </cell>
        </row>
        <row r="8439">
          <cell r="A8439" t="str">
            <v>57-01-01-0849</v>
          </cell>
          <cell r="B8439">
            <v>0</v>
          </cell>
          <cell r="C8439" t="str">
            <v xml:space="preserve">  KHADIM HUSSAIN 4/S SHIFT</v>
          </cell>
          <cell r="D8439">
            <v>0</v>
          </cell>
          <cell r="E8439">
            <v>0</v>
          </cell>
          <cell r="F8439">
            <v>0</v>
          </cell>
          <cell r="G8439">
            <v>0</v>
          </cell>
        </row>
        <row r="8440">
          <cell r="A8440" t="str">
            <v>57-01-01-0850</v>
          </cell>
          <cell r="B8440">
            <v>0</v>
          </cell>
          <cell r="C8440" t="str">
            <v xml:space="preserve">  SHABBIR AHMAD CT SHIFT'B'.</v>
          </cell>
          <cell r="D8440">
            <v>0</v>
          </cell>
          <cell r="E8440">
            <v>0</v>
          </cell>
          <cell r="F8440">
            <v>0</v>
          </cell>
          <cell r="G8440">
            <v>0</v>
          </cell>
        </row>
        <row r="8441">
          <cell r="A8441" t="str">
            <v>57-01-01-0851</v>
          </cell>
          <cell r="B8441">
            <v>0</v>
          </cell>
          <cell r="C8441" t="str">
            <v xml:space="preserve">  MUHAMMAD NADEEM FITTER SHIFT G.</v>
          </cell>
          <cell r="D8441">
            <v>0</v>
          </cell>
          <cell r="E8441">
            <v>0</v>
          </cell>
          <cell r="F8441">
            <v>0</v>
          </cell>
          <cell r="G8441">
            <v>0</v>
          </cell>
        </row>
        <row r="8442">
          <cell r="A8442" t="str">
            <v>57-01-01-0852</v>
          </cell>
          <cell r="B8442">
            <v>0</v>
          </cell>
          <cell r="C8442" t="str">
            <v xml:space="preserve">  SAABIR ALI S.FITTER SHIFT G.</v>
          </cell>
          <cell r="D8442">
            <v>0</v>
          </cell>
          <cell r="E8442">
            <v>0</v>
          </cell>
          <cell r="F8442">
            <v>0</v>
          </cell>
          <cell r="G8442">
            <v>0</v>
          </cell>
        </row>
        <row r="8443">
          <cell r="A8443" t="str">
            <v>57-01-01-0853</v>
          </cell>
          <cell r="B8443">
            <v>0</v>
          </cell>
          <cell r="C8443" t="str">
            <v xml:space="preserve">  ABDUL HAMEED DOFFER SHIFT C</v>
          </cell>
          <cell r="D8443">
            <v>0</v>
          </cell>
          <cell r="E8443">
            <v>0</v>
          </cell>
          <cell r="F8443">
            <v>0</v>
          </cell>
          <cell r="G8443">
            <v>0</v>
          </cell>
        </row>
        <row r="8444">
          <cell r="A8444" t="str">
            <v>57-01-01-0854</v>
          </cell>
          <cell r="B8444">
            <v>0</v>
          </cell>
          <cell r="C8444" t="str">
            <v xml:space="preserve">  ABDUL WAHEED 4/S SHIFT</v>
          </cell>
          <cell r="D8444">
            <v>4000</v>
          </cell>
          <cell r="E8444">
            <v>0</v>
          </cell>
          <cell r="F8444">
            <v>0</v>
          </cell>
          <cell r="G8444">
            <v>0</v>
          </cell>
        </row>
        <row r="8445">
          <cell r="A8445" t="str">
            <v>57-01-01-0855</v>
          </cell>
          <cell r="B8445">
            <v>0</v>
          </cell>
          <cell r="C8445" t="str">
            <v xml:space="preserve">  SHAHZAD BASHIR A/FITTER</v>
          </cell>
          <cell r="D8445">
            <v>0</v>
          </cell>
          <cell r="E8445">
            <v>0</v>
          </cell>
          <cell r="F8445">
            <v>0</v>
          </cell>
          <cell r="G8445">
            <v>0</v>
          </cell>
        </row>
        <row r="8446">
          <cell r="A8446" t="str">
            <v>57-01-01-0856</v>
          </cell>
          <cell r="B8446">
            <v>0</v>
          </cell>
          <cell r="C8446" t="str">
            <v xml:space="preserve">  MUHAMMAD BASHRAT OPT SH.C</v>
          </cell>
          <cell r="D8446">
            <v>0</v>
          </cell>
          <cell r="E8446">
            <v>0</v>
          </cell>
          <cell r="F8446">
            <v>0</v>
          </cell>
          <cell r="G8446">
            <v>0</v>
          </cell>
        </row>
        <row r="8447">
          <cell r="A8447" t="str">
            <v>57-01-01-0857</v>
          </cell>
          <cell r="B8447">
            <v>0</v>
          </cell>
          <cell r="C8447" t="str">
            <v xml:space="preserve">  MUHAMMAD NAWAZ JOBBER SH.A</v>
          </cell>
          <cell r="D8447">
            <v>0</v>
          </cell>
          <cell r="E8447">
            <v>0</v>
          </cell>
          <cell r="F8447">
            <v>0</v>
          </cell>
          <cell r="G8447">
            <v>0</v>
          </cell>
        </row>
        <row r="8448">
          <cell r="A8448" t="str">
            <v>57-01-01-0858</v>
          </cell>
          <cell r="B8448">
            <v>0</v>
          </cell>
          <cell r="C8448" t="str">
            <v xml:space="preserve">  AHMAD NAWAZ H/JOBBER SH.G.</v>
          </cell>
          <cell r="D8448">
            <v>0</v>
          </cell>
          <cell r="E8448">
            <v>0</v>
          </cell>
          <cell r="F8448">
            <v>0</v>
          </cell>
          <cell r="G8448">
            <v>0</v>
          </cell>
        </row>
        <row r="8449">
          <cell r="A8449" t="str">
            <v>57-01-01-0859</v>
          </cell>
          <cell r="B8449">
            <v>0</v>
          </cell>
          <cell r="C8449" t="str">
            <v xml:space="preserve">  MUHAMMAD RIAZ AUTO ATTEND.</v>
          </cell>
          <cell r="D8449">
            <v>0</v>
          </cell>
          <cell r="E8449">
            <v>0</v>
          </cell>
          <cell r="F8449">
            <v>0</v>
          </cell>
          <cell r="G8449">
            <v>0</v>
          </cell>
        </row>
        <row r="8450">
          <cell r="A8450" t="str">
            <v>57-01-01-0860</v>
          </cell>
          <cell r="B8450">
            <v>0</v>
          </cell>
          <cell r="C8450" t="str">
            <v xml:space="preserve">  MUHAMMAD IQBAL A/FITTER SH.G</v>
          </cell>
          <cell r="D8450">
            <v>0</v>
          </cell>
          <cell r="E8450">
            <v>0</v>
          </cell>
          <cell r="F8450">
            <v>0</v>
          </cell>
          <cell r="G8450">
            <v>0</v>
          </cell>
        </row>
        <row r="8451">
          <cell r="A8451" t="str">
            <v>57-01-01-0861</v>
          </cell>
          <cell r="B8451">
            <v>0</v>
          </cell>
          <cell r="C8451" t="str">
            <v xml:space="preserve">  MUHAMMAD KHAN DOFFER</v>
          </cell>
          <cell r="D8451">
            <v>0</v>
          </cell>
          <cell r="E8451">
            <v>0</v>
          </cell>
          <cell r="F8451">
            <v>0</v>
          </cell>
          <cell r="G8451">
            <v>0</v>
          </cell>
        </row>
        <row r="8452">
          <cell r="A8452" t="str">
            <v>57-01-01-0862</v>
          </cell>
          <cell r="B8452">
            <v>0</v>
          </cell>
          <cell r="C8452" t="str">
            <v xml:space="preserve">  MUHAMMAD ALI DDT SHIFT A</v>
          </cell>
          <cell r="D8452">
            <v>0</v>
          </cell>
          <cell r="E8452">
            <v>0</v>
          </cell>
          <cell r="F8452">
            <v>0</v>
          </cell>
          <cell r="G8452">
            <v>0</v>
          </cell>
        </row>
        <row r="8453">
          <cell r="A8453" t="str">
            <v>57-01-01-0863</v>
          </cell>
          <cell r="B8453">
            <v>0</v>
          </cell>
          <cell r="C8453" t="str">
            <v xml:space="preserve">  MUHAMMAD AMJAD SPINNING SUP</v>
          </cell>
          <cell r="D8453">
            <v>0</v>
          </cell>
          <cell r="E8453">
            <v>0</v>
          </cell>
          <cell r="F8453">
            <v>0</v>
          </cell>
          <cell r="G8453">
            <v>0</v>
          </cell>
        </row>
        <row r="8454">
          <cell r="A8454" t="str">
            <v>57-01-01-0864</v>
          </cell>
          <cell r="B8454">
            <v>0</v>
          </cell>
          <cell r="C8454" t="str">
            <v xml:space="preserve">  ABID HUSSAIN CT SHIFT</v>
          </cell>
          <cell r="D8454">
            <v>0</v>
          </cell>
          <cell r="E8454">
            <v>0</v>
          </cell>
          <cell r="F8454">
            <v>0</v>
          </cell>
          <cell r="G8454">
            <v>0</v>
          </cell>
        </row>
        <row r="8455">
          <cell r="A8455" t="str">
            <v>57-01-01-0865</v>
          </cell>
          <cell r="B8455">
            <v>0</v>
          </cell>
          <cell r="C8455" t="str">
            <v xml:space="preserve">  GHULAM ABBAS OPT SHIFT C</v>
          </cell>
          <cell r="D8455">
            <v>0</v>
          </cell>
          <cell r="E8455">
            <v>0</v>
          </cell>
          <cell r="F8455">
            <v>0</v>
          </cell>
          <cell r="G8455">
            <v>0</v>
          </cell>
        </row>
        <row r="8456">
          <cell r="A8456" t="str">
            <v>57-01-01-0866</v>
          </cell>
          <cell r="B8456">
            <v>0</v>
          </cell>
          <cell r="C8456" t="str">
            <v xml:space="preserve">  MUHAMMAD PERVAIZ SH. B.</v>
          </cell>
          <cell r="D8456">
            <v>0</v>
          </cell>
          <cell r="E8456">
            <v>0</v>
          </cell>
          <cell r="F8456">
            <v>0</v>
          </cell>
          <cell r="G8456">
            <v>0</v>
          </cell>
        </row>
        <row r="8457">
          <cell r="A8457" t="str">
            <v>57-01-01-0867</v>
          </cell>
          <cell r="B8457">
            <v>0</v>
          </cell>
          <cell r="C8457" t="str">
            <v xml:space="preserve">  MUHAMMAD ILYAS 4/S SHIFT</v>
          </cell>
          <cell r="D8457">
            <v>0</v>
          </cell>
          <cell r="E8457">
            <v>0</v>
          </cell>
          <cell r="F8457">
            <v>0</v>
          </cell>
          <cell r="G8457">
            <v>0</v>
          </cell>
        </row>
        <row r="8458">
          <cell r="A8458" t="str">
            <v>57-01-01-0868</v>
          </cell>
          <cell r="B8458">
            <v>0</v>
          </cell>
          <cell r="C8458" t="str">
            <v xml:space="preserve">  ZIRAT ALI 4/S SHIFT A</v>
          </cell>
          <cell r="D8458">
            <v>0</v>
          </cell>
          <cell r="E8458">
            <v>0</v>
          </cell>
          <cell r="F8458">
            <v>0</v>
          </cell>
          <cell r="G8458">
            <v>0</v>
          </cell>
        </row>
        <row r="8459">
          <cell r="A8459" t="str">
            <v>57-01-01-0869</v>
          </cell>
          <cell r="B8459">
            <v>0</v>
          </cell>
          <cell r="C8459" t="str">
            <v xml:space="preserve">  MUHAMMAD NAZIR OPT SH:B.</v>
          </cell>
          <cell r="D8459">
            <v>0</v>
          </cell>
          <cell r="E8459">
            <v>0</v>
          </cell>
          <cell r="F8459">
            <v>0</v>
          </cell>
          <cell r="G8459">
            <v>0</v>
          </cell>
        </row>
        <row r="8460">
          <cell r="A8460" t="str">
            <v>57-01-01-0870</v>
          </cell>
          <cell r="B8460">
            <v>0</v>
          </cell>
          <cell r="C8460" t="str">
            <v xml:space="preserve">  MUHAMMAD UMAR DF</v>
          </cell>
          <cell r="D8460">
            <v>0</v>
          </cell>
          <cell r="E8460">
            <v>0</v>
          </cell>
          <cell r="F8460">
            <v>0</v>
          </cell>
          <cell r="G8460">
            <v>0</v>
          </cell>
        </row>
        <row r="8461">
          <cell r="A8461" t="str">
            <v>57-01-01-0871</v>
          </cell>
          <cell r="B8461">
            <v>0</v>
          </cell>
          <cell r="C8461" t="str">
            <v xml:space="preserve">  ULFAT JAVAID FITTER SH.G.</v>
          </cell>
          <cell r="D8461">
            <v>0</v>
          </cell>
          <cell r="E8461">
            <v>0</v>
          </cell>
          <cell r="F8461">
            <v>0</v>
          </cell>
          <cell r="G8461">
            <v>0</v>
          </cell>
        </row>
        <row r="8462">
          <cell r="A8462" t="str">
            <v>57-01-01-0872</v>
          </cell>
          <cell r="B8462">
            <v>0</v>
          </cell>
          <cell r="C8462" t="str">
            <v xml:space="preserve">  ASHIQ ALI HELPER SHIFT G.</v>
          </cell>
          <cell r="D8462">
            <v>0</v>
          </cell>
          <cell r="E8462">
            <v>0</v>
          </cell>
          <cell r="F8462">
            <v>0</v>
          </cell>
          <cell r="G8462">
            <v>0</v>
          </cell>
        </row>
        <row r="8463">
          <cell r="A8463" t="str">
            <v>57-01-01-0873</v>
          </cell>
          <cell r="B8463">
            <v>0</v>
          </cell>
          <cell r="C8463" t="str">
            <v xml:space="preserve">  NASIR MEHMOOD A/FITTER</v>
          </cell>
          <cell r="D8463">
            <v>0</v>
          </cell>
          <cell r="E8463">
            <v>0</v>
          </cell>
          <cell r="F8463">
            <v>0</v>
          </cell>
          <cell r="G8463">
            <v>0</v>
          </cell>
        </row>
        <row r="8464">
          <cell r="A8464" t="str">
            <v>57-01-01-0874</v>
          </cell>
          <cell r="B8464">
            <v>0</v>
          </cell>
          <cell r="C8464" t="str">
            <v xml:space="preserve">  FAHAD IMRAN FITTER SHIFT G</v>
          </cell>
          <cell r="D8464">
            <v>0</v>
          </cell>
          <cell r="E8464">
            <v>0</v>
          </cell>
          <cell r="F8464">
            <v>0</v>
          </cell>
          <cell r="G8464">
            <v>0</v>
          </cell>
        </row>
        <row r="8465">
          <cell r="A8465" t="str">
            <v>57-01-01-0875</v>
          </cell>
          <cell r="B8465">
            <v>0</v>
          </cell>
          <cell r="C8465" t="str">
            <v xml:space="preserve">  ZULFIQAR ALI S.A.FOREMAN.</v>
          </cell>
          <cell r="D8465">
            <v>0</v>
          </cell>
          <cell r="E8465">
            <v>0</v>
          </cell>
          <cell r="F8465">
            <v>0</v>
          </cell>
          <cell r="G8465">
            <v>0</v>
          </cell>
        </row>
        <row r="8466">
          <cell r="A8466" t="str">
            <v>57-01-01-0876</v>
          </cell>
          <cell r="B8466">
            <v>0</v>
          </cell>
          <cell r="C8466" t="str">
            <v xml:space="preserve">  AMANAT ALI FITTER SHIFT G.</v>
          </cell>
          <cell r="D8466">
            <v>0</v>
          </cell>
          <cell r="E8466">
            <v>0</v>
          </cell>
          <cell r="F8466">
            <v>0</v>
          </cell>
          <cell r="G8466">
            <v>0</v>
          </cell>
        </row>
        <row r="8467">
          <cell r="A8467" t="str">
            <v>57-01-01-0877</v>
          </cell>
          <cell r="B8467">
            <v>0</v>
          </cell>
          <cell r="C8467" t="str">
            <v xml:space="preserve">  GHULAM MUSTAFA S.FITTER SHIFT G</v>
          </cell>
          <cell r="D8467">
            <v>0</v>
          </cell>
          <cell r="E8467">
            <v>0</v>
          </cell>
          <cell r="F8467">
            <v>0</v>
          </cell>
          <cell r="G8467">
            <v>0</v>
          </cell>
        </row>
        <row r="8468">
          <cell r="A8468" t="str">
            <v>57-01-01-0878</v>
          </cell>
          <cell r="B8468">
            <v>0</v>
          </cell>
          <cell r="C8468" t="str">
            <v xml:space="preserve">  MUHAMMAD ASHRAF Q.SUPERVISOR # M.</v>
          </cell>
          <cell r="D8468">
            <v>0</v>
          </cell>
          <cell r="E8468">
            <v>0</v>
          </cell>
          <cell r="F8468">
            <v>0</v>
          </cell>
          <cell r="G8468">
            <v>0</v>
          </cell>
        </row>
        <row r="8469">
          <cell r="A8469" t="str">
            <v>57-01-01-0879</v>
          </cell>
          <cell r="B8469">
            <v>0</v>
          </cell>
          <cell r="C8469" t="str">
            <v xml:space="preserve">  MURID ABBAS FITTER SHIFT</v>
          </cell>
          <cell r="D8469">
            <v>0</v>
          </cell>
          <cell r="E8469">
            <v>0</v>
          </cell>
          <cell r="F8469">
            <v>0</v>
          </cell>
          <cell r="G8469">
            <v>0</v>
          </cell>
        </row>
        <row r="8470">
          <cell r="A8470" t="str">
            <v>57-01-01-0880</v>
          </cell>
          <cell r="B8470">
            <v>0</v>
          </cell>
          <cell r="C8470" t="str">
            <v xml:space="preserve">  SAJID MEHMMOD UST/OPT SHIFT</v>
          </cell>
          <cell r="D8470">
            <v>0</v>
          </cell>
          <cell r="E8470">
            <v>0</v>
          </cell>
          <cell r="F8470">
            <v>0</v>
          </cell>
          <cell r="G8470">
            <v>0</v>
          </cell>
        </row>
        <row r="8471">
          <cell r="A8471" t="str">
            <v>57-01-01-0881</v>
          </cell>
          <cell r="B8471">
            <v>0</v>
          </cell>
          <cell r="C8471" t="str">
            <v xml:space="preserve">  SYED FAISAL MANSOOR MILL MANAGER-3.</v>
          </cell>
          <cell r="D8471">
            <v>0</v>
          </cell>
          <cell r="E8471">
            <v>0</v>
          </cell>
          <cell r="F8471">
            <v>0</v>
          </cell>
          <cell r="G8471">
            <v>0</v>
          </cell>
        </row>
        <row r="8472">
          <cell r="A8472" t="str">
            <v>57-01-01-0882</v>
          </cell>
          <cell r="B8472">
            <v>0</v>
          </cell>
          <cell r="C8472" t="str">
            <v xml:space="preserve">  AFZAL QAYUM DDT SHIFT C MILL.</v>
          </cell>
          <cell r="D8472">
            <v>0</v>
          </cell>
          <cell r="E8472">
            <v>0</v>
          </cell>
          <cell r="F8472">
            <v>0</v>
          </cell>
          <cell r="G8472">
            <v>0</v>
          </cell>
        </row>
        <row r="8473">
          <cell r="A8473" t="str">
            <v>57-01-01-0883</v>
          </cell>
          <cell r="B8473">
            <v>0</v>
          </cell>
          <cell r="C8473" t="str">
            <v xml:space="preserve">  GHULAM RAZA JOBBER SHIFT C.</v>
          </cell>
          <cell r="D8473">
            <v>0</v>
          </cell>
          <cell r="E8473">
            <v>0</v>
          </cell>
          <cell r="F8473">
            <v>0</v>
          </cell>
          <cell r="G8473">
            <v>0</v>
          </cell>
        </row>
        <row r="8474">
          <cell r="A8474" t="str">
            <v>57-01-01-0884</v>
          </cell>
          <cell r="B8474">
            <v>0</v>
          </cell>
          <cell r="C8474" t="str">
            <v xml:space="preserve">  MUHAMMAD ABIB HUSSAIN A/F SH.G.</v>
          </cell>
          <cell r="D8474">
            <v>0</v>
          </cell>
          <cell r="E8474">
            <v>0</v>
          </cell>
          <cell r="F8474">
            <v>0</v>
          </cell>
          <cell r="G8474">
            <v>0</v>
          </cell>
        </row>
        <row r="8475">
          <cell r="A8475" t="str">
            <v>57-01-01-0885</v>
          </cell>
          <cell r="B8475">
            <v>0</v>
          </cell>
          <cell r="C8475" t="str">
            <v xml:space="preserve">  MUHAMMAD ASGHAR FITTER.</v>
          </cell>
          <cell r="D8475">
            <v>0</v>
          </cell>
          <cell r="E8475">
            <v>0</v>
          </cell>
          <cell r="F8475">
            <v>0</v>
          </cell>
          <cell r="G8475">
            <v>0</v>
          </cell>
        </row>
        <row r="8476">
          <cell r="A8476" t="str">
            <v>57-01-01-0886</v>
          </cell>
          <cell r="B8476">
            <v>0</v>
          </cell>
          <cell r="C8476" t="str">
            <v xml:space="preserve">  MUHAMMAD NAEEM A/FITTER SH.G.</v>
          </cell>
          <cell r="D8476">
            <v>0</v>
          </cell>
          <cell r="E8476">
            <v>0</v>
          </cell>
          <cell r="F8476">
            <v>0</v>
          </cell>
          <cell r="G8476">
            <v>0</v>
          </cell>
        </row>
        <row r="8477">
          <cell r="A8477" t="str">
            <v>57-01-01-0887</v>
          </cell>
          <cell r="B8477">
            <v>0</v>
          </cell>
          <cell r="C8477" t="str">
            <v xml:space="preserve">  MUHAMMAD SADIQ 4/S SHIFT B'SHIFT.</v>
          </cell>
          <cell r="D8477">
            <v>0</v>
          </cell>
          <cell r="E8477">
            <v>0</v>
          </cell>
          <cell r="F8477">
            <v>0</v>
          </cell>
          <cell r="G8477">
            <v>0</v>
          </cell>
        </row>
        <row r="8478">
          <cell r="A8478" t="str">
            <v>57-01-01-0888</v>
          </cell>
          <cell r="B8478">
            <v>0</v>
          </cell>
          <cell r="C8478" t="str">
            <v xml:space="preserve">  MUHAMMAD YOUNAS JOBBER</v>
          </cell>
          <cell r="D8478">
            <v>0</v>
          </cell>
          <cell r="E8478">
            <v>0</v>
          </cell>
          <cell r="F8478">
            <v>0</v>
          </cell>
          <cell r="G8478">
            <v>0</v>
          </cell>
        </row>
        <row r="8479">
          <cell r="A8479" t="str">
            <v>57-01-01-0889</v>
          </cell>
          <cell r="B8479">
            <v>0</v>
          </cell>
          <cell r="C8479" t="str">
            <v xml:space="preserve">  RIAZ HUSSAIN DF SHIFT A</v>
          </cell>
          <cell r="D8479">
            <v>0</v>
          </cell>
          <cell r="E8479">
            <v>0</v>
          </cell>
          <cell r="F8479">
            <v>0</v>
          </cell>
          <cell r="G8479">
            <v>0</v>
          </cell>
        </row>
        <row r="8480">
          <cell r="A8480" t="str">
            <v>57-01-01-0890</v>
          </cell>
          <cell r="B8480">
            <v>0</v>
          </cell>
          <cell r="C8480" t="str">
            <v xml:space="preserve">  MUHAMMAD SAEED DDT SHIFT B MILL.</v>
          </cell>
          <cell r="D8480">
            <v>0</v>
          </cell>
          <cell r="E8480">
            <v>0</v>
          </cell>
          <cell r="F8480">
            <v>0</v>
          </cell>
          <cell r="G8480">
            <v>0</v>
          </cell>
        </row>
        <row r="8481">
          <cell r="A8481" t="str">
            <v>57-01-01-0891</v>
          </cell>
          <cell r="B8481">
            <v>0</v>
          </cell>
          <cell r="C8481" t="str">
            <v xml:space="preserve">  SHAMRAIZ IQBAL 4/S SHIFT.</v>
          </cell>
          <cell r="D8481">
            <v>0</v>
          </cell>
          <cell r="E8481">
            <v>0</v>
          </cell>
          <cell r="F8481">
            <v>0</v>
          </cell>
          <cell r="G8481">
            <v>0</v>
          </cell>
        </row>
        <row r="8482">
          <cell r="A8482" t="str">
            <v>57-01-01-0892</v>
          </cell>
          <cell r="B8482">
            <v>0</v>
          </cell>
          <cell r="C8482" t="str">
            <v xml:space="preserve">  MUHAMMAD RAMAZAN OPT SH.C MILL.</v>
          </cell>
          <cell r="D8482">
            <v>0</v>
          </cell>
          <cell r="E8482">
            <v>0</v>
          </cell>
          <cell r="F8482">
            <v>0</v>
          </cell>
          <cell r="G8482">
            <v>0</v>
          </cell>
        </row>
        <row r="8483">
          <cell r="A8483" t="str">
            <v>57-01-01-0893</v>
          </cell>
          <cell r="B8483">
            <v>0</v>
          </cell>
          <cell r="C8483" t="str">
            <v xml:space="preserve">  MAZHAR IQBAL DOFFER SHIFT B</v>
          </cell>
          <cell r="D8483">
            <v>0</v>
          </cell>
          <cell r="E8483">
            <v>0</v>
          </cell>
          <cell r="F8483">
            <v>0</v>
          </cell>
          <cell r="G8483">
            <v>0</v>
          </cell>
        </row>
        <row r="8484">
          <cell r="A8484" t="str">
            <v>57-01-01-0894</v>
          </cell>
          <cell r="B8484">
            <v>0</v>
          </cell>
          <cell r="C8484" t="str">
            <v xml:space="preserve">  MAZHAR IQBAL OPT SH.B.</v>
          </cell>
          <cell r="D8484">
            <v>0</v>
          </cell>
          <cell r="E8484">
            <v>0</v>
          </cell>
          <cell r="F8484">
            <v>0</v>
          </cell>
          <cell r="G8484">
            <v>0</v>
          </cell>
        </row>
        <row r="8485">
          <cell r="A8485" t="str">
            <v>57-01-01-0895</v>
          </cell>
          <cell r="B8485">
            <v>0</v>
          </cell>
          <cell r="C8485" t="str">
            <v xml:space="preserve">  MUHAMMAD KHALIQ WORKSHOP</v>
          </cell>
          <cell r="D8485">
            <v>0</v>
          </cell>
          <cell r="E8485">
            <v>0</v>
          </cell>
          <cell r="F8485">
            <v>0</v>
          </cell>
          <cell r="G8485">
            <v>0</v>
          </cell>
        </row>
        <row r="8486">
          <cell r="A8486" t="str">
            <v>57-01-01-0896</v>
          </cell>
          <cell r="B8486">
            <v>0</v>
          </cell>
          <cell r="C8486" t="str">
            <v xml:space="preserve">  MUHAMMAD SHAHID M/SUPERVISOR</v>
          </cell>
          <cell r="D8486">
            <v>0</v>
          </cell>
          <cell r="E8486">
            <v>0</v>
          </cell>
          <cell r="F8486">
            <v>0</v>
          </cell>
          <cell r="G8486">
            <v>0</v>
          </cell>
        </row>
        <row r="8487">
          <cell r="A8487" t="str">
            <v>57-01-01-0897</v>
          </cell>
          <cell r="B8487">
            <v>0</v>
          </cell>
          <cell r="C8487" t="str">
            <v xml:space="preserve">  AATTAULLAH OPT SHIFT G</v>
          </cell>
          <cell r="D8487">
            <v>0</v>
          </cell>
          <cell r="E8487">
            <v>0</v>
          </cell>
          <cell r="F8487">
            <v>0</v>
          </cell>
          <cell r="G8487">
            <v>0</v>
          </cell>
        </row>
        <row r="8488">
          <cell r="A8488" t="str">
            <v>57-01-01-0898</v>
          </cell>
          <cell r="B8488">
            <v>0</v>
          </cell>
          <cell r="C8488" t="str">
            <v xml:space="preserve">  MUHAMMAD NASIR A/FITTER SH.G</v>
          </cell>
          <cell r="D8488">
            <v>0</v>
          </cell>
          <cell r="E8488">
            <v>0</v>
          </cell>
          <cell r="F8488">
            <v>0</v>
          </cell>
          <cell r="G8488">
            <v>0</v>
          </cell>
        </row>
        <row r="8489">
          <cell r="A8489" t="str">
            <v>57-01-01-0899</v>
          </cell>
          <cell r="B8489">
            <v>0</v>
          </cell>
          <cell r="C8489" t="str">
            <v xml:space="preserve">  AMJAD ALI HELPER SHIFT G.</v>
          </cell>
          <cell r="D8489">
            <v>0</v>
          </cell>
          <cell r="E8489">
            <v>0</v>
          </cell>
          <cell r="F8489">
            <v>0</v>
          </cell>
          <cell r="G8489">
            <v>0</v>
          </cell>
        </row>
        <row r="8490">
          <cell r="A8490" t="str">
            <v>57-01-01-0900</v>
          </cell>
          <cell r="B8490">
            <v>0</v>
          </cell>
          <cell r="C8490" t="str">
            <v xml:space="preserve">  MUHAMMAD ASLAM A/FITTER</v>
          </cell>
          <cell r="D8490">
            <v>0</v>
          </cell>
          <cell r="E8490">
            <v>0</v>
          </cell>
          <cell r="F8490">
            <v>0</v>
          </cell>
          <cell r="G8490">
            <v>0</v>
          </cell>
        </row>
        <row r="8491">
          <cell r="A8491" t="str">
            <v>57-01-01-0901</v>
          </cell>
          <cell r="B8491">
            <v>0</v>
          </cell>
          <cell r="C8491" t="str">
            <v xml:space="preserve">  MUHAMMAD NADIM HELPER SH.G</v>
          </cell>
          <cell r="D8491">
            <v>0</v>
          </cell>
          <cell r="E8491">
            <v>0</v>
          </cell>
          <cell r="F8491">
            <v>0</v>
          </cell>
          <cell r="G8491">
            <v>0</v>
          </cell>
        </row>
        <row r="8492">
          <cell r="A8492" t="str">
            <v>57-01-01-0902</v>
          </cell>
          <cell r="B8492">
            <v>0</v>
          </cell>
          <cell r="C8492" t="str">
            <v xml:space="preserve">  ANWAR KHAN MAIN STORE DRIVER</v>
          </cell>
          <cell r="D8492">
            <v>0</v>
          </cell>
          <cell r="E8492">
            <v>0</v>
          </cell>
          <cell r="F8492">
            <v>0</v>
          </cell>
          <cell r="G8492">
            <v>0</v>
          </cell>
        </row>
        <row r="8493">
          <cell r="A8493" t="str">
            <v>57-01-01-0903</v>
          </cell>
          <cell r="B8493">
            <v>0</v>
          </cell>
          <cell r="C8493" t="str">
            <v xml:space="preserve">  MUHAMMAD RIAZ EXCISE INCHARGE</v>
          </cell>
          <cell r="D8493">
            <v>0</v>
          </cell>
          <cell r="E8493">
            <v>0</v>
          </cell>
          <cell r="F8493">
            <v>0</v>
          </cell>
          <cell r="G8493">
            <v>0</v>
          </cell>
        </row>
        <row r="8494">
          <cell r="A8494" t="str">
            <v>57-01-01-0904</v>
          </cell>
          <cell r="B8494">
            <v>0</v>
          </cell>
          <cell r="C8494" t="str">
            <v xml:space="preserve">  MUHAMMAD ANWAR S.Q.OBSERVER LAB.</v>
          </cell>
          <cell r="D8494">
            <v>0</v>
          </cell>
          <cell r="E8494">
            <v>0</v>
          </cell>
          <cell r="F8494">
            <v>0</v>
          </cell>
          <cell r="G8494">
            <v>0</v>
          </cell>
        </row>
        <row r="8495">
          <cell r="A8495" t="str">
            <v>57-01-01-0905</v>
          </cell>
          <cell r="B8495">
            <v>0</v>
          </cell>
          <cell r="C8495" t="str">
            <v xml:space="preserve">  MUHAMMAD BASHARAT DOFFER SH.C.M</v>
          </cell>
          <cell r="D8495">
            <v>0</v>
          </cell>
          <cell r="E8495">
            <v>0</v>
          </cell>
          <cell r="F8495">
            <v>0</v>
          </cell>
          <cell r="G8495">
            <v>0</v>
          </cell>
        </row>
        <row r="8496">
          <cell r="A8496" t="str">
            <v>57-01-01-0906</v>
          </cell>
          <cell r="B8496">
            <v>0</v>
          </cell>
          <cell r="C8496" t="str">
            <v xml:space="preserve">  JAVED IQBAL HELPER SHIFT G.</v>
          </cell>
          <cell r="D8496">
            <v>0</v>
          </cell>
          <cell r="E8496">
            <v>0</v>
          </cell>
          <cell r="F8496">
            <v>0</v>
          </cell>
          <cell r="G8496">
            <v>0</v>
          </cell>
        </row>
        <row r="8497">
          <cell r="A8497" t="str">
            <v>57-01-01-0907</v>
          </cell>
          <cell r="B8497">
            <v>0</v>
          </cell>
          <cell r="C8497" t="str">
            <v xml:space="preserve">  QAISER ALI FITTER SHIFT G</v>
          </cell>
          <cell r="D8497">
            <v>0</v>
          </cell>
          <cell r="E8497">
            <v>0</v>
          </cell>
          <cell r="F8497">
            <v>0</v>
          </cell>
          <cell r="G8497">
            <v>0</v>
          </cell>
        </row>
        <row r="8498">
          <cell r="A8498" t="str">
            <v>57-01-01-0908</v>
          </cell>
          <cell r="B8498">
            <v>0</v>
          </cell>
          <cell r="C8498" t="str">
            <v xml:space="preserve">   63370 MUHAMMAD MEHDI COM/OPT LAB # 3</v>
          </cell>
          <cell r="D8498">
            <v>0</v>
          </cell>
          <cell r="E8498">
            <v>0</v>
          </cell>
          <cell r="F8498">
            <v>0</v>
          </cell>
          <cell r="G8498">
            <v>0</v>
          </cell>
        </row>
        <row r="8499">
          <cell r="A8499" t="str">
            <v>57-01-01-0909</v>
          </cell>
          <cell r="B8499">
            <v>0</v>
          </cell>
          <cell r="C8499" t="str">
            <v xml:space="preserve">  MAZHAR HUSSAIN FITTER SHIFT G</v>
          </cell>
          <cell r="D8499">
            <v>0</v>
          </cell>
          <cell r="E8499">
            <v>0</v>
          </cell>
          <cell r="F8499">
            <v>0</v>
          </cell>
          <cell r="G8499">
            <v>0</v>
          </cell>
        </row>
        <row r="8500">
          <cell r="A8500" t="str">
            <v>57-01-01-0910</v>
          </cell>
          <cell r="B8500">
            <v>0</v>
          </cell>
          <cell r="C8500" t="str">
            <v xml:space="preserve">  MUHAMMAD ASHFAQ DOFFER SH.C.</v>
          </cell>
          <cell r="D8500">
            <v>0</v>
          </cell>
          <cell r="E8500">
            <v>0</v>
          </cell>
          <cell r="F8500">
            <v>0</v>
          </cell>
          <cell r="G8500">
            <v>0</v>
          </cell>
        </row>
        <row r="8501">
          <cell r="A8501" t="str">
            <v>57-01-01-0911</v>
          </cell>
          <cell r="B8501">
            <v>0</v>
          </cell>
          <cell r="C8501" t="str">
            <v xml:space="preserve">  ASHIQ ALI FITTER SHIFT G.</v>
          </cell>
          <cell r="D8501">
            <v>0</v>
          </cell>
          <cell r="E8501">
            <v>0</v>
          </cell>
          <cell r="F8501">
            <v>0</v>
          </cell>
          <cell r="G8501">
            <v>0</v>
          </cell>
        </row>
        <row r="8502">
          <cell r="A8502" t="str">
            <v>57-01-01-0912</v>
          </cell>
          <cell r="B8502">
            <v>0</v>
          </cell>
          <cell r="C8502" t="str">
            <v xml:space="preserve">  HAJI AHMED CT SHIFT C</v>
          </cell>
          <cell r="D8502">
            <v>0</v>
          </cell>
          <cell r="E8502">
            <v>0</v>
          </cell>
          <cell r="F8502">
            <v>0</v>
          </cell>
          <cell r="G8502">
            <v>0</v>
          </cell>
        </row>
        <row r="8503">
          <cell r="A8503" t="str">
            <v>57-01-01-0913</v>
          </cell>
          <cell r="B8503">
            <v>0</v>
          </cell>
          <cell r="C8503" t="str">
            <v xml:space="preserve">  ABDUL GHAFOOR</v>
          </cell>
          <cell r="D8503">
            <v>0</v>
          </cell>
          <cell r="E8503">
            <v>0</v>
          </cell>
          <cell r="F8503">
            <v>0</v>
          </cell>
          <cell r="G8503">
            <v>0</v>
          </cell>
        </row>
        <row r="8504">
          <cell r="A8504" t="str">
            <v>57-01-01-0914</v>
          </cell>
          <cell r="B8504">
            <v>0</v>
          </cell>
          <cell r="C8504" t="str">
            <v xml:space="preserve">  EJAZ AHMED WATCH MAN</v>
          </cell>
          <cell r="D8504">
            <v>0</v>
          </cell>
          <cell r="E8504">
            <v>0</v>
          </cell>
          <cell r="F8504">
            <v>0</v>
          </cell>
          <cell r="G8504">
            <v>0</v>
          </cell>
        </row>
        <row r="8505">
          <cell r="A8505" t="str">
            <v>57-01-01-0915</v>
          </cell>
          <cell r="B8505">
            <v>0</v>
          </cell>
          <cell r="C8505" t="str">
            <v xml:space="preserve">  60679 MUHAMMAD RIAZ 4/S SH.C MILL # 1</v>
          </cell>
          <cell r="D8505">
            <v>0</v>
          </cell>
          <cell r="E8505">
            <v>0</v>
          </cell>
          <cell r="F8505">
            <v>0</v>
          </cell>
          <cell r="G8505">
            <v>0</v>
          </cell>
        </row>
        <row r="8506">
          <cell r="A8506" t="str">
            <v>57-01-01-0916</v>
          </cell>
          <cell r="B8506">
            <v>0</v>
          </cell>
          <cell r="C8506" t="str">
            <v xml:space="preserve">  54870 ABDUL KHALIQ 4/S SHIFT B MILL #</v>
          </cell>
          <cell r="D8506">
            <v>0</v>
          </cell>
          <cell r="E8506">
            <v>0</v>
          </cell>
          <cell r="F8506">
            <v>0</v>
          </cell>
          <cell r="G8506">
            <v>0</v>
          </cell>
        </row>
        <row r="8507">
          <cell r="A8507" t="str">
            <v>57-01-01-0917</v>
          </cell>
          <cell r="B8507">
            <v>0</v>
          </cell>
          <cell r="C8507" t="str">
            <v xml:space="preserve">  60413 ANSAR MURID HELPER SHIFT G MILL</v>
          </cell>
          <cell r="D8507">
            <v>2000</v>
          </cell>
          <cell r="E8507">
            <v>0</v>
          </cell>
          <cell r="F8507">
            <v>0</v>
          </cell>
          <cell r="G8507">
            <v>0</v>
          </cell>
        </row>
        <row r="8508">
          <cell r="A8508" t="str">
            <v>57-01-01-0918</v>
          </cell>
          <cell r="B8508">
            <v>0</v>
          </cell>
          <cell r="C8508" t="str">
            <v xml:space="preserve">  13917 MUHAMMAD ALI STORE KEEPER M.STO</v>
          </cell>
          <cell r="D8508">
            <v>8000</v>
          </cell>
          <cell r="E8508">
            <v>0</v>
          </cell>
          <cell r="F8508">
            <v>0</v>
          </cell>
          <cell r="G8508">
            <v>0</v>
          </cell>
        </row>
        <row r="8509">
          <cell r="A8509" t="str">
            <v>57-01-01-0919</v>
          </cell>
          <cell r="B8509">
            <v>0</v>
          </cell>
          <cell r="C8509" t="str">
            <v xml:space="preserve">  50911 MUHAMMAD IDREES ZAMAN PT SH.C M</v>
          </cell>
          <cell r="D8509">
            <v>0</v>
          </cell>
          <cell r="E8509">
            <v>0</v>
          </cell>
          <cell r="F8509">
            <v>0</v>
          </cell>
          <cell r="G8509">
            <v>0</v>
          </cell>
        </row>
        <row r="8510">
          <cell r="A8510" t="str">
            <v>57-01-01-0920</v>
          </cell>
          <cell r="B8510">
            <v>0</v>
          </cell>
          <cell r="C8510" t="str">
            <v xml:space="preserve">  40928 AQDAS ALI DST SHIFT A MILL # 1</v>
          </cell>
          <cell r="D8510">
            <v>0</v>
          </cell>
          <cell r="E8510">
            <v>0</v>
          </cell>
          <cell r="F8510">
            <v>0</v>
          </cell>
          <cell r="G8510">
            <v>0</v>
          </cell>
        </row>
        <row r="8511">
          <cell r="A8511" t="str">
            <v>57-01-01-0921</v>
          </cell>
          <cell r="B8511">
            <v>0</v>
          </cell>
          <cell r="C8511" t="str">
            <v xml:space="preserve">  59794 ASIF ALI HELPER SH.G MILL # 4</v>
          </cell>
          <cell r="D8511">
            <v>0</v>
          </cell>
          <cell r="E8511">
            <v>0</v>
          </cell>
          <cell r="F8511">
            <v>0</v>
          </cell>
          <cell r="G8511">
            <v>0</v>
          </cell>
        </row>
        <row r="8512">
          <cell r="A8512" t="str">
            <v>57-01-01-0922</v>
          </cell>
          <cell r="B8512">
            <v>0</v>
          </cell>
          <cell r="C8512" t="str">
            <v xml:space="preserve">  47382 ALI NASIR QUALITY OBSERVER LAB</v>
          </cell>
          <cell r="D8512">
            <v>0</v>
          </cell>
          <cell r="E8512">
            <v>0</v>
          </cell>
          <cell r="F8512">
            <v>0</v>
          </cell>
          <cell r="G8512">
            <v>0</v>
          </cell>
        </row>
        <row r="8513">
          <cell r="A8513" t="str">
            <v>57-01-01-0923</v>
          </cell>
          <cell r="B8513">
            <v>0</v>
          </cell>
          <cell r="C8513" t="str">
            <v xml:space="preserve">  51473 ABID SHAH AUTO/ATTEND SHIFT G M</v>
          </cell>
          <cell r="D8513">
            <v>0</v>
          </cell>
          <cell r="E8513">
            <v>0</v>
          </cell>
          <cell r="F8513">
            <v>0</v>
          </cell>
          <cell r="G8513">
            <v>0</v>
          </cell>
        </row>
        <row r="8514">
          <cell r="A8514" t="str">
            <v>57-01-01-0924</v>
          </cell>
          <cell r="B8514">
            <v>0</v>
          </cell>
          <cell r="C8514" t="str">
            <v xml:space="preserve">  48022 MUHAMMAD RAMAZAN A/JOBBER SH.C</v>
          </cell>
          <cell r="D8514">
            <v>0</v>
          </cell>
          <cell r="E8514">
            <v>0</v>
          </cell>
          <cell r="F8514">
            <v>0</v>
          </cell>
          <cell r="G8514">
            <v>0</v>
          </cell>
        </row>
        <row r="8515">
          <cell r="A8515" t="str">
            <v>57-01-01-0925</v>
          </cell>
          <cell r="B8515">
            <v>0</v>
          </cell>
          <cell r="C8515" t="str">
            <v xml:space="preserve">  61519 NASAR ABBAS DOFFER SHIFT C M #</v>
          </cell>
          <cell r="D8515">
            <v>0</v>
          </cell>
          <cell r="E8515">
            <v>0</v>
          </cell>
          <cell r="F8515">
            <v>0</v>
          </cell>
          <cell r="G8515">
            <v>0</v>
          </cell>
        </row>
        <row r="8516">
          <cell r="A8516" t="str">
            <v>57-01-01-0926</v>
          </cell>
          <cell r="B8516">
            <v>0</v>
          </cell>
          <cell r="C8516" t="str">
            <v xml:space="preserve">  58622 MUHAMMAD ASLAM H/FITTER SHIFTG</v>
          </cell>
          <cell r="D8516">
            <v>0</v>
          </cell>
          <cell r="E8516">
            <v>0</v>
          </cell>
          <cell r="F8516">
            <v>0</v>
          </cell>
          <cell r="G8516">
            <v>0</v>
          </cell>
        </row>
        <row r="8517">
          <cell r="A8517" t="str">
            <v>57-01-01-0927</v>
          </cell>
          <cell r="B8517">
            <v>0</v>
          </cell>
          <cell r="C8517" t="str">
            <v xml:space="preserve">  30186 ABDUL RASHID SHIFT INCHARGE M #</v>
          </cell>
          <cell r="D8517">
            <v>0</v>
          </cell>
          <cell r="E8517">
            <v>0</v>
          </cell>
          <cell r="F8517">
            <v>0</v>
          </cell>
          <cell r="G8517">
            <v>0</v>
          </cell>
        </row>
        <row r="8518">
          <cell r="A8518" t="str">
            <v>57-01-01-0928</v>
          </cell>
          <cell r="B8518">
            <v>0</v>
          </cell>
          <cell r="C8518" t="str">
            <v xml:space="preserve">   38972 NOOR KHAN SHIFT INCHARGE SH.A M</v>
          </cell>
          <cell r="D8518">
            <v>0</v>
          </cell>
          <cell r="E8518">
            <v>0</v>
          </cell>
          <cell r="F8518">
            <v>0</v>
          </cell>
          <cell r="G8518">
            <v>0</v>
          </cell>
        </row>
        <row r="8519">
          <cell r="A8519" t="str">
            <v>57-01-01-0929</v>
          </cell>
          <cell r="B8519">
            <v>0</v>
          </cell>
          <cell r="C8519" t="str">
            <v xml:space="preserve">   61590 MUSHKOOR HUSSAIN DST SHIFT B M</v>
          </cell>
          <cell r="D8519">
            <v>0</v>
          </cell>
          <cell r="E8519">
            <v>0</v>
          </cell>
          <cell r="F8519">
            <v>0</v>
          </cell>
          <cell r="G8519">
            <v>0</v>
          </cell>
        </row>
        <row r="8520">
          <cell r="A8520" t="str">
            <v>57-01-01-0930</v>
          </cell>
          <cell r="B8520">
            <v>0</v>
          </cell>
          <cell r="C8520" t="str">
            <v xml:space="preserve">  60871 FIDA HUSSAIN PACKING CLERK M #</v>
          </cell>
          <cell r="D8520">
            <v>0</v>
          </cell>
          <cell r="E8520">
            <v>0</v>
          </cell>
          <cell r="F8520">
            <v>0</v>
          </cell>
          <cell r="G8520">
            <v>0</v>
          </cell>
        </row>
        <row r="8521">
          <cell r="A8521" t="str">
            <v>57-01-01-0931</v>
          </cell>
          <cell r="B8521">
            <v>0</v>
          </cell>
          <cell r="C8521" t="str">
            <v xml:space="preserve">  56183 MUHAMMAD SARFRAZ CT SHIFT A M #</v>
          </cell>
          <cell r="D8521">
            <v>0</v>
          </cell>
          <cell r="E8521">
            <v>0</v>
          </cell>
          <cell r="F8521">
            <v>0</v>
          </cell>
          <cell r="G8521">
            <v>0</v>
          </cell>
        </row>
        <row r="8522">
          <cell r="A8522" t="str">
            <v>57-01-01-0932</v>
          </cell>
          <cell r="B8522">
            <v>0</v>
          </cell>
          <cell r="C8522" t="str">
            <v xml:space="preserve">   40934 MUHAMMAD HANIF JOBBER SHIFT A</v>
          </cell>
          <cell r="D8522">
            <v>0</v>
          </cell>
          <cell r="E8522">
            <v>0</v>
          </cell>
          <cell r="F8522">
            <v>0</v>
          </cell>
          <cell r="G8522">
            <v>0</v>
          </cell>
        </row>
        <row r="8523">
          <cell r="A8523" t="str">
            <v>57-01-01-0933</v>
          </cell>
          <cell r="B8523">
            <v>0</v>
          </cell>
          <cell r="C8523" t="str">
            <v xml:space="preserve">   65256 GOHAR ALI DRIVER</v>
          </cell>
          <cell r="D8523">
            <v>0</v>
          </cell>
          <cell r="E8523">
            <v>0</v>
          </cell>
          <cell r="F8523">
            <v>0</v>
          </cell>
          <cell r="G8523">
            <v>0</v>
          </cell>
        </row>
        <row r="8524">
          <cell r="A8524" t="str">
            <v>57-01-01-0934</v>
          </cell>
          <cell r="B8524">
            <v>0</v>
          </cell>
          <cell r="C8524" t="str">
            <v xml:space="preserve">  48395 NAEEM AKHTAR DDT MILL # 1 SH.C</v>
          </cell>
          <cell r="D8524">
            <v>0</v>
          </cell>
          <cell r="E8524">
            <v>0</v>
          </cell>
          <cell r="F8524">
            <v>0</v>
          </cell>
          <cell r="G8524">
            <v>0</v>
          </cell>
        </row>
        <row r="8525">
          <cell r="A8525" t="str">
            <v>57-01-01-0935</v>
          </cell>
          <cell r="B8525">
            <v>0</v>
          </cell>
          <cell r="C8525" t="str">
            <v xml:space="preserve">   28249 MUHAMMAD SHABBIR FOREMAN MILL #</v>
          </cell>
          <cell r="D8525">
            <v>0</v>
          </cell>
          <cell r="E8525">
            <v>0</v>
          </cell>
          <cell r="F8525">
            <v>0</v>
          </cell>
          <cell r="G8525">
            <v>0</v>
          </cell>
        </row>
        <row r="8526">
          <cell r="A8526" t="str">
            <v>57-01-01-0936</v>
          </cell>
          <cell r="B8526">
            <v>0</v>
          </cell>
          <cell r="C8526" t="str">
            <v xml:space="preserve">   57894 MUHAMMAD NAWAZ 4/S SH.B MILL #</v>
          </cell>
          <cell r="D8526">
            <v>0</v>
          </cell>
          <cell r="E8526">
            <v>0</v>
          </cell>
          <cell r="F8526">
            <v>0</v>
          </cell>
          <cell r="G8526">
            <v>0</v>
          </cell>
        </row>
        <row r="8527">
          <cell r="A8527" t="str">
            <v>57-01-01-0937</v>
          </cell>
          <cell r="B8527">
            <v>0</v>
          </cell>
          <cell r="C8527" t="str">
            <v xml:space="preserve">   40137 GHULAM BASHIR DOFFER SHIFT A M</v>
          </cell>
          <cell r="D8527">
            <v>0</v>
          </cell>
          <cell r="E8527">
            <v>0</v>
          </cell>
          <cell r="F8527">
            <v>0</v>
          </cell>
          <cell r="G8527">
            <v>0</v>
          </cell>
        </row>
        <row r="8528">
          <cell r="A8528" t="str">
            <v>57-01-01-0938</v>
          </cell>
          <cell r="B8528">
            <v>0</v>
          </cell>
          <cell r="C8528" t="str">
            <v xml:space="preserve">   62375 IRFAN AHMED FITTER SHIFT G M #1</v>
          </cell>
          <cell r="D8528">
            <v>0</v>
          </cell>
          <cell r="E8528">
            <v>0</v>
          </cell>
          <cell r="F8528">
            <v>0</v>
          </cell>
          <cell r="G8528">
            <v>0</v>
          </cell>
        </row>
        <row r="8529">
          <cell r="A8529" t="str">
            <v>57-01-01-0939</v>
          </cell>
          <cell r="B8529">
            <v>0</v>
          </cell>
          <cell r="C8529" t="str">
            <v xml:space="preserve">  61665 RIFAQAT ALI 4/S SHIFT B MILL #</v>
          </cell>
          <cell r="D8529">
            <v>0</v>
          </cell>
          <cell r="E8529">
            <v>0</v>
          </cell>
          <cell r="F8529">
            <v>0</v>
          </cell>
          <cell r="G8529">
            <v>0</v>
          </cell>
        </row>
        <row r="8530">
          <cell r="A8530" t="str">
            <v>57-01-01-0940</v>
          </cell>
          <cell r="B8530">
            <v>0</v>
          </cell>
          <cell r="C8530" t="str">
            <v xml:space="preserve">  61665 RIFAQAT ALI 4/S SHIFT B MILL #</v>
          </cell>
          <cell r="D8530">
            <v>0</v>
          </cell>
          <cell r="E8530">
            <v>0</v>
          </cell>
          <cell r="F8530">
            <v>0</v>
          </cell>
          <cell r="G8530">
            <v>0</v>
          </cell>
        </row>
        <row r="8531">
          <cell r="A8531" t="str">
            <v>57-01-01-0941</v>
          </cell>
          <cell r="B8531">
            <v>0</v>
          </cell>
          <cell r="C8531" t="str">
            <v xml:space="preserve">  S.A.H.TALAT PIRZADA A/MANAGER ELECT</v>
          </cell>
          <cell r="D8531">
            <v>0</v>
          </cell>
          <cell r="E8531">
            <v>0</v>
          </cell>
          <cell r="F8531">
            <v>0</v>
          </cell>
          <cell r="G8531">
            <v>0</v>
          </cell>
        </row>
        <row r="8532">
          <cell r="A8532" t="str">
            <v>57-01-01-0942</v>
          </cell>
          <cell r="B8532">
            <v>0</v>
          </cell>
          <cell r="C8532" t="str">
            <v xml:space="preserve">  52442 TANVEER HUSSAIN 4/S SH.C MILL #</v>
          </cell>
          <cell r="D8532">
            <v>0</v>
          </cell>
          <cell r="E8532">
            <v>0</v>
          </cell>
          <cell r="F8532">
            <v>0</v>
          </cell>
          <cell r="G8532">
            <v>0</v>
          </cell>
        </row>
        <row r="8533">
          <cell r="A8533" t="str">
            <v>57-01-01-0943</v>
          </cell>
          <cell r="B8533">
            <v>0</v>
          </cell>
          <cell r="C8533" t="str">
            <v xml:space="preserve">  46342 MUHAMMAD FAROOQ DOFFER SH.C M #</v>
          </cell>
          <cell r="D8533">
            <v>0</v>
          </cell>
          <cell r="E8533">
            <v>0</v>
          </cell>
          <cell r="F8533">
            <v>0</v>
          </cell>
          <cell r="G8533">
            <v>0</v>
          </cell>
        </row>
        <row r="8534">
          <cell r="A8534" t="str">
            <v>57-01-01-0944</v>
          </cell>
          <cell r="B8534">
            <v>0</v>
          </cell>
          <cell r="C8534" t="str">
            <v xml:space="preserve">   57180 NASIR IQBAL OPT SHIFT C MILL #</v>
          </cell>
          <cell r="D8534">
            <v>0</v>
          </cell>
          <cell r="E8534">
            <v>0</v>
          </cell>
          <cell r="F8534">
            <v>0</v>
          </cell>
          <cell r="G8534">
            <v>0</v>
          </cell>
        </row>
        <row r="8535">
          <cell r="A8535" t="str">
            <v>57-01-01-0945</v>
          </cell>
          <cell r="B8535">
            <v>0</v>
          </cell>
          <cell r="C8535" t="str">
            <v xml:space="preserve">   53032 MEHDI KHAN 4/S SHIFT C MILL # 1</v>
          </cell>
          <cell r="D8535">
            <v>0</v>
          </cell>
          <cell r="E8535">
            <v>0</v>
          </cell>
          <cell r="F8535">
            <v>0</v>
          </cell>
          <cell r="G8535">
            <v>0</v>
          </cell>
        </row>
        <row r="8536">
          <cell r="A8536" t="str">
            <v>57-01-01-0946</v>
          </cell>
          <cell r="B8536">
            <v>0</v>
          </cell>
          <cell r="C8536" t="str">
            <v xml:space="preserve">  44945 ANWAR HAYAT PT SHIFT B MILL # 1</v>
          </cell>
          <cell r="D8536">
            <v>0</v>
          </cell>
          <cell r="E8536">
            <v>0</v>
          </cell>
          <cell r="F8536">
            <v>0</v>
          </cell>
          <cell r="G8536">
            <v>0</v>
          </cell>
        </row>
        <row r="8537">
          <cell r="A8537" t="str">
            <v>57-01-01-0947</v>
          </cell>
          <cell r="B8537">
            <v>0</v>
          </cell>
          <cell r="C8537" t="str">
            <v xml:space="preserve">  51714 MUHAMMAD YAR DST SHIFT C MILL #</v>
          </cell>
          <cell r="D8537">
            <v>0</v>
          </cell>
          <cell r="E8537">
            <v>0</v>
          </cell>
          <cell r="F8537">
            <v>0</v>
          </cell>
          <cell r="G8537">
            <v>0</v>
          </cell>
        </row>
        <row r="8538">
          <cell r="A8538" t="str">
            <v>57-01-01-0948</v>
          </cell>
          <cell r="B8538">
            <v>0</v>
          </cell>
          <cell r="C8538" t="str">
            <v xml:space="preserve">  40899 MUHAMMAD RAMZAN OPT SHIFT B M #</v>
          </cell>
          <cell r="D8538">
            <v>0</v>
          </cell>
          <cell r="E8538">
            <v>0</v>
          </cell>
          <cell r="F8538">
            <v>0</v>
          </cell>
          <cell r="G8538">
            <v>0</v>
          </cell>
        </row>
        <row r="8539">
          <cell r="A8539" t="str">
            <v>57-01-01-0949</v>
          </cell>
          <cell r="B8539">
            <v>0</v>
          </cell>
          <cell r="C8539" t="str">
            <v xml:space="preserve">  40899 MUHAMMAD RAMZAN OPT SHIFT B M #</v>
          </cell>
          <cell r="D8539">
            <v>0</v>
          </cell>
          <cell r="E8539">
            <v>0</v>
          </cell>
          <cell r="F8539">
            <v>0</v>
          </cell>
          <cell r="G8539">
            <v>0</v>
          </cell>
        </row>
        <row r="8540">
          <cell r="A8540" t="str">
            <v>57-01-01-0950</v>
          </cell>
          <cell r="B8540">
            <v>0</v>
          </cell>
          <cell r="C8540" t="str">
            <v xml:space="preserve">  44531 ALLAH DITTA JOBBER SHIFT A MILL</v>
          </cell>
          <cell r="D8540">
            <v>0</v>
          </cell>
          <cell r="E8540">
            <v>0</v>
          </cell>
          <cell r="F8540">
            <v>0</v>
          </cell>
          <cell r="G8540">
            <v>0</v>
          </cell>
        </row>
        <row r="8541">
          <cell r="A8541" t="str">
            <v>57-01-01-0951</v>
          </cell>
          <cell r="B8541">
            <v>0</v>
          </cell>
          <cell r="C8541" t="str">
            <v xml:space="preserve">  S.M.FAKHR DY.MANAGER POWER PLANT</v>
          </cell>
          <cell r="D8541">
            <v>0</v>
          </cell>
          <cell r="E8541">
            <v>0</v>
          </cell>
          <cell r="F8541">
            <v>0</v>
          </cell>
          <cell r="G8541">
            <v>0</v>
          </cell>
        </row>
        <row r="8542">
          <cell r="A8542" t="str">
            <v>57-01-01-0952</v>
          </cell>
          <cell r="B8542">
            <v>0</v>
          </cell>
          <cell r="C8542" t="str">
            <v xml:space="preserve">  MIRZA SALEEM BAIG A/MANAGER ELEC P.P</v>
          </cell>
          <cell r="D8542">
            <v>0</v>
          </cell>
          <cell r="E8542">
            <v>0</v>
          </cell>
          <cell r="F8542">
            <v>0</v>
          </cell>
          <cell r="G8542">
            <v>0</v>
          </cell>
        </row>
        <row r="8543">
          <cell r="A8543" t="str">
            <v>57-01-01-0953</v>
          </cell>
          <cell r="B8543">
            <v>0</v>
          </cell>
          <cell r="C8543" t="str">
            <v xml:space="preserve">  60917 MUHAMMAD ARSHAD OPT SHIFT C M #</v>
          </cell>
          <cell r="D8543">
            <v>0</v>
          </cell>
          <cell r="E8543">
            <v>0</v>
          </cell>
          <cell r="F8543">
            <v>0</v>
          </cell>
          <cell r="G8543">
            <v>0</v>
          </cell>
        </row>
        <row r="8544">
          <cell r="A8544" t="str">
            <v>57-01-01-0954</v>
          </cell>
          <cell r="B8544">
            <v>0</v>
          </cell>
          <cell r="C8544" t="str">
            <v xml:space="preserve">   56526 AZHAR ABBAS OPT SHIFT C MILL #</v>
          </cell>
          <cell r="D8544">
            <v>0</v>
          </cell>
          <cell r="E8544">
            <v>0</v>
          </cell>
          <cell r="F8544">
            <v>0</v>
          </cell>
          <cell r="G8544">
            <v>0</v>
          </cell>
        </row>
        <row r="8545">
          <cell r="A8545" t="str">
            <v>57-01-01-0955</v>
          </cell>
          <cell r="B8545">
            <v>0</v>
          </cell>
          <cell r="C8545" t="str">
            <v xml:space="preserve">   45514 MUHAMMAD ARIF FITTER MILL #4</v>
          </cell>
          <cell r="D8545">
            <v>0</v>
          </cell>
          <cell r="E8545">
            <v>0</v>
          </cell>
          <cell r="F8545">
            <v>0</v>
          </cell>
          <cell r="G8545">
            <v>0</v>
          </cell>
        </row>
        <row r="8546">
          <cell r="A8546" t="str">
            <v>57-01-01-0956</v>
          </cell>
          <cell r="B8546">
            <v>0</v>
          </cell>
          <cell r="C8546" t="str">
            <v xml:space="preserve">  50786 SHAUKAT HAYAT DST SHIFT C MILL</v>
          </cell>
          <cell r="D8546">
            <v>0</v>
          </cell>
          <cell r="E8546">
            <v>0</v>
          </cell>
          <cell r="F8546">
            <v>0</v>
          </cell>
          <cell r="G8546">
            <v>0</v>
          </cell>
        </row>
        <row r="8547">
          <cell r="A8547" t="str">
            <v>57-01-01-0957</v>
          </cell>
          <cell r="B8547">
            <v>0</v>
          </cell>
          <cell r="C8547" t="str">
            <v xml:space="preserve">   55942 LIAQAT ALI 4/S SHIFT A MILL # 4</v>
          </cell>
          <cell r="D8547">
            <v>0</v>
          </cell>
          <cell r="E8547">
            <v>0</v>
          </cell>
          <cell r="F8547">
            <v>0</v>
          </cell>
          <cell r="G8547">
            <v>0</v>
          </cell>
        </row>
        <row r="8548">
          <cell r="A8548" t="str">
            <v>57-01-01-0958</v>
          </cell>
          <cell r="B8548">
            <v>0</v>
          </cell>
          <cell r="C8548" t="str">
            <v xml:space="preserve">  ALTAF NASIR A.M.(MECH) GPP.</v>
          </cell>
          <cell r="D8548">
            <v>0</v>
          </cell>
          <cell r="E8548">
            <v>0</v>
          </cell>
          <cell r="F8548">
            <v>0</v>
          </cell>
          <cell r="G8548">
            <v>0</v>
          </cell>
        </row>
        <row r="8549">
          <cell r="A8549" t="str">
            <v>57-01-01-0959</v>
          </cell>
          <cell r="B8549">
            <v>0</v>
          </cell>
          <cell r="C8549" t="str">
            <v xml:space="preserve">  34578 M.SIDDIQ D.F RING-1 SHIF A MILL</v>
          </cell>
          <cell r="D8549">
            <v>0</v>
          </cell>
          <cell r="E8549">
            <v>0</v>
          </cell>
          <cell r="F8549">
            <v>0</v>
          </cell>
          <cell r="G8549">
            <v>0</v>
          </cell>
        </row>
        <row r="8550">
          <cell r="A8550" t="str">
            <v>57-01-01-0960</v>
          </cell>
          <cell r="B8550">
            <v>0</v>
          </cell>
          <cell r="C8550" t="str">
            <v xml:space="preserve">  61487 SABIR HUSSAIN DF SHIFT A MILL #</v>
          </cell>
          <cell r="D8550">
            <v>0</v>
          </cell>
          <cell r="E8550">
            <v>0</v>
          </cell>
          <cell r="F8550">
            <v>0</v>
          </cell>
          <cell r="G8550">
            <v>0</v>
          </cell>
        </row>
        <row r="8551">
          <cell r="A8551" t="str">
            <v>57-01-01-0961</v>
          </cell>
          <cell r="B8551">
            <v>0</v>
          </cell>
          <cell r="C8551" t="str">
            <v xml:space="preserve">  59856 KHALID MEHMOOD DF SHIFT A MILL</v>
          </cell>
          <cell r="D8551">
            <v>0</v>
          </cell>
          <cell r="E8551">
            <v>0</v>
          </cell>
          <cell r="F8551">
            <v>0</v>
          </cell>
          <cell r="G8551">
            <v>0</v>
          </cell>
        </row>
        <row r="8552">
          <cell r="A8552" t="str">
            <v>57-01-01-0962</v>
          </cell>
          <cell r="B8552">
            <v>0</v>
          </cell>
          <cell r="C8552" t="str">
            <v xml:space="preserve">  48643 MUHAMMAD BILAL DF SHIFT C MILL</v>
          </cell>
          <cell r="D8552">
            <v>0</v>
          </cell>
          <cell r="E8552">
            <v>0</v>
          </cell>
          <cell r="F8552">
            <v>0</v>
          </cell>
          <cell r="G8552">
            <v>0</v>
          </cell>
        </row>
        <row r="8553">
          <cell r="A8553" t="str">
            <v>57-01-01-0963</v>
          </cell>
          <cell r="B8553">
            <v>0</v>
          </cell>
          <cell r="C8553" t="str">
            <v xml:space="preserve">  32717 MUHAMMAD KHAN 4/S SHIFT C MILL</v>
          </cell>
          <cell r="D8553">
            <v>0</v>
          </cell>
          <cell r="E8553">
            <v>0</v>
          </cell>
          <cell r="F8553">
            <v>0</v>
          </cell>
          <cell r="G8553">
            <v>0</v>
          </cell>
        </row>
        <row r="8554">
          <cell r="A8554" t="str">
            <v>57-01-01-0964</v>
          </cell>
          <cell r="B8554">
            <v>0</v>
          </cell>
          <cell r="C8554" t="str">
            <v xml:space="preserve">  32718 MUHAMMAD SAGHIR 4/S SHIFT C M #</v>
          </cell>
          <cell r="D8554">
            <v>0</v>
          </cell>
          <cell r="E8554">
            <v>0</v>
          </cell>
          <cell r="F8554">
            <v>0</v>
          </cell>
          <cell r="G8554">
            <v>0</v>
          </cell>
        </row>
        <row r="8555">
          <cell r="A8555" t="str">
            <v>57-01-01-0965</v>
          </cell>
          <cell r="B8555">
            <v>0</v>
          </cell>
          <cell r="C8555" t="str">
            <v xml:space="preserve">  49135 NASIR MEHMOOD 4/S SHIFT C MILL</v>
          </cell>
          <cell r="D8555">
            <v>0</v>
          </cell>
          <cell r="E8555">
            <v>0</v>
          </cell>
          <cell r="F8555">
            <v>0</v>
          </cell>
          <cell r="G8555">
            <v>0</v>
          </cell>
        </row>
        <row r="8556">
          <cell r="A8556" t="str">
            <v>57-01-01-0966</v>
          </cell>
          <cell r="B8556">
            <v>0</v>
          </cell>
          <cell r="C8556" t="str">
            <v xml:space="preserve">  42533 ZULFIQAR ALI FITTER SHIFT G MIL</v>
          </cell>
          <cell r="D8556">
            <v>0</v>
          </cell>
          <cell r="E8556">
            <v>0</v>
          </cell>
          <cell r="F8556">
            <v>0</v>
          </cell>
          <cell r="G8556">
            <v>0</v>
          </cell>
        </row>
        <row r="8557">
          <cell r="A8557" t="str">
            <v>57-01-01-0967</v>
          </cell>
          <cell r="B8557">
            <v>0</v>
          </cell>
          <cell r="C8557" t="str">
            <v xml:space="preserve">  45109 AMIR KHAN 4/S SHIFT A MILL #3</v>
          </cell>
          <cell r="D8557">
            <v>0</v>
          </cell>
          <cell r="E8557">
            <v>0</v>
          </cell>
          <cell r="F8557">
            <v>0</v>
          </cell>
          <cell r="G8557">
            <v>0</v>
          </cell>
        </row>
        <row r="8558">
          <cell r="A8558" t="str">
            <v>57-01-01-0968</v>
          </cell>
          <cell r="B8558">
            <v>0</v>
          </cell>
          <cell r="C8558" t="str">
            <v xml:space="preserve">  48411 MUHAMMAD OVAIS 4/S SHIFT A MILL</v>
          </cell>
          <cell r="D8558">
            <v>0</v>
          </cell>
          <cell r="E8558">
            <v>0</v>
          </cell>
          <cell r="F8558">
            <v>0</v>
          </cell>
          <cell r="G8558">
            <v>0</v>
          </cell>
        </row>
        <row r="8559">
          <cell r="A8559" t="str">
            <v>57-01-01-0969</v>
          </cell>
          <cell r="B8559">
            <v>0</v>
          </cell>
          <cell r="C8559" t="str">
            <v xml:space="preserve">  48456 MUHAMMAD IQBAL SHIFT INCHARGE</v>
          </cell>
          <cell r="D8559">
            <v>0</v>
          </cell>
          <cell r="E8559">
            <v>0</v>
          </cell>
          <cell r="F8559">
            <v>0</v>
          </cell>
          <cell r="G8559">
            <v>0</v>
          </cell>
        </row>
        <row r="8560">
          <cell r="A8560" t="str">
            <v>57-01-01-0970</v>
          </cell>
          <cell r="B8560">
            <v>0</v>
          </cell>
          <cell r="C8560" t="str">
            <v xml:space="preserve">   33662 JAMROZ KHAN 4/S SHIFT B MILL #</v>
          </cell>
          <cell r="D8560">
            <v>0</v>
          </cell>
          <cell r="E8560">
            <v>0</v>
          </cell>
          <cell r="F8560">
            <v>0</v>
          </cell>
          <cell r="G8560">
            <v>0</v>
          </cell>
        </row>
        <row r="8561">
          <cell r="A8561" t="str">
            <v>57-01-01-0971</v>
          </cell>
          <cell r="B8561">
            <v>0</v>
          </cell>
          <cell r="C8561" t="str">
            <v xml:space="preserve">  51903 GUL FARAZ 4/S SHIFT C MILL # 1</v>
          </cell>
          <cell r="D8561">
            <v>0</v>
          </cell>
          <cell r="E8561">
            <v>0</v>
          </cell>
          <cell r="F8561">
            <v>0</v>
          </cell>
          <cell r="G8561">
            <v>0</v>
          </cell>
        </row>
        <row r="8562">
          <cell r="A8562" t="str">
            <v>57-01-01-0972</v>
          </cell>
          <cell r="B8562">
            <v>0</v>
          </cell>
          <cell r="C8562" t="str">
            <v xml:space="preserve">  37944 DOST REHMAN JOBBER SHIFT A MIL</v>
          </cell>
          <cell r="D8562">
            <v>0</v>
          </cell>
          <cell r="E8562">
            <v>0</v>
          </cell>
          <cell r="F8562">
            <v>0</v>
          </cell>
          <cell r="G8562">
            <v>0</v>
          </cell>
        </row>
        <row r="8563">
          <cell r="A8563" t="str">
            <v>57-01-01-0973</v>
          </cell>
          <cell r="B8563">
            <v>0</v>
          </cell>
          <cell r="C8563" t="str">
            <v xml:space="preserve">   14873 FEROZ HUSSAIN OPT SHIFT C M # 1</v>
          </cell>
          <cell r="D8563">
            <v>0</v>
          </cell>
          <cell r="E8563">
            <v>0</v>
          </cell>
          <cell r="F8563">
            <v>0</v>
          </cell>
          <cell r="G8563">
            <v>0</v>
          </cell>
        </row>
        <row r="8564">
          <cell r="A8564" t="str">
            <v>57-01-01-0974</v>
          </cell>
          <cell r="B8564">
            <v>0</v>
          </cell>
          <cell r="C8564" t="str">
            <v xml:space="preserve">   49076 QAMAR ABBAS OPT SHIFT C MILL #</v>
          </cell>
          <cell r="D8564">
            <v>0</v>
          </cell>
          <cell r="E8564">
            <v>0</v>
          </cell>
          <cell r="F8564">
            <v>0</v>
          </cell>
          <cell r="G8564">
            <v>0</v>
          </cell>
        </row>
        <row r="8565">
          <cell r="A8565" t="str">
            <v>57-01-01-0975</v>
          </cell>
          <cell r="B8565">
            <v>0</v>
          </cell>
          <cell r="C8565" t="str">
            <v xml:space="preserve">   63106 KARIM DAD SHIFT INCHARGE</v>
          </cell>
          <cell r="D8565">
            <v>0</v>
          </cell>
          <cell r="E8565">
            <v>0</v>
          </cell>
          <cell r="F8565">
            <v>0</v>
          </cell>
          <cell r="G8565">
            <v>0</v>
          </cell>
        </row>
        <row r="8566">
          <cell r="A8566" t="str">
            <v>57-01-01-0976</v>
          </cell>
          <cell r="B8566">
            <v>0</v>
          </cell>
          <cell r="C8566" t="str">
            <v xml:space="preserve">   53950 ALLAH BAKHSH OPT SHIFT B MILL #</v>
          </cell>
          <cell r="D8566">
            <v>0</v>
          </cell>
          <cell r="E8566">
            <v>0</v>
          </cell>
          <cell r="F8566">
            <v>0</v>
          </cell>
          <cell r="G8566">
            <v>0</v>
          </cell>
        </row>
        <row r="8567">
          <cell r="A8567" t="str">
            <v>57-01-01-0977</v>
          </cell>
          <cell r="B8567">
            <v>0</v>
          </cell>
          <cell r="C8567" t="str">
            <v xml:space="preserve">  31318 RAB NAWAZ FOREMAN CARDING MILL</v>
          </cell>
          <cell r="D8567">
            <v>0</v>
          </cell>
          <cell r="E8567">
            <v>0</v>
          </cell>
          <cell r="F8567">
            <v>0</v>
          </cell>
          <cell r="G8567">
            <v>0</v>
          </cell>
        </row>
        <row r="8568">
          <cell r="A8568" t="str">
            <v>57-01-01-0978</v>
          </cell>
          <cell r="B8568">
            <v>0</v>
          </cell>
          <cell r="C8568" t="str">
            <v xml:space="preserve">  61241 GHULAM ABBAS DST SHIFT B MILL #</v>
          </cell>
          <cell r="D8568">
            <v>0</v>
          </cell>
          <cell r="E8568">
            <v>0</v>
          </cell>
          <cell r="F8568">
            <v>0</v>
          </cell>
          <cell r="G8568">
            <v>0</v>
          </cell>
        </row>
        <row r="8569">
          <cell r="A8569" t="str">
            <v>57-01-01-0979</v>
          </cell>
          <cell r="B8569">
            <v>0</v>
          </cell>
          <cell r="C8569" t="str">
            <v xml:space="preserve">   56093 MUHAMMAD ANWAR A/FITTER SH.G M</v>
          </cell>
          <cell r="D8569">
            <v>3000</v>
          </cell>
          <cell r="E8569">
            <v>0</v>
          </cell>
          <cell r="F8569">
            <v>0</v>
          </cell>
          <cell r="G8569">
            <v>0</v>
          </cell>
        </row>
        <row r="8570">
          <cell r="A8570" t="str">
            <v>57-01-01-0980</v>
          </cell>
          <cell r="B8570">
            <v>0</v>
          </cell>
          <cell r="C8570" t="str">
            <v xml:space="preserve">   27067 HAMID ALI 4/S SHIFT C MILL # 2</v>
          </cell>
          <cell r="D8570">
            <v>0</v>
          </cell>
          <cell r="E8570">
            <v>0</v>
          </cell>
          <cell r="F8570">
            <v>0</v>
          </cell>
          <cell r="G8570">
            <v>0</v>
          </cell>
        </row>
        <row r="8571">
          <cell r="A8571" t="str">
            <v>57-01-01-0981</v>
          </cell>
          <cell r="B8571">
            <v>0</v>
          </cell>
          <cell r="C8571" t="str">
            <v xml:space="preserve">   60257 GHULAM RASOOL HELPER  SHIFT G M</v>
          </cell>
          <cell r="D8571">
            <v>0</v>
          </cell>
          <cell r="E8571">
            <v>0</v>
          </cell>
          <cell r="F8571">
            <v>0</v>
          </cell>
          <cell r="G8571">
            <v>0</v>
          </cell>
        </row>
        <row r="8572">
          <cell r="A8572" t="str">
            <v>57-01-01-0982</v>
          </cell>
          <cell r="B8572">
            <v>0</v>
          </cell>
          <cell r="C8572" t="str">
            <v xml:space="preserve">  58153 MUHAMMAD RAFIQUE A/FITTER SH.G</v>
          </cell>
          <cell r="D8572">
            <v>0</v>
          </cell>
          <cell r="E8572">
            <v>0</v>
          </cell>
          <cell r="F8572">
            <v>0</v>
          </cell>
          <cell r="G8572">
            <v>0</v>
          </cell>
        </row>
        <row r="8573">
          <cell r="A8573" t="str">
            <v>57-01-01-0983</v>
          </cell>
          <cell r="B8573">
            <v>0</v>
          </cell>
          <cell r="C8573" t="str">
            <v xml:space="preserve">   52159 MUDASSIR ABBAS A/FITTER SH.G M</v>
          </cell>
          <cell r="D8573">
            <v>0</v>
          </cell>
          <cell r="E8573">
            <v>0</v>
          </cell>
          <cell r="F8573">
            <v>0</v>
          </cell>
          <cell r="G8573">
            <v>0</v>
          </cell>
        </row>
        <row r="8574">
          <cell r="A8574" t="str">
            <v>57-01-01-0984</v>
          </cell>
          <cell r="B8574">
            <v>0</v>
          </cell>
          <cell r="C8574" t="str">
            <v xml:space="preserve">   61190 SAJID MEHMOOD 4/S SHIFT B MILL#</v>
          </cell>
          <cell r="D8574">
            <v>0</v>
          </cell>
          <cell r="E8574">
            <v>0</v>
          </cell>
          <cell r="F8574">
            <v>0</v>
          </cell>
          <cell r="G8574">
            <v>0</v>
          </cell>
        </row>
        <row r="8575">
          <cell r="A8575" t="str">
            <v>57-01-01-0985</v>
          </cell>
          <cell r="B8575">
            <v>0</v>
          </cell>
          <cell r="C8575" t="str">
            <v xml:space="preserve">   30161 AHMED JAN 4/S SHIFT A MILL # 1</v>
          </cell>
          <cell r="D8575">
            <v>0</v>
          </cell>
          <cell r="E8575">
            <v>0</v>
          </cell>
          <cell r="F8575">
            <v>0</v>
          </cell>
          <cell r="G8575">
            <v>0</v>
          </cell>
        </row>
        <row r="8576">
          <cell r="A8576" t="str">
            <v>57-01-01-0986</v>
          </cell>
          <cell r="B8576">
            <v>0</v>
          </cell>
          <cell r="C8576" t="str">
            <v xml:space="preserve">   48747 ALI REHMAN 4/S SHIFT A MILL # 1</v>
          </cell>
          <cell r="D8576">
            <v>0</v>
          </cell>
          <cell r="E8576">
            <v>0</v>
          </cell>
          <cell r="F8576">
            <v>0</v>
          </cell>
          <cell r="G8576">
            <v>0</v>
          </cell>
        </row>
        <row r="8577">
          <cell r="A8577" t="str">
            <v>57-01-01-0987</v>
          </cell>
          <cell r="B8577">
            <v>0</v>
          </cell>
          <cell r="C8577" t="str">
            <v xml:space="preserve">  49329 MUHAMMAD TANVIR 4/S SHIFT A MIL</v>
          </cell>
          <cell r="D8577">
            <v>0</v>
          </cell>
          <cell r="E8577">
            <v>0</v>
          </cell>
          <cell r="F8577">
            <v>0</v>
          </cell>
          <cell r="G8577">
            <v>0</v>
          </cell>
        </row>
        <row r="8578">
          <cell r="A8578" t="str">
            <v>57-01-01-0988</v>
          </cell>
          <cell r="B8578">
            <v>0</v>
          </cell>
          <cell r="C8578" t="str">
            <v xml:space="preserve">   58243 SHAFQAT MEHMOOD SHIFT C MILL #</v>
          </cell>
          <cell r="D8578">
            <v>0</v>
          </cell>
          <cell r="E8578">
            <v>0</v>
          </cell>
          <cell r="F8578">
            <v>0</v>
          </cell>
          <cell r="G8578">
            <v>0</v>
          </cell>
        </row>
        <row r="8579">
          <cell r="A8579" t="str">
            <v>57-01-01-0989</v>
          </cell>
          <cell r="B8579">
            <v>0</v>
          </cell>
          <cell r="C8579" t="str">
            <v xml:space="preserve">  26268 SANAULLAH 4/S SHIFT A MILL # 1</v>
          </cell>
          <cell r="D8579">
            <v>0</v>
          </cell>
          <cell r="E8579">
            <v>0</v>
          </cell>
          <cell r="F8579">
            <v>0</v>
          </cell>
          <cell r="G8579">
            <v>0</v>
          </cell>
        </row>
        <row r="8580">
          <cell r="A8580" t="str">
            <v>57-01-01-0990</v>
          </cell>
          <cell r="B8580">
            <v>0</v>
          </cell>
          <cell r="C8580" t="str">
            <v xml:space="preserve">   53634 MUHAMMAD ARSHAD CT SHIFT C MILL</v>
          </cell>
          <cell r="D8580">
            <v>0</v>
          </cell>
          <cell r="E8580">
            <v>0</v>
          </cell>
          <cell r="F8580">
            <v>0</v>
          </cell>
          <cell r="G8580">
            <v>0</v>
          </cell>
        </row>
        <row r="8581">
          <cell r="A8581" t="str">
            <v>57-01-01-0991</v>
          </cell>
          <cell r="B8581">
            <v>0</v>
          </cell>
          <cell r="C8581" t="str">
            <v xml:space="preserve">   57657 S.GHULAM ABBAS A/FITTER SH.G M</v>
          </cell>
          <cell r="D8581">
            <v>0</v>
          </cell>
          <cell r="E8581">
            <v>0</v>
          </cell>
          <cell r="F8581">
            <v>0</v>
          </cell>
          <cell r="G8581">
            <v>0</v>
          </cell>
        </row>
        <row r="8582">
          <cell r="A8582" t="str">
            <v>57-01-01-0992</v>
          </cell>
          <cell r="B8582">
            <v>0</v>
          </cell>
          <cell r="C8582" t="str">
            <v xml:space="preserve">   55893 AKHTAR HAYAT FITTER SH.G MILL #</v>
          </cell>
          <cell r="D8582">
            <v>0</v>
          </cell>
          <cell r="E8582">
            <v>0</v>
          </cell>
          <cell r="F8582">
            <v>0</v>
          </cell>
          <cell r="G8582">
            <v>0</v>
          </cell>
        </row>
        <row r="8583">
          <cell r="A8583" t="str">
            <v>57-01-01-0993</v>
          </cell>
          <cell r="B8583">
            <v>0</v>
          </cell>
          <cell r="C8583" t="str">
            <v xml:space="preserve">   49622 MUHAMMAD SALEEM 4/S SHIFT B M #</v>
          </cell>
          <cell r="D8583">
            <v>0</v>
          </cell>
          <cell r="E8583">
            <v>0</v>
          </cell>
          <cell r="F8583">
            <v>0</v>
          </cell>
          <cell r="G8583">
            <v>0</v>
          </cell>
        </row>
        <row r="8584">
          <cell r="A8584" t="str">
            <v>57-01-01-0994</v>
          </cell>
          <cell r="B8584">
            <v>0</v>
          </cell>
          <cell r="C8584" t="str">
            <v xml:space="preserve">   60047 REHMAT KHAN 4/S SHIFT C MILL #</v>
          </cell>
          <cell r="D8584">
            <v>0</v>
          </cell>
          <cell r="E8584">
            <v>0</v>
          </cell>
          <cell r="F8584">
            <v>0</v>
          </cell>
          <cell r="G8584">
            <v>0</v>
          </cell>
        </row>
        <row r="8585">
          <cell r="A8585" t="str">
            <v>57-01-01-0995</v>
          </cell>
          <cell r="B8585">
            <v>0</v>
          </cell>
          <cell r="C8585" t="str">
            <v xml:space="preserve">   19030 FAZAL ALI FITTER SHIFT G MILL #</v>
          </cell>
          <cell r="D8585">
            <v>0</v>
          </cell>
          <cell r="E8585">
            <v>0</v>
          </cell>
          <cell r="F8585">
            <v>0</v>
          </cell>
          <cell r="G8585">
            <v>0</v>
          </cell>
        </row>
        <row r="8586">
          <cell r="A8586" t="str">
            <v>57-01-01-0996</v>
          </cell>
          <cell r="B8586">
            <v>0</v>
          </cell>
          <cell r="C8586" t="str">
            <v xml:space="preserve">   49272 MUHAMMAD ISMAEEL 4/S SHIFT C M</v>
          </cell>
          <cell r="D8586">
            <v>0</v>
          </cell>
          <cell r="E8586">
            <v>0</v>
          </cell>
          <cell r="F8586">
            <v>0</v>
          </cell>
          <cell r="G8586">
            <v>0</v>
          </cell>
        </row>
        <row r="8587">
          <cell r="A8587" t="str">
            <v>57-01-01-0997</v>
          </cell>
          <cell r="B8587">
            <v>0</v>
          </cell>
          <cell r="C8587" t="str">
            <v xml:space="preserve">   23933 ABDUL MANAF 4/S SHIFT A MILL #</v>
          </cell>
          <cell r="D8587">
            <v>0</v>
          </cell>
          <cell r="E8587">
            <v>0</v>
          </cell>
          <cell r="F8587">
            <v>0</v>
          </cell>
          <cell r="G8587">
            <v>0</v>
          </cell>
        </row>
        <row r="8588">
          <cell r="A8588" t="str">
            <v>57-01-01-0998</v>
          </cell>
          <cell r="B8588">
            <v>0</v>
          </cell>
          <cell r="C8588" t="str">
            <v xml:space="preserve">   39893 MUHAMMAD MUSHTAQ 4/S SH.A MILL</v>
          </cell>
          <cell r="D8588">
            <v>0</v>
          </cell>
          <cell r="E8588">
            <v>0</v>
          </cell>
          <cell r="F8588">
            <v>0</v>
          </cell>
          <cell r="G8588">
            <v>0</v>
          </cell>
        </row>
        <row r="8589">
          <cell r="A8589" t="str">
            <v>57-01-01-0999</v>
          </cell>
          <cell r="B8589">
            <v>0</v>
          </cell>
          <cell r="C8589" t="str">
            <v xml:space="preserve">   77069 MUHAMMAD ARIF PURCHASER M.STORE</v>
          </cell>
          <cell r="D8589">
            <v>0</v>
          </cell>
          <cell r="E8589">
            <v>0</v>
          </cell>
          <cell r="F8589">
            <v>0</v>
          </cell>
          <cell r="G8589">
            <v>0</v>
          </cell>
        </row>
        <row r="8590">
          <cell r="A8590" t="str">
            <v>57-01-01-1000</v>
          </cell>
          <cell r="B8590">
            <v>0</v>
          </cell>
          <cell r="C8590" t="str">
            <v xml:space="preserve">  56465 ZAFAR IQBAL JOBBER SHIFT A MILL</v>
          </cell>
          <cell r="D8590">
            <v>0</v>
          </cell>
          <cell r="E8590">
            <v>0</v>
          </cell>
          <cell r="F8590">
            <v>0</v>
          </cell>
          <cell r="G8590">
            <v>0</v>
          </cell>
        </row>
        <row r="8591">
          <cell r="A8591" t="str">
            <v>57-01-01-1001</v>
          </cell>
          <cell r="B8591">
            <v>0</v>
          </cell>
          <cell r="C8591" t="str">
            <v xml:space="preserve">   58855 HAJI AHMED DST SHIFT A M</v>
          </cell>
          <cell r="D8591">
            <v>0</v>
          </cell>
          <cell r="E8591">
            <v>0</v>
          </cell>
          <cell r="F8591">
            <v>0</v>
          </cell>
          <cell r="G8591">
            <v>0</v>
          </cell>
        </row>
        <row r="8592">
          <cell r="A8592" t="str">
            <v>57-01-01-1002</v>
          </cell>
          <cell r="B8592">
            <v>0</v>
          </cell>
          <cell r="C8592" t="str">
            <v xml:space="preserve">   56689 MUHAMMAD YOUNAS OPT SHIFT C MIL</v>
          </cell>
          <cell r="D8592">
            <v>0</v>
          </cell>
          <cell r="E8592">
            <v>0</v>
          </cell>
          <cell r="F8592">
            <v>0</v>
          </cell>
          <cell r="G8592">
            <v>0</v>
          </cell>
        </row>
        <row r="8593">
          <cell r="A8593" t="str">
            <v>57-01-01-1003</v>
          </cell>
          <cell r="B8593">
            <v>0</v>
          </cell>
          <cell r="C8593" t="str">
            <v xml:space="preserve">   48139 GHULAM AKBAR OPT SHIFT C MILL #</v>
          </cell>
          <cell r="D8593">
            <v>0</v>
          </cell>
          <cell r="E8593">
            <v>0</v>
          </cell>
          <cell r="F8593">
            <v>0</v>
          </cell>
          <cell r="G8593">
            <v>0</v>
          </cell>
        </row>
        <row r="8594">
          <cell r="A8594" t="str">
            <v>57-01-01-1004</v>
          </cell>
          <cell r="B8594">
            <v>0</v>
          </cell>
          <cell r="C8594" t="str">
            <v xml:space="preserve">  45534 MUHAMMAD WARIS 4/S SHIFT A MILL</v>
          </cell>
          <cell r="D8594">
            <v>0</v>
          </cell>
          <cell r="E8594">
            <v>0</v>
          </cell>
          <cell r="F8594">
            <v>0</v>
          </cell>
          <cell r="G8594">
            <v>0</v>
          </cell>
        </row>
        <row r="8595">
          <cell r="A8595" t="str">
            <v>57-01-01-1005</v>
          </cell>
          <cell r="B8595">
            <v>0</v>
          </cell>
          <cell r="C8595" t="str">
            <v xml:space="preserve">  48021 ABDUL MAJEED OPT SHIFT C MILL #</v>
          </cell>
          <cell r="D8595">
            <v>0</v>
          </cell>
          <cell r="E8595">
            <v>0</v>
          </cell>
          <cell r="F8595">
            <v>0</v>
          </cell>
          <cell r="G8595">
            <v>0</v>
          </cell>
        </row>
        <row r="8596">
          <cell r="A8596" t="str">
            <v>57-01-01-1006</v>
          </cell>
          <cell r="B8596">
            <v>0</v>
          </cell>
          <cell r="C8596" t="str">
            <v xml:space="preserve">   62290 MUHAMMAD SHAFIQUE 4/S SHIFT A M</v>
          </cell>
          <cell r="D8596">
            <v>0</v>
          </cell>
          <cell r="E8596">
            <v>0</v>
          </cell>
          <cell r="F8596">
            <v>0</v>
          </cell>
          <cell r="G8596">
            <v>0</v>
          </cell>
        </row>
        <row r="8597">
          <cell r="A8597" t="str">
            <v>57-01-01-1007</v>
          </cell>
          <cell r="B8597">
            <v>0</v>
          </cell>
          <cell r="C8597" t="str">
            <v xml:space="preserve">  59796 NAZAR HUSSAIN 4/S SHIFT A M# 4.</v>
          </cell>
          <cell r="D8597">
            <v>0</v>
          </cell>
          <cell r="E8597">
            <v>0</v>
          </cell>
          <cell r="F8597">
            <v>0</v>
          </cell>
          <cell r="G8597">
            <v>0</v>
          </cell>
        </row>
        <row r="8598">
          <cell r="A8598" t="str">
            <v>57-01-01-1008</v>
          </cell>
          <cell r="B8598">
            <v>0</v>
          </cell>
          <cell r="C8598" t="str">
            <v xml:space="preserve">  49362 NAZAR MUHAMMAD 4/S SHIFT C MILL</v>
          </cell>
          <cell r="D8598">
            <v>0</v>
          </cell>
          <cell r="E8598">
            <v>0</v>
          </cell>
          <cell r="F8598">
            <v>0</v>
          </cell>
          <cell r="G8598">
            <v>0</v>
          </cell>
        </row>
        <row r="8599">
          <cell r="A8599" t="str">
            <v>57-01-01-1009</v>
          </cell>
          <cell r="B8599">
            <v>0</v>
          </cell>
          <cell r="C8599" t="str">
            <v xml:space="preserve">   53191 MUHAMMAD ARIF 4/S SHIFT B MILL#</v>
          </cell>
          <cell r="D8599">
            <v>0</v>
          </cell>
          <cell r="E8599">
            <v>0</v>
          </cell>
          <cell r="F8599">
            <v>0</v>
          </cell>
          <cell r="G8599">
            <v>0</v>
          </cell>
        </row>
        <row r="8600">
          <cell r="A8600" t="str">
            <v>57-01-01-1010</v>
          </cell>
          <cell r="B8600">
            <v>0</v>
          </cell>
          <cell r="C8600" t="str">
            <v xml:space="preserve">   56656 AMANULLAH JOBBER SHIFT B MILL #</v>
          </cell>
          <cell r="D8600">
            <v>0</v>
          </cell>
          <cell r="E8600">
            <v>0</v>
          </cell>
          <cell r="F8600">
            <v>0</v>
          </cell>
          <cell r="G8600">
            <v>0</v>
          </cell>
        </row>
        <row r="8601">
          <cell r="A8601" t="str">
            <v>57-01-01-1011</v>
          </cell>
          <cell r="B8601">
            <v>0</v>
          </cell>
          <cell r="C8601" t="str">
            <v xml:space="preserve">   56656 AMANULLAH JOBBER SHIFT B MILL #</v>
          </cell>
          <cell r="D8601">
            <v>0</v>
          </cell>
          <cell r="E8601">
            <v>0</v>
          </cell>
          <cell r="F8601">
            <v>0</v>
          </cell>
          <cell r="G8601">
            <v>0</v>
          </cell>
        </row>
        <row r="8602">
          <cell r="A8602" t="str">
            <v>57-01-01-1012</v>
          </cell>
          <cell r="B8602">
            <v>0</v>
          </cell>
          <cell r="C8602" t="str">
            <v xml:space="preserve">   57797 MUHAMMAD JAVED DF SHIFT B MILL</v>
          </cell>
          <cell r="D8602">
            <v>0</v>
          </cell>
          <cell r="E8602">
            <v>0</v>
          </cell>
          <cell r="F8602">
            <v>0</v>
          </cell>
          <cell r="G8602">
            <v>0</v>
          </cell>
        </row>
        <row r="8603">
          <cell r="A8603" t="str">
            <v>57-01-01-1013</v>
          </cell>
          <cell r="B8603">
            <v>0</v>
          </cell>
          <cell r="C8603" t="str">
            <v xml:space="preserve">   50279 JAAVID FAYAZ FITTER SHIFT G MIL</v>
          </cell>
          <cell r="D8603">
            <v>0</v>
          </cell>
          <cell r="E8603">
            <v>0</v>
          </cell>
          <cell r="F8603">
            <v>0</v>
          </cell>
          <cell r="G8603">
            <v>0</v>
          </cell>
        </row>
        <row r="8604">
          <cell r="A8604" t="str">
            <v>57-01-01-1014</v>
          </cell>
          <cell r="B8604">
            <v>0</v>
          </cell>
          <cell r="C8604" t="str">
            <v xml:space="preserve">  54935 MUHAMMAD HUSSAIN HELPER SH.G M</v>
          </cell>
          <cell r="D8604">
            <v>0</v>
          </cell>
          <cell r="E8604">
            <v>0</v>
          </cell>
          <cell r="F8604">
            <v>0</v>
          </cell>
          <cell r="G8604">
            <v>0</v>
          </cell>
        </row>
        <row r="8605">
          <cell r="A8605" t="str">
            <v>57-01-01-1015</v>
          </cell>
          <cell r="B8605">
            <v>0</v>
          </cell>
          <cell r="C8605" t="str">
            <v xml:space="preserve">   58683 ABDUL GHAFFAR PT SHIFT C MILL #</v>
          </cell>
          <cell r="D8605">
            <v>0</v>
          </cell>
          <cell r="E8605">
            <v>0</v>
          </cell>
          <cell r="F8605">
            <v>0</v>
          </cell>
          <cell r="G8605">
            <v>0</v>
          </cell>
        </row>
        <row r="8606">
          <cell r="A8606" t="str">
            <v>57-01-01-1016</v>
          </cell>
          <cell r="B8606">
            <v>0</v>
          </cell>
          <cell r="C8606" t="str">
            <v xml:space="preserve">   56299 MUHAMMAD TANVEER 4/S SH.A MILL#</v>
          </cell>
          <cell r="D8606">
            <v>0</v>
          </cell>
          <cell r="E8606">
            <v>0</v>
          </cell>
          <cell r="F8606">
            <v>0</v>
          </cell>
          <cell r="G8606">
            <v>0</v>
          </cell>
        </row>
        <row r="8607">
          <cell r="A8607" t="str">
            <v>57-01-01-1017</v>
          </cell>
          <cell r="B8607">
            <v>0</v>
          </cell>
          <cell r="C8607" t="str">
            <v xml:space="preserve">   62270 ASGHAR MEHMOOD DF SHIFT B MILL</v>
          </cell>
          <cell r="D8607">
            <v>0</v>
          </cell>
          <cell r="E8607">
            <v>0</v>
          </cell>
          <cell r="F8607">
            <v>0</v>
          </cell>
          <cell r="G8607">
            <v>0</v>
          </cell>
        </row>
        <row r="8608">
          <cell r="A8608" t="str">
            <v>57-01-01-1018</v>
          </cell>
          <cell r="B8608">
            <v>0</v>
          </cell>
          <cell r="C8608" t="str">
            <v xml:space="preserve">   44925 FAISAL SHAHZAD CT SH.B MILL # 3</v>
          </cell>
          <cell r="D8608">
            <v>0</v>
          </cell>
          <cell r="E8608">
            <v>0</v>
          </cell>
          <cell r="F8608">
            <v>0</v>
          </cell>
          <cell r="G8608">
            <v>0</v>
          </cell>
        </row>
        <row r="8609">
          <cell r="A8609" t="str">
            <v>57-01-01-1019</v>
          </cell>
          <cell r="B8609">
            <v>0</v>
          </cell>
          <cell r="C8609" t="str">
            <v xml:space="preserve">   54300 RASHID IRSHAD OPT SHIFT G MILL</v>
          </cell>
          <cell r="D8609">
            <v>0</v>
          </cell>
          <cell r="E8609">
            <v>0</v>
          </cell>
          <cell r="F8609">
            <v>0</v>
          </cell>
          <cell r="G8609">
            <v>0</v>
          </cell>
        </row>
        <row r="8610">
          <cell r="A8610" t="str">
            <v>57-01-01-1020</v>
          </cell>
          <cell r="B8610">
            <v>0</v>
          </cell>
          <cell r="C8610" t="str">
            <v xml:space="preserve">  25839 SHAMSUDDIN H/FITTER SH.G MILL#</v>
          </cell>
          <cell r="D8610">
            <v>0</v>
          </cell>
          <cell r="E8610">
            <v>0</v>
          </cell>
          <cell r="F8610">
            <v>0</v>
          </cell>
          <cell r="G8610">
            <v>0</v>
          </cell>
        </row>
        <row r="8611">
          <cell r="A8611" t="str">
            <v>57-01-01-1021</v>
          </cell>
          <cell r="B8611">
            <v>0</v>
          </cell>
          <cell r="C8611" t="str">
            <v xml:space="preserve">   63202 MUHAMMAD IMRAN DF SHIFT C MILL</v>
          </cell>
          <cell r="D8611">
            <v>0</v>
          </cell>
          <cell r="E8611">
            <v>0</v>
          </cell>
          <cell r="F8611">
            <v>0</v>
          </cell>
          <cell r="G8611">
            <v>0</v>
          </cell>
        </row>
        <row r="8612">
          <cell r="A8612" t="str">
            <v>57-01-01-1022</v>
          </cell>
          <cell r="B8612">
            <v>0</v>
          </cell>
          <cell r="C8612" t="str">
            <v xml:space="preserve">   59076 FAIZ ELLAHI OPT SHIFT C MILL #</v>
          </cell>
          <cell r="D8612">
            <v>0</v>
          </cell>
          <cell r="E8612">
            <v>0</v>
          </cell>
          <cell r="F8612">
            <v>0</v>
          </cell>
          <cell r="G8612">
            <v>0</v>
          </cell>
        </row>
        <row r="8613">
          <cell r="A8613" t="str">
            <v>57-01-01-1023</v>
          </cell>
          <cell r="B8613">
            <v>0</v>
          </cell>
          <cell r="C8613" t="str">
            <v xml:space="preserve">  63579 MUHAMMAD RIZWAN OPT SHIFT C M #</v>
          </cell>
          <cell r="D8613">
            <v>0</v>
          </cell>
          <cell r="E8613">
            <v>0</v>
          </cell>
          <cell r="F8613">
            <v>0</v>
          </cell>
          <cell r="G8613">
            <v>0</v>
          </cell>
        </row>
        <row r="8614">
          <cell r="A8614" t="str">
            <v>57-01-01-1024</v>
          </cell>
          <cell r="B8614">
            <v>0</v>
          </cell>
          <cell r="C8614" t="str">
            <v xml:space="preserve">  62038 GHULAM MUSTAFA FITTER SHIFT G M</v>
          </cell>
          <cell r="D8614">
            <v>0</v>
          </cell>
          <cell r="E8614">
            <v>0</v>
          </cell>
          <cell r="F8614">
            <v>0</v>
          </cell>
          <cell r="G8614">
            <v>0</v>
          </cell>
        </row>
        <row r="8615">
          <cell r="A8615" t="str">
            <v>57-01-01-1025</v>
          </cell>
          <cell r="B8615">
            <v>0</v>
          </cell>
          <cell r="C8615" t="str">
            <v xml:space="preserve">   38105 ABDUL HAKIM OPT SHIFT A MILL #</v>
          </cell>
          <cell r="D8615">
            <v>0</v>
          </cell>
          <cell r="E8615">
            <v>0</v>
          </cell>
          <cell r="F8615">
            <v>0</v>
          </cell>
          <cell r="G8615">
            <v>0</v>
          </cell>
        </row>
        <row r="8616">
          <cell r="A8616" t="str">
            <v>57-01-01-1026</v>
          </cell>
          <cell r="B8616">
            <v>0</v>
          </cell>
          <cell r="C8616" t="str">
            <v xml:space="preserve">   59125 SAIFULLAH A/FITTER SH.G MILL #</v>
          </cell>
          <cell r="D8616">
            <v>0</v>
          </cell>
          <cell r="E8616">
            <v>0</v>
          </cell>
          <cell r="F8616">
            <v>0</v>
          </cell>
          <cell r="G8616">
            <v>0</v>
          </cell>
        </row>
        <row r="8617">
          <cell r="A8617" t="str">
            <v>57-01-01-1027</v>
          </cell>
          <cell r="B8617">
            <v>0</v>
          </cell>
          <cell r="C8617" t="str">
            <v xml:space="preserve">  63478 MUNIR AHMED A/JOBBER SHIFT C M</v>
          </cell>
          <cell r="D8617">
            <v>0</v>
          </cell>
          <cell r="E8617">
            <v>0</v>
          </cell>
          <cell r="F8617">
            <v>0</v>
          </cell>
          <cell r="G8617">
            <v>0</v>
          </cell>
        </row>
        <row r="8618">
          <cell r="A8618" t="str">
            <v>57-01-01-1028</v>
          </cell>
          <cell r="B8618">
            <v>0</v>
          </cell>
          <cell r="C8618" t="str">
            <v xml:space="preserve">   50433 RAJA SULTAN JOBBER SHIFT B MILL</v>
          </cell>
          <cell r="D8618">
            <v>0</v>
          </cell>
          <cell r="E8618">
            <v>0</v>
          </cell>
          <cell r="F8618">
            <v>0</v>
          </cell>
          <cell r="G8618">
            <v>0</v>
          </cell>
        </row>
        <row r="8619">
          <cell r="A8619" t="str">
            <v>57-01-01-1029</v>
          </cell>
          <cell r="B8619">
            <v>0</v>
          </cell>
          <cell r="C8619" t="str">
            <v xml:space="preserve">   61246 MUHAMMAD TANVIR SHAH Q/OB MILL</v>
          </cell>
          <cell r="D8619">
            <v>0</v>
          </cell>
          <cell r="E8619">
            <v>0</v>
          </cell>
          <cell r="F8619">
            <v>0</v>
          </cell>
          <cell r="G8619">
            <v>0</v>
          </cell>
        </row>
        <row r="8620">
          <cell r="A8620" t="str">
            <v>57-01-01-1030</v>
          </cell>
          <cell r="B8620">
            <v>0</v>
          </cell>
          <cell r="C8620" t="str">
            <v xml:space="preserve">   59063 HIMAD HUSSAIN S.Q.OBSERVER M #</v>
          </cell>
          <cell r="D8620">
            <v>0</v>
          </cell>
          <cell r="E8620">
            <v>0</v>
          </cell>
          <cell r="F8620">
            <v>0</v>
          </cell>
          <cell r="G8620">
            <v>0</v>
          </cell>
        </row>
        <row r="8621">
          <cell r="A8621" t="str">
            <v>57-01-01-1031</v>
          </cell>
          <cell r="B8621">
            <v>0</v>
          </cell>
          <cell r="C8621" t="str">
            <v xml:space="preserve">   20938 SHAMOON 4/S SHIFT B MILL # 2</v>
          </cell>
          <cell r="D8621">
            <v>0</v>
          </cell>
          <cell r="E8621">
            <v>0</v>
          </cell>
          <cell r="F8621">
            <v>0</v>
          </cell>
          <cell r="G8621">
            <v>0</v>
          </cell>
        </row>
        <row r="8622">
          <cell r="A8622" t="str">
            <v>57-01-01-1032</v>
          </cell>
          <cell r="B8622">
            <v>0</v>
          </cell>
          <cell r="C8622" t="str">
            <v xml:space="preserve">  61690 MEHIR KHAN 4/S SHIFT A MILL # 3</v>
          </cell>
          <cell r="D8622">
            <v>0</v>
          </cell>
          <cell r="E8622">
            <v>0</v>
          </cell>
          <cell r="F8622">
            <v>0</v>
          </cell>
          <cell r="G8622">
            <v>0</v>
          </cell>
        </row>
        <row r="8623">
          <cell r="A8623" t="str">
            <v>57-01-01-1033</v>
          </cell>
          <cell r="B8623">
            <v>0</v>
          </cell>
          <cell r="C8623" t="str">
            <v xml:space="preserve">   63991 NASRULLAH A/FITTER SHIFT G MILL</v>
          </cell>
          <cell r="D8623">
            <v>0</v>
          </cell>
          <cell r="E8623">
            <v>0</v>
          </cell>
          <cell r="F8623">
            <v>0</v>
          </cell>
          <cell r="G8623">
            <v>0</v>
          </cell>
        </row>
        <row r="8624">
          <cell r="A8624" t="str">
            <v>57-01-01-1034</v>
          </cell>
          <cell r="B8624">
            <v>0</v>
          </cell>
          <cell r="C8624" t="str">
            <v xml:space="preserve">   57020 MUHAMMAD SAJJAD OPT SHIFT C M #</v>
          </cell>
          <cell r="D8624">
            <v>0</v>
          </cell>
          <cell r="E8624">
            <v>0</v>
          </cell>
          <cell r="F8624">
            <v>0</v>
          </cell>
          <cell r="G8624">
            <v>0</v>
          </cell>
        </row>
        <row r="8625">
          <cell r="A8625" t="str">
            <v>57-01-01-1035</v>
          </cell>
          <cell r="B8625">
            <v>0</v>
          </cell>
          <cell r="C8625" t="str">
            <v xml:space="preserve">   64164 MUHAMMAD AFZAL 4/S SHIFT C M #</v>
          </cell>
          <cell r="D8625">
            <v>0</v>
          </cell>
          <cell r="E8625">
            <v>0</v>
          </cell>
          <cell r="F8625">
            <v>0</v>
          </cell>
          <cell r="G8625">
            <v>0</v>
          </cell>
        </row>
        <row r="8626">
          <cell r="A8626" t="str">
            <v>57-01-01-1036</v>
          </cell>
          <cell r="B8626">
            <v>0</v>
          </cell>
          <cell r="C8626" t="str">
            <v xml:space="preserve">  21869 SARBAZ JOBBER SHIFT C MILL # 1</v>
          </cell>
          <cell r="D8626">
            <v>0</v>
          </cell>
          <cell r="E8626">
            <v>0</v>
          </cell>
          <cell r="F8626">
            <v>0</v>
          </cell>
          <cell r="G8626">
            <v>0</v>
          </cell>
        </row>
        <row r="8627">
          <cell r="A8627" t="str">
            <v>57-01-01-1037</v>
          </cell>
          <cell r="B8627">
            <v>0</v>
          </cell>
          <cell r="C8627" t="str">
            <v xml:space="preserve">   55726 ABDUL MAJEED DDT SHIFT A MILL #</v>
          </cell>
          <cell r="D8627">
            <v>0</v>
          </cell>
          <cell r="E8627">
            <v>0</v>
          </cell>
          <cell r="F8627">
            <v>0</v>
          </cell>
          <cell r="G8627">
            <v>0</v>
          </cell>
        </row>
        <row r="8628">
          <cell r="A8628" t="str">
            <v>57-01-01-1038</v>
          </cell>
          <cell r="B8628">
            <v>0</v>
          </cell>
          <cell r="C8628" t="str">
            <v xml:space="preserve">   54752 GHULAM MUHAMMAD JOBBER MILL # 1</v>
          </cell>
          <cell r="D8628">
            <v>0</v>
          </cell>
          <cell r="E8628">
            <v>0</v>
          </cell>
          <cell r="F8628">
            <v>0</v>
          </cell>
          <cell r="G8628">
            <v>0</v>
          </cell>
        </row>
        <row r="8629">
          <cell r="A8629" t="str">
            <v>57-01-01-1039</v>
          </cell>
          <cell r="B8629">
            <v>0</v>
          </cell>
          <cell r="C8629" t="str">
            <v xml:space="preserve">   54548 MUHAMMAD FAROOQ OPT SHIFT C M #</v>
          </cell>
          <cell r="D8629">
            <v>0</v>
          </cell>
          <cell r="E8629">
            <v>0</v>
          </cell>
          <cell r="F8629">
            <v>0</v>
          </cell>
          <cell r="G8629">
            <v>0</v>
          </cell>
        </row>
        <row r="8630">
          <cell r="A8630" t="str">
            <v>57-01-01-1040</v>
          </cell>
          <cell r="B8630">
            <v>0</v>
          </cell>
          <cell r="C8630" t="str">
            <v xml:space="preserve">  55627 MUHAMMAD SAEED DST SHIFT B M #</v>
          </cell>
          <cell r="D8630">
            <v>0</v>
          </cell>
          <cell r="E8630">
            <v>0</v>
          </cell>
          <cell r="F8630">
            <v>0</v>
          </cell>
          <cell r="G8630">
            <v>0</v>
          </cell>
        </row>
        <row r="8631">
          <cell r="A8631" t="str">
            <v>57-01-01-1041</v>
          </cell>
          <cell r="B8631">
            <v>0</v>
          </cell>
          <cell r="C8631" t="str">
            <v xml:space="preserve">   39366 ASIF ALI 4/S SHIFT A MILL # 2</v>
          </cell>
          <cell r="D8631">
            <v>0</v>
          </cell>
          <cell r="E8631">
            <v>0</v>
          </cell>
          <cell r="F8631">
            <v>0</v>
          </cell>
          <cell r="G8631">
            <v>0</v>
          </cell>
        </row>
        <row r="8632">
          <cell r="A8632" t="str">
            <v>57-01-01-1042</v>
          </cell>
          <cell r="B8632">
            <v>0</v>
          </cell>
          <cell r="C8632" t="str">
            <v xml:space="preserve">   48072 MUHAMMAD QAISAR DDT MILL # 3</v>
          </cell>
          <cell r="D8632">
            <v>0</v>
          </cell>
          <cell r="E8632">
            <v>0</v>
          </cell>
          <cell r="F8632">
            <v>0</v>
          </cell>
          <cell r="G8632">
            <v>0</v>
          </cell>
        </row>
        <row r="8633">
          <cell r="A8633" t="str">
            <v>57-01-01-1043</v>
          </cell>
          <cell r="B8633">
            <v>0</v>
          </cell>
          <cell r="C8633" t="str">
            <v xml:space="preserve">   60336 MUHAMMAD ASLAM DF MILL # 3</v>
          </cell>
          <cell r="D8633">
            <v>0</v>
          </cell>
          <cell r="E8633">
            <v>0</v>
          </cell>
          <cell r="F8633">
            <v>0</v>
          </cell>
          <cell r="G8633">
            <v>0</v>
          </cell>
        </row>
        <row r="8634">
          <cell r="A8634" t="str">
            <v>57-01-01-1044</v>
          </cell>
          <cell r="B8634">
            <v>0</v>
          </cell>
          <cell r="C8634" t="str">
            <v xml:space="preserve">  30206 ASIF MEHMOOD A/F RING 4 MILL#2</v>
          </cell>
          <cell r="D8634">
            <v>0</v>
          </cell>
          <cell r="E8634">
            <v>0</v>
          </cell>
          <cell r="F8634">
            <v>0</v>
          </cell>
          <cell r="G8634">
            <v>0</v>
          </cell>
        </row>
        <row r="8635">
          <cell r="A8635" t="str">
            <v>57-01-01-1045</v>
          </cell>
          <cell r="B8635">
            <v>0</v>
          </cell>
          <cell r="C8635" t="str">
            <v xml:space="preserve">   41617 MUHAMMAD NASIR OPT SHIFT A MILL</v>
          </cell>
          <cell r="D8635">
            <v>0</v>
          </cell>
          <cell r="E8635">
            <v>0</v>
          </cell>
          <cell r="F8635">
            <v>0</v>
          </cell>
          <cell r="G8635">
            <v>0</v>
          </cell>
        </row>
        <row r="8636">
          <cell r="A8636" t="str">
            <v>57-01-01-1046</v>
          </cell>
          <cell r="B8636">
            <v>0</v>
          </cell>
          <cell r="C8636" t="str">
            <v xml:space="preserve">  58154 SHAHZAD HAIDER Q.OBSERVER LAB.#</v>
          </cell>
          <cell r="D8636">
            <v>0</v>
          </cell>
          <cell r="E8636">
            <v>0</v>
          </cell>
          <cell r="F8636">
            <v>0</v>
          </cell>
          <cell r="G8636">
            <v>0</v>
          </cell>
        </row>
        <row r="8637">
          <cell r="A8637" t="str">
            <v>57-01-01-1047</v>
          </cell>
          <cell r="B8637">
            <v>0</v>
          </cell>
          <cell r="C8637" t="str">
            <v xml:space="preserve">   31967 RIAZ AHMED ELECTRICIAN MILL # 1</v>
          </cell>
          <cell r="D8637">
            <v>0</v>
          </cell>
          <cell r="E8637">
            <v>0</v>
          </cell>
          <cell r="F8637">
            <v>0</v>
          </cell>
          <cell r="G8637">
            <v>0</v>
          </cell>
        </row>
        <row r="8638">
          <cell r="A8638" t="str">
            <v>57-01-01-1048</v>
          </cell>
          <cell r="B8638">
            <v>0</v>
          </cell>
          <cell r="C8638" t="str">
            <v xml:space="preserve">   48949 WAJID ALI JOBBER SHIFT B MILL #</v>
          </cell>
          <cell r="D8638">
            <v>0</v>
          </cell>
          <cell r="E8638">
            <v>0</v>
          </cell>
          <cell r="F8638">
            <v>0</v>
          </cell>
          <cell r="G8638">
            <v>0</v>
          </cell>
        </row>
        <row r="8639">
          <cell r="A8639" t="str">
            <v>57-01-01-1049</v>
          </cell>
          <cell r="B8639">
            <v>0</v>
          </cell>
          <cell r="C8639" t="str">
            <v xml:space="preserve">   53460 MUHAMMAD TARIQ DF MILL #</v>
          </cell>
          <cell r="D8639">
            <v>0</v>
          </cell>
          <cell r="E8639">
            <v>0</v>
          </cell>
          <cell r="F8639">
            <v>0</v>
          </cell>
          <cell r="G8639">
            <v>0</v>
          </cell>
        </row>
        <row r="8640">
          <cell r="A8640" t="str">
            <v>57-01-01-1050</v>
          </cell>
          <cell r="B8640">
            <v>0</v>
          </cell>
          <cell r="C8640" t="str">
            <v xml:space="preserve">  SHAFAQAT ALI A/FITTER SHIFT G</v>
          </cell>
          <cell r="D8640">
            <v>0</v>
          </cell>
          <cell r="E8640">
            <v>0</v>
          </cell>
          <cell r="F8640">
            <v>0</v>
          </cell>
          <cell r="G8640">
            <v>0</v>
          </cell>
        </row>
        <row r="8641">
          <cell r="A8641" t="str">
            <v>57-01-01-1051</v>
          </cell>
          <cell r="B8641">
            <v>0</v>
          </cell>
          <cell r="C8641" t="str">
            <v xml:space="preserve">  JAVED YOUSAF M/SUPERVISOR LAB-4.</v>
          </cell>
          <cell r="D8641">
            <v>0</v>
          </cell>
          <cell r="E8641">
            <v>0</v>
          </cell>
          <cell r="F8641">
            <v>0</v>
          </cell>
          <cell r="G8641">
            <v>0</v>
          </cell>
        </row>
        <row r="8642">
          <cell r="A8642" t="str">
            <v>57-01-01-1052</v>
          </cell>
          <cell r="B8642">
            <v>0</v>
          </cell>
          <cell r="C8642" t="str">
            <v xml:space="preserve">  57860 JAVED IQBAL MIXING CLERK LAB-2</v>
          </cell>
          <cell r="D8642">
            <v>0</v>
          </cell>
          <cell r="E8642">
            <v>0</v>
          </cell>
          <cell r="F8642">
            <v>0</v>
          </cell>
          <cell r="G8642">
            <v>0</v>
          </cell>
        </row>
        <row r="8643">
          <cell r="A8643" t="str">
            <v>57-01-01-1053</v>
          </cell>
          <cell r="B8643">
            <v>0</v>
          </cell>
          <cell r="C8643" t="str">
            <v xml:space="preserve">   42609 TARIQ JAVED HELPER D/SIMPLEX-1</v>
          </cell>
          <cell r="D8643">
            <v>0</v>
          </cell>
          <cell r="E8643">
            <v>0</v>
          </cell>
          <cell r="F8643">
            <v>0</v>
          </cell>
          <cell r="G8643">
            <v>0</v>
          </cell>
        </row>
        <row r="8644">
          <cell r="A8644" t="str">
            <v>57-01-01-1054</v>
          </cell>
          <cell r="B8644">
            <v>0</v>
          </cell>
          <cell r="C8644" t="str">
            <v xml:space="preserve">  30880 HABIB ULLAH OPT A/CONE-1 SHIFT-</v>
          </cell>
          <cell r="D8644">
            <v>0</v>
          </cell>
          <cell r="E8644">
            <v>0</v>
          </cell>
          <cell r="F8644">
            <v>0</v>
          </cell>
          <cell r="G8644">
            <v>0</v>
          </cell>
        </row>
        <row r="8645">
          <cell r="A8645" t="str">
            <v>57-01-01-1055</v>
          </cell>
          <cell r="B8645">
            <v>0</v>
          </cell>
          <cell r="C8645" t="str">
            <v xml:space="preserve">   29788 MAZHAR IQBAL OPT SHIFT A MILL #</v>
          </cell>
          <cell r="D8645">
            <v>0</v>
          </cell>
          <cell r="E8645">
            <v>0</v>
          </cell>
          <cell r="F8645">
            <v>0</v>
          </cell>
          <cell r="G8645">
            <v>0</v>
          </cell>
        </row>
        <row r="8646">
          <cell r="A8646" t="str">
            <v>57-01-01-1056</v>
          </cell>
          <cell r="B8646">
            <v>0</v>
          </cell>
          <cell r="C8646" t="str">
            <v xml:space="preserve">  41946 KHYZER HAYAT OPT SHIFT A MILL #</v>
          </cell>
          <cell r="D8646">
            <v>0</v>
          </cell>
          <cell r="E8646">
            <v>0</v>
          </cell>
          <cell r="F8646">
            <v>0</v>
          </cell>
          <cell r="G8646">
            <v>0</v>
          </cell>
        </row>
        <row r="8647">
          <cell r="A8647" t="str">
            <v>57-01-01-1057</v>
          </cell>
          <cell r="B8647">
            <v>0</v>
          </cell>
          <cell r="C8647" t="str">
            <v xml:space="preserve">  46351 ABDUL GHAFOOR OPT MILL # 3</v>
          </cell>
          <cell r="D8647">
            <v>0</v>
          </cell>
          <cell r="E8647">
            <v>0</v>
          </cell>
          <cell r="F8647">
            <v>0</v>
          </cell>
          <cell r="G8647">
            <v>0</v>
          </cell>
        </row>
        <row r="8648">
          <cell r="A8648" t="str">
            <v>57-01-01-1058</v>
          </cell>
          <cell r="B8648">
            <v>0</v>
          </cell>
          <cell r="C8648" t="str">
            <v xml:space="preserve">   36560 SAFDAR HUSSAIN OPT MILL # 3</v>
          </cell>
          <cell r="D8648">
            <v>0</v>
          </cell>
          <cell r="E8648">
            <v>0</v>
          </cell>
          <cell r="F8648">
            <v>0</v>
          </cell>
          <cell r="G8648">
            <v>0</v>
          </cell>
        </row>
        <row r="8649">
          <cell r="A8649" t="str">
            <v>57-01-01-1059</v>
          </cell>
          <cell r="B8649">
            <v>0</v>
          </cell>
          <cell r="C8649" t="str">
            <v xml:space="preserve">   55989 GHULAM MUSTAFA A/FITTER MILL #</v>
          </cell>
          <cell r="D8649">
            <v>0</v>
          </cell>
          <cell r="E8649">
            <v>0</v>
          </cell>
          <cell r="F8649">
            <v>0</v>
          </cell>
          <cell r="G8649">
            <v>0</v>
          </cell>
        </row>
        <row r="8650">
          <cell r="A8650" t="str">
            <v>57-01-01-1060</v>
          </cell>
          <cell r="B8650">
            <v>0</v>
          </cell>
          <cell r="C8650" t="str">
            <v xml:space="preserve">   48798 BASHIR AHMED OPT MILL # 1</v>
          </cell>
          <cell r="D8650">
            <v>0</v>
          </cell>
          <cell r="E8650">
            <v>0</v>
          </cell>
          <cell r="F8650">
            <v>0</v>
          </cell>
          <cell r="G8650">
            <v>0</v>
          </cell>
        </row>
        <row r="8651">
          <cell r="A8651" t="str">
            <v>57-01-01-1061</v>
          </cell>
          <cell r="B8651">
            <v>0</v>
          </cell>
          <cell r="C8651" t="str">
            <v xml:space="preserve">   29867 TANVEER AHMED OPT MILL # 1</v>
          </cell>
          <cell r="D8651">
            <v>0</v>
          </cell>
          <cell r="E8651">
            <v>0</v>
          </cell>
          <cell r="F8651">
            <v>0</v>
          </cell>
          <cell r="G8651">
            <v>0</v>
          </cell>
        </row>
        <row r="8652">
          <cell r="A8652" t="str">
            <v>57-01-01-1062</v>
          </cell>
          <cell r="B8652">
            <v>0</v>
          </cell>
          <cell r="C8652" t="str">
            <v xml:space="preserve">  53210 SHOUKAT KHAN A/JOBBER MILL # 4</v>
          </cell>
          <cell r="D8652">
            <v>0</v>
          </cell>
          <cell r="E8652">
            <v>0</v>
          </cell>
          <cell r="F8652">
            <v>0</v>
          </cell>
          <cell r="G8652">
            <v>0</v>
          </cell>
        </row>
        <row r="8653">
          <cell r="A8653" t="str">
            <v>57-01-01-1063</v>
          </cell>
          <cell r="B8653">
            <v>0</v>
          </cell>
          <cell r="C8653" t="str">
            <v xml:space="preserve">  ZAHID MANZOOR OPT MILL # 1.</v>
          </cell>
          <cell r="D8653">
            <v>0</v>
          </cell>
          <cell r="E8653">
            <v>0</v>
          </cell>
          <cell r="F8653">
            <v>0</v>
          </cell>
          <cell r="G8653">
            <v>0</v>
          </cell>
        </row>
        <row r="8654">
          <cell r="A8654" t="str">
            <v>57-01-01-1064</v>
          </cell>
          <cell r="B8654">
            <v>0</v>
          </cell>
          <cell r="C8654" t="str">
            <v xml:space="preserve">  MUHAMMAD LATIF 4/S MILL # 2.</v>
          </cell>
          <cell r="D8654">
            <v>0</v>
          </cell>
          <cell r="E8654">
            <v>0</v>
          </cell>
          <cell r="F8654">
            <v>0</v>
          </cell>
          <cell r="G8654">
            <v>0</v>
          </cell>
        </row>
        <row r="8655">
          <cell r="A8655" t="str">
            <v>57-01-01-1065</v>
          </cell>
          <cell r="B8655">
            <v>0</v>
          </cell>
          <cell r="C8655" t="str">
            <v xml:space="preserve">  52100 ANSAR ABBAS  TAPEMAN MILL # 1</v>
          </cell>
          <cell r="D8655">
            <v>0</v>
          </cell>
          <cell r="E8655">
            <v>0</v>
          </cell>
          <cell r="F8655">
            <v>0</v>
          </cell>
          <cell r="G8655">
            <v>0</v>
          </cell>
        </row>
        <row r="8656">
          <cell r="A8656" t="str">
            <v>57-01-01-1066</v>
          </cell>
          <cell r="B8656">
            <v>0</v>
          </cell>
          <cell r="C8656" t="str">
            <v xml:space="preserve">  SHAH KAMRAN 4/S MILL # 1.</v>
          </cell>
          <cell r="D8656">
            <v>0</v>
          </cell>
          <cell r="E8656">
            <v>0</v>
          </cell>
          <cell r="F8656">
            <v>0</v>
          </cell>
          <cell r="G8656">
            <v>0</v>
          </cell>
        </row>
        <row r="8657">
          <cell r="A8657" t="str">
            <v>57-01-01-1067</v>
          </cell>
          <cell r="B8657">
            <v>0</v>
          </cell>
          <cell r="C8657" t="str">
            <v xml:space="preserve">  ZAFAR IQBAL CT MILL # 1.</v>
          </cell>
          <cell r="D8657">
            <v>0</v>
          </cell>
          <cell r="E8657">
            <v>0</v>
          </cell>
          <cell r="F8657">
            <v>0</v>
          </cell>
          <cell r="G8657">
            <v>0</v>
          </cell>
        </row>
        <row r="8658">
          <cell r="A8658" t="str">
            <v>57-01-01-1068</v>
          </cell>
          <cell r="B8658">
            <v>0</v>
          </cell>
          <cell r="C8658" t="str">
            <v xml:space="preserve">  18461 NAWAB SHAH  4/S MILL # 1</v>
          </cell>
          <cell r="D8658">
            <v>0</v>
          </cell>
          <cell r="E8658">
            <v>0</v>
          </cell>
          <cell r="F8658">
            <v>0</v>
          </cell>
          <cell r="G8658">
            <v>0</v>
          </cell>
        </row>
        <row r="8659">
          <cell r="A8659" t="str">
            <v>57-01-01-1069</v>
          </cell>
          <cell r="B8659">
            <v>0</v>
          </cell>
          <cell r="C8659" t="str">
            <v xml:space="preserve">   61964 MUHAMMAD ZAMIR 4/S MILL # 1</v>
          </cell>
          <cell r="D8659">
            <v>0</v>
          </cell>
          <cell r="E8659">
            <v>0</v>
          </cell>
          <cell r="F8659">
            <v>0</v>
          </cell>
          <cell r="G8659">
            <v>0</v>
          </cell>
        </row>
        <row r="8660">
          <cell r="A8660" t="str">
            <v>57-01-01-1070</v>
          </cell>
          <cell r="B8660">
            <v>0</v>
          </cell>
          <cell r="C8660" t="str">
            <v xml:space="preserve">   23736 GHULAM SHABBIR JOBBER MILL # 2</v>
          </cell>
          <cell r="D8660">
            <v>0</v>
          </cell>
          <cell r="E8660">
            <v>0</v>
          </cell>
          <cell r="F8660">
            <v>0</v>
          </cell>
          <cell r="G8660">
            <v>0</v>
          </cell>
        </row>
        <row r="8661">
          <cell r="A8661" t="str">
            <v>57-01-01-1071</v>
          </cell>
          <cell r="B8661">
            <v>0</v>
          </cell>
          <cell r="C8661" t="str">
            <v xml:space="preserve">  47417 MUBASHIR 4/S MILL # 2</v>
          </cell>
          <cell r="D8661">
            <v>0</v>
          </cell>
          <cell r="E8661">
            <v>0</v>
          </cell>
          <cell r="F8661">
            <v>0</v>
          </cell>
          <cell r="G8661">
            <v>0</v>
          </cell>
        </row>
        <row r="8662">
          <cell r="A8662" t="str">
            <v>57-01-01-1072</v>
          </cell>
          <cell r="B8662">
            <v>0</v>
          </cell>
          <cell r="C8662" t="str">
            <v xml:space="preserve">  42306 MUHAMMAD AFZAL FOREMAN MILL # 4</v>
          </cell>
          <cell r="D8662">
            <v>8000</v>
          </cell>
          <cell r="E8662">
            <v>0</v>
          </cell>
          <cell r="F8662">
            <v>0</v>
          </cell>
          <cell r="G8662">
            <v>0</v>
          </cell>
        </row>
        <row r="8663">
          <cell r="A8663" t="str">
            <v>57-01-01-1073</v>
          </cell>
          <cell r="B8663">
            <v>0</v>
          </cell>
          <cell r="C8663" t="str">
            <v xml:space="preserve">  NAZAR HUSSAN 4/S MIL # 4.</v>
          </cell>
          <cell r="D8663">
            <v>0</v>
          </cell>
          <cell r="E8663">
            <v>0</v>
          </cell>
          <cell r="F8663">
            <v>0</v>
          </cell>
          <cell r="G8663">
            <v>0</v>
          </cell>
        </row>
        <row r="8664">
          <cell r="A8664" t="str">
            <v>57-01-01-1074</v>
          </cell>
          <cell r="B8664">
            <v>0</v>
          </cell>
          <cell r="C8664" t="str">
            <v xml:space="preserve">  60086 SULEMAN OPT MILL # 3</v>
          </cell>
          <cell r="D8664">
            <v>0</v>
          </cell>
          <cell r="E8664">
            <v>0</v>
          </cell>
          <cell r="F8664">
            <v>0</v>
          </cell>
          <cell r="G8664">
            <v>0</v>
          </cell>
        </row>
        <row r="8665">
          <cell r="A8665" t="str">
            <v>57-01-01-1075</v>
          </cell>
          <cell r="B8665">
            <v>0</v>
          </cell>
          <cell r="C8665" t="str">
            <v xml:space="preserve">  36078 GHAFFAR AHMED DF MILL # 2</v>
          </cell>
          <cell r="D8665">
            <v>0</v>
          </cell>
          <cell r="E8665">
            <v>0</v>
          </cell>
          <cell r="F8665">
            <v>0</v>
          </cell>
          <cell r="G8665">
            <v>0</v>
          </cell>
        </row>
        <row r="8666">
          <cell r="A8666" t="str">
            <v>57-01-01-1076</v>
          </cell>
          <cell r="B8666">
            <v>0</v>
          </cell>
          <cell r="C8666" t="str">
            <v xml:space="preserve">  55540 AMIR KHAN 4/S MILL # 2</v>
          </cell>
          <cell r="D8666">
            <v>0</v>
          </cell>
          <cell r="E8666">
            <v>0</v>
          </cell>
          <cell r="F8666">
            <v>0</v>
          </cell>
          <cell r="G8666">
            <v>0</v>
          </cell>
        </row>
        <row r="8667">
          <cell r="A8667" t="str">
            <v>57-01-01-1077</v>
          </cell>
          <cell r="B8667">
            <v>0</v>
          </cell>
          <cell r="C8667" t="str">
            <v xml:space="preserve">  48427 MUHAMMAD ASIF OPT MILL # 2</v>
          </cell>
          <cell r="D8667">
            <v>0</v>
          </cell>
          <cell r="E8667">
            <v>0</v>
          </cell>
          <cell r="F8667">
            <v>0</v>
          </cell>
          <cell r="G8667">
            <v>0</v>
          </cell>
        </row>
        <row r="8668">
          <cell r="A8668" t="str">
            <v>57-01-01-1078</v>
          </cell>
          <cell r="B8668">
            <v>0</v>
          </cell>
          <cell r="C8668" t="str">
            <v xml:space="preserve">   44129 SHAMRAIZ IQBAL 4/S MILL # 3</v>
          </cell>
          <cell r="D8668">
            <v>0</v>
          </cell>
          <cell r="E8668">
            <v>0</v>
          </cell>
          <cell r="F8668">
            <v>0</v>
          </cell>
          <cell r="G8668">
            <v>0</v>
          </cell>
        </row>
        <row r="8669">
          <cell r="A8669" t="str">
            <v>57-01-01-1079</v>
          </cell>
          <cell r="B8669">
            <v>0</v>
          </cell>
          <cell r="C8669" t="str">
            <v xml:space="preserve">   59681 SAQIB ALI HELPER MILL # 2</v>
          </cell>
          <cell r="D8669">
            <v>0</v>
          </cell>
          <cell r="E8669">
            <v>0</v>
          </cell>
          <cell r="F8669">
            <v>0</v>
          </cell>
          <cell r="G8669">
            <v>0</v>
          </cell>
        </row>
        <row r="8670">
          <cell r="A8670" t="str">
            <v>57-01-01-1080</v>
          </cell>
          <cell r="B8670">
            <v>0</v>
          </cell>
          <cell r="C8670" t="str">
            <v xml:space="preserve">   63750 MUHAMMAD AHSAN MIXING INCHARGE</v>
          </cell>
          <cell r="D8670">
            <v>0</v>
          </cell>
          <cell r="E8670">
            <v>0</v>
          </cell>
          <cell r="F8670">
            <v>0</v>
          </cell>
          <cell r="G8670">
            <v>0</v>
          </cell>
        </row>
        <row r="8671">
          <cell r="A8671" t="str">
            <v>57-01-01-1081</v>
          </cell>
          <cell r="B8671">
            <v>0</v>
          </cell>
          <cell r="C8671" t="str">
            <v xml:space="preserve">  57909 MUHAMMAD ASHFAQ 4/S MILL # 1</v>
          </cell>
          <cell r="D8671">
            <v>0</v>
          </cell>
          <cell r="E8671">
            <v>0</v>
          </cell>
          <cell r="F8671">
            <v>0</v>
          </cell>
          <cell r="G8671">
            <v>0</v>
          </cell>
        </row>
        <row r="8672">
          <cell r="A8672" t="str">
            <v>57-01-01-1082</v>
          </cell>
          <cell r="B8672">
            <v>0</v>
          </cell>
          <cell r="C8672" t="str">
            <v xml:space="preserve">   29357 SHAHBAZ AHMED 4/S MILL # 3</v>
          </cell>
          <cell r="D8672">
            <v>0</v>
          </cell>
          <cell r="E8672">
            <v>0</v>
          </cell>
          <cell r="F8672">
            <v>0</v>
          </cell>
          <cell r="G8672">
            <v>0</v>
          </cell>
        </row>
        <row r="8673">
          <cell r="A8673" t="str">
            <v>57-01-01-1083</v>
          </cell>
          <cell r="B8673">
            <v>0</v>
          </cell>
          <cell r="C8673" t="str">
            <v xml:space="preserve">   28279 IHSANULLAH 4/S MILL # 1</v>
          </cell>
          <cell r="D8673">
            <v>0</v>
          </cell>
          <cell r="E8673">
            <v>0</v>
          </cell>
          <cell r="F8673">
            <v>0</v>
          </cell>
          <cell r="G8673">
            <v>0</v>
          </cell>
        </row>
        <row r="8674">
          <cell r="A8674" t="str">
            <v>57-01-01-1084</v>
          </cell>
          <cell r="B8674">
            <v>0</v>
          </cell>
          <cell r="C8674" t="str">
            <v xml:space="preserve">  23812 GULAB KHAN 4/S MILL # 1</v>
          </cell>
          <cell r="D8674">
            <v>0</v>
          </cell>
          <cell r="E8674">
            <v>0</v>
          </cell>
          <cell r="F8674">
            <v>0</v>
          </cell>
          <cell r="G8674">
            <v>0</v>
          </cell>
        </row>
        <row r="8675">
          <cell r="A8675" t="str">
            <v>57-01-01-1085</v>
          </cell>
          <cell r="B8675">
            <v>0</v>
          </cell>
          <cell r="C8675" t="str">
            <v xml:space="preserve">   56746 WALAYAT HUSSAIN 4/S MILL # 3</v>
          </cell>
          <cell r="D8675">
            <v>0</v>
          </cell>
          <cell r="E8675">
            <v>0</v>
          </cell>
          <cell r="F8675">
            <v>0</v>
          </cell>
          <cell r="G8675">
            <v>0</v>
          </cell>
        </row>
        <row r="8676">
          <cell r="A8676" t="str">
            <v>57-01-01-1086</v>
          </cell>
          <cell r="B8676">
            <v>0</v>
          </cell>
          <cell r="C8676" t="str">
            <v xml:space="preserve">  54469 SULTAN MEHMOOD OPT MILL # 2</v>
          </cell>
          <cell r="D8676">
            <v>0</v>
          </cell>
          <cell r="E8676">
            <v>0</v>
          </cell>
          <cell r="F8676">
            <v>0</v>
          </cell>
          <cell r="G8676">
            <v>0</v>
          </cell>
        </row>
        <row r="8677">
          <cell r="A8677" t="str">
            <v>57-01-01-1087</v>
          </cell>
          <cell r="B8677">
            <v>0</v>
          </cell>
          <cell r="C8677" t="str">
            <v xml:space="preserve">  55924 UMER DARAZ OPT MILL # 2</v>
          </cell>
          <cell r="D8677">
            <v>0</v>
          </cell>
          <cell r="E8677">
            <v>0</v>
          </cell>
          <cell r="F8677">
            <v>0</v>
          </cell>
          <cell r="G8677">
            <v>0</v>
          </cell>
        </row>
        <row r="8678">
          <cell r="A8678" t="str">
            <v>57-01-01-1088</v>
          </cell>
          <cell r="B8678">
            <v>0</v>
          </cell>
          <cell r="C8678" t="str">
            <v xml:space="preserve">   56174 MUHAMMAD AKRAM A/FITTER MILL #</v>
          </cell>
          <cell r="D8678">
            <v>0</v>
          </cell>
          <cell r="E8678">
            <v>0</v>
          </cell>
          <cell r="F8678">
            <v>0</v>
          </cell>
          <cell r="G8678">
            <v>0</v>
          </cell>
        </row>
        <row r="8679">
          <cell r="A8679" t="str">
            <v>57-01-01-1089</v>
          </cell>
          <cell r="B8679">
            <v>0</v>
          </cell>
          <cell r="C8679" t="str">
            <v xml:space="preserve">   55660 MUNIR AHMED PT MILL # 2</v>
          </cell>
          <cell r="D8679">
            <v>0</v>
          </cell>
          <cell r="E8679">
            <v>0</v>
          </cell>
          <cell r="F8679">
            <v>0</v>
          </cell>
          <cell r="G8679">
            <v>0</v>
          </cell>
        </row>
        <row r="8680">
          <cell r="A8680" t="str">
            <v>57-01-01-1090</v>
          </cell>
          <cell r="B8680">
            <v>0</v>
          </cell>
          <cell r="C8680" t="str">
            <v xml:space="preserve">   50661 ZAFAR IQBAL CT MILL # 2</v>
          </cell>
          <cell r="D8680">
            <v>0</v>
          </cell>
          <cell r="E8680">
            <v>0</v>
          </cell>
          <cell r="F8680">
            <v>0</v>
          </cell>
          <cell r="G8680">
            <v>0</v>
          </cell>
        </row>
        <row r="8681">
          <cell r="A8681" t="str">
            <v>57-01-01-1091</v>
          </cell>
          <cell r="B8681">
            <v>0</v>
          </cell>
          <cell r="C8681" t="str">
            <v xml:space="preserve">   64149 MUHAMMAD ASLAM OPT MILL # 2</v>
          </cell>
          <cell r="D8681">
            <v>0</v>
          </cell>
          <cell r="E8681">
            <v>0</v>
          </cell>
          <cell r="F8681">
            <v>0</v>
          </cell>
          <cell r="G8681">
            <v>0</v>
          </cell>
        </row>
        <row r="8682">
          <cell r="A8682" t="str">
            <v>57-01-01-1092</v>
          </cell>
          <cell r="B8682">
            <v>0</v>
          </cell>
          <cell r="C8682" t="str">
            <v xml:space="preserve">  48305 KHAISTA REHMAN 4/S MILL # 1</v>
          </cell>
          <cell r="D8682">
            <v>0</v>
          </cell>
          <cell r="E8682">
            <v>0</v>
          </cell>
          <cell r="F8682">
            <v>0</v>
          </cell>
          <cell r="G8682">
            <v>0</v>
          </cell>
        </row>
        <row r="8683">
          <cell r="A8683" t="str">
            <v>57-01-01-1093</v>
          </cell>
          <cell r="B8683">
            <v>0</v>
          </cell>
          <cell r="C8683" t="str">
            <v xml:space="preserve">  48729 MUHAMMAD ILYAS 4/S MILL # 3</v>
          </cell>
          <cell r="D8683">
            <v>0</v>
          </cell>
          <cell r="E8683">
            <v>0</v>
          </cell>
          <cell r="F8683">
            <v>0</v>
          </cell>
          <cell r="G8683">
            <v>0</v>
          </cell>
        </row>
        <row r="8684">
          <cell r="A8684" t="str">
            <v>57-01-01-1094</v>
          </cell>
          <cell r="B8684">
            <v>0</v>
          </cell>
          <cell r="C8684" t="str">
            <v xml:space="preserve">  38810 KHURRAM SHAHZAD 4/S MILL # 4</v>
          </cell>
          <cell r="D8684">
            <v>0</v>
          </cell>
          <cell r="E8684">
            <v>0</v>
          </cell>
          <cell r="F8684">
            <v>0</v>
          </cell>
          <cell r="G8684">
            <v>0</v>
          </cell>
        </row>
        <row r="8685">
          <cell r="A8685" t="str">
            <v>57-01-01-1095</v>
          </cell>
          <cell r="B8685">
            <v>0</v>
          </cell>
          <cell r="C8685" t="str">
            <v xml:space="preserve">  38810 KHURRAM SHAHZAD 4/S MILL # 4</v>
          </cell>
          <cell r="D8685">
            <v>0</v>
          </cell>
          <cell r="E8685">
            <v>0</v>
          </cell>
          <cell r="F8685">
            <v>0</v>
          </cell>
          <cell r="G8685">
            <v>0</v>
          </cell>
        </row>
        <row r="8686">
          <cell r="A8686" t="str">
            <v>57-01-01-1096</v>
          </cell>
          <cell r="B8686">
            <v>0</v>
          </cell>
          <cell r="C8686" t="str">
            <v xml:space="preserve">   29969 SHAN ALI 4/S MILL # 3</v>
          </cell>
          <cell r="D8686">
            <v>0</v>
          </cell>
          <cell r="E8686">
            <v>0</v>
          </cell>
          <cell r="F8686">
            <v>0</v>
          </cell>
          <cell r="G8686">
            <v>0</v>
          </cell>
        </row>
        <row r="8687">
          <cell r="A8687" t="str">
            <v>57-01-01-1097</v>
          </cell>
          <cell r="B8687">
            <v>0</v>
          </cell>
          <cell r="C8687" t="str">
            <v xml:space="preserve">   41737 MANAZIR HUSSAIN CT MILL # 3</v>
          </cell>
          <cell r="D8687">
            <v>0</v>
          </cell>
          <cell r="E8687">
            <v>0</v>
          </cell>
          <cell r="F8687">
            <v>0</v>
          </cell>
          <cell r="G8687">
            <v>0</v>
          </cell>
        </row>
        <row r="8688">
          <cell r="A8688" t="str">
            <v>57-01-01-1098</v>
          </cell>
          <cell r="B8688">
            <v>0</v>
          </cell>
          <cell r="C8688" t="str">
            <v xml:space="preserve">   53447 GHULAM HUSSAIN 4/S MILL # 3</v>
          </cell>
          <cell r="D8688">
            <v>0</v>
          </cell>
          <cell r="E8688">
            <v>0</v>
          </cell>
          <cell r="F8688">
            <v>0</v>
          </cell>
          <cell r="G8688">
            <v>0</v>
          </cell>
        </row>
        <row r="8689">
          <cell r="A8689" t="str">
            <v>57-01-01-1099</v>
          </cell>
          <cell r="B8689">
            <v>0</v>
          </cell>
          <cell r="C8689" t="str">
            <v xml:space="preserve">  64163 TAJAMUL HUSSAIN 4/S MILL # 3</v>
          </cell>
          <cell r="D8689">
            <v>0</v>
          </cell>
          <cell r="E8689">
            <v>0</v>
          </cell>
          <cell r="F8689">
            <v>0</v>
          </cell>
          <cell r="G8689">
            <v>0</v>
          </cell>
        </row>
        <row r="8690">
          <cell r="A8690" t="str">
            <v>57-01-01-1100</v>
          </cell>
          <cell r="B8690">
            <v>0</v>
          </cell>
          <cell r="C8690" t="str">
            <v xml:space="preserve">  56459 SHABBIR AHMED 4/S MILL # 4</v>
          </cell>
          <cell r="D8690">
            <v>0</v>
          </cell>
          <cell r="E8690">
            <v>0</v>
          </cell>
          <cell r="F8690">
            <v>0</v>
          </cell>
          <cell r="G8690">
            <v>0</v>
          </cell>
        </row>
        <row r="8691">
          <cell r="A8691" t="str">
            <v>57-01-01-1101</v>
          </cell>
          <cell r="B8691">
            <v>0</v>
          </cell>
          <cell r="C8691" t="str">
            <v xml:space="preserve">   58309 MUHAMMAD NAWAZ 4/S MILL # 3</v>
          </cell>
          <cell r="D8691">
            <v>0</v>
          </cell>
          <cell r="E8691">
            <v>0</v>
          </cell>
          <cell r="F8691">
            <v>0</v>
          </cell>
          <cell r="G8691">
            <v>0</v>
          </cell>
        </row>
        <row r="8692">
          <cell r="A8692" t="str">
            <v>57-01-01-1102</v>
          </cell>
          <cell r="B8692">
            <v>0</v>
          </cell>
          <cell r="C8692" t="str">
            <v xml:space="preserve">  59670 MUHAMMAD RAMAZAN HELPER MILL #</v>
          </cell>
          <cell r="D8692">
            <v>0</v>
          </cell>
          <cell r="E8692">
            <v>0</v>
          </cell>
          <cell r="F8692">
            <v>0</v>
          </cell>
          <cell r="G8692">
            <v>0</v>
          </cell>
        </row>
        <row r="8693">
          <cell r="A8693" t="str">
            <v>57-01-01-1103</v>
          </cell>
          <cell r="B8693">
            <v>0</v>
          </cell>
          <cell r="C8693" t="str">
            <v xml:space="preserve">  62165 MUHAMMAD NAVEED HELPER MILL # 1</v>
          </cell>
          <cell r="D8693">
            <v>0</v>
          </cell>
          <cell r="E8693">
            <v>0</v>
          </cell>
          <cell r="F8693">
            <v>0</v>
          </cell>
          <cell r="G8693">
            <v>0</v>
          </cell>
        </row>
        <row r="8694">
          <cell r="A8694" t="str">
            <v>57-01-01-1104</v>
          </cell>
          <cell r="B8694">
            <v>0</v>
          </cell>
          <cell r="C8694" t="str">
            <v xml:space="preserve">   63949 SHAHBAZ KHAN DST MILL # 1</v>
          </cell>
          <cell r="D8694">
            <v>0</v>
          </cell>
          <cell r="E8694">
            <v>0</v>
          </cell>
          <cell r="F8694">
            <v>0</v>
          </cell>
          <cell r="G8694">
            <v>0</v>
          </cell>
        </row>
        <row r="8695">
          <cell r="A8695" t="str">
            <v>57-01-01-1105</v>
          </cell>
          <cell r="B8695">
            <v>0</v>
          </cell>
          <cell r="C8695" t="str">
            <v xml:space="preserve">  64800 ALLAH DITTA DST MILL # 1</v>
          </cell>
          <cell r="D8695">
            <v>0</v>
          </cell>
          <cell r="E8695">
            <v>0</v>
          </cell>
          <cell r="F8695">
            <v>0</v>
          </cell>
          <cell r="G8695">
            <v>0</v>
          </cell>
        </row>
        <row r="8696">
          <cell r="A8696" t="str">
            <v>57-01-01-1106</v>
          </cell>
          <cell r="B8696">
            <v>0</v>
          </cell>
          <cell r="C8696" t="str">
            <v xml:space="preserve">   62302 MUHAMMAD RIAZ DST MILL # 1</v>
          </cell>
          <cell r="D8696">
            <v>0</v>
          </cell>
          <cell r="E8696">
            <v>0</v>
          </cell>
          <cell r="F8696">
            <v>0</v>
          </cell>
          <cell r="G8696">
            <v>0</v>
          </cell>
        </row>
        <row r="8697">
          <cell r="A8697" t="str">
            <v>57-01-01-1107</v>
          </cell>
          <cell r="B8697">
            <v>0</v>
          </cell>
          <cell r="C8697" t="str">
            <v xml:space="preserve">  63268 SAIFULLAH PT MILL # 1</v>
          </cell>
          <cell r="D8697">
            <v>0</v>
          </cell>
          <cell r="E8697">
            <v>0</v>
          </cell>
          <cell r="F8697">
            <v>0</v>
          </cell>
          <cell r="G8697">
            <v>0</v>
          </cell>
        </row>
        <row r="8698">
          <cell r="A8698" t="str">
            <v>57-01-01-1108</v>
          </cell>
          <cell r="B8698">
            <v>0</v>
          </cell>
          <cell r="C8698" t="str">
            <v xml:space="preserve">   65865 TARS MIRAN DOFFER MILL # 1</v>
          </cell>
          <cell r="D8698">
            <v>0</v>
          </cell>
          <cell r="E8698">
            <v>0</v>
          </cell>
          <cell r="F8698">
            <v>0</v>
          </cell>
          <cell r="G8698">
            <v>0</v>
          </cell>
        </row>
        <row r="8699">
          <cell r="A8699" t="str">
            <v>57-01-01-1109</v>
          </cell>
          <cell r="B8699">
            <v>0</v>
          </cell>
          <cell r="C8699" t="str">
            <v xml:space="preserve">  63993 ZAFAR ISLAM DF MILL # 4</v>
          </cell>
          <cell r="D8699">
            <v>0</v>
          </cell>
          <cell r="E8699">
            <v>0</v>
          </cell>
          <cell r="F8699">
            <v>0</v>
          </cell>
          <cell r="G8699">
            <v>0</v>
          </cell>
        </row>
        <row r="8700">
          <cell r="A8700" t="str">
            <v>57-01-01-1110</v>
          </cell>
          <cell r="B8700">
            <v>0</v>
          </cell>
          <cell r="C8700" t="str">
            <v xml:space="preserve">   44902 TAMRAIZ KHAN 4/S MILL # 4</v>
          </cell>
          <cell r="D8700">
            <v>0</v>
          </cell>
          <cell r="E8700">
            <v>0</v>
          </cell>
          <cell r="F8700">
            <v>0</v>
          </cell>
          <cell r="G8700">
            <v>0</v>
          </cell>
        </row>
        <row r="8701">
          <cell r="A8701" t="str">
            <v>57-01-01-1111</v>
          </cell>
          <cell r="B8701">
            <v>0</v>
          </cell>
          <cell r="C8701" t="str">
            <v xml:space="preserve">   51214 ASIM IQBAL EXCISE CLERK</v>
          </cell>
          <cell r="D8701">
            <v>0</v>
          </cell>
          <cell r="E8701">
            <v>0</v>
          </cell>
          <cell r="F8701">
            <v>0</v>
          </cell>
          <cell r="G8701">
            <v>0</v>
          </cell>
        </row>
        <row r="8702">
          <cell r="A8702" t="str">
            <v>57-01-01-1112</v>
          </cell>
          <cell r="B8702">
            <v>0</v>
          </cell>
          <cell r="C8702" t="str">
            <v xml:space="preserve">   65725 MUHAMMAD ANWAR FOREMAN MILL # 4</v>
          </cell>
          <cell r="D8702">
            <v>0</v>
          </cell>
          <cell r="E8702">
            <v>0</v>
          </cell>
          <cell r="F8702">
            <v>0</v>
          </cell>
          <cell r="G8702">
            <v>0</v>
          </cell>
        </row>
        <row r="8703">
          <cell r="A8703" t="str">
            <v>57-01-01-1113</v>
          </cell>
          <cell r="B8703">
            <v>0</v>
          </cell>
          <cell r="C8703" t="str">
            <v xml:space="preserve">  63642 BASHARAT ALI  DF MILL # 2</v>
          </cell>
          <cell r="D8703">
            <v>0</v>
          </cell>
          <cell r="E8703">
            <v>0</v>
          </cell>
          <cell r="F8703">
            <v>0</v>
          </cell>
          <cell r="G8703">
            <v>0</v>
          </cell>
        </row>
        <row r="8704">
          <cell r="A8704" t="str">
            <v>57-01-01-1114</v>
          </cell>
          <cell r="B8704">
            <v>0</v>
          </cell>
          <cell r="C8704" t="str">
            <v xml:space="preserve">   65946 ASIF MEHMOOD H/FITTER MILL # 4</v>
          </cell>
          <cell r="D8704">
            <v>0</v>
          </cell>
          <cell r="E8704">
            <v>0</v>
          </cell>
          <cell r="F8704">
            <v>0</v>
          </cell>
          <cell r="G8704">
            <v>0</v>
          </cell>
        </row>
        <row r="8705">
          <cell r="A8705" t="str">
            <v>57-01-01-1115</v>
          </cell>
          <cell r="B8705">
            <v>0</v>
          </cell>
          <cell r="C8705" t="str">
            <v xml:space="preserve">   63588 KHAWAR MEHMOOD 4/S MILL # 1</v>
          </cell>
          <cell r="D8705">
            <v>0</v>
          </cell>
          <cell r="E8705">
            <v>0</v>
          </cell>
          <cell r="F8705">
            <v>0</v>
          </cell>
          <cell r="G8705">
            <v>0</v>
          </cell>
        </row>
        <row r="8706">
          <cell r="A8706" t="str">
            <v>57-01-01-1116</v>
          </cell>
          <cell r="B8706">
            <v>0</v>
          </cell>
          <cell r="C8706" t="str">
            <v xml:space="preserve">  MUHAMMAD ASLAM JOBBER</v>
          </cell>
          <cell r="D8706">
            <v>0</v>
          </cell>
          <cell r="E8706">
            <v>0</v>
          </cell>
          <cell r="F8706">
            <v>0</v>
          </cell>
          <cell r="G8706">
            <v>0</v>
          </cell>
        </row>
        <row r="8707">
          <cell r="A8707" t="str">
            <v>57-01-01-1117</v>
          </cell>
          <cell r="B8707">
            <v>0</v>
          </cell>
          <cell r="C8707" t="str">
            <v xml:space="preserve">  MUHAMMAD MASOOD SUPERVISOR</v>
          </cell>
          <cell r="D8707">
            <v>0</v>
          </cell>
          <cell r="E8707">
            <v>0</v>
          </cell>
          <cell r="F8707">
            <v>0</v>
          </cell>
          <cell r="G8707">
            <v>0</v>
          </cell>
        </row>
        <row r="8708">
          <cell r="A8708" t="str">
            <v>57-01-01-1118</v>
          </cell>
          <cell r="B8708">
            <v>0</v>
          </cell>
          <cell r="C8708" t="str">
            <v xml:space="preserve">  KAZIM KHAN JOBBER MILL # 1.</v>
          </cell>
          <cell r="D8708">
            <v>0</v>
          </cell>
          <cell r="E8708">
            <v>0</v>
          </cell>
          <cell r="F8708">
            <v>0</v>
          </cell>
          <cell r="G8708">
            <v>0</v>
          </cell>
        </row>
        <row r="8709">
          <cell r="A8709" t="str">
            <v>57-01-01-1119</v>
          </cell>
          <cell r="B8709">
            <v>0</v>
          </cell>
          <cell r="C8709" t="str">
            <v xml:space="preserve">  39972 ABDUL WAHID 4/S MILL # 1</v>
          </cell>
          <cell r="D8709">
            <v>0</v>
          </cell>
          <cell r="E8709">
            <v>0</v>
          </cell>
          <cell r="F8709">
            <v>0</v>
          </cell>
          <cell r="G8709">
            <v>0</v>
          </cell>
        </row>
        <row r="8710">
          <cell r="A8710" t="str">
            <v>57-01-01-1120</v>
          </cell>
          <cell r="B8710">
            <v>0</v>
          </cell>
          <cell r="C8710" t="str">
            <v xml:space="preserve">  49295 KHURSHID AHMED 4/S MILL # 1</v>
          </cell>
          <cell r="D8710">
            <v>0</v>
          </cell>
          <cell r="E8710">
            <v>0</v>
          </cell>
          <cell r="F8710">
            <v>0</v>
          </cell>
          <cell r="G8710">
            <v>0</v>
          </cell>
        </row>
        <row r="8711">
          <cell r="A8711" t="str">
            <v>57-01-01-1121</v>
          </cell>
          <cell r="B8711">
            <v>0</v>
          </cell>
          <cell r="C8711" t="str">
            <v xml:space="preserve">  MUHAMMAD JABBAR A/FITTER</v>
          </cell>
          <cell r="D8711">
            <v>0</v>
          </cell>
          <cell r="E8711">
            <v>0</v>
          </cell>
          <cell r="F8711">
            <v>0</v>
          </cell>
          <cell r="G8711">
            <v>0</v>
          </cell>
        </row>
        <row r="8712">
          <cell r="A8712" t="str">
            <v>57-01-01-1122</v>
          </cell>
          <cell r="B8712">
            <v>0</v>
          </cell>
          <cell r="C8712" t="str">
            <v xml:space="preserve">  60421 ABDUR RASHID DF MILL #</v>
          </cell>
          <cell r="D8712">
            <v>0</v>
          </cell>
          <cell r="E8712">
            <v>0</v>
          </cell>
          <cell r="F8712">
            <v>0</v>
          </cell>
          <cell r="G8712">
            <v>0</v>
          </cell>
        </row>
        <row r="8713">
          <cell r="A8713" t="str">
            <v>57-01-01-1123</v>
          </cell>
          <cell r="B8713">
            <v>0</v>
          </cell>
          <cell r="C8713" t="str">
            <v xml:space="preserve">  JAVED ANWAR ACCOUNTANT</v>
          </cell>
          <cell r="D8713">
            <v>0</v>
          </cell>
          <cell r="E8713">
            <v>0</v>
          </cell>
          <cell r="F8713">
            <v>0</v>
          </cell>
          <cell r="G8713">
            <v>0</v>
          </cell>
        </row>
        <row r="8714">
          <cell r="A8714" t="str">
            <v>57-01-01-1124</v>
          </cell>
          <cell r="B8714">
            <v>0</v>
          </cell>
          <cell r="C8714" t="str">
            <v xml:space="preserve">  36310 AAMIR NAWAZ CASHIER</v>
          </cell>
          <cell r="D8714">
            <v>3000</v>
          </cell>
          <cell r="E8714">
            <v>0</v>
          </cell>
          <cell r="F8714">
            <v>0</v>
          </cell>
          <cell r="G8714">
            <v>0</v>
          </cell>
        </row>
        <row r="8715">
          <cell r="A8715" t="str">
            <v>57-01-01-1125</v>
          </cell>
          <cell r="B8715">
            <v>0</v>
          </cell>
          <cell r="C8715" t="str">
            <v xml:space="preserve">  60728 MUHAMMAD SUBTAIN OPT MILL # 3</v>
          </cell>
          <cell r="D8715">
            <v>0</v>
          </cell>
          <cell r="E8715">
            <v>0</v>
          </cell>
          <cell r="F8715">
            <v>0</v>
          </cell>
          <cell r="G8715">
            <v>0</v>
          </cell>
        </row>
        <row r="8716">
          <cell r="A8716" t="str">
            <v>57-01-01-1126</v>
          </cell>
          <cell r="B8716">
            <v>0</v>
          </cell>
          <cell r="C8716" t="str">
            <v xml:space="preserve">  55895 MUHAMMAD NAEEM 4/S MILL # 1</v>
          </cell>
          <cell r="D8716">
            <v>0</v>
          </cell>
          <cell r="E8716">
            <v>0</v>
          </cell>
          <cell r="F8716">
            <v>0</v>
          </cell>
          <cell r="G8716">
            <v>0</v>
          </cell>
        </row>
        <row r="8717">
          <cell r="A8717" t="str">
            <v>57-01-01-1127</v>
          </cell>
          <cell r="B8717">
            <v>0</v>
          </cell>
          <cell r="C8717" t="str">
            <v xml:space="preserve">   63279 AMJAD ABBAS HELPER R.C MILL # 2</v>
          </cell>
          <cell r="D8717">
            <v>0</v>
          </cell>
          <cell r="E8717">
            <v>0</v>
          </cell>
          <cell r="F8717">
            <v>0</v>
          </cell>
          <cell r="G8717">
            <v>0</v>
          </cell>
        </row>
        <row r="8718">
          <cell r="A8718" t="str">
            <v>57-01-01-1128</v>
          </cell>
          <cell r="B8718">
            <v>0</v>
          </cell>
          <cell r="C8718" t="str">
            <v xml:space="preserve">  72544 SAIFULLAH DY.S/M MILL # 3</v>
          </cell>
          <cell r="D8718">
            <v>0</v>
          </cell>
          <cell r="E8718">
            <v>0</v>
          </cell>
          <cell r="F8718">
            <v>0</v>
          </cell>
          <cell r="G8718">
            <v>0</v>
          </cell>
        </row>
        <row r="8719">
          <cell r="A8719" t="str">
            <v>57-01-01-1129</v>
          </cell>
          <cell r="B8719">
            <v>0</v>
          </cell>
          <cell r="C8719" t="str">
            <v xml:space="preserve">  ABDUL MOIN REVASIA STORE MANAGER</v>
          </cell>
          <cell r="D8719">
            <v>0</v>
          </cell>
          <cell r="E8719">
            <v>45000</v>
          </cell>
          <cell r="F8719">
            <v>0</v>
          </cell>
          <cell r="G8719">
            <v>0</v>
          </cell>
        </row>
        <row r="8720">
          <cell r="A8720" t="str">
            <v>57-01-01-1130</v>
          </cell>
          <cell r="B8720">
            <v>0</v>
          </cell>
          <cell r="C8720" t="str">
            <v xml:space="preserve">  42963 MUHAMMAD WAKEEL Q.CONTROLLER M</v>
          </cell>
          <cell r="D8720">
            <v>10000</v>
          </cell>
          <cell r="E8720">
            <v>0</v>
          </cell>
          <cell r="F8720">
            <v>0</v>
          </cell>
          <cell r="G8720">
            <v>0</v>
          </cell>
        </row>
        <row r="8721">
          <cell r="A8721" t="str">
            <v>57-01-01-1131</v>
          </cell>
          <cell r="B8721">
            <v>0</v>
          </cell>
          <cell r="C8721" t="str">
            <v xml:space="preserve">  65034 HAMIM ULLAH DDT MILL</v>
          </cell>
          <cell r="D8721">
            <v>0</v>
          </cell>
          <cell r="E8721">
            <v>0</v>
          </cell>
          <cell r="F8721">
            <v>0</v>
          </cell>
          <cell r="G8721">
            <v>0</v>
          </cell>
        </row>
        <row r="8722">
          <cell r="A8722" t="str">
            <v>57-01-01-1132</v>
          </cell>
          <cell r="B8722">
            <v>0</v>
          </cell>
          <cell r="C8722" t="str">
            <v xml:space="preserve">   48483 MUHAMMAD KHALID S.A/FOREMAN M #</v>
          </cell>
          <cell r="D8722">
            <v>0</v>
          </cell>
          <cell r="E8722">
            <v>0</v>
          </cell>
          <cell r="F8722">
            <v>0</v>
          </cell>
          <cell r="G8722">
            <v>0</v>
          </cell>
        </row>
        <row r="8723">
          <cell r="A8723" t="str">
            <v>57-01-01-1133</v>
          </cell>
          <cell r="B8723">
            <v>0</v>
          </cell>
          <cell r="C8723" t="str">
            <v xml:space="preserve">  32852 ROZI KHAN WATCHMAN ADMIN DEPTT</v>
          </cell>
          <cell r="D8723">
            <v>0</v>
          </cell>
          <cell r="E8723">
            <v>0</v>
          </cell>
          <cell r="F8723">
            <v>0</v>
          </cell>
          <cell r="G8723">
            <v>0</v>
          </cell>
        </row>
        <row r="8724">
          <cell r="A8724" t="str">
            <v>57-01-01-1134</v>
          </cell>
          <cell r="B8724">
            <v>0</v>
          </cell>
          <cell r="C8724" t="str">
            <v xml:space="preserve">  54442 MUHAMMAD ABUBAKAR FITTER MILL #</v>
          </cell>
          <cell r="D8724">
            <v>0</v>
          </cell>
          <cell r="E8724">
            <v>0</v>
          </cell>
          <cell r="F8724">
            <v>0</v>
          </cell>
          <cell r="G8724">
            <v>0</v>
          </cell>
        </row>
        <row r="8725">
          <cell r="A8725" t="str">
            <v>57-01-01-1135</v>
          </cell>
          <cell r="B8725">
            <v>0</v>
          </cell>
          <cell r="C8725" t="str">
            <v xml:space="preserve">   54446 MUHAMMAD UMER 4/S MILL # 4</v>
          </cell>
          <cell r="D8725">
            <v>0</v>
          </cell>
          <cell r="E8725">
            <v>0</v>
          </cell>
          <cell r="F8725">
            <v>0</v>
          </cell>
          <cell r="G8725">
            <v>0</v>
          </cell>
        </row>
        <row r="8726">
          <cell r="A8726" t="str">
            <v>57-01-01-1136</v>
          </cell>
          <cell r="B8726">
            <v>0</v>
          </cell>
          <cell r="C8726" t="str">
            <v xml:space="preserve">   57671 MUHAMMAD ASHRAF HELPER MILL# 4</v>
          </cell>
          <cell r="D8726">
            <v>0</v>
          </cell>
          <cell r="E8726">
            <v>0</v>
          </cell>
          <cell r="F8726">
            <v>0</v>
          </cell>
          <cell r="G8726">
            <v>0</v>
          </cell>
        </row>
        <row r="8727">
          <cell r="A8727" t="str">
            <v>57-01-01-1137</v>
          </cell>
          <cell r="B8727">
            <v>0</v>
          </cell>
          <cell r="C8727" t="str">
            <v xml:space="preserve">   51811 MUHAMMAD ARBI DST MILL # 4</v>
          </cell>
          <cell r="D8727">
            <v>0</v>
          </cell>
          <cell r="E8727">
            <v>0</v>
          </cell>
          <cell r="F8727">
            <v>0</v>
          </cell>
          <cell r="G8727">
            <v>0</v>
          </cell>
        </row>
        <row r="8728">
          <cell r="A8728" t="str">
            <v>57-01-01-1138</v>
          </cell>
          <cell r="B8728">
            <v>0</v>
          </cell>
          <cell r="C8728" t="str">
            <v xml:space="preserve">  50787 SKINDAR HAYAT A/JOBBER MILL # 4</v>
          </cell>
          <cell r="D8728">
            <v>0</v>
          </cell>
          <cell r="E8728">
            <v>0</v>
          </cell>
          <cell r="F8728">
            <v>0</v>
          </cell>
          <cell r="G8728">
            <v>0</v>
          </cell>
        </row>
        <row r="8729">
          <cell r="A8729" t="str">
            <v>57-01-01-1139</v>
          </cell>
          <cell r="B8729">
            <v>0</v>
          </cell>
          <cell r="C8729" t="str">
            <v xml:space="preserve">  26460 MUHAMMAD AMIN H/FITTER MILL # 2</v>
          </cell>
          <cell r="D8729">
            <v>0</v>
          </cell>
          <cell r="E8729">
            <v>0</v>
          </cell>
          <cell r="F8729">
            <v>0</v>
          </cell>
          <cell r="G8729">
            <v>0</v>
          </cell>
        </row>
        <row r="8730">
          <cell r="A8730" t="str">
            <v>57-01-01-1140</v>
          </cell>
          <cell r="B8730">
            <v>0</v>
          </cell>
          <cell r="C8730" t="str">
            <v xml:space="preserve">  81570 OBIDULLAH NASIR ELEC.FOREMAN M</v>
          </cell>
          <cell r="D8730">
            <v>0</v>
          </cell>
          <cell r="E8730">
            <v>0</v>
          </cell>
          <cell r="F8730">
            <v>0</v>
          </cell>
          <cell r="G8730">
            <v>0</v>
          </cell>
        </row>
        <row r="8731">
          <cell r="A8731" t="str">
            <v>57-01-01-1141</v>
          </cell>
          <cell r="B8731">
            <v>0</v>
          </cell>
          <cell r="C8731" t="str">
            <v xml:space="preserve">  45636 AURANG ZEB DST MILL # 4</v>
          </cell>
          <cell r="D8731">
            <v>0</v>
          </cell>
          <cell r="E8731">
            <v>0</v>
          </cell>
          <cell r="F8731">
            <v>0</v>
          </cell>
          <cell r="G8731">
            <v>0</v>
          </cell>
        </row>
        <row r="8732">
          <cell r="A8732" t="str">
            <v>57-01-01-1142</v>
          </cell>
          <cell r="B8732">
            <v>0</v>
          </cell>
          <cell r="C8732" t="str">
            <v xml:space="preserve">  IMTIAZ RAFIQUE ASIF S.SUP.LAB</v>
          </cell>
          <cell r="D8732">
            <v>0</v>
          </cell>
          <cell r="E8732">
            <v>0</v>
          </cell>
          <cell r="F8732">
            <v>0</v>
          </cell>
          <cell r="G8732">
            <v>0</v>
          </cell>
        </row>
        <row r="8733">
          <cell r="A8733" t="str">
            <v>57-01-01-1143</v>
          </cell>
          <cell r="B8733">
            <v>0</v>
          </cell>
          <cell r="C8733" t="str">
            <v xml:space="preserve">  61684 NAZIR AHMED DF MILL # 3</v>
          </cell>
          <cell r="D8733">
            <v>0</v>
          </cell>
          <cell r="E8733">
            <v>0</v>
          </cell>
          <cell r="F8733">
            <v>0</v>
          </cell>
          <cell r="G8733">
            <v>0</v>
          </cell>
        </row>
        <row r="8734">
          <cell r="A8734" t="str">
            <v>57-01-01-1144</v>
          </cell>
          <cell r="B8734">
            <v>0</v>
          </cell>
          <cell r="C8734" t="str">
            <v xml:space="preserve">  61486 HAQNAWAZ DF MILL # 3</v>
          </cell>
          <cell r="D8734">
            <v>0</v>
          </cell>
          <cell r="E8734">
            <v>0</v>
          </cell>
          <cell r="F8734">
            <v>0</v>
          </cell>
          <cell r="G8734">
            <v>0</v>
          </cell>
        </row>
        <row r="8735">
          <cell r="A8735" t="str">
            <v>57-01-01-1145</v>
          </cell>
          <cell r="B8735">
            <v>0</v>
          </cell>
          <cell r="C8735" t="str">
            <v xml:space="preserve">  56019 MUHAMMAD SAFDAR A/FITTER MILL #</v>
          </cell>
          <cell r="D8735">
            <v>0</v>
          </cell>
          <cell r="E8735">
            <v>0</v>
          </cell>
          <cell r="F8735">
            <v>0</v>
          </cell>
          <cell r="G8735">
            <v>0</v>
          </cell>
        </row>
        <row r="8736">
          <cell r="A8736" t="str">
            <v>57-01-01-1146</v>
          </cell>
          <cell r="B8736">
            <v>0</v>
          </cell>
          <cell r="C8736" t="str">
            <v xml:space="preserve">  21021 MUHAMMAD KABIR KHAN S/FITTER MI</v>
          </cell>
          <cell r="D8736">
            <v>0</v>
          </cell>
          <cell r="E8736">
            <v>0</v>
          </cell>
          <cell r="F8736">
            <v>0</v>
          </cell>
          <cell r="G8736">
            <v>0</v>
          </cell>
        </row>
        <row r="8737">
          <cell r="A8737" t="str">
            <v>57-01-01-1147</v>
          </cell>
          <cell r="B8737">
            <v>0</v>
          </cell>
          <cell r="C8737" t="str">
            <v xml:space="preserve">   54196 ARSHAD IQBAL PACKING SUP MILL#</v>
          </cell>
          <cell r="D8737">
            <v>0</v>
          </cell>
          <cell r="E8737">
            <v>0</v>
          </cell>
          <cell r="F8737">
            <v>0</v>
          </cell>
          <cell r="G8737">
            <v>0</v>
          </cell>
        </row>
        <row r="8738">
          <cell r="A8738" t="str">
            <v>57-01-01-1148</v>
          </cell>
          <cell r="B8738">
            <v>0</v>
          </cell>
          <cell r="C8738" t="str">
            <v xml:space="preserve">  27881 NADIM AHMED S/FITTER MILL # 2</v>
          </cell>
          <cell r="D8738">
            <v>0</v>
          </cell>
          <cell r="E8738">
            <v>0</v>
          </cell>
          <cell r="F8738">
            <v>0</v>
          </cell>
          <cell r="G8738">
            <v>0</v>
          </cell>
        </row>
        <row r="8739">
          <cell r="A8739" t="str">
            <v>57-01-01-1149</v>
          </cell>
          <cell r="B8739">
            <v>0</v>
          </cell>
          <cell r="C8739" t="str">
            <v xml:space="preserve">   52319 AFZAL KHAN DST MIL</v>
          </cell>
          <cell r="D8739">
            <v>0</v>
          </cell>
          <cell r="E8739">
            <v>0</v>
          </cell>
          <cell r="F8739">
            <v>0</v>
          </cell>
          <cell r="G8739">
            <v>0</v>
          </cell>
        </row>
        <row r="8740">
          <cell r="A8740" t="str">
            <v>57-01-01-1150</v>
          </cell>
          <cell r="B8740">
            <v>0</v>
          </cell>
          <cell r="C8740" t="str">
            <v xml:space="preserve">  49445 ZAHOUR ISLAM 4/S MILL # 1</v>
          </cell>
          <cell r="D8740">
            <v>0</v>
          </cell>
          <cell r="E8740">
            <v>0</v>
          </cell>
          <cell r="F8740">
            <v>0</v>
          </cell>
          <cell r="G8740">
            <v>0</v>
          </cell>
        </row>
        <row r="8741">
          <cell r="A8741" t="str">
            <v>57-01-01-1151</v>
          </cell>
          <cell r="B8741">
            <v>0</v>
          </cell>
          <cell r="C8741" t="str">
            <v xml:space="preserve">  67659 MIRZA JAHANGIR BAIG A/ENGINE</v>
          </cell>
          <cell r="D8741">
            <v>0</v>
          </cell>
          <cell r="E8741">
            <v>0</v>
          </cell>
          <cell r="F8741">
            <v>0</v>
          </cell>
          <cell r="G8741">
            <v>0</v>
          </cell>
        </row>
        <row r="8742">
          <cell r="A8742" t="str">
            <v>57-01-01-1152</v>
          </cell>
          <cell r="B8742">
            <v>0</v>
          </cell>
          <cell r="C8742" t="str">
            <v xml:space="preserve">   67638 MULAZIM WATNI OPT MILL # 1</v>
          </cell>
          <cell r="D8742">
            <v>0</v>
          </cell>
          <cell r="E8742">
            <v>0</v>
          </cell>
          <cell r="F8742">
            <v>0</v>
          </cell>
          <cell r="G8742">
            <v>0</v>
          </cell>
        </row>
        <row r="8743">
          <cell r="A8743" t="str">
            <v>57-01-01-1153</v>
          </cell>
          <cell r="B8743">
            <v>0</v>
          </cell>
          <cell r="C8743" t="str">
            <v xml:space="preserve">   66808 AMANULLAH OPT MILL # 3</v>
          </cell>
          <cell r="D8743">
            <v>0</v>
          </cell>
          <cell r="E8743">
            <v>0</v>
          </cell>
          <cell r="F8743">
            <v>0</v>
          </cell>
          <cell r="G8743">
            <v>0</v>
          </cell>
        </row>
        <row r="8744">
          <cell r="A8744" t="str">
            <v>57-01-01-1154</v>
          </cell>
          <cell r="B8744">
            <v>0</v>
          </cell>
          <cell r="C8744" t="str">
            <v xml:space="preserve">  39234 KHURRAM SHAHZAD 4/S MILL # 2</v>
          </cell>
          <cell r="D8744">
            <v>0</v>
          </cell>
          <cell r="E8744">
            <v>0</v>
          </cell>
          <cell r="F8744">
            <v>0</v>
          </cell>
          <cell r="G8744">
            <v>0</v>
          </cell>
        </row>
        <row r="8745">
          <cell r="A8745" t="str">
            <v>57-01-01-1155</v>
          </cell>
          <cell r="B8745">
            <v>0</v>
          </cell>
          <cell r="C8745" t="str">
            <v xml:space="preserve">  HAMMID KHAN OPT MILL# 1.</v>
          </cell>
          <cell r="D8745">
            <v>0</v>
          </cell>
          <cell r="E8745">
            <v>0</v>
          </cell>
          <cell r="F8745">
            <v>0</v>
          </cell>
          <cell r="G8745">
            <v>0</v>
          </cell>
        </row>
        <row r="8746">
          <cell r="A8746" t="str">
            <v>57-01-01-1156</v>
          </cell>
          <cell r="B8746">
            <v>0</v>
          </cell>
          <cell r="C8746" t="str">
            <v xml:space="preserve">   25721 KHURSHID OPT MILL # 2</v>
          </cell>
          <cell r="D8746">
            <v>0</v>
          </cell>
          <cell r="E8746">
            <v>0</v>
          </cell>
          <cell r="F8746">
            <v>0</v>
          </cell>
          <cell r="G8746">
            <v>0</v>
          </cell>
        </row>
        <row r="8747">
          <cell r="A8747" t="str">
            <v>57-01-01-1157</v>
          </cell>
          <cell r="B8747">
            <v>0</v>
          </cell>
          <cell r="C8747" t="str">
            <v xml:space="preserve">  20496 SHAM KHAN 4/S MILL # 1</v>
          </cell>
          <cell r="D8747">
            <v>0</v>
          </cell>
          <cell r="E8747">
            <v>0</v>
          </cell>
          <cell r="F8747">
            <v>0</v>
          </cell>
          <cell r="G8747">
            <v>0</v>
          </cell>
        </row>
        <row r="8748">
          <cell r="A8748" t="str">
            <v>57-01-01-1158</v>
          </cell>
          <cell r="B8748">
            <v>0</v>
          </cell>
          <cell r="C8748" t="str">
            <v xml:space="preserve">  43808 MUHAMMAD IHSAN 4/S MILL # 3</v>
          </cell>
          <cell r="D8748">
            <v>0</v>
          </cell>
          <cell r="E8748">
            <v>0</v>
          </cell>
          <cell r="F8748">
            <v>0</v>
          </cell>
          <cell r="G8748">
            <v>0</v>
          </cell>
        </row>
        <row r="8749">
          <cell r="A8749" t="str">
            <v>57-01-01-1159</v>
          </cell>
          <cell r="B8749">
            <v>0</v>
          </cell>
          <cell r="C8749" t="str">
            <v xml:space="preserve">  56504 MUHAMMAD RAMZAN OPT MILL # 3</v>
          </cell>
          <cell r="D8749">
            <v>0</v>
          </cell>
          <cell r="E8749">
            <v>0</v>
          </cell>
          <cell r="F8749">
            <v>0</v>
          </cell>
          <cell r="G8749">
            <v>0</v>
          </cell>
        </row>
        <row r="8750">
          <cell r="A8750" t="str">
            <v>57-01-01-1160</v>
          </cell>
          <cell r="B8750">
            <v>0</v>
          </cell>
          <cell r="C8750" t="str">
            <v xml:space="preserve">  66003 QAISAR ABBAS OPT A/CONE-3</v>
          </cell>
          <cell r="D8750">
            <v>0</v>
          </cell>
          <cell r="E8750">
            <v>0</v>
          </cell>
          <cell r="F8750">
            <v>0</v>
          </cell>
          <cell r="G8750">
            <v>0</v>
          </cell>
        </row>
        <row r="8751">
          <cell r="A8751" t="str">
            <v>57-01-01-1161</v>
          </cell>
          <cell r="B8751">
            <v>0</v>
          </cell>
          <cell r="C8751" t="str">
            <v xml:space="preserve">   40539 SAFDAR HUSSAIN A/FITTER D/S-1</v>
          </cell>
          <cell r="D8751">
            <v>0</v>
          </cell>
          <cell r="E8751">
            <v>0</v>
          </cell>
          <cell r="F8751">
            <v>0</v>
          </cell>
          <cell r="G8751">
            <v>0</v>
          </cell>
        </row>
        <row r="8752">
          <cell r="A8752" t="str">
            <v>57-01-01-1162</v>
          </cell>
          <cell r="B8752">
            <v>0</v>
          </cell>
          <cell r="C8752" t="str">
            <v xml:space="preserve">   60335 SHAFI ULLAH OPT A/CONE-3</v>
          </cell>
          <cell r="D8752">
            <v>0</v>
          </cell>
          <cell r="E8752">
            <v>0</v>
          </cell>
          <cell r="F8752">
            <v>0</v>
          </cell>
          <cell r="G8752">
            <v>0</v>
          </cell>
        </row>
        <row r="8753">
          <cell r="A8753" t="str">
            <v>57-01-01-1163</v>
          </cell>
          <cell r="B8753">
            <v>0</v>
          </cell>
          <cell r="C8753" t="str">
            <v xml:space="preserve">  63140 MUHAMMAD GUL FARAZ DST D/S-4</v>
          </cell>
          <cell r="D8753">
            <v>0</v>
          </cell>
          <cell r="E8753">
            <v>0</v>
          </cell>
          <cell r="F8753">
            <v>0</v>
          </cell>
          <cell r="G8753">
            <v>0</v>
          </cell>
        </row>
        <row r="8754">
          <cell r="A8754" t="str">
            <v>57-01-01-1164</v>
          </cell>
          <cell r="B8754">
            <v>0</v>
          </cell>
          <cell r="C8754" t="str">
            <v xml:space="preserve">  62877 SHOUKAT ALI OPT A/CONE-3</v>
          </cell>
          <cell r="D8754">
            <v>0</v>
          </cell>
          <cell r="E8754">
            <v>0</v>
          </cell>
          <cell r="F8754">
            <v>0</v>
          </cell>
          <cell r="G8754">
            <v>0</v>
          </cell>
        </row>
        <row r="8755">
          <cell r="A8755" t="str">
            <v>57-01-01-1165</v>
          </cell>
          <cell r="B8755">
            <v>0</v>
          </cell>
          <cell r="C8755" t="str">
            <v xml:space="preserve">  67228 SHABBIR HUSSAIN DST MILL # 3</v>
          </cell>
          <cell r="D8755">
            <v>0</v>
          </cell>
          <cell r="E8755">
            <v>0</v>
          </cell>
          <cell r="F8755">
            <v>0</v>
          </cell>
          <cell r="G8755">
            <v>0</v>
          </cell>
        </row>
        <row r="8756">
          <cell r="A8756" t="str">
            <v>57-01-01-1166</v>
          </cell>
          <cell r="B8756">
            <v>0</v>
          </cell>
          <cell r="C8756" t="str">
            <v xml:space="preserve">  47056 IMRAN SAQIB 4/S MILL # 3</v>
          </cell>
          <cell r="D8756">
            <v>0</v>
          </cell>
          <cell r="E8756">
            <v>0</v>
          </cell>
          <cell r="F8756">
            <v>0</v>
          </cell>
          <cell r="G8756">
            <v>0</v>
          </cell>
        </row>
        <row r="8757">
          <cell r="A8757" t="str">
            <v>57-01-01-1167</v>
          </cell>
          <cell r="B8757">
            <v>0</v>
          </cell>
          <cell r="C8757" t="str">
            <v xml:space="preserve">  58419 SHARAKAT ALI DDT MILL # 1</v>
          </cell>
          <cell r="D8757">
            <v>0</v>
          </cell>
          <cell r="E8757">
            <v>0</v>
          </cell>
          <cell r="F8757">
            <v>0</v>
          </cell>
          <cell r="G8757">
            <v>0</v>
          </cell>
        </row>
        <row r="8758">
          <cell r="A8758" t="str">
            <v>57-01-01-1168</v>
          </cell>
          <cell r="B8758">
            <v>0</v>
          </cell>
          <cell r="C8758" t="str">
            <v xml:space="preserve">  67952 GHULAM MURTAZA HELPER MILL # 2</v>
          </cell>
          <cell r="D8758">
            <v>0</v>
          </cell>
          <cell r="E8758">
            <v>0</v>
          </cell>
          <cell r="F8758">
            <v>0</v>
          </cell>
          <cell r="G8758">
            <v>0</v>
          </cell>
        </row>
        <row r="8759">
          <cell r="A8759" t="str">
            <v>57-01-01-1169</v>
          </cell>
          <cell r="B8759">
            <v>0</v>
          </cell>
          <cell r="C8759" t="str">
            <v xml:space="preserve">  67309 PERVAIZ IQBAL DOFFER MILL # 2</v>
          </cell>
          <cell r="D8759">
            <v>0</v>
          </cell>
          <cell r="E8759">
            <v>0</v>
          </cell>
          <cell r="F8759">
            <v>0</v>
          </cell>
          <cell r="G8759">
            <v>0</v>
          </cell>
        </row>
        <row r="8760">
          <cell r="A8760" t="str">
            <v>57-01-01-1170</v>
          </cell>
          <cell r="B8760">
            <v>0</v>
          </cell>
          <cell r="C8760" t="str">
            <v xml:space="preserve">   50923 GHULAM AHMED 4/S MILL # 2</v>
          </cell>
          <cell r="D8760">
            <v>0</v>
          </cell>
          <cell r="E8760">
            <v>0</v>
          </cell>
          <cell r="F8760">
            <v>0</v>
          </cell>
          <cell r="G8760">
            <v>0</v>
          </cell>
        </row>
        <row r="8761">
          <cell r="A8761" t="str">
            <v>57-01-01-1171</v>
          </cell>
          <cell r="B8761">
            <v>0</v>
          </cell>
          <cell r="C8761" t="str">
            <v xml:space="preserve">   65029 NAZAKAT ALI A/FITTER MILL # 3</v>
          </cell>
          <cell r="D8761">
            <v>0</v>
          </cell>
          <cell r="E8761">
            <v>0</v>
          </cell>
          <cell r="F8761">
            <v>0</v>
          </cell>
          <cell r="G8761">
            <v>0</v>
          </cell>
        </row>
        <row r="8762">
          <cell r="A8762" t="str">
            <v>57-01-01-1172</v>
          </cell>
          <cell r="B8762">
            <v>0</v>
          </cell>
          <cell r="C8762" t="str">
            <v xml:space="preserve">   64161 ABID HUSSAIN JOBBER MILL # 3</v>
          </cell>
          <cell r="D8762">
            <v>0</v>
          </cell>
          <cell r="E8762">
            <v>0</v>
          </cell>
          <cell r="F8762">
            <v>0</v>
          </cell>
          <cell r="G8762">
            <v>0</v>
          </cell>
        </row>
        <row r="8763">
          <cell r="A8763" t="str">
            <v>57-01-01-1173</v>
          </cell>
          <cell r="B8763">
            <v>0</v>
          </cell>
          <cell r="C8763" t="str">
            <v xml:space="preserve">   53561 IMRAN ASHRAF PT MILL # 2</v>
          </cell>
          <cell r="D8763">
            <v>0</v>
          </cell>
          <cell r="E8763">
            <v>0</v>
          </cell>
          <cell r="F8763">
            <v>0</v>
          </cell>
          <cell r="G8763">
            <v>0</v>
          </cell>
        </row>
        <row r="8764">
          <cell r="A8764" t="str">
            <v>57-01-01-1174</v>
          </cell>
          <cell r="B8764">
            <v>0</v>
          </cell>
          <cell r="C8764" t="str">
            <v xml:space="preserve">   47308 ADNAN MEHMOOD GRIND FITTER MILL</v>
          </cell>
          <cell r="D8764">
            <v>0</v>
          </cell>
          <cell r="E8764">
            <v>0</v>
          </cell>
          <cell r="F8764">
            <v>0</v>
          </cell>
          <cell r="G8764">
            <v>0</v>
          </cell>
        </row>
        <row r="8765">
          <cell r="A8765" t="str">
            <v>57-01-01-1175</v>
          </cell>
          <cell r="B8765">
            <v>0</v>
          </cell>
          <cell r="C8765" t="str">
            <v xml:space="preserve">  67074 MUHAMMAD AFZAL JOBBER MILL # 2</v>
          </cell>
          <cell r="D8765">
            <v>0</v>
          </cell>
          <cell r="E8765">
            <v>0</v>
          </cell>
          <cell r="F8765">
            <v>0</v>
          </cell>
          <cell r="G8765">
            <v>0</v>
          </cell>
        </row>
        <row r="8766">
          <cell r="A8766" t="str">
            <v>57-01-01-1176</v>
          </cell>
          <cell r="B8766">
            <v>0</v>
          </cell>
          <cell r="C8766" t="str">
            <v xml:space="preserve">  37781 MUHAMMAD ARSHAD A/FITTER MILL #</v>
          </cell>
          <cell r="D8766">
            <v>0</v>
          </cell>
          <cell r="E8766">
            <v>0</v>
          </cell>
          <cell r="F8766">
            <v>0</v>
          </cell>
          <cell r="G8766">
            <v>0</v>
          </cell>
        </row>
        <row r="8767">
          <cell r="A8767" t="str">
            <v>57-01-01-1177</v>
          </cell>
          <cell r="B8767">
            <v>0</v>
          </cell>
          <cell r="C8767" t="str">
            <v xml:space="preserve">  48177 NOOR SULTAN JOBBER MILL # 1</v>
          </cell>
          <cell r="D8767">
            <v>0</v>
          </cell>
          <cell r="E8767">
            <v>0</v>
          </cell>
          <cell r="F8767">
            <v>0</v>
          </cell>
          <cell r="G8767">
            <v>0</v>
          </cell>
        </row>
        <row r="8768">
          <cell r="A8768" t="str">
            <v>57-01-01-1178</v>
          </cell>
          <cell r="B8768">
            <v>0</v>
          </cell>
          <cell r="C8768" t="str">
            <v xml:space="preserve">  48177 NOOR SULTAN JOBBER MILL # 1</v>
          </cell>
          <cell r="D8768">
            <v>0</v>
          </cell>
          <cell r="E8768">
            <v>0</v>
          </cell>
          <cell r="F8768">
            <v>0</v>
          </cell>
          <cell r="G8768">
            <v>0</v>
          </cell>
        </row>
        <row r="8769">
          <cell r="A8769" t="str">
            <v>57-01-01-1179</v>
          </cell>
          <cell r="B8769">
            <v>0</v>
          </cell>
          <cell r="C8769" t="str">
            <v xml:space="preserve">   65502 TARIQ MEHMOOD HELPER MILL # 2</v>
          </cell>
          <cell r="D8769">
            <v>0</v>
          </cell>
          <cell r="E8769">
            <v>0</v>
          </cell>
          <cell r="F8769">
            <v>0</v>
          </cell>
          <cell r="G8769">
            <v>0</v>
          </cell>
        </row>
        <row r="8770">
          <cell r="A8770" t="str">
            <v>57-01-01-1180</v>
          </cell>
          <cell r="B8770">
            <v>0</v>
          </cell>
          <cell r="C8770" t="str">
            <v xml:space="preserve">  64684 MUHAMMAD IQBAL CT SHIFT-A CARDN</v>
          </cell>
          <cell r="D8770">
            <v>0</v>
          </cell>
          <cell r="E8770">
            <v>0</v>
          </cell>
          <cell r="F8770">
            <v>0</v>
          </cell>
          <cell r="G8770">
            <v>0</v>
          </cell>
        </row>
        <row r="8771">
          <cell r="A8771" t="str">
            <v>57-01-01-1181</v>
          </cell>
          <cell r="B8771">
            <v>0</v>
          </cell>
          <cell r="C8771" t="str">
            <v xml:space="preserve">   81029 MUHAMMAD ASHFAQ S.A.F RING-8</v>
          </cell>
          <cell r="D8771">
            <v>0</v>
          </cell>
          <cell r="E8771">
            <v>0</v>
          </cell>
          <cell r="F8771">
            <v>0</v>
          </cell>
          <cell r="G8771">
            <v>0</v>
          </cell>
        </row>
        <row r="8772">
          <cell r="A8772" t="str">
            <v>57-01-01-1182</v>
          </cell>
          <cell r="B8772">
            <v>0</v>
          </cell>
          <cell r="C8772" t="str">
            <v xml:space="preserve">   47481 SYED MUMTAZ ALI SHAH GODOWN CLE</v>
          </cell>
          <cell r="D8772">
            <v>0</v>
          </cell>
          <cell r="E8772">
            <v>0</v>
          </cell>
          <cell r="F8772">
            <v>0</v>
          </cell>
          <cell r="G8772">
            <v>0</v>
          </cell>
        </row>
        <row r="8773">
          <cell r="A8773" t="str">
            <v>57-01-01-1183</v>
          </cell>
          <cell r="B8773">
            <v>0</v>
          </cell>
          <cell r="C8773" t="str">
            <v xml:space="preserve">   40909 MUNAWAR KHAN 4/S MILL # 4</v>
          </cell>
          <cell r="D8773">
            <v>0</v>
          </cell>
          <cell r="E8773">
            <v>0</v>
          </cell>
          <cell r="F8773">
            <v>0</v>
          </cell>
          <cell r="G8773">
            <v>0</v>
          </cell>
        </row>
        <row r="8774">
          <cell r="A8774" t="str">
            <v>57-01-01-1184</v>
          </cell>
          <cell r="B8774">
            <v>0</v>
          </cell>
          <cell r="C8774" t="str">
            <v xml:space="preserve">  50069 GHULAM YASEEN OPT MILL # 3</v>
          </cell>
          <cell r="D8774">
            <v>0</v>
          </cell>
          <cell r="E8774">
            <v>0</v>
          </cell>
          <cell r="F8774">
            <v>0</v>
          </cell>
          <cell r="G8774">
            <v>0</v>
          </cell>
        </row>
        <row r="8775">
          <cell r="A8775" t="str">
            <v>57-01-01-1185</v>
          </cell>
          <cell r="B8775">
            <v>0</v>
          </cell>
          <cell r="C8775" t="str">
            <v xml:space="preserve">  33550 QAISER ALI OPT MILL # 1</v>
          </cell>
          <cell r="D8775">
            <v>0</v>
          </cell>
          <cell r="E8775">
            <v>0</v>
          </cell>
          <cell r="F8775">
            <v>0</v>
          </cell>
          <cell r="G8775">
            <v>0</v>
          </cell>
        </row>
        <row r="8776">
          <cell r="A8776" t="str">
            <v>57-01-01-1186</v>
          </cell>
          <cell r="B8776">
            <v>0</v>
          </cell>
          <cell r="C8776" t="str">
            <v xml:space="preserve">   38338 MUHAMMAD ASHRAF 4/S MILL # 4</v>
          </cell>
          <cell r="D8776">
            <v>0</v>
          </cell>
          <cell r="E8776">
            <v>0</v>
          </cell>
          <cell r="F8776">
            <v>0</v>
          </cell>
          <cell r="G8776">
            <v>0</v>
          </cell>
        </row>
        <row r="8777">
          <cell r="A8777" t="str">
            <v>57-01-01-1187</v>
          </cell>
          <cell r="B8777">
            <v>0</v>
          </cell>
          <cell r="C8777" t="str">
            <v xml:space="preserve">  60546 MUHAMMAD AASIM A/FITTER MILL #</v>
          </cell>
          <cell r="D8777">
            <v>0</v>
          </cell>
          <cell r="E8777">
            <v>0</v>
          </cell>
          <cell r="F8777">
            <v>0</v>
          </cell>
          <cell r="G8777">
            <v>0</v>
          </cell>
        </row>
        <row r="8778">
          <cell r="A8778" t="str">
            <v>57-01-01-1188</v>
          </cell>
          <cell r="B8778">
            <v>0</v>
          </cell>
          <cell r="C8778" t="str">
            <v xml:space="preserve">   35450 ASHFAQ HUSSAIN O.OPT MILL # 2</v>
          </cell>
          <cell r="D8778">
            <v>0</v>
          </cell>
          <cell r="E8778">
            <v>0</v>
          </cell>
          <cell r="F8778">
            <v>0</v>
          </cell>
          <cell r="G8778">
            <v>0</v>
          </cell>
        </row>
        <row r="8779">
          <cell r="A8779" t="str">
            <v>57-01-01-1189</v>
          </cell>
          <cell r="B8779">
            <v>0</v>
          </cell>
          <cell r="C8779" t="str">
            <v xml:space="preserve">   69156 AMJAD ALI 4/S MILL # 2</v>
          </cell>
          <cell r="D8779">
            <v>0</v>
          </cell>
          <cell r="E8779">
            <v>0</v>
          </cell>
          <cell r="F8779">
            <v>0</v>
          </cell>
          <cell r="G8779">
            <v>0</v>
          </cell>
        </row>
        <row r="8780">
          <cell r="A8780" t="str">
            <v>57-01-01-1190</v>
          </cell>
          <cell r="B8780">
            <v>0</v>
          </cell>
          <cell r="C8780" t="str">
            <v xml:space="preserve">  44299 MUHAMMAD ASHFAQ OPT MILL # 4</v>
          </cell>
          <cell r="D8780">
            <v>0</v>
          </cell>
          <cell r="E8780">
            <v>0</v>
          </cell>
          <cell r="F8780">
            <v>0</v>
          </cell>
          <cell r="G8780">
            <v>0</v>
          </cell>
        </row>
        <row r="8781">
          <cell r="A8781" t="str">
            <v>57-01-01-1191</v>
          </cell>
          <cell r="B8781">
            <v>0</v>
          </cell>
          <cell r="C8781" t="str">
            <v xml:space="preserve">  67634 MUHAMMAD MEHBOOB DST MILL # 1</v>
          </cell>
          <cell r="D8781">
            <v>0</v>
          </cell>
          <cell r="E8781">
            <v>0</v>
          </cell>
          <cell r="F8781">
            <v>0</v>
          </cell>
          <cell r="G8781">
            <v>0</v>
          </cell>
        </row>
        <row r="8782">
          <cell r="A8782" t="str">
            <v>57-01-01-1192</v>
          </cell>
          <cell r="B8782">
            <v>0</v>
          </cell>
          <cell r="C8782" t="str">
            <v xml:space="preserve">  59970 MUKHTAR AHMED DF MILL # 2</v>
          </cell>
          <cell r="D8782">
            <v>0</v>
          </cell>
          <cell r="E8782">
            <v>0</v>
          </cell>
          <cell r="F8782">
            <v>0</v>
          </cell>
          <cell r="G8782">
            <v>0</v>
          </cell>
        </row>
        <row r="8783">
          <cell r="A8783" t="str">
            <v>57-01-01-1193</v>
          </cell>
          <cell r="B8783">
            <v>0</v>
          </cell>
          <cell r="C8783" t="str">
            <v xml:space="preserve">  62893 MUHAMMAD IDREES 4/S MILL # 3</v>
          </cell>
          <cell r="D8783">
            <v>0</v>
          </cell>
          <cell r="E8783">
            <v>0</v>
          </cell>
          <cell r="F8783">
            <v>0</v>
          </cell>
          <cell r="G8783">
            <v>0</v>
          </cell>
        </row>
        <row r="8784">
          <cell r="A8784" t="str">
            <v>57-01-01-1194</v>
          </cell>
          <cell r="B8784">
            <v>0</v>
          </cell>
          <cell r="C8784" t="str">
            <v xml:space="preserve">  37410 MUHAMMAD JAFFAR A/FITTER MILL #</v>
          </cell>
          <cell r="D8784">
            <v>4000</v>
          </cell>
          <cell r="E8784">
            <v>0</v>
          </cell>
          <cell r="F8784">
            <v>0</v>
          </cell>
          <cell r="G8784">
            <v>0</v>
          </cell>
        </row>
        <row r="8785">
          <cell r="A8785" t="str">
            <v>57-01-01-1195</v>
          </cell>
          <cell r="B8785">
            <v>0</v>
          </cell>
          <cell r="C8785" t="str">
            <v xml:space="preserve">  LIAQAT ALI R/ENGINEER CIVIL DEPTT</v>
          </cell>
          <cell r="D8785">
            <v>0</v>
          </cell>
          <cell r="E8785">
            <v>0</v>
          </cell>
          <cell r="F8785">
            <v>0</v>
          </cell>
          <cell r="G8785">
            <v>0</v>
          </cell>
        </row>
        <row r="8786">
          <cell r="A8786" t="str">
            <v>57-01-01-1196</v>
          </cell>
          <cell r="B8786">
            <v>0</v>
          </cell>
          <cell r="C8786" t="str">
            <v xml:space="preserve">  61320 IBRAR HUSSAIN CT MILL # 1</v>
          </cell>
          <cell r="D8786">
            <v>0</v>
          </cell>
          <cell r="E8786">
            <v>0</v>
          </cell>
          <cell r="F8786">
            <v>0</v>
          </cell>
          <cell r="G8786">
            <v>0</v>
          </cell>
        </row>
        <row r="8787">
          <cell r="A8787" t="str">
            <v>57-01-01-1197</v>
          </cell>
          <cell r="B8787">
            <v>0</v>
          </cell>
          <cell r="C8787" t="str">
            <v xml:space="preserve">   56884 MUHAMMAD SHAHBAZ CT MILL # 1</v>
          </cell>
          <cell r="D8787">
            <v>0</v>
          </cell>
          <cell r="E8787">
            <v>0</v>
          </cell>
          <cell r="F8787">
            <v>0</v>
          </cell>
          <cell r="G8787">
            <v>0</v>
          </cell>
        </row>
        <row r="8788">
          <cell r="A8788" t="str">
            <v>57-01-01-1198</v>
          </cell>
          <cell r="B8788">
            <v>0</v>
          </cell>
          <cell r="C8788" t="str">
            <v xml:space="preserve">   40985 MUHAMMAD SALEEM DF MILL # 4</v>
          </cell>
          <cell r="D8788">
            <v>0</v>
          </cell>
          <cell r="E8788">
            <v>0</v>
          </cell>
          <cell r="F8788">
            <v>0</v>
          </cell>
          <cell r="G8788">
            <v>0</v>
          </cell>
        </row>
        <row r="8789">
          <cell r="A8789" t="str">
            <v>57-01-01-1199</v>
          </cell>
          <cell r="B8789">
            <v>0</v>
          </cell>
          <cell r="C8789" t="str">
            <v xml:space="preserve">  68019 MUHAMMAD ISHFAQ 4/S MILL# 4</v>
          </cell>
          <cell r="D8789">
            <v>0</v>
          </cell>
          <cell r="E8789">
            <v>0</v>
          </cell>
          <cell r="F8789">
            <v>0</v>
          </cell>
          <cell r="G8789">
            <v>0</v>
          </cell>
        </row>
        <row r="8790">
          <cell r="A8790" t="str">
            <v>57-01-01-1200</v>
          </cell>
          <cell r="B8790">
            <v>0</v>
          </cell>
          <cell r="C8790" t="str">
            <v xml:space="preserve">   66247 MUHAMMAD HUSSAIN S/INCHARGE M #</v>
          </cell>
          <cell r="D8790">
            <v>0</v>
          </cell>
          <cell r="E8790">
            <v>0</v>
          </cell>
          <cell r="F8790">
            <v>0</v>
          </cell>
          <cell r="G8790">
            <v>0</v>
          </cell>
        </row>
        <row r="8791">
          <cell r="A8791" t="str">
            <v>57-01-01-1201</v>
          </cell>
          <cell r="B8791">
            <v>0</v>
          </cell>
          <cell r="C8791" t="str">
            <v xml:space="preserve">   40068 MUHAMMAD MUMTAZ OPT MILL # 1</v>
          </cell>
          <cell r="D8791">
            <v>0</v>
          </cell>
          <cell r="E8791">
            <v>0</v>
          </cell>
          <cell r="F8791">
            <v>0</v>
          </cell>
          <cell r="G8791">
            <v>0</v>
          </cell>
        </row>
        <row r="8792">
          <cell r="A8792" t="str">
            <v>57-01-01-1202</v>
          </cell>
          <cell r="B8792">
            <v>0</v>
          </cell>
          <cell r="C8792" t="str">
            <v xml:space="preserve">   63816 SHAHID SALEEM PT MILL # 2</v>
          </cell>
          <cell r="D8792">
            <v>0</v>
          </cell>
          <cell r="E8792">
            <v>0</v>
          </cell>
          <cell r="F8792">
            <v>0</v>
          </cell>
          <cell r="G8792">
            <v>0</v>
          </cell>
        </row>
        <row r="8793">
          <cell r="A8793" t="str">
            <v>57-01-01-1203</v>
          </cell>
          <cell r="B8793">
            <v>0</v>
          </cell>
          <cell r="C8793" t="str">
            <v xml:space="preserve">  41615 AZHAR ABBAS OPT MILL # 1</v>
          </cell>
          <cell r="D8793">
            <v>0</v>
          </cell>
          <cell r="E8793">
            <v>0</v>
          </cell>
          <cell r="F8793">
            <v>0</v>
          </cell>
          <cell r="G8793">
            <v>0</v>
          </cell>
        </row>
        <row r="8794">
          <cell r="A8794" t="str">
            <v>57-01-01-1204</v>
          </cell>
          <cell r="B8794">
            <v>0</v>
          </cell>
          <cell r="C8794" t="str">
            <v xml:space="preserve">   57615 MUHAMMAD RAFIQUE UST/OPT LAB #</v>
          </cell>
          <cell r="D8794">
            <v>0</v>
          </cell>
          <cell r="E8794">
            <v>0</v>
          </cell>
          <cell r="F8794">
            <v>0</v>
          </cell>
          <cell r="G8794">
            <v>0</v>
          </cell>
        </row>
        <row r="8795">
          <cell r="A8795" t="str">
            <v>57-01-01-1205</v>
          </cell>
          <cell r="B8795">
            <v>0</v>
          </cell>
          <cell r="C8795" t="str">
            <v xml:space="preserve">  45837 JAHANZEB S/FITTER MILL # 3</v>
          </cell>
          <cell r="D8795">
            <v>0</v>
          </cell>
          <cell r="E8795">
            <v>0</v>
          </cell>
          <cell r="F8795">
            <v>0</v>
          </cell>
          <cell r="G8795">
            <v>0</v>
          </cell>
        </row>
        <row r="8796">
          <cell r="A8796" t="str">
            <v>57-01-01-1206</v>
          </cell>
          <cell r="B8796">
            <v>0</v>
          </cell>
          <cell r="C8796" t="str">
            <v xml:space="preserve">  56595 MUHAMMAD ASIM A/FITTER MILL # 3</v>
          </cell>
          <cell r="D8796">
            <v>0</v>
          </cell>
          <cell r="E8796">
            <v>0</v>
          </cell>
          <cell r="F8796">
            <v>0</v>
          </cell>
          <cell r="G8796">
            <v>0</v>
          </cell>
        </row>
        <row r="8797">
          <cell r="A8797" t="str">
            <v>57-01-01-1207</v>
          </cell>
          <cell r="B8797">
            <v>0</v>
          </cell>
          <cell r="C8797" t="str">
            <v xml:space="preserve">  25156 MUHAMMAD AZAM DST MILL # 2</v>
          </cell>
          <cell r="D8797">
            <v>0</v>
          </cell>
          <cell r="E8797">
            <v>0</v>
          </cell>
          <cell r="F8797">
            <v>0</v>
          </cell>
          <cell r="G8797">
            <v>0</v>
          </cell>
        </row>
        <row r="8798">
          <cell r="A8798" t="str">
            <v>57-01-01-1208</v>
          </cell>
          <cell r="B8798">
            <v>0</v>
          </cell>
          <cell r="C8798" t="str">
            <v xml:space="preserve">   51316 KHYZER HAYAT 4/S MILL # 3</v>
          </cell>
          <cell r="D8798">
            <v>0</v>
          </cell>
          <cell r="E8798">
            <v>0</v>
          </cell>
          <cell r="F8798">
            <v>0</v>
          </cell>
          <cell r="G8798">
            <v>0</v>
          </cell>
        </row>
        <row r="8799">
          <cell r="A8799" t="str">
            <v>57-01-01-1209</v>
          </cell>
          <cell r="B8799">
            <v>0</v>
          </cell>
          <cell r="C8799" t="str">
            <v xml:space="preserve">  66762 MUHAMMAD EJAZ PT MILL # 2</v>
          </cell>
          <cell r="D8799">
            <v>0</v>
          </cell>
          <cell r="E8799">
            <v>0</v>
          </cell>
          <cell r="F8799">
            <v>0</v>
          </cell>
          <cell r="G8799">
            <v>0</v>
          </cell>
        </row>
        <row r="8800">
          <cell r="A8800" t="str">
            <v>57-01-01-1210</v>
          </cell>
          <cell r="B8800">
            <v>0</v>
          </cell>
          <cell r="C8800" t="str">
            <v xml:space="preserve">  18290 MUHAMMAD IQBAL 4/S MILL # 1</v>
          </cell>
          <cell r="D8800">
            <v>0</v>
          </cell>
          <cell r="E8800">
            <v>0</v>
          </cell>
          <cell r="F8800">
            <v>0</v>
          </cell>
          <cell r="G8800">
            <v>0</v>
          </cell>
        </row>
        <row r="8801">
          <cell r="A8801" t="str">
            <v>57-01-01-1211</v>
          </cell>
          <cell r="B8801">
            <v>0</v>
          </cell>
          <cell r="C8801" t="str">
            <v xml:space="preserve">   51935 RAFAQAT ALI A/FITTER MILL # 2</v>
          </cell>
          <cell r="D8801">
            <v>0</v>
          </cell>
          <cell r="E8801">
            <v>0</v>
          </cell>
          <cell r="F8801">
            <v>0</v>
          </cell>
          <cell r="G8801">
            <v>0</v>
          </cell>
        </row>
        <row r="8802">
          <cell r="A8802" t="str">
            <v>57-01-01-1212</v>
          </cell>
          <cell r="B8802">
            <v>0</v>
          </cell>
          <cell r="C8802" t="str">
            <v xml:space="preserve">  66159 MUHAMMAD KASHIF PT MILL # 1</v>
          </cell>
          <cell r="D8802">
            <v>0</v>
          </cell>
          <cell r="E8802">
            <v>0</v>
          </cell>
          <cell r="F8802">
            <v>0</v>
          </cell>
          <cell r="G8802">
            <v>0</v>
          </cell>
        </row>
        <row r="8803">
          <cell r="A8803" t="str">
            <v>57-01-01-1213</v>
          </cell>
          <cell r="B8803">
            <v>0</v>
          </cell>
          <cell r="C8803" t="str">
            <v xml:space="preserve">   30779 GHULAM ILYAS LAB.SUPERVISOR</v>
          </cell>
          <cell r="D8803">
            <v>0</v>
          </cell>
          <cell r="E8803">
            <v>0</v>
          </cell>
          <cell r="F8803">
            <v>0</v>
          </cell>
          <cell r="G8803">
            <v>0</v>
          </cell>
        </row>
        <row r="8804">
          <cell r="A8804" t="str">
            <v>57-01-01-1214</v>
          </cell>
          <cell r="B8804">
            <v>0</v>
          </cell>
          <cell r="C8804" t="str">
            <v xml:space="preserve">  68594 ZAKIR HUSSAIN DST MILL # 3</v>
          </cell>
          <cell r="D8804">
            <v>0</v>
          </cell>
          <cell r="E8804">
            <v>0</v>
          </cell>
          <cell r="F8804">
            <v>0</v>
          </cell>
          <cell r="G8804">
            <v>0</v>
          </cell>
        </row>
        <row r="8805">
          <cell r="A8805" t="str">
            <v>57-01-01-1215</v>
          </cell>
          <cell r="B8805">
            <v>0</v>
          </cell>
          <cell r="C8805" t="str">
            <v xml:space="preserve">  67843 MUHAMMAD ASLAM JOBBER MILL # 2</v>
          </cell>
          <cell r="D8805">
            <v>0</v>
          </cell>
          <cell r="E8805">
            <v>0</v>
          </cell>
          <cell r="F8805">
            <v>0</v>
          </cell>
          <cell r="G8805">
            <v>0</v>
          </cell>
        </row>
        <row r="8806">
          <cell r="A8806" t="str">
            <v>57-01-01-1216</v>
          </cell>
          <cell r="B8806">
            <v>0</v>
          </cell>
          <cell r="C8806" t="str">
            <v xml:space="preserve">   66706 SALEEM KHAN DDT MILL # 2</v>
          </cell>
          <cell r="D8806">
            <v>0</v>
          </cell>
          <cell r="E8806">
            <v>0</v>
          </cell>
          <cell r="F8806">
            <v>0</v>
          </cell>
          <cell r="G8806">
            <v>0</v>
          </cell>
        </row>
        <row r="8807">
          <cell r="A8807" t="str">
            <v>57-01-01-1217</v>
          </cell>
          <cell r="B8807">
            <v>0</v>
          </cell>
          <cell r="C8807" t="str">
            <v xml:space="preserve">   65848 ABDUR REHMAN OPT MILL # 4</v>
          </cell>
          <cell r="D8807">
            <v>0</v>
          </cell>
          <cell r="E8807">
            <v>0</v>
          </cell>
          <cell r="F8807">
            <v>0</v>
          </cell>
          <cell r="G8807">
            <v>0</v>
          </cell>
        </row>
        <row r="8808">
          <cell r="A8808" t="str">
            <v>57-01-01-1218</v>
          </cell>
          <cell r="B8808">
            <v>0</v>
          </cell>
          <cell r="C8808" t="str">
            <v xml:space="preserve">   67502 QAISER JAVED 4/S MILL # 2</v>
          </cell>
          <cell r="D8808">
            <v>0</v>
          </cell>
          <cell r="E8808">
            <v>0</v>
          </cell>
          <cell r="F8808">
            <v>0</v>
          </cell>
          <cell r="G8808">
            <v>0</v>
          </cell>
        </row>
        <row r="8809">
          <cell r="A8809" t="str">
            <v>57-01-01-1219</v>
          </cell>
          <cell r="B8809">
            <v>0</v>
          </cell>
          <cell r="C8809" t="str">
            <v xml:space="preserve">   69175 SHAHBAZ AHMED 4/S MILL # 2</v>
          </cell>
          <cell r="D8809">
            <v>0</v>
          </cell>
          <cell r="E8809">
            <v>0</v>
          </cell>
          <cell r="F8809">
            <v>0</v>
          </cell>
          <cell r="G8809">
            <v>0</v>
          </cell>
        </row>
        <row r="8810">
          <cell r="A8810" t="str">
            <v>57-01-01-1220</v>
          </cell>
          <cell r="B8810">
            <v>0</v>
          </cell>
          <cell r="C8810" t="str">
            <v xml:space="preserve">  66020 GHULAM ABBAS OPT MILL # 1</v>
          </cell>
          <cell r="D8810">
            <v>0</v>
          </cell>
          <cell r="E8810">
            <v>0</v>
          </cell>
          <cell r="F8810">
            <v>0</v>
          </cell>
          <cell r="G8810">
            <v>0</v>
          </cell>
        </row>
        <row r="8811">
          <cell r="A8811" t="str">
            <v>57-01-01-1221</v>
          </cell>
          <cell r="B8811">
            <v>0</v>
          </cell>
          <cell r="C8811" t="str">
            <v xml:space="preserve">  30819 ABDUL MAJEED 4/S MILL # 3</v>
          </cell>
          <cell r="D8811">
            <v>0</v>
          </cell>
          <cell r="E8811">
            <v>0</v>
          </cell>
          <cell r="F8811">
            <v>0</v>
          </cell>
          <cell r="G8811">
            <v>0</v>
          </cell>
        </row>
        <row r="8812">
          <cell r="A8812" t="str">
            <v>57-01-01-1222</v>
          </cell>
          <cell r="B8812">
            <v>0</v>
          </cell>
          <cell r="C8812" t="str">
            <v xml:space="preserve">   54185 HAMIDULLAH OPT MILL # 3</v>
          </cell>
          <cell r="D8812">
            <v>0</v>
          </cell>
          <cell r="E8812">
            <v>0</v>
          </cell>
          <cell r="F8812">
            <v>0</v>
          </cell>
          <cell r="G8812">
            <v>0</v>
          </cell>
        </row>
        <row r="8813">
          <cell r="A8813" t="str">
            <v>57-01-01-1223</v>
          </cell>
          <cell r="B8813">
            <v>0</v>
          </cell>
          <cell r="C8813" t="str">
            <v xml:space="preserve">  67624 SAJJAD HUSSAIN CT MILL # 2</v>
          </cell>
          <cell r="D8813">
            <v>0</v>
          </cell>
          <cell r="E8813">
            <v>0</v>
          </cell>
          <cell r="F8813">
            <v>0</v>
          </cell>
          <cell r="G8813">
            <v>0</v>
          </cell>
        </row>
        <row r="8814">
          <cell r="A8814" t="str">
            <v>57-01-01-1224</v>
          </cell>
          <cell r="B8814">
            <v>0</v>
          </cell>
          <cell r="C8814" t="str">
            <v xml:space="preserve">   62869 MUHAMMAD FAROOQ JOBBER MILL # 3</v>
          </cell>
          <cell r="D8814">
            <v>0</v>
          </cell>
          <cell r="E8814">
            <v>0</v>
          </cell>
          <cell r="F8814">
            <v>0</v>
          </cell>
          <cell r="G8814">
            <v>0</v>
          </cell>
        </row>
        <row r="8815">
          <cell r="A8815" t="str">
            <v>57-01-01-1225</v>
          </cell>
          <cell r="B8815">
            <v>0</v>
          </cell>
          <cell r="C8815" t="str">
            <v xml:space="preserve">   64029 GHULAM ALI  DDT MILL # 3</v>
          </cell>
          <cell r="D8815">
            <v>0</v>
          </cell>
          <cell r="E8815">
            <v>0</v>
          </cell>
          <cell r="F8815">
            <v>0</v>
          </cell>
          <cell r="G8815">
            <v>0</v>
          </cell>
        </row>
        <row r="8816">
          <cell r="A8816" t="str">
            <v>57-01-01-1226</v>
          </cell>
          <cell r="B8816">
            <v>0</v>
          </cell>
          <cell r="C8816" t="str">
            <v xml:space="preserve">   67643 MUHSIN RAZA 67643 OPT MILL # 1</v>
          </cell>
          <cell r="D8816">
            <v>0</v>
          </cell>
          <cell r="E8816">
            <v>0</v>
          </cell>
          <cell r="F8816">
            <v>0</v>
          </cell>
          <cell r="G8816">
            <v>0</v>
          </cell>
        </row>
        <row r="8817">
          <cell r="A8817" t="str">
            <v>57-01-01-1227</v>
          </cell>
          <cell r="B8817">
            <v>0</v>
          </cell>
          <cell r="C8817" t="str">
            <v xml:space="preserve">  60334 SAJJAD HUSSAIN 4/S MILL # 3</v>
          </cell>
          <cell r="D8817">
            <v>0</v>
          </cell>
          <cell r="E8817">
            <v>0</v>
          </cell>
          <cell r="F8817">
            <v>0</v>
          </cell>
          <cell r="G8817">
            <v>0</v>
          </cell>
        </row>
        <row r="8818">
          <cell r="A8818" t="str">
            <v>57-01-01-1228</v>
          </cell>
          <cell r="B8818">
            <v>0</v>
          </cell>
          <cell r="C8818" t="str">
            <v xml:space="preserve">   55410 MAZHAR IQBAL 4/S MILL # 4</v>
          </cell>
          <cell r="D8818">
            <v>0</v>
          </cell>
          <cell r="E8818">
            <v>0</v>
          </cell>
          <cell r="F8818">
            <v>0</v>
          </cell>
          <cell r="G8818">
            <v>0</v>
          </cell>
        </row>
        <row r="8819">
          <cell r="A8819" t="str">
            <v>57-01-01-1229</v>
          </cell>
          <cell r="B8819">
            <v>0</v>
          </cell>
          <cell r="C8819" t="str">
            <v xml:space="preserve">   64166 IJAZ AHMED 4/S MILL # 3</v>
          </cell>
          <cell r="D8819">
            <v>0</v>
          </cell>
          <cell r="E8819">
            <v>0</v>
          </cell>
          <cell r="F8819">
            <v>0</v>
          </cell>
          <cell r="G8819">
            <v>0</v>
          </cell>
        </row>
        <row r="8820">
          <cell r="A8820" t="str">
            <v>57-01-01-1230</v>
          </cell>
          <cell r="B8820">
            <v>0</v>
          </cell>
          <cell r="C8820" t="str">
            <v xml:space="preserve">  58963 FAZAL SATTAR 4/S MILL # 2</v>
          </cell>
          <cell r="D8820">
            <v>0</v>
          </cell>
          <cell r="E8820">
            <v>0</v>
          </cell>
          <cell r="F8820">
            <v>0</v>
          </cell>
          <cell r="G8820">
            <v>0</v>
          </cell>
        </row>
        <row r="8821">
          <cell r="A8821" t="str">
            <v>57-01-01-1231</v>
          </cell>
          <cell r="B8821">
            <v>0</v>
          </cell>
          <cell r="C8821" t="str">
            <v xml:space="preserve">  25159 MUHAMMAD YOUNAS S/FITTER MILL #</v>
          </cell>
          <cell r="D8821">
            <v>0</v>
          </cell>
          <cell r="E8821">
            <v>0</v>
          </cell>
          <cell r="F8821">
            <v>0</v>
          </cell>
          <cell r="G8821">
            <v>0</v>
          </cell>
        </row>
        <row r="8822">
          <cell r="A8822" t="str">
            <v>57-01-01-1232</v>
          </cell>
          <cell r="B8822">
            <v>0</v>
          </cell>
          <cell r="C8822" t="str">
            <v xml:space="preserve">   64329 JAHANGIR ASHRAF 4/S MILL # 3</v>
          </cell>
          <cell r="D8822">
            <v>0</v>
          </cell>
          <cell r="E8822">
            <v>0</v>
          </cell>
          <cell r="F8822">
            <v>0</v>
          </cell>
          <cell r="G8822">
            <v>0</v>
          </cell>
        </row>
        <row r="8823">
          <cell r="A8823" t="str">
            <v>57-01-01-1233</v>
          </cell>
          <cell r="B8823">
            <v>0</v>
          </cell>
          <cell r="C8823" t="str">
            <v xml:space="preserve">   64329 JAHANGIR ASHRAF 4/S MILL # 3</v>
          </cell>
          <cell r="D8823">
            <v>0</v>
          </cell>
          <cell r="E8823">
            <v>0</v>
          </cell>
          <cell r="F8823">
            <v>0</v>
          </cell>
          <cell r="G8823">
            <v>0</v>
          </cell>
        </row>
        <row r="8824">
          <cell r="A8824" t="str">
            <v>57-01-01-1234</v>
          </cell>
          <cell r="B8824">
            <v>0</v>
          </cell>
          <cell r="C8824" t="str">
            <v xml:space="preserve">  37876 MUDASIR IQBAL 4/S MILL # 1</v>
          </cell>
          <cell r="D8824">
            <v>0</v>
          </cell>
          <cell r="E8824">
            <v>0</v>
          </cell>
          <cell r="F8824">
            <v>0</v>
          </cell>
          <cell r="G8824">
            <v>0</v>
          </cell>
        </row>
        <row r="8825">
          <cell r="A8825" t="str">
            <v>57-01-01-1235</v>
          </cell>
          <cell r="B8825">
            <v>0</v>
          </cell>
          <cell r="C8825" t="str">
            <v xml:space="preserve">  52939 MUNIR AHMED OPT MILL # 2</v>
          </cell>
          <cell r="D8825">
            <v>0</v>
          </cell>
          <cell r="E8825">
            <v>0</v>
          </cell>
          <cell r="F8825">
            <v>0</v>
          </cell>
          <cell r="G8825">
            <v>0</v>
          </cell>
        </row>
        <row r="8826">
          <cell r="A8826" t="str">
            <v>57-01-01-1236</v>
          </cell>
          <cell r="B8826">
            <v>0</v>
          </cell>
          <cell r="C8826" t="str">
            <v xml:space="preserve">   41889 SHAFAQAT ALI 4/S RING-1 MILL</v>
          </cell>
          <cell r="D8826">
            <v>0</v>
          </cell>
          <cell r="E8826">
            <v>0</v>
          </cell>
          <cell r="F8826">
            <v>0</v>
          </cell>
          <cell r="G8826">
            <v>0</v>
          </cell>
        </row>
        <row r="8827">
          <cell r="A8827" t="str">
            <v>57-01-01-1237</v>
          </cell>
          <cell r="B8827">
            <v>0</v>
          </cell>
          <cell r="C8827" t="str">
            <v xml:space="preserve">   53869 MUJAHID HUSSAIN OPT A/CONE-3</v>
          </cell>
          <cell r="D8827">
            <v>0</v>
          </cell>
          <cell r="E8827">
            <v>0</v>
          </cell>
          <cell r="F8827">
            <v>0</v>
          </cell>
          <cell r="G8827">
            <v>0</v>
          </cell>
        </row>
        <row r="8828">
          <cell r="A8828" t="str">
            <v>57-01-01-1238</v>
          </cell>
          <cell r="B8828">
            <v>0</v>
          </cell>
          <cell r="C8828" t="str">
            <v xml:space="preserve">  61424 S.TANVIR KAUSAR SHAH DF A/CONE-</v>
          </cell>
          <cell r="D8828">
            <v>0</v>
          </cell>
          <cell r="E8828">
            <v>0</v>
          </cell>
          <cell r="F8828">
            <v>0</v>
          </cell>
          <cell r="G8828">
            <v>0</v>
          </cell>
        </row>
        <row r="8829">
          <cell r="A8829" t="str">
            <v>57-01-01-1239</v>
          </cell>
          <cell r="B8829">
            <v>0</v>
          </cell>
          <cell r="C8829" t="str">
            <v xml:space="preserve">   83170 SULMAN AHMED A.S.M MILL # 4</v>
          </cell>
          <cell r="D8829">
            <v>0</v>
          </cell>
          <cell r="E8829">
            <v>0</v>
          </cell>
          <cell r="F8829">
            <v>0</v>
          </cell>
          <cell r="G8829">
            <v>0</v>
          </cell>
        </row>
        <row r="8830">
          <cell r="A8830" t="str">
            <v>57-01-01-1240</v>
          </cell>
          <cell r="B8830">
            <v>0</v>
          </cell>
          <cell r="C8830" t="str">
            <v xml:space="preserve">   83146  REHAN AZAM A.S.M MILL # 3</v>
          </cell>
          <cell r="D8830">
            <v>0</v>
          </cell>
          <cell r="E8830">
            <v>0</v>
          </cell>
          <cell r="F8830">
            <v>0</v>
          </cell>
          <cell r="G8830">
            <v>0</v>
          </cell>
        </row>
        <row r="8831">
          <cell r="A8831" t="str">
            <v>57-01-01-1241</v>
          </cell>
          <cell r="B8831">
            <v>0</v>
          </cell>
          <cell r="C8831" t="str">
            <v xml:space="preserve">   55488 KOROO SHAH OPT MILL # 3</v>
          </cell>
          <cell r="D8831">
            <v>0</v>
          </cell>
          <cell r="E8831">
            <v>0</v>
          </cell>
          <cell r="F8831">
            <v>0</v>
          </cell>
          <cell r="G8831">
            <v>0</v>
          </cell>
        </row>
        <row r="8832">
          <cell r="A8832" t="str">
            <v>57-01-01-1242</v>
          </cell>
          <cell r="B8832">
            <v>0</v>
          </cell>
          <cell r="C8832" t="str">
            <v xml:space="preserve">   66024 FARMAN ALI SHIFT INCHARGE MILL</v>
          </cell>
          <cell r="D8832">
            <v>0</v>
          </cell>
          <cell r="E8832">
            <v>0</v>
          </cell>
          <cell r="F8832">
            <v>0</v>
          </cell>
          <cell r="G8832">
            <v>0</v>
          </cell>
        </row>
        <row r="8833">
          <cell r="A8833" t="str">
            <v>57-01-01-1243</v>
          </cell>
          <cell r="B8833">
            <v>0</v>
          </cell>
          <cell r="C8833" t="str">
            <v xml:space="preserve">   54014 MAQSOOD ALI FITTER MILL # 1</v>
          </cell>
          <cell r="D8833">
            <v>0</v>
          </cell>
          <cell r="E8833">
            <v>0</v>
          </cell>
          <cell r="F8833">
            <v>0</v>
          </cell>
          <cell r="G8833">
            <v>0</v>
          </cell>
        </row>
        <row r="8834">
          <cell r="A8834" t="str">
            <v>57-01-01-1244</v>
          </cell>
          <cell r="B8834">
            <v>0</v>
          </cell>
          <cell r="C8834" t="str">
            <v xml:space="preserve">   60394 MUHAMMAD FAZAL DF MILL #3</v>
          </cell>
          <cell r="D8834">
            <v>0</v>
          </cell>
          <cell r="E8834">
            <v>0</v>
          </cell>
          <cell r="F8834">
            <v>0</v>
          </cell>
          <cell r="G8834">
            <v>0</v>
          </cell>
        </row>
        <row r="8835">
          <cell r="A8835" t="str">
            <v>57-01-01-1245</v>
          </cell>
          <cell r="B8835">
            <v>0</v>
          </cell>
          <cell r="C8835" t="str">
            <v xml:space="preserve">   49182 NIHAR ALI 4/S MILL # 4</v>
          </cell>
          <cell r="D8835">
            <v>0</v>
          </cell>
          <cell r="E8835">
            <v>0</v>
          </cell>
          <cell r="F8835">
            <v>0</v>
          </cell>
          <cell r="G8835">
            <v>0</v>
          </cell>
        </row>
        <row r="8836">
          <cell r="A8836" t="str">
            <v>57-01-01-1246</v>
          </cell>
          <cell r="B8836">
            <v>0</v>
          </cell>
          <cell r="C8836" t="str">
            <v xml:space="preserve">  51836 NAWAB KHAN HELPER MILL # 2</v>
          </cell>
          <cell r="D8836">
            <v>0</v>
          </cell>
          <cell r="E8836">
            <v>0</v>
          </cell>
          <cell r="F8836">
            <v>0</v>
          </cell>
          <cell r="G8836">
            <v>0</v>
          </cell>
        </row>
        <row r="8837">
          <cell r="A8837" t="str">
            <v>57-01-01-1247</v>
          </cell>
          <cell r="B8837">
            <v>0</v>
          </cell>
          <cell r="C8837" t="str">
            <v xml:space="preserve">   50360 MUHAMMAD NADIM 4/S MILL # 3</v>
          </cell>
          <cell r="D8837">
            <v>0</v>
          </cell>
          <cell r="E8837">
            <v>0</v>
          </cell>
          <cell r="F8837">
            <v>0</v>
          </cell>
          <cell r="G8837">
            <v>0</v>
          </cell>
        </row>
        <row r="8838">
          <cell r="A8838" t="str">
            <v>57-01-01-1248</v>
          </cell>
          <cell r="B8838">
            <v>0</v>
          </cell>
          <cell r="C8838" t="str">
            <v xml:space="preserve">   26427 AMIR FAIZULLAH JOBBER MILL # 3</v>
          </cell>
          <cell r="D8838">
            <v>0</v>
          </cell>
          <cell r="E8838">
            <v>0</v>
          </cell>
          <cell r="F8838">
            <v>0</v>
          </cell>
          <cell r="G8838">
            <v>0</v>
          </cell>
        </row>
        <row r="8839">
          <cell r="A8839" t="str">
            <v>57-01-01-1249</v>
          </cell>
          <cell r="B8839">
            <v>0</v>
          </cell>
          <cell r="C8839" t="str">
            <v xml:space="preserve">   26427 AMIR FAIZULLAH JOBBER MILL # 3</v>
          </cell>
          <cell r="D8839">
            <v>0</v>
          </cell>
          <cell r="E8839">
            <v>0</v>
          </cell>
          <cell r="F8839">
            <v>0</v>
          </cell>
          <cell r="G8839">
            <v>0</v>
          </cell>
        </row>
        <row r="8840">
          <cell r="A8840" t="str">
            <v>57-01-01-1250</v>
          </cell>
          <cell r="B8840">
            <v>0</v>
          </cell>
          <cell r="C8840" t="str">
            <v xml:space="preserve">   26427 AMIR FAIZULLAH JOBBER MILL # 3</v>
          </cell>
          <cell r="D8840">
            <v>0</v>
          </cell>
          <cell r="E8840">
            <v>0</v>
          </cell>
          <cell r="F8840">
            <v>0</v>
          </cell>
          <cell r="G8840">
            <v>0</v>
          </cell>
        </row>
        <row r="8841">
          <cell r="A8841" t="str">
            <v>57-01-01-1251</v>
          </cell>
          <cell r="B8841">
            <v>0</v>
          </cell>
          <cell r="C8841" t="str">
            <v xml:space="preserve">   52962 SHAHID HUSSAIN OPT MILL # 3</v>
          </cell>
          <cell r="D8841">
            <v>0</v>
          </cell>
          <cell r="E8841">
            <v>0</v>
          </cell>
          <cell r="F8841">
            <v>0</v>
          </cell>
          <cell r="G8841">
            <v>0</v>
          </cell>
        </row>
        <row r="8842">
          <cell r="A8842" t="str">
            <v>57-01-01-1252</v>
          </cell>
          <cell r="B8842">
            <v>0</v>
          </cell>
          <cell r="C8842" t="str">
            <v xml:space="preserve">  64696 MUHAMMAD IRSHAD 4/S MILL # 2</v>
          </cell>
          <cell r="D8842">
            <v>0</v>
          </cell>
          <cell r="E8842">
            <v>0</v>
          </cell>
          <cell r="F8842">
            <v>0</v>
          </cell>
          <cell r="G8842">
            <v>0</v>
          </cell>
        </row>
        <row r="8843">
          <cell r="A8843" t="str">
            <v>57-01-01-1253</v>
          </cell>
          <cell r="B8843">
            <v>0</v>
          </cell>
          <cell r="C8843" t="str">
            <v xml:space="preserve">  54530 MUHAMMAD RAEES OPT MILL # 4</v>
          </cell>
          <cell r="D8843">
            <v>0</v>
          </cell>
          <cell r="E8843">
            <v>0</v>
          </cell>
          <cell r="F8843">
            <v>0</v>
          </cell>
          <cell r="G8843">
            <v>0</v>
          </cell>
        </row>
        <row r="8844">
          <cell r="A8844" t="str">
            <v>57-01-01-1254</v>
          </cell>
          <cell r="B8844">
            <v>0</v>
          </cell>
          <cell r="C8844" t="str">
            <v xml:space="preserve">  69377 MUHAMMAD SARFRAZ OPT MILL # 2</v>
          </cell>
          <cell r="D8844">
            <v>0</v>
          </cell>
          <cell r="E8844">
            <v>0</v>
          </cell>
          <cell r="F8844">
            <v>0</v>
          </cell>
          <cell r="G8844">
            <v>0</v>
          </cell>
        </row>
        <row r="8845">
          <cell r="A8845" t="str">
            <v>57-01-01-1255</v>
          </cell>
          <cell r="B8845">
            <v>0</v>
          </cell>
          <cell r="C8845" t="str">
            <v xml:space="preserve">  61674 ANSAR ALI OPT MILL # 2</v>
          </cell>
          <cell r="D8845">
            <v>0</v>
          </cell>
          <cell r="E8845">
            <v>0</v>
          </cell>
          <cell r="F8845">
            <v>0</v>
          </cell>
          <cell r="G8845">
            <v>0</v>
          </cell>
        </row>
        <row r="8846">
          <cell r="A8846" t="str">
            <v>57-01-01-1256</v>
          </cell>
          <cell r="B8846">
            <v>0</v>
          </cell>
          <cell r="C8846" t="str">
            <v xml:space="preserve">  55305 MUHAMMAD AZAM DDT MILL # 3</v>
          </cell>
          <cell r="D8846">
            <v>0</v>
          </cell>
          <cell r="E8846">
            <v>0</v>
          </cell>
          <cell r="F8846">
            <v>0</v>
          </cell>
          <cell r="G8846">
            <v>0</v>
          </cell>
        </row>
        <row r="8847">
          <cell r="A8847" t="str">
            <v>57-01-01-1257</v>
          </cell>
          <cell r="B8847">
            <v>0</v>
          </cell>
          <cell r="C8847" t="str">
            <v xml:space="preserve">   57308 KHUDA BAKHSH 4/S MILL # 2</v>
          </cell>
          <cell r="D8847">
            <v>0</v>
          </cell>
          <cell r="E8847">
            <v>0</v>
          </cell>
          <cell r="F8847">
            <v>0</v>
          </cell>
          <cell r="G8847">
            <v>0</v>
          </cell>
        </row>
        <row r="8848">
          <cell r="A8848" t="str">
            <v>57-01-01-1258</v>
          </cell>
          <cell r="B8848">
            <v>0</v>
          </cell>
          <cell r="C8848" t="str">
            <v xml:space="preserve">  48830 JAVAID OPT MILL # 1</v>
          </cell>
          <cell r="D8848">
            <v>0</v>
          </cell>
          <cell r="E8848">
            <v>0</v>
          </cell>
          <cell r="F8848">
            <v>0</v>
          </cell>
          <cell r="G8848">
            <v>0</v>
          </cell>
        </row>
        <row r="8849">
          <cell r="A8849" t="str">
            <v>57-01-01-1259</v>
          </cell>
          <cell r="B8849">
            <v>0</v>
          </cell>
          <cell r="C8849" t="str">
            <v xml:space="preserve">  MUHAMMAD NADEEM 4/S MILL # 1</v>
          </cell>
          <cell r="D8849">
            <v>0</v>
          </cell>
          <cell r="E8849">
            <v>0</v>
          </cell>
          <cell r="F8849">
            <v>0</v>
          </cell>
          <cell r="G8849">
            <v>0</v>
          </cell>
        </row>
        <row r="8850">
          <cell r="A8850" t="str">
            <v>57-01-01-1260</v>
          </cell>
          <cell r="B8850">
            <v>0</v>
          </cell>
          <cell r="C8850" t="str">
            <v xml:space="preserve">  23632 NISAR ALI DDT MILL # 2</v>
          </cell>
          <cell r="D8850">
            <v>0</v>
          </cell>
          <cell r="E8850">
            <v>0</v>
          </cell>
          <cell r="F8850">
            <v>0</v>
          </cell>
          <cell r="G8850">
            <v>0</v>
          </cell>
        </row>
        <row r="8851">
          <cell r="A8851" t="str">
            <v>57-01-01-1261</v>
          </cell>
          <cell r="B8851">
            <v>0</v>
          </cell>
          <cell r="C8851" t="str">
            <v xml:space="preserve">  55138 MUHAMMAD YOUSAF OPT MILL # 1</v>
          </cell>
          <cell r="D8851">
            <v>0</v>
          </cell>
          <cell r="E8851">
            <v>0</v>
          </cell>
          <cell r="F8851">
            <v>0</v>
          </cell>
          <cell r="G8851">
            <v>0</v>
          </cell>
        </row>
        <row r="8852">
          <cell r="A8852" t="str">
            <v>57-01-01-1262</v>
          </cell>
          <cell r="B8852">
            <v>0</v>
          </cell>
          <cell r="C8852" t="str">
            <v xml:space="preserve">  44142 FAISAL IQBAL DF MILL # 1</v>
          </cell>
          <cell r="D8852">
            <v>0</v>
          </cell>
          <cell r="E8852">
            <v>0</v>
          </cell>
          <cell r="F8852">
            <v>0</v>
          </cell>
          <cell r="G8852">
            <v>0</v>
          </cell>
        </row>
        <row r="8853">
          <cell r="A8853" t="str">
            <v>57-01-01-1263</v>
          </cell>
          <cell r="B8853">
            <v>0</v>
          </cell>
          <cell r="C8853" t="str">
            <v xml:space="preserve">   54945 MUNIR HUSSAIN HELPER MILL # 2</v>
          </cell>
          <cell r="D8853">
            <v>0</v>
          </cell>
          <cell r="E8853">
            <v>0</v>
          </cell>
          <cell r="F8853">
            <v>0</v>
          </cell>
          <cell r="G8853">
            <v>0</v>
          </cell>
        </row>
        <row r="8854">
          <cell r="A8854" t="str">
            <v>57-01-01-1264</v>
          </cell>
          <cell r="B8854">
            <v>0</v>
          </cell>
          <cell r="C8854" t="str">
            <v xml:space="preserve">   69913 TANVEER HUSSAIN JOBBER MILL # 2</v>
          </cell>
          <cell r="D8854">
            <v>0</v>
          </cell>
          <cell r="E8854">
            <v>0</v>
          </cell>
          <cell r="F8854">
            <v>0</v>
          </cell>
          <cell r="G8854">
            <v>0</v>
          </cell>
        </row>
        <row r="8855">
          <cell r="A8855" t="str">
            <v>57-01-01-1265</v>
          </cell>
          <cell r="B8855">
            <v>0</v>
          </cell>
          <cell r="C8855" t="str">
            <v xml:space="preserve">  32469 ANAYAT UR REHMAN JOBBER MILL #</v>
          </cell>
          <cell r="D8855">
            <v>0</v>
          </cell>
          <cell r="E8855">
            <v>0</v>
          </cell>
          <cell r="F8855">
            <v>0</v>
          </cell>
          <cell r="G8855">
            <v>0</v>
          </cell>
        </row>
        <row r="8856">
          <cell r="A8856" t="str">
            <v>57-01-01-1266</v>
          </cell>
          <cell r="B8856">
            <v>0</v>
          </cell>
          <cell r="C8856" t="str">
            <v xml:space="preserve">  69938 MUHAMMAD ARSHAD JOBBER MILL # 4</v>
          </cell>
          <cell r="D8856">
            <v>0</v>
          </cell>
          <cell r="E8856">
            <v>0</v>
          </cell>
          <cell r="F8856">
            <v>0</v>
          </cell>
          <cell r="G8856">
            <v>0</v>
          </cell>
        </row>
        <row r="8857">
          <cell r="A8857" t="str">
            <v>57-01-01-1267</v>
          </cell>
          <cell r="B8857">
            <v>0</v>
          </cell>
          <cell r="C8857" t="str">
            <v xml:space="preserve">   62636 KHALIL AHMED WASTE SUPERVISOR</v>
          </cell>
          <cell r="D8857">
            <v>0</v>
          </cell>
          <cell r="E8857">
            <v>0</v>
          </cell>
          <cell r="F8857">
            <v>0</v>
          </cell>
          <cell r="G8857">
            <v>0</v>
          </cell>
        </row>
        <row r="8858">
          <cell r="A8858" t="str">
            <v>57-01-01-1268</v>
          </cell>
          <cell r="B8858">
            <v>0</v>
          </cell>
          <cell r="C8858" t="str">
            <v xml:space="preserve">   83147 MUHAMMAD YOUNIS SHAHZAD FOREMAN</v>
          </cell>
          <cell r="D8858">
            <v>0</v>
          </cell>
          <cell r="E8858">
            <v>0</v>
          </cell>
          <cell r="F8858">
            <v>0</v>
          </cell>
          <cell r="G8858">
            <v>0</v>
          </cell>
        </row>
        <row r="8859">
          <cell r="A8859" t="str">
            <v>57-01-01-1269</v>
          </cell>
          <cell r="B8859">
            <v>0</v>
          </cell>
          <cell r="C8859" t="str">
            <v xml:space="preserve">  81669 MUHAMMAD AKRAM LIFTER OPERATOR</v>
          </cell>
          <cell r="D8859">
            <v>0</v>
          </cell>
          <cell r="E8859">
            <v>0</v>
          </cell>
          <cell r="F8859">
            <v>0</v>
          </cell>
          <cell r="G8859">
            <v>0</v>
          </cell>
        </row>
        <row r="8860">
          <cell r="A8860" t="str">
            <v>57-01-01-1270</v>
          </cell>
          <cell r="B8860">
            <v>0</v>
          </cell>
          <cell r="C8860" t="str">
            <v xml:space="preserve">  28895 FAQIR ZADA OFFICE SUPRINTENDENT</v>
          </cell>
          <cell r="D8860">
            <v>0</v>
          </cell>
          <cell r="E8860">
            <v>0</v>
          </cell>
          <cell r="F8860">
            <v>0</v>
          </cell>
          <cell r="G8860">
            <v>0</v>
          </cell>
        </row>
        <row r="8861">
          <cell r="A8861" t="str">
            <v>57-01-01-1271</v>
          </cell>
          <cell r="B8861">
            <v>0</v>
          </cell>
          <cell r="C8861" t="str">
            <v xml:space="preserve">  AKHTAR ULLAH WATCHMAN</v>
          </cell>
          <cell r="D8861">
            <v>0</v>
          </cell>
          <cell r="E8861">
            <v>0</v>
          </cell>
          <cell r="F8861">
            <v>0</v>
          </cell>
          <cell r="G8861">
            <v>0</v>
          </cell>
        </row>
        <row r="8862">
          <cell r="A8862" t="str">
            <v>57-01-01-1272</v>
          </cell>
          <cell r="B8862">
            <v>0</v>
          </cell>
          <cell r="C8862" t="str">
            <v xml:space="preserve">  70039 AZIM KHAN OFFFICE ASSISTANT P.PL</v>
          </cell>
          <cell r="D8862">
            <v>4000</v>
          </cell>
          <cell r="E8862">
            <v>0</v>
          </cell>
          <cell r="F8862">
            <v>0</v>
          </cell>
          <cell r="G8862">
            <v>0</v>
          </cell>
        </row>
        <row r="8863">
          <cell r="A8863" t="str">
            <v>57-01-01-1273</v>
          </cell>
          <cell r="B8863">
            <v>0</v>
          </cell>
          <cell r="C8863" t="str">
            <v xml:space="preserve">  FAYAZ HUSSAIN FITTER MILL # 4</v>
          </cell>
          <cell r="D8863">
            <v>0</v>
          </cell>
          <cell r="E8863">
            <v>0</v>
          </cell>
          <cell r="F8863">
            <v>0</v>
          </cell>
          <cell r="G8863">
            <v>0</v>
          </cell>
        </row>
        <row r="8864">
          <cell r="A8864" t="str">
            <v>57-01-01-1274</v>
          </cell>
          <cell r="B8864">
            <v>0</v>
          </cell>
          <cell r="C8864" t="str">
            <v xml:space="preserve">  SHAHID ANJUM A/FITTER</v>
          </cell>
          <cell r="D8864">
            <v>0</v>
          </cell>
          <cell r="E8864">
            <v>0</v>
          </cell>
          <cell r="F8864">
            <v>0</v>
          </cell>
          <cell r="G8864">
            <v>0</v>
          </cell>
        </row>
        <row r="8865">
          <cell r="A8865" t="str">
            <v>57-01-01-1275</v>
          </cell>
          <cell r="B8865">
            <v>0</v>
          </cell>
          <cell r="C8865" t="str">
            <v xml:space="preserve">  GHULAM ALI 4/S</v>
          </cell>
          <cell r="D8865">
            <v>0</v>
          </cell>
          <cell r="E8865">
            <v>0</v>
          </cell>
          <cell r="F8865">
            <v>0</v>
          </cell>
          <cell r="G8865">
            <v>0</v>
          </cell>
        </row>
        <row r="8866">
          <cell r="A8866" t="str">
            <v>57-01-01-1276</v>
          </cell>
          <cell r="B8866">
            <v>0</v>
          </cell>
          <cell r="C8866" t="str">
            <v xml:space="preserve">  MUHAMMAD SHAFIQUE 4/S</v>
          </cell>
          <cell r="D8866">
            <v>0</v>
          </cell>
          <cell r="E8866">
            <v>0</v>
          </cell>
          <cell r="F8866">
            <v>0</v>
          </cell>
          <cell r="G8866">
            <v>0</v>
          </cell>
        </row>
        <row r="8867">
          <cell r="A8867" t="str">
            <v>57-01-01-1277</v>
          </cell>
          <cell r="B8867">
            <v>0</v>
          </cell>
          <cell r="C8867" t="str">
            <v xml:space="preserve">  MUHAMMAD ASIF FORMAN MILL # 3</v>
          </cell>
          <cell r="D8867">
            <v>16000</v>
          </cell>
          <cell r="E8867">
            <v>0</v>
          </cell>
          <cell r="F8867">
            <v>0</v>
          </cell>
          <cell r="G8867">
            <v>0</v>
          </cell>
        </row>
        <row r="8868">
          <cell r="A8868" t="str">
            <v>57-01-01-1278</v>
          </cell>
          <cell r="B8868">
            <v>0</v>
          </cell>
          <cell r="C8868" t="str">
            <v xml:space="preserve">  SHAMS IQBAL FITTER MILL # 2</v>
          </cell>
          <cell r="D8868">
            <v>0</v>
          </cell>
          <cell r="E8868">
            <v>0</v>
          </cell>
          <cell r="F8868">
            <v>0</v>
          </cell>
          <cell r="G8868">
            <v>0</v>
          </cell>
        </row>
        <row r="8869">
          <cell r="A8869" t="str">
            <v>57-01-01-1279</v>
          </cell>
          <cell r="B8869">
            <v>0</v>
          </cell>
          <cell r="C8869" t="str">
            <v xml:space="preserve">  ZAIN UL ABBAIDEEN FITTER MILL</v>
          </cell>
          <cell r="D8869">
            <v>6000</v>
          </cell>
          <cell r="E8869">
            <v>0</v>
          </cell>
          <cell r="F8869">
            <v>0</v>
          </cell>
          <cell r="G8869">
            <v>0</v>
          </cell>
        </row>
        <row r="8870">
          <cell r="A8870" t="str">
            <v>57-01-01-1280</v>
          </cell>
          <cell r="B8870">
            <v>0</v>
          </cell>
          <cell r="C8870" t="str">
            <v xml:space="preserve">  SAFDAR ALI 4/S</v>
          </cell>
          <cell r="D8870">
            <v>0</v>
          </cell>
          <cell r="E8870">
            <v>0</v>
          </cell>
          <cell r="F8870">
            <v>0</v>
          </cell>
          <cell r="G8870">
            <v>0</v>
          </cell>
        </row>
        <row r="8871">
          <cell r="A8871" t="str">
            <v>57-01-01-1281</v>
          </cell>
          <cell r="B8871">
            <v>0</v>
          </cell>
          <cell r="C8871" t="str">
            <v xml:space="preserve">  ZAFAR IQBAL 4/S MILL # 2</v>
          </cell>
          <cell r="D8871">
            <v>0</v>
          </cell>
          <cell r="E8871">
            <v>0</v>
          </cell>
          <cell r="F8871">
            <v>0</v>
          </cell>
          <cell r="G8871">
            <v>0</v>
          </cell>
        </row>
        <row r="8872">
          <cell r="A8872" t="str">
            <v>57-01-01-1282</v>
          </cell>
          <cell r="B8872">
            <v>0</v>
          </cell>
          <cell r="C8872" t="str">
            <v xml:space="preserve">  SANOBAR 4/S MILL # 1</v>
          </cell>
          <cell r="D8872">
            <v>0</v>
          </cell>
          <cell r="E8872">
            <v>0</v>
          </cell>
          <cell r="F8872">
            <v>0</v>
          </cell>
          <cell r="G8872">
            <v>0</v>
          </cell>
        </row>
        <row r="8873">
          <cell r="A8873" t="str">
            <v>57-01-01-1283</v>
          </cell>
          <cell r="B8873">
            <v>0</v>
          </cell>
          <cell r="C8873" t="str">
            <v xml:space="preserve">  REHMAN GUL 4/S</v>
          </cell>
          <cell r="D8873">
            <v>0</v>
          </cell>
          <cell r="E8873">
            <v>0</v>
          </cell>
          <cell r="F8873">
            <v>0</v>
          </cell>
          <cell r="G8873">
            <v>0</v>
          </cell>
        </row>
        <row r="8874">
          <cell r="A8874" t="str">
            <v>57-01-01-1284</v>
          </cell>
          <cell r="B8874">
            <v>0</v>
          </cell>
          <cell r="C8874" t="str">
            <v xml:space="preserve">  MUHAMMAD ARSHAD OPT MILL  # 1</v>
          </cell>
          <cell r="D8874">
            <v>0</v>
          </cell>
          <cell r="E8874">
            <v>0</v>
          </cell>
          <cell r="F8874">
            <v>0</v>
          </cell>
          <cell r="G8874">
            <v>0</v>
          </cell>
        </row>
        <row r="8875">
          <cell r="A8875" t="str">
            <v>57-01-01-1285</v>
          </cell>
          <cell r="B8875">
            <v>0</v>
          </cell>
          <cell r="C8875" t="str">
            <v xml:space="preserve">  KISHWAR ABBAS OPT</v>
          </cell>
          <cell r="D8875">
            <v>0</v>
          </cell>
          <cell r="E8875">
            <v>0</v>
          </cell>
          <cell r="F8875">
            <v>0</v>
          </cell>
          <cell r="G8875">
            <v>0</v>
          </cell>
        </row>
        <row r="8876">
          <cell r="A8876" t="str">
            <v>57-01-01-1286</v>
          </cell>
          <cell r="B8876">
            <v>0</v>
          </cell>
          <cell r="C8876" t="str">
            <v xml:space="preserve">  MUHAMMAD ILYAS OPT</v>
          </cell>
          <cell r="D8876">
            <v>0</v>
          </cell>
          <cell r="E8876">
            <v>0</v>
          </cell>
          <cell r="F8876">
            <v>0</v>
          </cell>
          <cell r="G8876">
            <v>0</v>
          </cell>
        </row>
        <row r="8877">
          <cell r="A8877" t="str">
            <v>57-01-01-1287</v>
          </cell>
          <cell r="B8877">
            <v>0</v>
          </cell>
          <cell r="C8877" t="str">
            <v xml:space="preserve">  GHULAM QASSIM JOBBER MILL # 4</v>
          </cell>
          <cell r="D8877">
            <v>5000</v>
          </cell>
          <cell r="E8877">
            <v>0</v>
          </cell>
          <cell r="F8877">
            <v>0</v>
          </cell>
          <cell r="G8877">
            <v>0</v>
          </cell>
        </row>
        <row r="8878">
          <cell r="A8878" t="str">
            <v>57-01-01-1288</v>
          </cell>
          <cell r="B8878">
            <v>0</v>
          </cell>
          <cell r="C8878" t="str">
            <v xml:space="preserve">  MUHAMMAD YASIR FITTER MILL # 4</v>
          </cell>
          <cell r="D8878">
            <v>0</v>
          </cell>
          <cell r="E8878">
            <v>0</v>
          </cell>
          <cell r="F8878">
            <v>0</v>
          </cell>
          <cell r="G8878">
            <v>0</v>
          </cell>
        </row>
        <row r="8879">
          <cell r="A8879" t="str">
            <v>57-01-01-1289</v>
          </cell>
          <cell r="B8879">
            <v>0</v>
          </cell>
          <cell r="C8879" t="str">
            <v xml:space="preserve">  SAKHAWAT ALI A/FORMAN</v>
          </cell>
          <cell r="D8879">
            <v>10000</v>
          </cell>
          <cell r="E8879">
            <v>0</v>
          </cell>
          <cell r="F8879">
            <v>0</v>
          </cell>
          <cell r="G8879">
            <v>0</v>
          </cell>
        </row>
        <row r="8880">
          <cell r="A8880" t="str">
            <v>57-01-01-1290</v>
          </cell>
          <cell r="B8880">
            <v>0</v>
          </cell>
          <cell r="C8880" t="str">
            <v xml:space="preserve">  ILYAS AHMED COTTON TES.INCHARGE</v>
          </cell>
          <cell r="D8880">
            <v>0</v>
          </cell>
          <cell r="E8880">
            <v>0</v>
          </cell>
          <cell r="F8880">
            <v>0</v>
          </cell>
          <cell r="G8880">
            <v>0</v>
          </cell>
        </row>
        <row r="8881">
          <cell r="A8881" t="str">
            <v>57-01-01-1291</v>
          </cell>
          <cell r="B8881">
            <v>0</v>
          </cell>
          <cell r="C8881" t="str">
            <v xml:space="preserve">  MUHAMMAD ZIAUL HAQ QUALITY OBSEVSER</v>
          </cell>
          <cell r="D8881">
            <v>0</v>
          </cell>
          <cell r="E8881">
            <v>0</v>
          </cell>
          <cell r="F8881">
            <v>0</v>
          </cell>
          <cell r="G8881">
            <v>0</v>
          </cell>
        </row>
        <row r="8882">
          <cell r="A8882" t="str">
            <v>57-01-01-1292</v>
          </cell>
          <cell r="B8882">
            <v>0</v>
          </cell>
          <cell r="C8882" t="str">
            <v xml:space="preserve">  IHSANULLAH 4/S MILL  # 2</v>
          </cell>
          <cell r="D8882">
            <v>0</v>
          </cell>
          <cell r="E8882">
            <v>0</v>
          </cell>
          <cell r="F8882">
            <v>0</v>
          </cell>
          <cell r="G8882">
            <v>0</v>
          </cell>
        </row>
        <row r="8883">
          <cell r="A8883" t="str">
            <v>57-01-01-1293</v>
          </cell>
          <cell r="B8883">
            <v>0</v>
          </cell>
          <cell r="C8883" t="str">
            <v xml:space="preserve">  MUHAMMAD YOUNIS H/FITTER MILL</v>
          </cell>
          <cell r="D8883">
            <v>0</v>
          </cell>
          <cell r="E8883">
            <v>0</v>
          </cell>
          <cell r="F8883">
            <v>0</v>
          </cell>
          <cell r="G8883">
            <v>0</v>
          </cell>
        </row>
        <row r="8884">
          <cell r="A8884" t="str">
            <v>57-01-01-1294</v>
          </cell>
          <cell r="B8884">
            <v>0</v>
          </cell>
          <cell r="C8884" t="str">
            <v xml:space="preserve">  ARAB KHAN DF MILL # 4</v>
          </cell>
          <cell r="D8884">
            <v>0</v>
          </cell>
          <cell r="E8884">
            <v>0</v>
          </cell>
          <cell r="F8884">
            <v>0</v>
          </cell>
          <cell r="G8884">
            <v>0</v>
          </cell>
        </row>
        <row r="8885">
          <cell r="A8885" t="str">
            <v>57-01-01-1295</v>
          </cell>
          <cell r="B8885">
            <v>0</v>
          </cell>
          <cell r="C8885" t="str">
            <v xml:space="preserve">  IRFAN ABBAS 4/S MILL # 2</v>
          </cell>
          <cell r="D8885">
            <v>0</v>
          </cell>
          <cell r="E8885">
            <v>0</v>
          </cell>
          <cell r="F8885">
            <v>0</v>
          </cell>
          <cell r="G8885">
            <v>0</v>
          </cell>
        </row>
        <row r="8886">
          <cell r="A8886" t="str">
            <v>57-01-01-1296</v>
          </cell>
          <cell r="B8886">
            <v>0</v>
          </cell>
          <cell r="C8886" t="str">
            <v xml:space="preserve">  ASIF ALI OPT MILL # 2</v>
          </cell>
          <cell r="D8886">
            <v>0</v>
          </cell>
          <cell r="E8886">
            <v>0</v>
          </cell>
          <cell r="F8886">
            <v>0</v>
          </cell>
          <cell r="G8886">
            <v>0</v>
          </cell>
        </row>
        <row r="8887">
          <cell r="A8887" t="str">
            <v>57-01-01-1297</v>
          </cell>
          <cell r="B8887">
            <v>0</v>
          </cell>
          <cell r="C8887" t="str">
            <v xml:space="preserve">  MUHAMMAD NAWAZ OPT</v>
          </cell>
          <cell r="D8887">
            <v>0</v>
          </cell>
          <cell r="E8887">
            <v>0</v>
          </cell>
          <cell r="F8887">
            <v>0</v>
          </cell>
          <cell r="G8887">
            <v>0</v>
          </cell>
        </row>
        <row r="8888">
          <cell r="A8888" t="str">
            <v>57-01-01-1298</v>
          </cell>
          <cell r="B8888">
            <v>0</v>
          </cell>
          <cell r="C8888" t="str">
            <v xml:space="preserve">  GUL NIAZ A/JOBBER</v>
          </cell>
          <cell r="D8888">
            <v>0</v>
          </cell>
          <cell r="E8888">
            <v>0</v>
          </cell>
          <cell r="F8888">
            <v>0</v>
          </cell>
          <cell r="G8888">
            <v>0</v>
          </cell>
        </row>
        <row r="8889">
          <cell r="A8889" t="str">
            <v>57-01-01-1299</v>
          </cell>
          <cell r="B8889">
            <v>0</v>
          </cell>
          <cell r="C8889" t="str">
            <v xml:space="preserve">  ALI ASGHAR A/FITTER MILL # 4</v>
          </cell>
          <cell r="D8889">
            <v>0</v>
          </cell>
          <cell r="E8889">
            <v>0</v>
          </cell>
          <cell r="F8889">
            <v>0</v>
          </cell>
          <cell r="G8889">
            <v>0</v>
          </cell>
        </row>
        <row r="8890">
          <cell r="A8890" t="str">
            <v>57-01-01-1300</v>
          </cell>
          <cell r="B8890">
            <v>0</v>
          </cell>
          <cell r="C8890" t="str">
            <v xml:space="preserve">  MUHAMMAD IFTIKHAR OPT</v>
          </cell>
          <cell r="D8890">
            <v>0</v>
          </cell>
          <cell r="E8890">
            <v>0</v>
          </cell>
          <cell r="F8890">
            <v>0</v>
          </cell>
          <cell r="G8890">
            <v>0</v>
          </cell>
        </row>
        <row r="8891">
          <cell r="A8891" t="str">
            <v>57-01-01-1301</v>
          </cell>
          <cell r="B8891">
            <v>0</v>
          </cell>
          <cell r="C8891" t="str">
            <v xml:space="preserve">  KHURSHID AHMED 4/S MILL # 3</v>
          </cell>
          <cell r="D8891">
            <v>0</v>
          </cell>
          <cell r="E8891">
            <v>0</v>
          </cell>
          <cell r="F8891">
            <v>0</v>
          </cell>
          <cell r="G8891">
            <v>0</v>
          </cell>
        </row>
        <row r="8892">
          <cell r="A8892" t="str">
            <v>57-01-01-1302</v>
          </cell>
          <cell r="B8892">
            <v>0</v>
          </cell>
          <cell r="C8892" t="str">
            <v xml:space="preserve">  ABDUL RAZZAQ FITTER MILL # 2.</v>
          </cell>
          <cell r="D8892">
            <v>0</v>
          </cell>
          <cell r="E8892">
            <v>0</v>
          </cell>
          <cell r="F8892">
            <v>0</v>
          </cell>
          <cell r="G8892">
            <v>0</v>
          </cell>
        </row>
        <row r="8893">
          <cell r="A8893" t="str">
            <v>57-01-01-1303</v>
          </cell>
          <cell r="B8893">
            <v>0</v>
          </cell>
          <cell r="C8893" t="str">
            <v xml:space="preserve">  MUHAMMAD ARIF Q.OBSERVER</v>
          </cell>
          <cell r="D8893">
            <v>0</v>
          </cell>
          <cell r="E8893">
            <v>0</v>
          </cell>
          <cell r="F8893">
            <v>0</v>
          </cell>
          <cell r="G8893">
            <v>0</v>
          </cell>
        </row>
        <row r="8894">
          <cell r="A8894" t="str">
            <v>57-01-01-1304</v>
          </cell>
          <cell r="B8894">
            <v>0</v>
          </cell>
          <cell r="C8894" t="str">
            <v xml:space="preserve">  MUHAMMAD RAMZAN OPT MILL # 3</v>
          </cell>
          <cell r="D8894">
            <v>0</v>
          </cell>
          <cell r="E8894">
            <v>0</v>
          </cell>
          <cell r="F8894">
            <v>0</v>
          </cell>
          <cell r="G8894">
            <v>0</v>
          </cell>
        </row>
        <row r="8895">
          <cell r="A8895" t="str">
            <v>57-01-01-1305</v>
          </cell>
          <cell r="B8895">
            <v>0</v>
          </cell>
          <cell r="C8895" t="str">
            <v xml:space="preserve">  GHULAM ABBAS S/Q OBSERVER MILL</v>
          </cell>
          <cell r="D8895">
            <v>0</v>
          </cell>
          <cell r="E8895">
            <v>0</v>
          </cell>
          <cell r="F8895">
            <v>0</v>
          </cell>
          <cell r="G8895">
            <v>0</v>
          </cell>
        </row>
        <row r="8896">
          <cell r="A8896" t="str">
            <v>57-01-01-1306</v>
          </cell>
          <cell r="B8896">
            <v>0</v>
          </cell>
          <cell r="C8896" t="str">
            <v xml:space="preserve">  MUHAMMAD NASIR 4/S MILL # 3</v>
          </cell>
          <cell r="D8896">
            <v>0</v>
          </cell>
          <cell r="E8896">
            <v>0</v>
          </cell>
          <cell r="F8896">
            <v>0</v>
          </cell>
          <cell r="G8896">
            <v>0</v>
          </cell>
        </row>
        <row r="8897">
          <cell r="A8897" t="str">
            <v>57-01-01-1307</v>
          </cell>
          <cell r="B8897">
            <v>0</v>
          </cell>
          <cell r="C8897" t="str">
            <v xml:space="preserve">  MUHAMMAD ASGHAR JOBBER MILL # 1</v>
          </cell>
          <cell r="D8897">
            <v>8000</v>
          </cell>
          <cell r="E8897">
            <v>0</v>
          </cell>
          <cell r="F8897">
            <v>0</v>
          </cell>
          <cell r="G8897">
            <v>0</v>
          </cell>
        </row>
        <row r="8898">
          <cell r="A8898" t="str">
            <v>57-01-01-1308</v>
          </cell>
          <cell r="B8898">
            <v>0</v>
          </cell>
          <cell r="C8898" t="str">
            <v xml:space="preserve">  KHURRAM SHAHEEN A/FITTER MILL</v>
          </cell>
          <cell r="D8898">
            <v>0</v>
          </cell>
          <cell r="E8898">
            <v>0</v>
          </cell>
          <cell r="F8898">
            <v>0</v>
          </cell>
          <cell r="G8898">
            <v>0</v>
          </cell>
        </row>
        <row r="8899">
          <cell r="A8899" t="str">
            <v>57-01-01-1309</v>
          </cell>
          <cell r="B8899">
            <v>0</v>
          </cell>
          <cell r="C8899" t="str">
            <v xml:space="preserve">  MUHAMMAD FAYAZ JOBBER MILL # 1</v>
          </cell>
          <cell r="D8899">
            <v>10000</v>
          </cell>
          <cell r="E8899">
            <v>0</v>
          </cell>
          <cell r="F8899">
            <v>0</v>
          </cell>
          <cell r="G8899">
            <v>0</v>
          </cell>
        </row>
        <row r="8900">
          <cell r="A8900" t="str">
            <v>57-01-01-1310</v>
          </cell>
          <cell r="B8900">
            <v>0</v>
          </cell>
          <cell r="C8900" t="str">
            <v xml:space="preserve">  IMTIAZ HUSSAIN A/FITTER MILL # 1</v>
          </cell>
          <cell r="D8900">
            <v>0</v>
          </cell>
          <cell r="E8900">
            <v>0</v>
          </cell>
          <cell r="F8900">
            <v>0</v>
          </cell>
          <cell r="G8900">
            <v>0</v>
          </cell>
        </row>
        <row r="8901">
          <cell r="A8901" t="str">
            <v>57-01-01-1311</v>
          </cell>
          <cell r="B8901">
            <v>0</v>
          </cell>
          <cell r="C8901" t="str">
            <v xml:space="preserve">  MUHAMMAD ASIF 4/S MILL # 2</v>
          </cell>
          <cell r="D8901">
            <v>0</v>
          </cell>
          <cell r="E8901">
            <v>0</v>
          </cell>
          <cell r="F8901">
            <v>0</v>
          </cell>
          <cell r="G8901">
            <v>0</v>
          </cell>
        </row>
        <row r="8902">
          <cell r="A8902" t="str">
            <v>57-01-01-1312</v>
          </cell>
          <cell r="B8902">
            <v>0</v>
          </cell>
          <cell r="C8902" t="str">
            <v xml:space="preserve">  MUHAMMAD IJAZ CT MILL # 2</v>
          </cell>
          <cell r="D8902">
            <v>0</v>
          </cell>
          <cell r="E8902">
            <v>0</v>
          </cell>
          <cell r="F8902">
            <v>0</v>
          </cell>
          <cell r="G8902">
            <v>0</v>
          </cell>
        </row>
        <row r="8903">
          <cell r="A8903" t="str">
            <v>57-01-01-1313</v>
          </cell>
          <cell r="B8903">
            <v>0</v>
          </cell>
          <cell r="C8903" t="str">
            <v xml:space="preserve">  MUHAMMAD AZAM A/FITTER MILL # 4.</v>
          </cell>
          <cell r="D8903">
            <v>0</v>
          </cell>
          <cell r="E8903">
            <v>0</v>
          </cell>
          <cell r="F8903">
            <v>0</v>
          </cell>
          <cell r="G8903">
            <v>0</v>
          </cell>
        </row>
        <row r="8904">
          <cell r="A8904" t="str">
            <v>57-01-01-1314</v>
          </cell>
          <cell r="B8904">
            <v>0</v>
          </cell>
          <cell r="C8904" t="str">
            <v xml:space="preserve">  MOHSIN SHAH 4/S MILL # 2</v>
          </cell>
          <cell r="D8904">
            <v>0</v>
          </cell>
          <cell r="E8904">
            <v>0</v>
          </cell>
          <cell r="F8904">
            <v>0</v>
          </cell>
          <cell r="G8904">
            <v>0</v>
          </cell>
        </row>
        <row r="8905">
          <cell r="A8905" t="str">
            <v>57-01-01-1315</v>
          </cell>
          <cell r="B8905">
            <v>0</v>
          </cell>
          <cell r="C8905" t="str">
            <v xml:space="preserve">  FAROOQ AZAM A.CASHIER</v>
          </cell>
          <cell r="D8905">
            <v>8000</v>
          </cell>
          <cell r="E8905">
            <v>0</v>
          </cell>
          <cell r="F8905">
            <v>0</v>
          </cell>
          <cell r="G8905">
            <v>0</v>
          </cell>
        </row>
        <row r="8906">
          <cell r="A8906" t="str">
            <v>57-01-01-1316</v>
          </cell>
          <cell r="B8906">
            <v>0</v>
          </cell>
          <cell r="C8906" t="str">
            <v xml:space="preserve">  AADIL SHAHZAD 4/S MILL # 2</v>
          </cell>
          <cell r="D8906">
            <v>0</v>
          </cell>
          <cell r="E8906">
            <v>0</v>
          </cell>
          <cell r="F8906">
            <v>0</v>
          </cell>
          <cell r="G8906">
            <v>0</v>
          </cell>
        </row>
        <row r="8907">
          <cell r="A8907" t="str">
            <v>57-01-01-1317</v>
          </cell>
          <cell r="B8907">
            <v>0</v>
          </cell>
          <cell r="C8907" t="str">
            <v xml:space="preserve">  MUHAMMAD MUMTAZ DST MILL # 2</v>
          </cell>
          <cell r="D8907">
            <v>0</v>
          </cell>
          <cell r="E8907">
            <v>0</v>
          </cell>
          <cell r="F8907">
            <v>0</v>
          </cell>
          <cell r="G8907">
            <v>0</v>
          </cell>
        </row>
        <row r="8908">
          <cell r="A8908" t="str">
            <v>57-01-01-1318</v>
          </cell>
          <cell r="B8908">
            <v>0</v>
          </cell>
          <cell r="C8908" t="str">
            <v xml:space="preserve">  AMRAIZ IQBAL JOBBER MILL # 1.</v>
          </cell>
          <cell r="D8908">
            <v>0</v>
          </cell>
          <cell r="E8908">
            <v>0</v>
          </cell>
          <cell r="F8908">
            <v>0</v>
          </cell>
          <cell r="G8908">
            <v>0</v>
          </cell>
        </row>
        <row r="8909">
          <cell r="A8909" t="str">
            <v>57-01-01-1319</v>
          </cell>
          <cell r="B8909">
            <v>0</v>
          </cell>
          <cell r="C8909" t="str">
            <v xml:space="preserve">  MUKHTIAR AHMED 4/S MILL # 2</v>
          </cell>
          <cell r="D8909">
            <v>0</v>
          </cell>
          <cell r="E8909">
            <v>0</v>
          </cell>
          <cell r="F8909">
            <v>0</v>
          </cell>
          <cell r="G8909">
            <v>0</v>
          </cell>
        </row>
        <row r="8910">
          <cell r="A8910" t="str">
            <v>57-01-01-1320</v>
          </cell>
          <cell r="B8910">
            <v>0</v>
          </cell>
          <cell r="C8910" t="str">
            <v xml:space="preserve">  AMJAD ALI U/S MILL</v>
          </cell>
          <cell r="D8910">
            <v>0</v>
          </cell>
          <cell r="E8910">
            <v>0</v>
          </cell>
          <cell r="F8910">
            <v>0</v>
          </cell>
          <cell r="G8910">
            <v>0</v>
          </cell>
        </row>
        <row r="8911">
          <cell r="A8911" t="str">
            <v>57-01-01-1321</v>
          </cell>
          <cell r="B8911">
            <v>0</v>
          </cell>
          <cell r="C8911" t="str">
            <v xml:space="preserve">  MUHAMMAD MUSHTAQ DST MILL # 2</v>
          </cell>
          <cell r="D8911">
            <v>0</v>
          </cell>
          <cell r="E8911">
            <v>0</v>
          </cell>
          <cell r="F8911">
            <v>0</v>
          </cell>
          <cell r="G8911">
            <v>0</v>
          </cell>
        </row>
        <row r="8912">
          <cell r="A8912" t="str">
            <v>57-01-01-1322</v>
          </cell>
          <cell r="B8912">
            <v>0</v>
          </cell>
          <cell r="C8912" t="str">
            <v xml:space="preserve">  MUHAMMAD IMRAN 4/S MILL # 1</v>
          </cell>
          <cell r="D8912">
            <v>0</v>
          </cell>
          <cell r="E8912">
            <v>0</v>
          </cell>
          <cell r="F8912">
            <v>0</v>
          </cell>
          <cell r="G8912">
            <v>0</v>
          </cell>
        </row>
        <row r="8913">
          <cell r="A8913" t="str">
            <v>57-01-01-1323</v>
          </cell>
          <cell r="B8913">
            <v>0</v>
          </cell>
          <cell r="C8913" t="str">
            <v xml:space="preserve">  AMJAD NASEER C.T.SHIFT C</v>
          </cell>
          <cell r="D8913">
            <v>0</v>
          </cell>
          <cell r="E8913">
            <v>0</v>
          </cell>
          <cell r="F8913">
            <v>0</v>
          </cell>
          <cell r="G8913">
            <v>0</v>
          </cell>
        </row>
        <row r="8914">
          <cell r="A8914" t="str">
            <v>57-01-01-1324</v>
          </cell>
          <cell r="B8914">
            <v>0</v>
          </cell>
          <cell r="C8914" t="str">
            <v xml:space="preserve">  SHAHZAD SOHAIL FITTER MILL # 4</v>
          </cell>
          <cell r="D8914">
            <v>3000</v>
          </cell>
          <cell r="E8914">
            <v>0</v>
          </cell>
          <cell r="F8914">
            <v>0</v>
          </cell>
          <cell r="G8914">
            <v>0</v>
          </cell>
        </row>
        <row r="8915">
          <cell r="A8915" t="str">
            <v>57-01-01-1325</v>
          </cell>
          <cell r="B8915">
            <v>0</v>
          </cell>
          <cell r="C8915" t="str">
            <v xml:space="preserve">  MUHAMMAD SARFRAZ DST MILL-4.</v>
          </cell>
          <cell r="D8915">
            <v>0</v>
          </cell>
          <cell r="E8915">
            <v>0</v>
          </cell>
          <cell r="F8915">
            <v>0</v>
          </cell>
          <cell r="G8915">
            <v>0</v>
          </cell>
        </row>
        <row r="8916">
          <cell r="A8916" t="str">
            <v>57-01-01-1326</v>
          </cell>
          <cell r="B8916">
            <v>0</v>
          </cell>
          <cell r="C8916" t="str">
            <v xml:space="preserve">  TARIQ RAZZAK HELPER MILL # 4.</v>
          </cell>
          <cell r="D8916">
            <v>0</v>
          </cell>
          <cell r="E8916">
            <v>0</v>
          </cell>
          <cell r="F8916">
            <v>0</v>
          </cell>
          <cell r="G8916">
            <v>0</v>
          </cell>
        </row>
        <row r="8917">
          <cell r="A8917" t="str">
            <v>57-01-01-1327</v>
          </cell>
          <cell r="B8917">
            <v>0</v>
          </cell>
          <cell r="C8917" t="str">
            <v xml:space="preserve">  SHAHADAT ALI A.FOREMAN MILL # 4.</v>
          </cell>
          <cell r="D8917">
            <v>12000</v>
          </cell>
          <cell r="E8917">
            <v>0</v>
          </cell>
          <cell r="F8917">
            <v>0</v>
          </cell>
          <cell r="G8917">
            <v>0</v>
          </cell>
        </row>
        <row r="8918">
          <cell r="A8918" t="str">
            <v>57-01-01-1328</v>
          </cell>
          <cell r="B8918">
            <v>0</v>
          </cell>
          <cell r="C8918" t="str">
            <v xml:space="preserve">  SHABBIR AHMED DRIVER</v>
          </cell>
          <cell r="D8918">
            <v>0</v>
          </cell>
          <cell r="E8918">
            <v>0</v>
          </cell>
          <cell r="F8918">
            <v>0</v>
          </cell>
          <cell r="G8918">
            <v>0</v>
          </cell>
        </row>
        <row r="8919">
          <cell r="A8919" t="str">
            <v>57-01-01-1329</v>
          </cell>
          <cell r="B8919">
            <v>0</v>
          </cell>
          <cell r="C8919" t="str">
            <v xml:space="preserve">  MUHAMMAD RIZWAN HELPER MILL # 2</v>
          </cell>
          <cell r="D8919">
            <v>0</v>
          </cell>
          <cell r="E8919">
            <v>0</v>
          </cell>
          <cell r="F8919">
            <v>0</v>
          </cell>
          <cell r="G8919">
            <v>0</v>
          </cell>
        </row>
        <row r="8920">
          <cell r="A8920" t="str">
            <v>57-01-01-1330</v>
          </cell>
          <cell r="B8920">
            <v>0</v>
          </cell>
          <cell r="C8920" t="str">
            <v xml:space="preserve">  ABDUL REHMAN 4/S MILL</v>
          </cell>
          <cell r="D8920">
            <v>0</v>
          </cell>
          <cell r="E8920">
            <v>0</v>
          </cell>
          <cell r="F8920">
            <v>0</v>
          </cell>
          <cell r="G8920">
            <v>0</v>
          </cell>
        </row>
        <row r="8921">
          <cell r="A8921" t="str">
            <v>57-01-01-1331</v>
          </cell>
          <cell r="B8921">
            <v>0</v>
          </cell>
          <cell r="C8921" t="str">
            <v xml:space="preserve">  MUHAMMAD NAWAZ 4/S MILL # 2</v>
          </cell>
          <cell r="D8921">
            <v>0</v>
          </cell>
          <cell r="E8921">
            <v>0</v>
          </cell>
          <cell r="F8921">
            <v>0</v>
          </cell>
          <cell r="G8921">
            <v>0</v>
          </cell>
        </row>
        <row r="8922">
          <cell r="A8922" t="str">
            <v>57-01-01-1332</v>
          </cell>
          <cell r="B8922">
            <v>0</v>
          </cell>
          <cell r="C8922" t="str">
            <v xml:space="preserve">  SUNAR GUL DDT MILL # 1</v>
          </cell>
          <cell r="D8922">
            <v>0</v>
          </cell>
          <cell r="E8922">
            <v>0</v>
          </cell>
          <cell r="F8922">
            <v>0</v>
          </cell>
          <cell r="G8922">
            <v>0</v>
          </cell>
        </row>
        <row r="8923">
          <cell r="A8923" t="str">
            <v>57-01-01-1333</v>
          </cell>
          <cell r="B8923">
            <v>0</v>
          </cell>
          <cell r="C8923" t="str">
            <v xml:space="preserve">  IBRAR HUSSAIN DST MILL # 1</v>
          </cell>
          <cell r="D8923">
            <v>0</v>
          </cell>
          <cell r="E8923">
            <v>0</v>
          </cell>
          <cell r="F8923">
            <v>0</v>
          </cell>
          <cell r="G8923">
            <v>0</v>
          </cell>
        </row>
        <row r="8924">
          <cell r="A8924" t="str">
            <v>57-01-01-1334</v>
          </cell>
          <cell r="B8924">
            <v>0</v>
          </cell>
          <cell r="C8924" t="str">
            <v xml:space="preserve">  WAHID GUL JOBBER MILL # 1</v>
          </cell>
          <cell r="D8924">
            <v>0</v>
          </cell>
          <cell r="E8924">
            <v>0</v>
          </cell>
          <cell r="F8924">
            <v>0</v>
          </cell>
          <cell r="G8924">
            <v>0</v>
          </cell>
        </row>
        <row r="8925">
          <cell r="A8925" t="str">
            <v>57-01-01-1335</v>
          </cell>
          <cell r="B8925">
            <v>0</v>
          </cell>
          <cell r="C8925" t="str">
            <v xml:space="preserve">  MUMTAZ HUSSAIN PIPE FITTER</v>
          </cell>
          <cell r="D8925">
            <v>9000</v>
          </cell>
          <cell r="E8925">
            <v>0</v>
          </cell>
          <cell r="F8925">
            <v>0</v>
          </cell>
          <cell r="G8925">
            <v>0</v>
          </cell>
        </row>
        <row r="8926">
          <cell r="A8926" t="str">
            <v>57-01-01-1336</v>
          </cell>
          <cell r="B8926">
            <v>0</v>
          </cell>
          <cell r="C8926" t="str">
            <v xml:space="preserve">  WAQAR AHMED Q.OBSERVER MILL # 2</v>
          </cell>
          <cell r="D8926">
            <v>0</v>
          </cell>
          <cell r="E8926">
            <v>0</v>
          </cell>
          <cell r="F8926">
            <v>0</v>
          </cell>
          <cell r="G8926">
            <v>0</v>
          </cell>
        </row>
        <row r="8927">
          <cell r="A8927" t="str">
            <v>57-01-01-1337</v>
          </cell>
          <cell r="B8927">
            <v>0</v>
          </cell>
          <cell r="C8927" t="str">
            <v xml:space="preserve">  S.MUHAHID HUSSAIN Q.OBSERVER</v>
          </cell>
          <cell r="D8927">
            <v>0</v>
          </cell>
          <cell r="E8927">
            <v>0</v>
          </cell>
          <cell r="F8927">
            <v>0</v>
          </cell>
          <cell r="G8927">
            <v>0</v>
          </cell>
        </row>
        <row r="8928">
          <cell r="A8928" t="str">
            <v>57-01-01-1338</v>
          </cell>
          <cell r="B8928">
            <v>0</v>
          </cell>
          <cell r="C8928" t="str">
            <v xml:space="preserve">  ALI AKBAR HELPER MILL # 2</v>
          </cell>
          <cell r="D8928">
            <v>0</v>
          </cell>
          <cell r="E8928">
            <v>0</v>
          </cell>
          <cell r="F8928">
            <v>0</v>
          </cell>
          <cell r="G8928">
            <v>0</v>
          </cell>
        </row>
        <row r="8929">
          <cell r="A8929" t="str">
            <v>57-01-01-1339</v>
          </cell>
          <cell r="B8929">
            <v>0</v>
          </cell>
          <cell r="C8929" t="str">
            <v xml:space="preserve">  GUL JAHAN SHIFT INCHARGES MILL</v>
          </cell>
          <cell r="D8929">
            <v>12000</v>
          </cell>
          <cell r="E8929">
            <v>0</v>
          </cell>
          <cell r="F8929">
            <v>0</v>
          </cell>
          <cell r="G8929">
            <v>0</v>
          </cell>
        </row>
        <row r="8930">
          <cell r="A8930" t="str">
            <v>57-01-01-1340</v>
          </cell>
          <cell r="B8930">
            <v>0</v>
          </cell>
          <cell r="C8930" t="str">
            <v xml:space="preserve">  MUHAMMAD RAMZAN JOBBER MILL # 1</v>
          </cell>
          <cell r="D8930">
            <v>0</v>
          </cell>
          <cell r="E8930">
            <v>0</v>
          </cell>
          <cell r="F8930">
            <v>0</v>
          </cell>
          <cell r="G8930">
            <v>0</v>
          </cell>
        </row>
        <row r="8931">
          <cell r="A8931" t="str">
            <v>57-01-01-1341</v>
          </cell>
          <cell r="B8931">
            <v>0</v>
          </cell>
          <cell r="C8931" t="str">
            <v xml:space="preserve">  MUHAMMAD RIAZ 4/S MILL # 4</v>
          </cell>
          <cell r="D8931">
            <v>0</v>
          </cell>
          <cell r="E8931">
            <v>0</v>
          </cell>
          <cell r="F8931">
            <v>0</v>
          </cell>
          <cell r="G8931">
            <v>0</v>
          </cell>
        </row>
        <row r="8932">
          <cell r="A8932" t="str">
            <v>57-01-01-1342</v>
          </cell>
          <cell r="B8932">
            <v>0</v>
          </cell>
          <cell r="C8932" t="str">
            <v xml:space="preserve">  ARSHAD MEHMOOD OPT MILL # 3</v>
          </cell>
          <cell r="D8932">
            <v>0</v>
          </cell>
          <cell r="E8932">
            <v>0</v>
          </cell>
          <cell r="F8932">
            <v>0</v>
          </cell>
          <cell r="G8932">
            <v>0</v>
          </cell>
        </row>
        <row r="8933">
          <cell r="A8933" t="str">
            <v>57-01-01-1343</v>
          </cell>
          <cell r="B8933">
            <v>0</v>
          </cell>
          <cell r="C8933" t="str">
            <v xml:space="preserve">  GHULAM HAIDER MILING OPT WORKSHOP</v>
          </cell>
          <cell r="D8933">
            <v>0</v>
          </cell>
          <cell r="E8933">
            <v>0</v>
          </cell>
          <cell r="F8933">
            <v>0</v>
          </cell>
          <cell r="G8933">
            <v>0</v>
          </cell>
        </row>
        <row r="8934">
          <cell r="A8934" t="str">
            <v>57-01-01-1344</v>
          </cell>
          <cell r="B8934">
            <v>0</v>
          </cell>
          <cell r="C8934" t="str">
            <v xml:space="preserve">  SADAQAT ALI 4/S MILL # 2</v>
          </cell>
          <cell r="D8934">
            <v>0</v>
          </cell>
          <cell r="E8934">
            <v>0</v>
          </cell>
          <cell r="F8934">
            <v>0</v>
          </cell>
          <cell r="G8934">
            <v>0</v>
          </cell>
        </row>
        <row r="8935">
          <cell r="A8935" t="str">
            <v>57-01-01-1345</v>
          </cell>
          <cell r="B8935">
            <v>0</v>
          </cell>
          <cell r="C8935" t="str">
            <v xml:space="preserve">  MUHAMMAD AMIN MOTOR WINDER</v>
          </cell>
          <cell r="D8935">
            <v>0</v>
          </cell>
          <cell r="E8935">
            <v>0</v>
          </cell>
          <cell r="F8935">
            <v>0</v>
          </cell>
          <cell r="G8935">
            <v>0</v>
          </cell>
        </row>
        <row r="8936">
          <cell r="A8936" t="str">
            <v>57-01-01-1346</v>
          </cell>
          <cell r="B8936">
            <v>0</v>
          </cell>
          <cell r="C8936" t="str">
            <v xml:space="preserve">  LIAQAT ALI A/FORMAN MILL # 1</v>
          </cell>
          <cell r="D8936">
            <v>0</v>
          </cell>
          <cell r="E8936">
            <v>0</v>
          </cell>
          <cell r="F8936">
            <v>0</v>
          </cell>
          <cell r="G8936">
            <v>0</v>
          </cell>
        </row>
        <row r="8937">
          <cell r="A8937" t="str">
            <v>57-01-01-1347</v>
          </cell>
          <cell r="B8937">
            <v>0</v>
          </cell>
          <cell r="C8937" t="str">
            <v xml:space="preserve">  KHALIL REHMAN A/FITTER MILL # 1</v>
          </cell>
          <cell r="D8937">
            <v>0</v>
          </cell>
          <cell r="E8937">
            <v>0</v>
          </cell>
          <cell r="F8937">
            <v>0</v>
          </cell>
          <cell r="G8937">
            <v>0</v>
          </cell>
        </row>
        <row r="8938">
          <cell r="A8938" t="str">
            <v>57-01-01-1348</v>
          </cell>
          <cell r="B8938">
            <v>0</v>
          </cell>
          <cell r="C8938" t="str">
            <v xml:space="preserve">  MUHAMMAD AMIR HOBBER MILL # 4</v>
          </cell>
          <cell r="D8938">
            <v>10000</v>
          </cell>
          <cell r="E8938">
            <v>0</v>
          </cell>
          <cell r="F8938">
            <v>0</v>
          </cell>
          <cell r="G8938">
            <v>0</v>
          </cell>
        </row>
        <row r="8939">
          <cell r="A8939" t="str">
            <v>57-01-01-1349</v>
          </cell>
          <cell r="B8939">
            <v>0</v>
          </cell>
          <cell r="C8939" t="str">
            <v xml:space="preserve">  MUHAMMAD ABBAS OPT MILL # 4</v>
          </cell>
          <cell r="D8939">
            <v>0</v>
          </cell>
          <cell r="E8939">
            <v>0</v>
          </cell>
          <cell r="F8939">
            <v>0</v>
          </cell>
          <cell r="G8939">
            <v>0</v>
          </cell>
        </row>
        <row r="8940">
          <cell r="A8940" t="str">
            <v>57-01-01-1350</v>
          </cell>
          <cell r="B8940">
            <v>0</v>
          </cell>
          <cell r="C8940" t="str">
            <v xml:space="preserve">  MUHAMMAD SAJJAD OPT MILL # 4</v>
          </cell>
          <cell r="D8940">
            <v>0</v>
          </cell>
          <cell r="E8940">
            <v>0</v>
          </cell>
          <cell r="F8940">
            <v>0</v>
          </cell>
          <cell r="G8940">
            <v>0</v>
          </cell>
        </row>
        <row r="8941">
          <cell r="A8941" t="str">
            <v>57-01-01-1351</v>
          </cell>
          <cell r="B8941">
            <v>0</v>
          </cell>
          <cell r="C8941" t="str">
            <v xml:space="preserve">  MUHAMMAD ARIF DST MILL # 2</v>
          </cell>
          <cell r="D8941">
            <v>0</v>
          </cell>
          <cell r="E8941">
            <v>0</v>
          </cell>
          <cell r="F8941">
            <v>0</v>
          </cell>
          <cell r="G8941">
            <v>0</v>
          </cell>
        </row>
        <row r="8942">
          <cell r="A8942" t="str">
            <v>57-01-01-1352</v>
          </cell>
          <cell r="B8942">
            <v>0</v>
          </cell>
          <cell r="C8942" t="str">
            <v xml:space="preserve">  JAVED ANWAR CARE TAKER</v>
          </cell>
          <cell r="D8942">
            <v>0</v>
          </cell>
          <cell r="E8942">
            <v>0</v>
          </cell>
          <cell r="F8942">
            <v>0</v>
          </cell>
          <cell r="G8942">
            <v>0</v>
          </cell>
        </row>
        <row r="8943">
          <cell r="A8943" t="str">
            <v>57-01-01-1353</v>
          </cell>
          <cell r="B8943">
            <v>0</v>
          </cell>
          <cell r="C8943" t="str">
            <v xml:space="preserve">  JAVED IQBAL OPT MILL # 3</v>
          </cell>
          <cell r="D8943">
            <v>0</v>
          </cell>
          <cell r="E8943">
            <v>0</v>
          </cell>
          <cell r="F8943">
            <v>0</v>
          </cell>
          <cell r="G8943">
            <v>0</v>
          </cell>
        </row>
        <row r="8944">
          <cell r="A8944" t="str">
            <v>57-01-01-1354</v>
          </cell>
          <cell r="B8944">
            <v>0</v>
          </cell>
          <cell r="C8944" t="str">
            <v xml:space="preserve">  SAJID HUSSAIN FITTER MILL # 1</v>
          </cell>
          <cell r="D8944">
            <v>0</v>
          </cell>
          <cell r="E8944">
            <v>0</v>
          </cell>
          <cell r="F8944">
            <v>0</v>
          </cell>
          <cell r="G8944">
            <v>0</v>
          </cell>
        </row>
        <row r="8945">
          <cell r="A8945" t="str">
            <v>57-01-01-1355</v>
          </cell>
          <cell r="B8945">
            <v>0</v>
          </cell>
          <cell r="C8945" t="str">
            <v xml:space="preserve">  MUHAMMAD SHAHZAD A/JOBBER</v>
          </cell>
          <cell r="D8945">
            <v>0</v>
          </cell>
          <cell r="E8945">
            <v>0</v>
          </cell>
          <cell r="F8945">
            <v>0</v>
          </cell>
          <cell r="G8945">
            <v>0</v>
          </cell>
        </row>
        <row r="8946">
          <cell r="A8946" t="str">
            <v>57-01-01-1356</v>
          </cell>
          <cell r="B8946">
            <v>0</v>
          </cell>
          <cell r="C8946" t="str">
            <v xml:space="preserve">  ZAFAR IQBAL OPT MILL # 2</v>
          </cell>
          <cell r="D8946">
            <v>0</v>
          </cell>
          <cell r="E8946">
            <v>0</v>
          </cell>
          <cell r="F8946">
            <v>0</v>
          </cell>
          <cell r="G8946">
            <v>0</v>
          </cell>
        </row>
        <row r="8947">
          <cell r="A8947" t="str">
            <v>57-01-01-1357</v>
          </cell>
          <cell r="B8947">
            <v>0</v>
          </cell>
          <cell r="C8947" t="str">
            <v xml:space="preserve">  GHULAM YASIN OPT MILL # 4</v>
          </cell>
          <cell r="D8947">
            <v>0</v>
          </cell>
          <cell r="E8947">
            <v>0</v>
          </cell>
          <cell r="F8947">
            <v>0</v>
          </cell>
          <cell r="G8947">
            <v>0</v>
          </cell>
        </row>
        <row r="8948">
          <cell r="A8948" t="str">
            <v>57-01-01-1358</v>
          </cell>
          <cell r="B8948">
            <v>0</v>
          </cell>
          <cell r="C8948" t="str">
            <v xml:space="preserve">  MUHAMMAD ASLAM 4/S MILL # 1</v>
          </cell>
          <cell r="D8948">
            <v>0</v>
          </cell>
          <cell r="E8948">
            <v>0</v>
          </cell>
          <cell r="F8948">
            <v>0</v>
          </cell>
          <cell r="G8948">
            <v>0</v>
          </cell>
        </row>
        <row r="8949">
          <cell r="A8949" t="str">
            <v>57-01-01-1359</v>
          </cell>
          <cell r="B8949">
            <v>0</v>
          </cell>
          <cell r="C8949" t="str">
            <v xml:space="preserve">  TASAWWAR IQBAL 4/S MILL #1</v>
          </cell>
          <cell r="D8949">
            <v>0</v>
          </cell>
          <cell r="E8949">
            <v>0</v>
          </cell>
          <cell r="F8949">
            <v>0</v>
          </cell>
          <cell r="G8949">
            <v>0</v>
          </cell>
        </row>
        <row r="8950">
          <cell r="A8950" t="str">
            <v>57-01-01-1360</v>
          </cell>
          <cell r="B8950">
            <v>0</v>
          </cell>
          <cell r="C8950" t="str">
            <v xml:space="preserve">  IMTIAZ AHMED 4/S MILL # 1</v>
          </cell>
          <cell r="D8950">
            <v>0</v>
          </cell>
          <cell r="E8950">
            <v>0</v>
          </cell>
          <cell r="F8950">
            <v>0</v>
          </cell>
          <cell r="G8950">
            <v>0</v>
          </cell>
        </row>
        <row r="8951">
          <cell r="A8951" t="str">
            <v>57-01-01-1361</v>
          </cell>
          <cell r="B8951">
            <v>0</v>
          </cell>
          <cell r="C8951" t="str">
            <v xml:space="preserve">  MUHAMMAD ISMAIL HELPER WORKSOP</v>
          </cell>
          <cell r="D8951">
            <v>0</v>
          </cell>
          <cell r="E8951">
            <v>0</v>
          </cell>
          <cell r="F8951">
            <v>0</v>
          </cell>
          <cell r="G8951">
            <v>0</v>
          </cell>
        </row>
        <row r="8952">
          <cell r="A8952" t="str">
            <v>57-01-01-1362</v>
          </cell>
          <cell r="B8952">
            <v>0</v>
          </cell>
          <cell r="C8952" t="str">
            <v xml:space="preserve">  MASAUD AHMED OPT MILL # 4</v>
          </cell>
          <cell r="D8952">
            <v>0</v>
          </cell>
          <cell r="E8952">
            <v>0</v>
          </cell>
          <cell r="F8952">
            <v>0</v>
          </cell>
          <cell r="G8952">
            <v>0</v>
          </cell>
        </row>
        <row r="8953">
          <cell r="A8953" t="str">
            <v>57-01-01-1363</v>
          </cell>
          <cell r="B8953">
            <v>0</v>
          </cell>
          <cell r="C8953" t="str">
            <v xml:space="preserve">  NAZAR HAYAT CT MILL # 1</v>
          </cell>
          <cell r="D8953">
            <v>0</v>
          </cell>
          <cell r="E8953">
            <v>0</v>
          </cell>
          <cell r="F8953">
            <v>0</v>
          </cell>
          <cell r="G8953">
            <v>0</v>
          </cell>
        </row>
        <row r="8954">
          <cell r="A8954" t="str">
            <v>57-01-01-1364</v>
          </cell>
          <cell r="B8954">
            <v>0</v>
          </cell>
          <cell r="C8954" t="str">
            <v xml:space="preserve">  MUHAMMAD RIAZ 4/S MILL # 2</v>
          </cell>
          <cell r="D8954">
            <v>0</v>
          </cell>
          <cell r="E8954">
            <v>0</v>
          </cell>
          <cell r="F8954">
            <v>0</v>
          </cell>
          <cell r="G8954">
            <v>0</v>
          </cell>
        </row>
        <row r="8955">
          <cell r="A8955" t="str">
            <v>57-01-01-1365</v>
          </cell>
          <cell r="B8955">
            <v>0</v>
          </cell>
          <cell r="C8955" t="str">
            <v xml:space="preserve">  TAJ WALI DRIVER OF GM POWE PLANT</v>
          </cell>
          <cell r="D8955">
            <v>0</v>
          </cell>
          <cell r="E8955">
            <v>0</v>
          </cell>
          <cell r="F8955">
            <v>0</v>
          </cell>
          <cell r="G8955">
            <v>0</v>
          </cell>
        </row>
        <row r="8956">
          <cell r="A8956" t="str">
            <v>57-01-01-1366</v>
          </cell>
          <cell r="B8956">
            <v>0</v>
          </cell>
          <cell r="C8956" t="str">
            <v xml:space="preserve">  MUHAMMAD SALEHIN 4/S MILL # 2</v>
          </cell>
          <cell r="D8956">
            <v>0</v>
          </cell>
          <cell r="E8956">
            <v>0</v>
          </cell>
          <cell r="F8956">
            <v>0</v>
          </cell>
          <cell r="G8956">
            <v>0</v>
          </cell>
        </row>
        <row r="8957">
          <cell r="A8957" t="str">
            <v>57-01-01-1367</v>
          </cell>
          <cell r="B8957">
            <v>0</v>
          </cell>
          <cell r="C8957" t="str">
            <v xml:space="preserve">  MUHAMMAD MUMTAZ A/FITTER MILL</v>
          </cell>
          <cell r="D8957">
            <v>0</v>
          </cell>
          <cell r="E8957">
            <v>0</v>
          </cell>
          <cell r="F8957">
            <v>0</v>
          </cell>
          <cell r="G8957">
            <v>0</v>
          </cell>
        </row>
        <row r="8958">
          <cell r="A8958" t="str">
            <v>57-01-01-1368</v>
          </cell>
          <cell r="B8958">
            <v>0</v>
          </cell>
          <cell r="C8958" t="str">
            <v xml:space="preserve">  MUNAWWAR SAEED OPT MILL # 2</v>
          </cell>
          <cell r="D8958">
            <v>0</v>
          </cell>
          <cell r="E8958">
            <v>0</v>
          </cell>
          <cell r="F8958">
            <v>0</v>
          </cell>
          <cell r="G8958">
            <v>0</v>
          </cell>
        </row>
        <row r="8959">
          <cell r="A8959" t="str">
            <v>57-01-01-1369</v>
          </cell>
          <cell r="B8959">
            <v>0</v>
          </cell>
          <cell r="C8959" t="str">
            <v xml:space="preserve">  JAMIL AKHTAR JOBBER MILL # 3</v>
          </cell>
          <cell r="D8959">
            <v>0</v>
          </cell>
          <cell r="E8959">
            <v>0</v>
          </cell>
          <cell r="F8959">
            <v>0</v>
          </cell>
          <cell r="G8959">
            <v>0</v>
          </cell>
        </row>
        <row r="8960">
          <cell r="A8960" t="str">
            <v>57-01-01-1370</v>
          </cell>
          <cell r="B8960">
            <v>0</v>
          </cell>
          <cell r="C8960" t="str">
            <v xml:space="preserve">  NAASIR ABBAS OPT MILL # 2</v>
          </cell>
          <cell r="D8960">
            <v>0</v>
          </cell>
          <cell r="E8960">
            <v>0</v>
          </cell>
          <cell r="F8960">
            <v>0</v>
          </cell>
          <cell r="G8960">
            <v>0</v>
          </cell>
        </row>
        <row r="8961">
          <cell r="A8961" t="str">
            <v>57-01-01-1371</v>
          </cell>
          <cell r="B8961">
            <v>0</v>
          </cell>
          <cell r="C8961" t="str">
            <v xml:space="preserve">  BASHIR AHMED HELPER MILL # 2</v>
          </cell>
          <cell r="D8961">
            <v>0</v>
          </cell>
          <cell r="E8961">
            <v>0</v>
          </cell>
          <cell r="F8961">
            <v>0</v>
          </cell>
          <cell r="G8961">
            <v>0</v>
          </cell>
        </row>
        <row r="8962">
          <cell r="A8962" t="str">
            <v>57-01-01-1372</v>
          </cell>
          <cell r="B8962">
            <v>0</v>
          </cell>
          <cell r="C8962" t="str">
            <v xml:space="preserve">  MUHAMMAD NAZIR DDT MILL # 2</v>
          </cell>
          <cell r="D8962">
            <v>0</v>
          </cell>
          <cell r="E8962">
            <v>0</v>
          </cell>
          <cell r="F8962">
            <v>0</v>
          </cell>
          <cell r="G8962">
            <v>0</v>
          </cell>
        </row>
        <row r="8963">
          <cell r="A8963" t="str">
            <v>57-01-01-1373</v>
          </cell>
          <cell r="B8963">
            <v>0</v>
          </cell>
          <cell r="C8963" t="str">
            <v xml:space="preserve">  MUHAMMAD NADIM DF MILL # 2</v>
          </cell>
          <cell r="D8963">
            <v>0</v>
          </cell>
          <cell r="E8963">
            <v>0</v>
          </cell>
          <cell r="F8963">
            <v>0</v>
          </cell>
          <cell r="G8963">
            <v>0</v>
          </cell>
        </row>
        <row r="8964">
          <cell r="A8964" t="str">
            <v>57-01-01-1374</v>
          </cell>
          <cell r="B8964">
            <v>0</v>
          </cell>
          <cell r="C8964" t="str">
            <v xml:space="preserve">  MUHAMMAD TARIQ DF MILL # 4</v>
          </cell>
          <cell r="D8964">
            <v>0</v>
          </cell>
          <cell r="E8964">
            <v>0</v>
          </cell>
          <cell r="F8964">
            <v>0</v>
          </cell>
          <cell r="G8964">
            <v>0</v>
          </cell>
        </row>
        <row r="8965">
          <cell r="A8965" t="str">
            <v>57-01-01-1375</v>
          </cell>
          <cell r="B8965">
            <v>0</v>
          </cell>
          <cell r="C8965" t="str">
            <v xml:space="preserve">  MUHAMMAD SHAHZAD DST MILL # 1</v>
          </cell>
          <cell r="D8965">
            <v>0</v>
          </cell>
          <cell r="E8965">
            <v>0</v>
          </cell>
          <cell r="F8965">
            <v>0</v>
          </cell>
          <cell r="G8965">
            <v>0</v>
          </cell>
        </row>
        <row r="8966">
          <cell r="A8966" t="str">
            <v>57-01-01-1376</v>
          </cell>
          <cell r="B8966">
            <v>0</v>
          </cell>
          <cell r="C8966" t="str">
            <v xml:space="preserve">  SHAHZAD OPT MILL # 1</v>
          </cell>
          <cell r="D8966">
            <v>0</v>
          </cell>
          <cell r="E8966">
            <v>0</v>
          </cell>
          <cell r="F8966">
            <v>0</v>
          </cell>
          <cell r="G8966">
            <v>0</v>
          </cell>
        </row>
        <row r="8967">
          <cell r="A8967" t="str">
            <v>57-01-01-1377</v>
          </cell>
          <cell r="B8967">
            <v>0</v>
          </cell>
          <cell r="C8967" t="str">
            <v xml:space="preserve">  ABID ALI OPT MILL # 1</v>
          </cell>
          <cell r="D8967">
            <v>0</v>
          </cell>
          <cell r="E8967">
            <v>0</v>
          </cell>
          <cell r="F8967">
            <v>0</v>
          </cell>
          <cell r="G8967">
            <v>0</v>
          </cell>
        </row>
        <row r="8968">
          <cell r="A8968" t="str">
            <v>57-01-01-1378</v>
          </cell>
          <cell r="B8968">
            <v>0</v>
          </cell>
          <cell r="C8968" t="str">
            <v xml:space="preserve">  MUHAMMAD IMTIAZ DST MILL # 4</v>
          </cell>
          <cell r="D8968">
            <v>0</v>
          </cell>
          <cell r="E8968">
            <v>0</v>
          </cell>
          <cell r="F8968">
            <v>0</v>
          </cell>
          <cell r="G8968">
            <v>0</v>
          </cell>
        </row>
        <row r="8969">
          <cell r="A8969" t="str">
            <v>57-01-01-1379</v>
          </cell>
          <cell r="B8969">
            <v>0</v>
          </cell>
          <cell r="C8969" t="str">
            <v xml:space="preserve">  HAYAT ULLAH OPT MILL # 3</v>
          </cell>
          <cell r="D8969">
            <v>0</v>
          </cell>
          <cell r="E8969">
            <v>0</v>
          </cell>
          <cell r="F8969">
            <v>0</v>
          </cell>
          <cell r="G8969">
            <v>0</v>
          </cell>
        </row>
        <row r="8970">
          <cell r="A8970" t="str">
            <v>57-01-01-1380</v>
          </cell>
          <cell r="B8970">
            <v>0</v>
          </cell>
          <cell r="C8970" t="str">
            <v xml:space="preserve">  ZAFAR IQBAL PRESS</v>
          </cell>
          <cell r="D8970">
            <v>0</v>
          </cell>
          <cell r="E8970">
            <v>0</v>
          </cell>
          <cell r="F8970">
            <v>0</v>
          </cell>
          <cell r="G8970">
            <v>0</v>
          </cell>
        </row>
        <row r="8971">
          <cell r="A8971" t="str">
            <v>57-01-01-1381</v>
          </cell>
          <cell r="B8971">
            <v>0</v>
          </cell>
          <cell r="C8971" t="str">
            <v xml:space="preserve">  MUHAMMAD RAMZAN A/JOBBER MILL</v>
          </cell>
          <cell r="D8971">
            <v>0</v>
          </cell>
          <cell r="E8971">
            <v>0</v>
          </cell>
          <cell r="F8971">
            <v>0</v>
          </cell>
          <cell r="G8971">
            <v>0</v>
          </cell>
        </row>
        <row r="8972">
          <cell r="A8972" t="str">
            <v>57-01-01-1382</v>
          </cell>
          <cell r="B8972">
            <v>0</v>
          </cell>
          <cell r="C8972" t="str">
            <v xml:space="preserve">  SHAHID IQBAL DST MILL #  4</v>
          </cell>
          <cell r="D8972">
            <v>0</v>
          </cell>
          <cell r="E8972">
            <v>0</v>
          </cell>
          <cell r="F8972">
            <v>0</v>
          </cell>
          <cell r="G8972">
            <v>0</v>
          </cell>
        </row>
        <row r="8973">
          <cell r="A8973" t="str">
            <v>57-01-01-1383</v>
          </cell>
          <cell r="B8973">
            <v>0</v>
          </cell>
          <cell r="C8973" t="str">
            <v xml:space="preserve">  MUHAMMAD IQBAL JOBBER MILL # 4</v>
          </cell>
          <cell r="D8973">
            <v>0</v>
          </cell>
          <cell r="E8973">
            <v>0</v>
          </cell>
          <cell r="F8973">
            <v>0</v>
          </cell>
          <cell r="G8973">
            <v>0</v>
          </cell>
        </row>
        <row r="8974">
          <cell r="A8974" t="str">
            <v>57-01-01-1384</v>
          </cell>
          <cell r="B8974">
            <v>0</v>
          </cell>
          <cell r="C8974" t="str">
            <v xml:space="preserve">  MIAN MUHAMMAD 4/S MILL # 4</v>
          </cell>
          <cell r="D8974">
            <v>0</v>
          </cell>
          <cell r="E8974">
            <v>0</v>
          </cell>
          <cell r="F8974">
            <v>0</v>
          </cell>
          <cell r="G8974">
            <v>0</v>
          </cell>
        </row>
        <row r="8975">
          <cell r="A8975" t="str">
            <v>57-01-01-1385</v>
          </cell>
          <cell r="B8975">
            <v>0</v>
          </cell>
          <cell r="C8975" t="str">
            <v xml:space="preserve">  QARI SAEED ULLAH IMAM MASJID</v>
          </cell>
          <cell r="D8975">
            <v>0</v>
          </cell>
          <cell r="E8975">
            <v>0</v>
          </cell>
          <cell r="F8975">
            <v>0</v>
          </cell>
          <cell r="G8975">
            <v>0</v>
          </cell>
        </row>
        <row r="8976">
          <cell r="A8976" t="str">
            <v>57-01-01-1386</v>
          </cell>
          <cell r="B8976">
            <v>0</v>
          </cell>
          <cell r="C8976" t="str">
            <v xml:space="preserve">  ALI KHAN 4/S MILL # 2</v>
          </cell>
          <cell r="D8976">
            <v>0</v>
          </cell>
          <cell r="E8976">
            <v>0</v>
          </cell>
          <cell r="F8976">
            <v>0</v>
          </cell>
          <cell r="G8976">
            <v>0</v>
          </cell>
        </row>
        <row r="8977">
          <cell r="A8977" t="str">
            <v>57-01-01-1387</v>
          </cell>
          <cell r="B8977">
            <v>0</v>
          </cell>
          <cell r="C8977" t="str">
            <v xml:space="preserve">  RIAZ HUSSAIN OPT MILL # 2</v>
          </cell>
          <cell r="D8977">
            <v>0</v>
          </cell>
          <cell r="E8977">
            <v>0</v>
          </cell>
          <cell r="F8977">
            <v>0</v>
          </cell>
          <cell r="G8977">
            <v>0</v>
          </cell>
        </row>
        <row r="8978">
          <cell r="A8978" t="str">
            <v>57-01-01-1388</v>
          </cell>
          <cell r="B8978">
            <v>0</v>
          </cell>
          <cell r="C8978" t="str">
            <v xml:space="preserve">  MUHAMMAD YAQOOB DF MILL # 1</v>
          </cell>
          <cell r="D8978">
            <v>0</v>
          </cell>
          <cell r="E8978">
            <v>0</v>
          </cell>
          <cell r="F8978">
            <v>0</v>
          </cell>
          <cell r="G8978">
            <v>0</v>
          </cell>
        </row>
        <row r="8979">
          <cell r="A8979" t="str">
            <v>57-01-01-1389</v>
          </cell>
          <cell r="B8979">
            <v>0</v>
          </cell>
          <cell r="C8979" t="str">
            <v xml:space="preserve">  JAFFAR HUSSAIN OPT MILL # 2</v>
          </cell>
          <cell r="D8979">
            <v>0</v>
          </cell>
          <cell r="E8979">
            <v>0</v>
          </cell>
          <cell r="F8979">
            <v>0</v>
          </cell>
          <cell r="G8979">
            <v>0</v>
          </cell>
        </row>
        <row r="8980">
          <cell r="A8980" t="str">
            <v>57-01-01-1390</v>
          </cell>
          <cell r="B8980">
            <v>0</v>
          </cell>
          <cell r="C8980" t="str">
            <v xml:space="preserve">  SURAKHROO KHAN 4/S MILL # 3</v>
          </cell>
          <cell r="D8980">
            <v>0</v>
          </cell>
          <cell r="E8980">
            <v>0</v>
          </cell>
          <cell r="F8980">
            <v>0</v>
          </cell>
          <cell r="G8980">
            <v>0</v>
          </cell>
        </row>
        <row r="8981">
          <cell r="A8981" t="str">
            <v>57-01-01-1391</v>
          </cell>
          <cell r="B8981">
            <v>0</v>
          </cell>
          <cell r="C8981" t="str">
            <v xml:space="preserve">  AZHAR SHAHZAD OPT MILL # 1</v>
          </cell>
          <cell r="D8981">
            <v>0</v>
          </cell>
          <cell r="E8981">
            <v>0</v>
          </cell>
          <cell r="F8981">
            <v>0</v>
          </cell>
          <cell r="G8981">
            <v>0</v>
          </cell>
        </row>
        <row r="8982">
          <cell r="A8982" t="str">
            <v>57-01-01-1392</v>
          </cell>
          <cell r="B8982">
            <v>0</v>
          </cell>
          <cell r="C8982" t="str">
            <v xml:space="preserve">  SHAIKH FAREED COMPUTER OPERATOR</v>
          </cell>
          <cell r="D8982">
            <v>0</v>
          </cell>
          <cell r="E8982">
            <v>0</v>
          </cell>
          <cell r="F8982">
            <v>0</v>
          </cell>
          <cell r="G8982">
            <v>0</v>
          </cell>
        </row>
        <row r="8983">
          <cell r="A8983" t="str">
            <v>57-01-01-1393</v>
          </cell>
          <cell r="B8983">
            <v>0</v>
          </cell>
          <cell r="C8983" t="str">
            <v xml:space="preserve">  KHURSHEED AHMED DDT MILL # 4.</v>
          </cell>
          <cell r="D8983">
            <v>0</v>
          </cell>
          <cell r="E8983">
            <v>0</v>
          </cell>
          <cell r="F8983">
            <v>0</v>
          </cell>
          <cell r="G8983">
            <v>0</v>
          </cell>
        </row>
        <row r="8984">
          <cell r="A8984" t="str">
            <v>57-01-01-1394</v>
          </cell>
          <cell r="B8984">
            <v>0</v>
          </cell>
          <cell r="C8984" t="str">
            <v xml:space="preserve">  HUSSAIN OPT MILL # 2</v>
          </cell>
          <cell r="D8984">
            <v>0</v>
          </cell>
          <cell r="E8984">
            <v>0</v>
          </cell>
          <cell r="F8984">
            <v>0</v>
          </cell>
          <cell r="G8984">
            <v>0</v>
          </cell>
        </row>
        <row r="8985">
          <cell r="A8985" t="str">
            <v>57-01-01-1395</v>
          </cell>
          <cell r="B8985">
            <v>0</v>
          </cell>
          <cell r="C8985" t="str">
            <v xml:space="preserve">  GHULAM FARID OPT MILL # 4</v>
          </cell>
          <cell r="D8985">
            <v>0</v>
          </cell>
          <cell r="E8985">
            <v>0</v>
          </cell>
          <cell r="F8985">
            <v>0</v>
          </cell>
          <cell r="G8985">
            <v>0</v>
          </cell>
        </row>
        <row r="8986">
          <cell r="A8986" t="str">
            <v>57-01-01-1396</v>
          </cell>
          <cell r="B8986">
            <v>0</v>
          </cell>
          <cell r="C8986" t="str">
            <v xml:space="preserve">  NAZIM HUSSAIN 4/S MILL # 1</v>
          </cell>
          <cell r="D8986">
            <v>0</v>
          </cell>
          <cell r="E8986">
            <v>0</v>
          </cell>
          <cell r="F8986">
            <v>0</v>
          </cell>
          <cell r="G8986">
            <v>0</v>
          </cell>
        </row>
        <row r="8987">
          <cell r="A8987" t="str">
            <v>57-01-01-1397</v>
          </cell>
          <cell r="B8987">
            <v>0</v>
          </cell>
          <cell r="C8987" t="str">
            <v xml:space="preserve">  ASHRAF JAMAL GM POWER PLANT</v>
          </cell>
          <cell r="D8987">
            <v>0</v>
          </cell>
          <cell r="E8987">
            <v>0</v>
          </cell>
          <cell r="F8987">
            <v>0</v>
          </cell>
          <cell r="G8987">
            <v>0</v>
          </cell>
        </row>
        <row r="8988">
          <cell r="A8988" t="str">
            <v>57-01-01-1398</v>
          </cell>
          <cell r="B8988">
            <v>0</v>
          </cell>
          <cell r="C8988" t="str">
            <v xml:space="preserve">  MUHAMMAS RIAZ DF MILL # 1</v>
          </cell>
          <cell r="D8988">
            <v>0</v>
          </cell>
          <cell r="E8988">
            <v>0</v>
          </cell>
          <cell r="F8988">
            <v>0</v>
          </cell>
          <cell r="G8988">
            <v>0</v>
          </cell>
        </row>
        <row r="8989">
          <cell r="A8989" t="str">
            <v>57-01-01-1399</v>
          </cell>
          <cell r="B8989">
            <v>0</v>
          </cell>
          <cell r="C8989" t="str">
            <v xml:space="preserve">  AZMAT ALI 4/S MILL # 2</v>
          </cell>
          <cell r="D8989">
            <v>0</v>
          </cell>
          <cell r="E8989">
            <v>0</v>
          </cell>
          <cell r="F8989">
            <v>0</v>
          </cell>
          <cell r="G8989">
            <v>0</v>
          </cell>
        </row>
        <row r="8990">
          <cell r="A8990" t="str">
            <v>57-01-01-1400</v>
          </cell>
          <cell r="B8990">
            <v>0</v>
          </cell>
          <cell r="C8990" t="str">
            <v xml:space="preserve">  GHULAM MUSTAFA OPT MILL # 4</v>
          </cell>
          <cell r="D8990">
            <v>0</v>
          </cell>
          <cell r="E8990">
            <v>0</v>
          </cell>
          <cell r="F8990">
            <v>0</v>
          </cell>
          <cell r="G8990">
            <v>0</v>
          </cell>
        </row>
        <row r="8991">
          <cell r="A8991" t="str">
            <v>57-01-01-1401</v>
          </cell>
          <cell r="B8991">
            <v>0</v>
          </cell>
          <cell r="C8991" t="str">
            <v xml:space="preserve">  MUHAMMAD ARIF 4/S MILL # 2</v>
          </cell>
          <cell r="D8991">
            <v>0</v>
          </cell>
          <cell r="E8991">
            <v>0</v>
          </cell>
          <cell r="F8991">
            <v>0</v>
          </cell>
          <cell r="G8991">
            <v>0</v>
          </cell>
        </row>
        <row r="8992">
          <cell r="A8992" t="str">
            <v>57-01-01-1402</v>
          </cell>
          <cell r="B8992">
            <v>0</v>
          </cell>
          <cell r="C8992" t="str">
            <v xml:space="preserve">  ALLAH DITTA OPT MILL # 4</v>
          </cell>
          <cell r="D8992">
            <v>0</v>
          </cell>
          <cell r="E8992">
            <v>0</v>
          </cell>
          <cell r="F8992">
            <v>0</v>
          </cell>
          <cell r="G8992">
            <v>0</v>
          </cell>
        </row>
        <row r="8993">
          <cell r="A8993" t="str">
            <v>57-01-01-1403</v>
          </cell>
          <cell r="B8993">
            <v>0</v>
          </cell>
          <cell r="C8993" t="str">
            <v xml:space="preserve">  MUHAMMAD MUMTAZ JOBBER MILL # 1</v>
          </cell>
          <cell r="D8993">
            <v>0</v>
          </cell>
          <cell r="E8993">
            <v>0</v>
          </cell>
          <cell r="F8993">
            <v>0</v>
          </cell>
          <cell r="G8993">
            <v>0</v>
          </cell>
        </row>
        <row r="8994">
          <cell r="A8994" t="str">
            <v>57-01-01-1404</v>
          </cell>
          <cell r="B8994">
            <v>0</v>
          </cell>
          <cell r="C8994" t="str">
            <v xml:space="preserve">  AAMIR SOHAIL OPT MILL # 3</v>
          </cell>
          <cell r="D8994">
            <v>0</v>
          </cell>
          <cell r="E8994">
            <v>0</v>
          </cell>
          <cell r="F8994">
            <v>0</v>
          </cell>
          <cell r="G8994">
            <v>0</v>
          </cell>
        </row>
        <row r="8995">
          <cell r="A8995" t="str">
            <v>57-01-01-1405</v>
          </cell>
          <cell r="B8995">
            <v>0</v>
          </cell>
          <cell r="C8995" t="str">
            <v xml:space="preserve">  SHAMRAIZ AKHTAR EXCISE CLERK</v>
          </cell>
          <cell r="D8995">
            <v>0</v>
          </cell>
          <cell r="E8995">
            <v>0</v>
          </cell>
          <cell r="F8995">
            <v>0</v>
          </cell>
          <cell r="G8995">
            <v>0</v>
          </cell>
        </row>
        <row r="8996">
          <cell r="A8996" t="str">
            <v>57-01-01-1406</v>
          </cell>
          <cell r="B8996">
            <v>0</v>
          </cell>
          <cell r="C8996" t="str">
            <v xml:space="preserve">  MUHAMMAD IRSHAD DDT MILL # 1</v>
          </cell>
          <cell r="D8996">
            <v>0</v>
          </cell>
          <cell r="E8996">
            <v>0</v>
          </cell>
          <cell r="F8996">
            <v>0</v>
          </cell>
          <cell r="G8996">
            <v>0</v>
          </cell>
        </row>
        <row r="8997">
          <cell r="A8997" t="str">
            <v>57-01-01-1407</v>
          </cell>
          <cell r="B8997">
            <v>0</v>
          </cell>
          <cell r="C8997" t="str">
            <v xml:space="preserve">  MUHAMMAD SHAHID FITTER MILL # 4</v>
          </cell>
          <cell r="D8997">
            <v>0</v>
          </cell>
          <cell r="E8997">
            <v>0</v>
          </cell>
          <cell r="F8997">
            <v>0</v>
          </cell>
          <cell r="G8997">
            <v>0</v>
          </cell>
        </row>
        <row r="8998">
          <cell r="A8998" t="str">
            <v>57-01-01-1408</v>
          </cell>
          <cell r="B8998">
            <v>0</v>
          </cell>
          <cell r="C8998" t="str">
            <v xml:space="preserve">  MUHAMMAD ASHRAF 4/S MILL # 2</v>
          </cell>
          <cell r="D8998">
            <v>0</v>
          </cell>
          <cell r="E8998">
            <v>0</v>
          </cell>
          <cell r="F8998">
            <v>0</v>
          </cell>
          <cell r="G8998">
            <v>0</v>
          </cell>
        </row>
        <row r="8999">
          <cell r="A8999" t="str">
            <v>57-01-01-1409</v>
          </cell>
          <cell r="B8999">
            <v>0</v>
          </cell>
          <cell r="C8999" t="str">
            <v xml:space="preserve">  HASSAN ASKARI QUALITY OBSERVER</v>
          </cell>
          <cell r="D8999">
            <v>0</v>
          </cell>
          <cell r="E8999">
            <v>0</v>
          </cell>
          <cell r="F8999">
            <v>0</v>
          </cell>
          <cell r="G8999">
            <v>0</v>
          </cell>
        </row>
        <row r="9000">
          <cell r="A9000" t="str">
            <v>57-01-01-1410</v>
          </cell>
          <cell r="B9000">
            <v>0</v>
          </cell>
          <cell r="C9000" t="str">
            <v xml:space="preserve">  GUL RAHEEM TAJ JOBBER MILL # 1</v>
          </cell>
          <cell r="D9000">
            <v>0</v>
          </cell>
          <cell r="E9000">
            <v>0</v>
          </cell>
          <cell r="F9000">
            <v>0</v>
          </cell>
          <cell r="G9000">
            <v>0</v>
          </cell>
        </row>
        <row r="9001">
          <cell r="A9001" t="str">
            <v>57-01-01-1411</v>
          </cell>
          <cell r="B9001">
            <v>0</v>
          </cell>
          <cell r="C9001" t="str">
            <v xml:space="preserve">  BAZ KHAN JOBBER MILL # 1</v>
          </cell>
          <cell r="D9001">
            <v>0</v>
          </cell>
          <cell r="E9001">
            <v>0</v>
          </cell>
          <cell r="F9001">
            <v>0</v>
          </cell>
          <cell r="G9001">
            <v>0</v>
          </cell>
        </row>
        <row r="9002">
          <cell r="A9002" t="str">
            <v>57-01-01-1412</v>
          </cell>
          <cell r="B9002">
            <v>0</v>
          </cell>
          <cell r="C9002" t="str">
            <v xml:space="preserve">  MUHAMMAD RASHID HELPER</v>
          </cell>
          <cell r="D9002">
            <v>0</v>
          </cell>
          <cell r="E9002">
            <v>0</v>
          </cell>
          <cell r="F9002">
            <v>0</v>
          </cell>
          <cell r="G9002">
            <v>0</v>
          </cell>
        </row>
        <row r="9003">
          <cell r="A9003" t="str">
            <v>57-01-01-1413</v>
          </cell>
          <cell r="B9003">
            <v>0</v>
          </cell>
          <cell r="C9003" t="str">
            <v xml:space="preserve">  MUMTAZ ALI FITTER MILL # 2</v>
          </cell>
          <cell r="D9003">
            <v>0</v>
          </cell>
          <cell r="E9003">
            <v>0</v>
          </cell>
          <cell r="F9003">
            <v>0</v>
          </cell>
          <cell r="G9003">
            <v>0</v>
          </cell>
        </row>
        <row r="9004">
          <cell r="A9004" t="str">
            <v>57-01-01-1414</v>
          </cell>
          <cell r="B9004">
            <v>0</v>
          </cell>
          <cell r="C9004" t="str">
            <v xml:space="preserve">  NASRULLAH KHAN OPT MILL # 3</v>
          </cell>
          <cell r="D9004">
            <v>0</v>
          </cell>
          <cell r="E9004">
            <v>0</v>
          </cell>
          <cell r="F9004">
            <v>0</v>
          </cell>
          <cell r="G9004">
            <v>0</v>
          </cell>
        </row>
        <row r="9005">
          <cell r="A9005" t="str">
            <v>57-01-01-1415</v>
          </cell>
          <cell r="B9005">
            <v>0</v>
          </cell>
          <cell r="C9005" t="str">
            <v xml:space="preserve">  AAMIR SHAHZAD HELPER MILL # 2</v>
          </cell>
          <cell r="D9005">
            <v>0</v>
          </cell>
          <cell r="E9005">
            <v>0</v>
          </cell>
          <cell r="F9005">
            <v>0</v>
          </cell>
          <cell r="G9005">
            <v>0</v>
          </cell>
        </row>
        <row r="9006">
          <cell r="A9006" t="str">
            <v>57-01-01-1416</v>
          </cell>
          <cell r="B9006">
            <v>0</v>
          </cell>
          <cell r="C9006" t="str">
            <v xml:space="preserve">  TAJ MUHAMMAD 4/S MILL # 1</v>
          </cell>
          <cell r="D9006">
            <v>0</v>
          </cell>
          <cell r="E9006">
            <v>0</v>
          </cell>
          <cell r="F9006">
            <v>0</v>
          </cell>
          <cell r="G9006">
            <v>0</v>
          </cell>
        </row>
        <row r="9007">
          <cell r="A9007" t="str">
            <v>57-01-01-1417</v>
          </cell>
          <cell r="B9007">
            <v>0</v>
          </cell>
          <cell r="C9007" t="str">
            <v xml:space="preserve">  MUHAMMAD KAMRAN A/FITTER MILL</v>
          </cell>
          <cell r="D9007">
            <v>0</v>
          </cell>
          <cell r="E9007">
            <v>0</v>
          </cell>
          <cell r="F9007">
            <v>0</v>
          </cell>
          <cell r="G9007">
            <v>0</v>
          </cell>
        </row>
        <row r="9008">
          <cell r="A9008" t="str">
            <v>57-01-01-1418</v>
          </cell>
          <cell r="B9008">
            <v>0</v>
          </cell>
          <cell r="C9008" t="str">
            <v xml:space="preserve">  MASAYIB KHAN CT MILL # 3</v>
          </cell>
          <cell r="D9008">
            <v>0</v>
          </cell>
          <cell r="E9008">
            <v>0</v>
          </cell>
          <cell r="F9008">
            <v>0</v>
          </cell>
          <cell r="G9008">
            <v>0</v>
          </cell>
        </row>
        <row r="9009">
          <cell r="A9009" t="str">
            <v>57-01-01-1419</v>
          </cell>
          <cell r="B9009">
            <v>0</v>
          </cell>
          <cell r="C9009" t="str">
            <v xml:space="preserve">  MUHAMMAD ISHAQUE SR/SUPERVISOR</v>
          </cell>
          <cell r="D9009">
            <v>0</v>
          </cell>
          <cell r="E9009">
            <v>0</v>
          </cell>
          <cell r="F9009">
            <v>0</v>
          </cell>
          <cell r="G9009">
            <v>0</v>
          </cell>
        </row>
        <row r="9010">
          <cell r="A9010" t="str">
            <v>57-01-01-1420</v>
          </cell>
          <cell r="B9010">
            <v>0</v>
          </cell>
          <cell r="C9010" t="str">
            <v xml:space="preserve">  RAISHAM KHAN OPT MILL # 3</v>
          </cell>
          <cell r="D9010">
            <v>0</v>
          </cell>
          <cell r="E9010">
            <v>0</v>
          </cell>
          <cell r="F9010">
            <v>0</v>
          </cell>
          <cell r="G9010">
            <v>0</v>
          </cell>
        </row>
        <row r="9011">
          <cell r="A9011" t="str">
            <v>57-01-01-1421</v>
          </cell>
          <cell r="B9011">
            <v>0</v>
          </cell>
          <cell r="C9011" t="str">
            <v xml:space="preserve">  KHUDA DAD 4/S MILL # 4</v>
          </cell>
          <cell r="D9011">
            <v>0</v>
          </cell>
          <cell r="E9011">
            <v>0</v>
          </cell>
          <cell r="F9011">
            <v>0</v>
          </cell>
          <cell r="G9011">
            <v>0</v>
          </cell>
        </row>
        <row r="9012">
          <cell r="A9012" t="str">
            <v>57-01-01-1422</v>
          </cell>
          <cell r="B9012">
            <v>0</v>
          </cell>
          <cell r="C9012" t="str">
            <v xml:space="preserve">  NOOR UL AMIN 4/S MILL # 1</v>
          </cell>
          <cell r="D9012">
            <v>0</v>
          </cell>
          <cell r="E9012">
            <v>0</v>
          </cell>
          <cell r="F9012">
            <v>0</v>
          </cell>
          <cell r="G9012">
            <v>0</v>
          </cell>
        </row>
        <row r="9013">
          <cell r="A9013" t="str">
            <v>57-01-01-1423</v>
          </cell>
          <cell r="B9013">
            <v>0</v>
          </cell>
          <cell r="C9013" t="str">
            <v xml:space="preserve">  ABID ALI DST MILL # 3</v>
          </cell>
          <cell r="D9013">
            <v>0</v>
          </cell>
          <cell r="E9013">
            <v>0</v>
          </cell>
          <cell r="F9013">
            <v>0</v>
          </cell>
          <cell r="G9013">
            <v>0</v>
          </cell>
        </row>
        <row r="9014">
          <cell r="A9014" t="str">
            <v>57-01-01-1424</v>
          </cell>
          <cell r="B9014">
            <v>0</v>
          </cell>
          <cell r="C9014" t="str">
            <v xml:space="preserve">  AMIR ZAMAN DF MILL # 4</v>
          </cell>
          <cell r="D9014">
            <v>0</v>
          </cell>
          <cell r="E9014">
            <v>0</v>
          </cell>
          <cell r="F9014">
            <v>0</v>
          </cell>
          <cell r="G9014">
            <v>0</v>
          </cell>
        </row>
        <row r="9015">
          <cell r="A9015" t="str">
            <v>57-01-01-1425</v>
          </cell>
          <cell r="B9015">
            <v>0</v>
          </cell>
          <cell r="C9015" t="str">
            <v xml:space="preserve">  ZAR GUL JOBBER MILL # 1</v>
          </cell>
          <cell r="D9015">
            <v>0</v>
          </cell>
          <cell r="E9015">
            <v>0</v>
          </cell>
          <cell r="F9015">
            <v>0</v>
          </cell>
          <cell r="G9015">
            <v>0</v>
          </cell>
        </row>
        <row r="9016">
          <cell r="A9016" t="str">
            <v>57-01-01-1426</v>
          </cell>
          <cell r="B9016">
            <v>0</v>
          </cell>
          <cell r="C9016" t="str">
            <v xml:space="preserve">  MUHAMMAD RIAZ 4/S MILL # 1</v>
          </cell>
          <cell r="D9016">
            <v>0</v>
          </cell>
          <cell r="E9016">
            <v>0</v>
          </cell>
          <cell r="F9016">
            <v>0</v>
          </cell>
          <cell r="G9016">
            <v>0</v>
          </cell>
        </row>
        <row r="9017">
          <cell r="A9017" t="str">
            <v>57-01-01-1427</v>
          </cell>
          <cell r="B9017">
            <v>0</v>
          </cell>
          <cell r="C9017" t="str">
            <v xml:space="preserve">  AKBAR KHAN JOBBER MILL # 1</v>
          </cell>
          <cell r="D9017">
            <v>0</v>
          </cell>
          <cell r="E9017">
            <v>0</v>
          </cell>
          <cell r="F9017">
            <v>0</v>
          </cell>
          <cell r="G9017">
            <v>0</v>
          </cell>
        </row>
        <row r="9018">
          <cell r="A9018" t="str">
            <v>57-01-01-1428</v>
          </cell>
          <cell r="B9018">
            <v>0</v>
          </cell>
          <cell r="C9018" t="str">
            <v xml:space="preserve">  MUBASHIR ALI FITTER MILL # 2</v>
          </cell>
          <cell r="D9018">
            <v>0</v>
          </cell>
          <cell r="E9018">
            <v>0</v>
          </cell>
          <cell r="F9018">
            <v>0</v>
          </cell>
          <cell r="G9018">
            <v>0</v>
          </cell>
        </row>
        <row r="9019">
          <cell r="A9019" t="str">
            <v>57-01-01-1429</v>
          </cell>
          <cell r="B9019">
            <v>0</v>
          </cell>
          <cell r="C9019" t="str">
            <v xml:space="preserve">  HABIB UR REHMAN 4/S MILL # 1</v>
          </cell>
          <cell r="D9019">
            <v>0</v>
          </cell>
          <cell r="E9019">
            <v>0</v>
          </cell>
          <cell r="F9019">
            <v>0</v>
          </cell>
          <cell r="G9019">
            <v>0</v>
          </cell>
        </row>
        <row r="9020">
          <cell r="A9020" t="str">
            <v>57-01-01-1430</v>
          </cell>
          <cell r="B9020">
            <v>0</v>
          </cell>
          <cell r="C9020" t="str">
            <v xml:space="preserve">  SHAKIL AHMED 4/S MILL # 1</v>
          </cell>
          <cell r="D9020">
            <v>0</v>
          </cell>
          <cell r="E9020">
            <v>0</v>
          </cell>
          <cell r="F9020">
            <v>0</v>
          </cell>
          <cell r="G9020">
            <v>0</v>
          </cell>
        </row>
        <row r="9021">
          <cell r="A9021" t="str">
            <v>57-01-01-1431</v>
          </cell>
          <cell r="B9021">
            <v>0</v>
          </cell>
          <cell r="C9021" t="str">
            <v xml:space="preserve">  ASJAD MEHMOOD HELPER MILL # 4</v>
          </cell>
          <cell r="D9021">
            <v>0</v>
          </cell>
          <cell r="E9021">
            <v>0</v>
          </cell>
          <cell r="F9021">
            <v>0</v>
          </cell>
          <cell r="G9021">
            <v>0</v>
          </cell>
        </row>
        <row r="9022">
          <cell r="A9022" t="str">
            <v>57-01-01-1432</v>
          </cell>
          <cell r="B9022">
            <v>0</v>
          </cell>
          <cell r="C9022" t="str">
            <v xml:space="preserve">  MUHAMMAD AMIN OPT MILL # 3</v>
          </cell>
          <cell r="D9022">
            <v>0</v>
          </cell>
          <cell r="E9022">
            <v>0</v>
          </cell>
          <cell r="F9022">
            <v>0</v>
          </cell>
          <cell r="G9022">
            <v>0</v>
          </cell>
        </row>
        <row r="9023">
          <cell r="A9023" t="str">
            <v>57-01-01-1433</v>
          </cell>
          <cell r="B9023">
            <v>0</v>
          </cell>
          <cell r="C9023" t="str">
            <v xml:space="preserve">  MUHAMMAD ARSHAD FITTER MILL # 2</v>
          </cell>
          <cell r="D9023">
            <v>0</v>
          </cell>
          <cell r="E9023">
            <v>0</v>
          </cell>
          <cell r="F9023">
            <v>0</v>
          </cell>
          <cell r="G9023">
            <v>0</v>
          </cell>
        </row>
        <row r="9024">
          <cell r="A9024" t="str">
            <v>57-01-01-1434</v>
          </cell>
          <cell r="B9024">
            <v>0</v>
          </cell>
          <cell r="C9024" t="str">
            <v xml:space="preserve">  RIAZ AHMED A/FITTER WORKSHOP</v>
          </cell>
          <cell r="D9024">
            <v>0</v>
          </cell>
          <cell r="E9024">
            <v>0</v>
          </cell>
          <cell r="F9024">
            <v>0</v>
          </cell>
          <cell r="G9024">
            <v>0</v>
          </cell>
        </row>
        <row r="9025">
          <cell r="A9025" t="str">
            <v>57-01-01-1435</v>
          </cell>
          <cell r="B9025">
            <v>0</v>
          </cell>
          <cell r="C9025" t="str">
            <v xml:space="preserve">  MUHAMMAD RIAZ S/A FORMAN MILL # 1</v>
          </cell>
          <cell r="D9025">
            <v>0</v>
          </cell>
          <cell r="E9025">
            <v>0</v>
          </cell>
          <cell r="F9025">
            <v>0</v>
          </cell>
          <cell r="G9025">
            <v>0</v>
          </cell>
        </row>
        <row r="9026">
          <cell r="A9026" t="str">
            <v>57-01-01-1436</v>
          </cell>
          <cell r="B9026">
            <v>0</v>
          </cell>
          <cell r="C9026" t="str">
            <v xml:space="preserve">  NASRULLAH OPT MILL # 4</v>
          </cell>
          <cell r="D9026">
            <v>0</v>
          </cell>
          <cell r="E9026">
            <v>0</v>
          </cell>
          <cell r="F9026">
            <v>0</v>
          </cell>
          <cell r="G9026">
            <v>0</v>
          </cell>
        </row>
        <row r="9027">
          <cell r="A9027" t="str">
            <v>57-01-01-1437</v>
          </cell>
          <cell r="B9027">
            <v>0</v>
          </cell>
          <cell r="C9027" t="str">
            <v xml:space="preserve">  NAZIR AHMED DF MILL # 4</v>
          </cell>
          <cell r="D9027">
            <v>0</v>
          </cell>
          <cell r="E9027">
            <v>0</v>
          </cell>
          <cell r="F9027">
            <v>0</v>
          </cell>
          <cell r="G9027">
            <v>0</v>
          </cell>
        </row>
        <row r="9028">
          <cell r="A9028" t="str">
            <v>57-01-01-1438</v>
          </cell>
          <cell r="B9028">
            <v>0</v>
          </cell>
          <cell r="C9028" t="str">
            <v xml:space="preserve">  MUHAMMAD IJAZ DDT MILL # 4</v>
          </cell>
          <cell r="D9028">
            <v>0</v>
          </cell>
          <cell r="E9028">
            <v>0</v>
          </cell>
          <cell r="F9028">
            <v>0</v>
          </cell>
          <cell r="G9028">
            <v>0</v>
          </cell>
        </row>
        <row r="9029">
          <cell r="A9029" t="str">
            <v>57-01-01-1439</v>
          </cell>
          <cell r="B9029">
            <v>0</v>
          </cell>
          <cell r="C9029" t="str">
            <v xml:space="preserve">  MUHAMMAD ISHTIAQ DST MILL # 4</v>
          </cell>
          <cell r="D9029">
            <v>0</v>
          </cell>
          <cell r="E9029">
            <v>0</v>
          </cell>
          <cell r="F9029">
            <v>0</v>
          </cell>
          <cell r="G9029">
            <v>0</v>
          </cell>
        </row>
        <row r="9030">
          <cell r="A9030" t="str">
            <v>57-01-01-1440</v>
          </cell>
          <cell r="B9030">
            <v>0</v>
          </cell>
          <cell r="C9030" t="str">
            <v xml:space="preserve">  SHAHID MEHMOOD DF MILL # 2</v>
          </cell>
          <cell r="D9030">
            <v>0</v>
          </cell>
          <cell r="E9030">
            <v>0</v>
          </cell>
          <cell r="F9030">
            <v>0</v>
          </cell>
          <cell r="G9030">
            <v>0</v>
          </cell>
        </row>
        <row r="9031">
          <cell r="A9031" t="str">
            <v>57-01-01-1441</v>
          </cell>
          <cell r="B9031">
            <v>0</v>
          </cell>
          <cell r="C9031" t="str">
            <v xml:space="preserve">  MUHAMMAD RAEES OPT MILL # 3</v>
          </cell>
          <cell r="D9031">
            <v>0</v>
          </cell>
          <cell r="E9031">
            <v>0</v>
          </cell>
          <cell r="F9031">
            <v>0</v>
          </cell>
          <cell r="G9031">
            <v>0</v>
          </cell>
        </row>
        <row r="9032">
          <cell r="A9032" t="str">
            <v>57-01-01-1442</v>
          </cell>
          <cell r="B9032">
            <v>0</v>
          </cell>
          <cell r="C9032" t="str">
            <v xml:space="preserve">  MUHAMMAD IMRAN DF MILL # 3</v>
          </cell>
          <cell r="D9032">
            <v>0</v>
          </cell>
          <cell r="E9032">
            <v>0</v>
          </cell>
          <cell r="F9032">
            <v>0</v>
          </cell>
          <cell r="G9032">
            <v>0</v>
          </cell>
        </row>
        <row r="9033">
          <cell r="A9033" t="str">
            <v>57-01-01-1443</v>
          </cell>
          <cell r="B9033">
            <v>0</v>
          </cell>
          <cell r="C9033" t="str">
            <v xml:space="preserve">  MUHAMMAD RIAZ H/TURNER WORKSHOP</v>
          </cell>
          <cell r="D9033">
            <v>0</v>
          </cell>
          <cell r="E9033">
            <v>0</v>
          </cell>
          <cell r="F9033">
            <v>0</v>
          </cell>
          <cell r="G9033">
            <v>0</v>
          </cell>
        </row>
        <row r="9034">
          <cell r="A9034" t="str">
            <v>57-01-01-1444</v>
          </cell>
          <cell r="B9034">
            <v>0</v>
          </cell>
          <cell r="C9034" t="str">
            <v xml:space="preserve">  MULAZIM HUSSAIN OPT MILL # 1</v>
          </cell>
          <cell r="D9034">
            <v>0</v>
          </cell>
          <cell r="E9034">
            <v>0</v>
          </cell>
          <cell r="F9034">
            <v>0</v>
          </cell>
          <cell r="G9034">
            <v>0</v>
          </cell>
        </row>
        <row r="9035">
          <cell r="A9035" t="str">
            <v>57-01-01-1445</v>
          </cell>
          <cell r="B9035">
            <v>0</v>
          </cell>
          <cell r="C9035" t="str">
            <v xml:space="preserve">  BHADAR KHAN 4/S MILL # 2</v>
          </cell>
          <cell r="D9035">
            <v>0</v>
          </cell>
          <cell r="E9035">
            <v>0</v>
          </cell>
          <cell r="F9035">
            <v>0</v>
          </cell>
          <cell r="G9035">
            <v>0</v>
          </cell>
        </row>
        <row r="9036">
          <cell r="A9036" t="str">
            <v>57-01-01-1446</v>
          </cell>
          <cell r="B9036">
            <v>0</v>
          </cell>
          <cell r="C9036" t="str">
            <v xml:space="preserve">  AZHAR IQBAL 4/S MILL # 1</v>
          </cell>
          <cell r="D9036">
            <v>0</v>
          </cell>
          <cell r="E9036">
            <v>0</v>
          </cell>
          <cell r="F9036">
            <v>0</v>
          </cell>
          <cell r="G9036">
            <v>0</v>
          </cell>
        </row>
        <row r="9037">
          <cell r="A9037" t="str">
            <v>57-01-01-1447</v>
          </cell>
          <cell r="B9037">
            <v>0</v>
          </cell>
          <cell r="C9037" t="str">
            <v xml:space="preserve">  MEHINDI KHAN OPT MILL # 1</v>
          </cell>
          <cell r="D9037">
            <v>0</v>
          </cell>
          <cell r="E9037">
            <v>0</v>
          </cell>
          <cell r="F9037">
            <v>0</v>
          </cell>
          <cell r="G9037">
            <v>0</v>
          </cell>
        </row>
        <row r="9038">
          <cell r="A9038" t="str">
            <v>57-01-01-1448</v>
          </cell>
          <cell r="B9038">
            <v>0</v>
          </cell>
          <cell r="C9038" t="str">
            <v xml:space="preserve">  MUHAMMAD FAISAL DST MILL # 3</v>
          </cell>
          <cell r="D9038">
            <v>0</v>
          </cell>
          <cell r="E9038">
            <v>0</v>
          </cell>
          <cell r="F9038">
            <v>0</v>
          </cell>
          <cell r="G9038">
            <v>0</v>
          </cell>
        </row>
        <row r="9039">
          <cell r="A9039" t="str">
            <v>57-01-01-1449</v>
          </cell>
          <cell r="B9039">
            <v>0</v>
          </cell>
          <cell r="C9039" t="str">
            <v xml:space="preserve">  MUHAMMAD AKHLAQ A/FITTER MILL</v>
          </cell>
          <cell r="D9039">
            <v>0</v>
          </cell>
          <cell r="E9039">
            <v>0</v>
          </cell>
          <cell r="F9039">
            <v>0</v>
          </cell>
          <cell r="G9039">
            <v>0</v>
          </cell>
        </row>
        <row r="9040">
          <cell r="A9040" t="str">
            <v>57-01-01-1450</v>
          </cell>
          <cell r="B9040">
            <v>0</v>
          </cell>
          <cell r="C9040" t="str">
            <v xml:space="preserve">  MUHAMMAD IQBAL DST MILL # 1</v>
          </cell>
          <cell r="D9040">
            <v>0</v>
          </cell>
          <cell r="E9040">
            <v>0</v>
          </cell>
          <cell r="F9040">
            <v>0</v>
          </cell>
          <cell r="G9040">
            <v>0</v>
          </cell>
        </row>
        <row r="9041">
          <cell r="A9041" t="str">
            <v>57-01-01-1451</v>
          </cell>
          <cell r="B9041">
            <v>0</v>
          </cell>
          <cell r="C9041" t="str">
            <v xml:space="preserve">  SULTANAT KHAN 4/S MILL # 1</v>
          </cell>
          <cell r="D9041">
            <v>0</v>
          </cell>
          <cell r="E9041">
            <v>0</v>
          </cell>
          <cell r="F9041">
            <v>0</v>
          </cell>
          <cell r="G9041">
            <v>0</v>
          </cell>
        </row>
        <row r="9042">
          <cell r="A9042" t="str">
            <v>57-01-01-1452</v>
          </cell>
          <cell r="B9042">
            <v>0</v>
          </cell>
          <cell r="C9042" t="str">
            <v xml:space="preserve">  ABDULLAH A/JOBBER MILL # 3</v>
          </cell>
          <cell r="D9042">
            <v>0</v>
          </cell>
          <cell r="E9042">
            <v>0</v>
          </cell>
          <cell r="F9042">
            <v>0</v>
          </cell>
          <cell r="G9042">
            <v>0</v>
          </cell>
        </row>
        <row r="9043">
          <cell r="A9043" t="str">
            <v>57-01-01-1453</v>
          </cell>
          <cell r="B9043">
            <v>0</v>
          </cell>
          <cell r="C9043" t="str">
            <v xml:space="preserve">  GHULAM ABBAS DF MILL # 2</v>
          </cell>
          <cell r="D9043">
            <v>0</v>
          </cell>
          <cell r="E9043">
            <v>0</v>
          </cell>
          <cell r="F9043">
            <v>0</v>
          </cell>
          <cell r="G9043">
            <v>0</v>
          </cell>
        </row>
        <row r="9044">
          <cell r="A9044" t="str">
            <v>57-01-01-1454</v>
          </cell>
          <cell r="B9044">
            <v>0</v>
          </cell>
          <cell r="C9044" t="str">
            <v xml:space="preserve">  SHER KHAN DF MILL # 2</v>
          </cell>
          <cell r="D9044">
            <v>0</v>
          </cell>
          <cell r="E9044">
            <v>0</v>
          </cell>
          <cell r="F9044">
            <v>0</v>
          </cell>
          <cell r="G9044">
            <v>0</v>
          </cell>
        </row>
        <row r="9045">
          <cell r="A9045" t="str">
            <v>57-01-01-1455</v>
          </cell>
          <cell r="B9045">
            <v>0</v>
          </cell>
          <cell r="C9045" t="str">
            <v xml:space="preserve">  RIAZ HUSSAIN 4/S MILL # 3</v>
          </cell>
          <cell r="D9045">
            <v>0</v>
          </cell>
          <cell r="E9045">
            <v>0</v>
          </cell>
          <cell r="F9045">
            <v>0</v>
          </cell>
          <cell r="G9045">
            <v>0</v>
          </cell>
        </row>
        <row r="9046">
          <cell r="A9046" t="str">
            <v>57-01-01-1456</v>
          </cell>
          <cell r="B9046">
            <v>0</v>
          </cell>
          <cell r="C9046" t="str">
            <v xml:space="preserve">  KALIM ULLAH 4/S MILL # 3</v>
          </cell>
          <cell r="D9046">
            <v>0</v>
          </cell>
          <cell r="E9046">
            <v>0</v>
          </cell>
          <cell r="F9046">
            <v>0</v>
          </cell>
          <cell r="G9046">
            <v>0</v>
          </cell>
        </row>
        <row r="9047">
          <cell r="A9047" t="str">
            <v>57-01-01-1457</v>
          </cell>
          <cell r="B9047">
            <v>0</v>
          </cell>
          <cell r="C9047" t="str">
            <v xml:space="preserve">  FAYAZ UR REHMAN CT MILL # 4</v>
          </cell>
          <cell r="D9047">
            <v>0</v>
          </cell>
          <cell r="E9047">
            <v>0</v>
          </cell>
          <cell r="F9047">
            <v>0</v>
          </cell>
          <cell r="G9047">
            <v>0</v>
          </cell>
        </row>
        <row r="9048">
          <cell r="A9048" t="str">
            <v>57-01-01-1458</v>
          </cell>
          <cell r="B9048">
            <v>0</v>
          </cell>
          <cell r="C9048" t="str">
            <v xml:space="preserve">  FAYAZ AHMED SHIFT INCHARGE</v>
          </cell>
          <cell r="D9048">
            <v>0</v>
          </cell>
          <cell r="E9048">
            <v>0</v>
          </cell>
          <cell r="F9048">
            <v>0</v>
          </cell>
          <cell r="G9048">
            <v>0</v>
          </cell>
        </row>
        <row r="9049">
          <cell r="A9049" t="str">
            <v>57-01-01-1459</v>
          </cell>
          <cell r="B9049">
            <v>0</v>
          </cell>
          <cell r="C9049" t="str">
            <v xml:space="preserve">  MUHAMMAD IJAZ A/FITTER MILL # 2</v>
          </cell>
          <cell r="D9049">
            <v>0</v>
          </cell>
          <cell r="E9049">
            <v>0</v>
          </cell>
          <cell r="F9049">
            <v>0</v>
          </cell>
          <cell r="G9049">
            <v>0</v>
          </cell>
        </row>
        <row r="9050">
          <cell r="A9050" t="str">
            <v>57-01-01-1460</v>
          </cell>
          <cell r="B9050">
            <v>0</v>
          </cell>
          <cell r="C9050" t="str">
            <v xml:space="preserve">  ASGHAR ALI OPT MILL # 2</v>
          </cell>
          <cell r="D9050">
            <v>0</v>
          </cell>
          <cell r="E9050">
            <v>0</v>
          </cell>
          <cell r="F9050">
            <v>0</v>
          </cell>
          <cell r="G9050">
            <v>0</v>
          </cell>
        </row>
        <row r="9051">
          <cell r="A9051" t="str">
            <v>57-01-01-1462</v>
          </cell>
          <cell r="B9051">
            <v>0</v>
          </cell>
          <cell r="C9051" t="str">
            <v xml:space="preserve">  IFTIKHAR ALI DDT MILL # 2</v>
          </cell>
          <cell r="D9051">
            <v>0</v>
          </cell>
          <cell r="E9051">
            <v>0</v>
          </cell>
          <cell r="F9051">
            <v>0</v>
          </cell>
          <cell r="G9051">
            <v>0</v>
          </cell>
        </row>
        <row r="9052">
          <cell r="A9052" t="str">
            <v>57-01-01-1463</v>
          </cell>
          <cell r="B9052">
            <v>0</v>
          </cell>
          <cell r="C9052" t="str">
            <v xml:space="preserve">  MUNSIF KHAN OPT MILL # 1</v>
          </cell>
          <cell r="D9052">
            <v>0</v>
          </cell>
          <cell r="E9052">
            <v>0</v>
          </cell>
          <cell r="F9052">
            <v>0</v>
          </cell>
          <cell r="G9052">
            <v>0</v>
          </cell>
        </row>
        <row r="9053">
          <cell r="A9053" t="str">
            <v>57-01-01-1464</v>
          </cell>
          <cell r="B9053">
            <v>0</v>
          </cell>
          <cell r="C9053" t="str">
            <v xml:space="preserve">  MUSHTAQ AHMED OPT MILL # 1</v>
          </cell>
          <cell r="D9053">
            <v>0</v>
          </cell>
          <cell r="E9053">
            <v>0</v>
          </cell>
          <cell r="F9053">
            <v>0</v>
          </cell>
          <cell r="G9053">
            <v>0</v>
          </cell>
        </row>
        <row r="9054">
          <cell r="A9054" t="str">
            <v>57-01-01-1465</v>
          </cell>
          <cell r="B9054">
            <v>0</v>
          </cell>
          <cell r="C9054" t="str">
            <v xml:space="preserve">  SHUAIB AZAM 4/S</v>
          </cell>
          <cell r="D9054">
            <v>0</v>
          </cell>
          <cell r="E9054">
            <v>0</v>
          </cell>
          <cell r="F9054">
            <v>0</v>
          </cell>
          <cell r="G9054">
            <v>0</v>
          </cell>
        </row>
        <row r="9055">
          <cell r="A9055" t="str">
            <v>57-01-01-1466</v>
          </cell>
          <cell r="B9055">
            <v>0</v>
          </cell>
          <cell r="C9055" t="str">
            <v xml:space="preserve">  ASHIQ HUSSAIN OPT MILL # 2</v>
          </cell>
          <cell r="D9055">
            <v>0</v>
          </cell>
          <cell r="E9055">
            <v>0</v>
          </cell>
          <cell r="F9055">
            <v>0</v>
          </cell>
          <cell r="G9055">
            <v>0</v>
          </cell>
        </row>
        <row r="9056">
          <cell r="A9056" t="str">
            <v>57-01-01-1467</v>
          </cell>
          <cell r="B9056">
            <v>0</v>
          </cell>
          <cell r="C9056" t="str">
            <v xml:space="preserve">  NAZIM HUSSAIN DF MILL # 1</v>
          </cell>
          <cell r="D9056">
            <v>0</v>
          </cell>
          <cell r="E9056">
            <v>0</v>
          </cell>
          <cell r="F9056">
            <v>0</v>
          </cell>
          <cell r="G9056">
            <v>0</v>
          </cell>
        </row>
        <row r="9057">
          <cell r="A9057" t="str">
            <v>57-01-01-1468</v>
          </cell>
          <cell r="B9057">
            <v>0</v>
          </cell>
          <cell r="C9057" t="str">
            <v xml:space="preserve">  MUHAMMAD IJAZ 4/S MILL # 2</v>
          </cell>
          <cell r="D9057">
            <v>0</v>
          </cell>
          <cell r="E9057">
            <v>0</v>
          </cell>
          <cell r="F9057">
            <v>0</v>
          </cell>
          <cell r="G9057">
            <v>0</v>
          </cell>
        </row>
        <row r="9058">
          <cell r="A9058" t="str">
            <v>57-01-01-1469</v>
          </cell>
          <cell r="B9058">
            <v>0</v>
          </cell>
          <cell r="C9058" t="str">
            <v xml:space="preserve">  MUHAMMAD DIN RING SUPERVISOR</v>
          </cell>
          <cell r="D9058">
            <v>0</v>
          </cell>
          <cell r="E9058">
            <v>0</v>
          </cell>
          <cell r="F9058">
            <v>0</v>
          </cell>
          <cell r="G9058">
            <v>0</v>
          </cell>
        </row>
        <row r="9059">
          <cell r="A9059" t="str">
            <v>57-01-01-1470</v>
          </cell>
          <cell r="B9059">
            <v>0</v>
          </cell>
          <cell r="C9059" t="str">
            <v xml:space="preserve">  NASIR HUSSAIN GODOWN CLERK</v>
          </cell>
          <cell r="D9059">
            <v>0</v>
          </cell>
          <cell r="E9059">
            <v>0</v>
          </cell>
          <cell r="F9059">
            <v>0</v>
          </cell>
          <cell r="G9059">
            <v>0</v>
          </cell>
        </row>
        <row r="9060">
          <cell r="A9060" t="str">
            <v>57-01-01-1471</v>
          </cell>
          <cell r="B9060">
            <v>0</v>
          </cell>
          <cell r="C9060" t="str">
            <v xml:space="preserve">  MUHAMMAD IMRAN 4/S MILL # 2</v>
          </cell>
          <cell r="D9060">
            <v>0</v>
          </cell>
          <cell r="E9060">
            <v>0</v>
          </cell>
          <cell r="F9060">
            <v>0</v>
          </cell>
          <cell r="G9060">
            <v>0</v>
          </cell>
        </row>
        <row r="9061">
          <cell r="A9061" t="str">
            <v>57-01-01-1472</v>
          </cell>
          <cell r="B9061">
            <v>0</v>
          </cell>
          <cell r="C9061" t="str">
            <v xml:space="preserve">  MUHAMMAD DIN SUPERVISOR RING</v>
          </cell>
          <cell r="D9061">
            <v>0</v>
          </cell>
          <cell r="E9061">
            <v>0</v>
          </cell>
          <cell r="F9061">
            <v>0</v>
          </cell>
          <cell r="G9061">
            <v>0</v>
          </cell>
        </row>
        <row r="9062">
          <cell r="A9062" t="str">
            <v>57-01-01-1473</v>
          </cell>
          <cell r="B9062">
            <v>0</v>
          </cell>
          <cell r="C9062" t="str">
            <v xml:space="preserve">  MUHAMMAD MUKHTAR H/FITTER MILL # 1</v>
          </cell>
          <cell r="D9062">
            <v>0</v>
          </cell>
          <cell r="E9062">
            <v>0</v>
          </cell>
          <cell r="F9062">
            <v>0</v>
          </cell>
          <cell r="G9062">
            <v>0</v>
          </cell>
        </row>
        <row r="9063">
          <cell r="A9063" t="str">
            <v>57-01-01-1474</v>
          </cell>
          <cell r="B9063">
            <v>0</v>
          </cell>
          <cell r="C9063" t="str">
            <v xml:space="preserve">  MUHAMMAD ASIF OPT MILL # 2</v>
          </cell>
          <cell r="D9063">
            <v>0</v>
          </cell>
          <cell r="E9063">
            <v>0</v>
          </cell>
          <cell r="F9063">
            <v>0</v>
          </cell>
          <cell r="G9063">
            <v>0</v>
          </cell>
        </row>
        <row r="9064">
          <cell r="A9064" t="str">
            <v>57-01-01-1475</v>
          </cell>
          <cell r="B9064">
            <v>0</v>
          </cell>
          <cell r="C9064" t="str">
            <v xml:space="preserve">  MUHAMMAD NADIM HELPER MILL # 4</v>
          </cell>
          <cell r="D9064">
            <v>0</v>
          </cell>
          <cell r="E9064">
            <v>0</v>
          </cell>
          <cell r="F9064">
            <v>0</v>
          </cell>
          <cell r="G9064">
            <v>0</v>
          </cell>
        </row>
        <row r="9065">
          <cell r="A9065" t="str">
            <v>57-01-01-1476</v>
          </cell>
          <cell r="B9065">
            <v>0</v>
          </cell>
          <cell r="C9065" t="str">
            <v xml:space="preserve">  MAROOF SHAH S/FITTER MILL # 2</v>
          </cell>
          <cell r="D9065">
            <v>0</v>
          </cell>
          <cell r="E9065">
            <v>0</v>
          </cell>
          <cell r="F9065">
            <v>0</v>
          </cell>
          <cell r="G9065">
            <v>0</v>
          </cell>
        </row>
        <row r="9066">
          <cell r="A9066" t="str">
            <v>57-01-01-1477</v>
          </cell>
          <cell r="B9066">
            <v>0</v>
          </cell>
          <cell r="C9066" t="str">
            <v xml:space="preserve">  KHALID HUSSAIN A/FITTER M # 1</v>
          </cell>
          <cell r="D9066">
            <v>0</v>
          </cell>
          <cell r="E9066">
            <v>0</v>
          </cell>
          <cell r="F9066">
            <v>0</v>
          </cell>
          <cell r="G9066">
            <v>0</v>
          </cell>
        </row>
        <row r="9067">
          <cell r="A9067" t="str">
            <v>57-01-01-1478</v>
          </cell>
          <cell r="B9067">
            <v>0</v>
          </cell>
          <cell r="C9067" t="str">
            <v xml:space="preserve">  MUHAMMAD ASLAM JOBBER MILL # 3</v>
          </cell>
          <cell r="D9067">
            <v>0</v>
          </cell>
          <cell r="E9067">
            <v>0</v>
          </cell>
          <cell r="F9067">
            <v>0</v>
          </cell>
          <cell r="G9067">
            <v>0</v>
          </cell>
        </row>
        <row r="9068">
          <cell r="A9068" t="str">
            <v>57-01-01-1479</v>
          </cell>
          <cell r="B9068">
            <v>0</v>
          </cell>
          <cell r="C9068" t="str">
            <v xml:space="preserve">  FAYAZ AHMED A/FOREMAN MILL # 3</v>
          </cell>
          <cell r="D9068">
            <v>0</v>
          </cell>
          <cell r="E9068">
            <v>0</v>
          </cell>
          <cell r="F9068">
            <v>0</v>
          </cell>
          <cell r="G9068">
            <v>0</v>
          </cell>
        </row>
        <row r="9069">
          <cell r="A9069" t="str">
            <v>57-01-01-1480</v>
          </cell>
          <cell r="B9069">
            <v>0</v>
          </cell>
          <cell r="C9069" t="str">
            <v xml:space="preserve">  MUHAMMAD TARIQ NAVID MIX CLERK</v>
          </cell>
          <cell r="D9069">
            <v>0</v>
          </cell>
          <cell r="E9069">
            <v>0</v>
          </cell>
          <cell r="F9069">
            <v>0</v>
          </cell>
          <cell r="G9069">
            <v>0</v>
          </cell>
        </row>
        <row r="9070">
          <cell r="A9070" t="str">
            <v>57-01-01-1481</v>
          </cell>
          <cell r="B9070">
            <v>0</v>
          </cell>
          <cell r="C9070" t="str">
            <v xml:space="preserve">  ZAHIR SHAH JOBBER MILL # 1</v>
          </cell>
          <cell r="D9070">
            <v>0</v>
          </cell>
          <cell r="E9070">
            <v>0</v>
          </cell>
          <cell r="F9070">
            <v>0</v>
          </cell>
          <cell r="G9070">
            <v>0</v>
          </cell>
        </row>
        <row r="9071">
          <cell r="A9071" t="str">
            <v>57-01-01-1482</v>
          </cell>
          <cell r="B9071">
            <v>0</v>
          </cell>
          <cell r="C9071" t="str">
            <v xml:space="preserve">  FAHIM ALAM F/INCHARGE MILL # 3</v>
          </cell>
          <cell r="D9071">
            <v>0</v>
          </cell>
          <cell r="E9071">
            <v>0</v>
          </cell>
          <cell r="F9071">
            <v>0</v>
          </cell>
          <cell r="G9071">
            <v>0</v>
          </cell>
        </row>
        <row r="9072">
          <cell r="A9072" t="str">
            <v>57-01-01-1483</v>
          </cell>
          <cell r="B9072">
            <v>0</v>
          </cell>
          <cell r="C9072" t="str">
            <v xml:space="preserve">  MEHMOOD ALI FITTER MILL # 4</v>
          </cell>
          <cell r="D9072">
            <v>0</v>
          </cell>
          <cell r="E9072">
            <v>0</v>
          </cell>
          <cell r="F9072">
            <v>0</v>
          </cell>
          <cell r="G9072">
            <v>0</v>
          </cell>
        </row>
        <row r="9073">
          <cell r="A9073" t="str">
            <v>57-01-01-1484</v>
          </cell>
          <cell r="B9073">
            <v>0</v>
          </cell>
          <cell r="C9073" t="str">
            <v xml:space="preserve">  MUHAMMAD MAQSOOD F/INCHARGE</v>
          </cell>
          <cell r="D9073">
            <v>0</v>
          </cell>
          <cell r="E9073">
            <v>0</v>
          </cell>
          <cell r="F9073">
            <v>0</v>
          </cell>
          <cell r="G9073">
            <v>0</v>
          </cell>
        </row>
        <row r="9074">
          <cell r="A9074" t="str">
            <v>57-01-01-1485</v>
          </cell>
          <cell r="B9074">
            <v>0</v>
          </cell>
          <cell r="C9074" t="str">
            <v xml:space="preserve">  MUHAMMAD HANIF OPT MILL # 4</v>
          </cell>
          <cell r="D9074">
            <v>0</v>
          </cell>
          <cell r="E9074">
            <v>0</v>
          </cell>
          <cell r="F9074">
            <v>0</v>
          </cell>
          <cell r="G9074">
            <v>0</v>
          </cell>
        </row>
        <row r="9075">
          <cell r="A9075" t="str">
            <v>57-01-01-1486</v>
          </cell>
          <cell r="B9075">
            <v>0</v>
          </cell>
          <cell r="C9075" t="str">
            <v xml:space="preserve">  ZAHID MEHMMOOD AUTO ATTEND</v>
          </cell>
          <cell r="D9075">
            <v>0</v>
          </cell>
          <cell r="E9075">
            <v>0</v>
          </cell>
          <cell r="F9075">
            <v>0</v>
          </cell>
          <cell r="G9075">
            <v>0</v>
          </cell>
        </row>
        <row r="9076">
          <cell r="A9076" t="str">
            <v>57-01-01-1487</v>
          </cell>
          <cell r="B9076">
            <v>0</v>
          </cell>
          <cell r="C9076" t="str">
            <v xml:space="preserve">  ABDUL SATTAR FITTER MILL # 1</v>
          </cell>
          <cell r="D9076">
            <v>0</v>
          </cell>
          <cell r="E9076">
            <v>0</v>
          </cell>
          <cell r="F9076">
            <v>0</v>
          </cell>
          <cell r="G9076">
            <v>0</v>
          </cell>
        </row>
        <row r="9077">
          <cell r="A9077" t="str">
            <v>57-01-01-1488</v>
          </cell>
          <cell r="B9077">
            <v>0</v>
          </cell>
          <cell r="C9077" t="str">
            <v xml:space="preserve">  RIAZ HUSSAIN OPT MILL # 3</v>
          </cell>
          <cell r="D9077">
            <v>0</v>
          </cell>
          <cell r="E9077">
            <v>0</v>
          </cell>
          <cell r="F9077">
            <v>0</v>
          </cell>
          <cell r="G9077">
            <v>0</v>
          </cell>
        </row>
        <row r="9078">
          <cell r="A9078" t="str">
            <v>57-01-01-1489</v>
          </cell>
          <cell r="B9078">
            <v>0</v>
          </cell>
          <cell r="C9078" t="str">
            <v xml:space="preserve">  AKBAR ALI JOBBER MILL # 2</v>
          </cell>
          <cell r="D9078">
            <v>0</v>
          </cell>
          <cell r="E9078">
            <v>0</v>
          </cell>
          <cell r="F9078">
            <v>0</v>
          </cell>
          <cell r="G9078">
            <v>0</v>
          </cell>
        </row>
        <row r="9079">
          <cell r="A9079" t="str">
            <v>57-01-01-1490</v>
          </cell>
          <cell r="B9079">
            <v>0</v>
          </cell>
          <cell r="C9079" t="str">
            <v xml:space="preserve">  BASHIR AHMED DST MILL # 3</v>
          </cell>
          <cell r="D9079">
            <v>0</v>
          </cell>
          <cell r="E9079">
            <v>0</v>
          </cell>
          <cell r="F9079">
            <v>0</v>
          </cell>
          <cell r="G9079">
            <v>0</v>
          </cell>
        </row>
        <row r="9080">
          <cell r="A9080" t="str">
            <v>57-01-01-1491</v>
          </cell>
          <cell r="B9080">
            <v>0</v>
          </cell>
          <cell r="C9080" t="str">
            <v xml:space="preserve">  ASAD KIANI A/FITTER MILL # 4</v>
          </cell>
          <cell r="D9080">
            <v>0</v>
          </cell>
          <cell r="E9080">
            <v>0</v>
          </cell>
          <cell r="F9080">
            <v>0</v>
          </cell>
          <cell r="G9080">
            <v>0</v>
          </cell>
        </row>
        <row r="9081">
          <cell r="A9081" t="str">
            <v>57-01-01-1492</v>
          </cell>
          <cell r="B9081">
            <v>0</v>
          </cell>
          <cell r="C9081" t="str">
            <v xml:space="preserve">  ABDUL LATIF OPT MILL # 3</v>
          </cell>
          <cell r="D9081">
            <v>0</v>
          </cell>
          <cell r="E9081">
            <v>0</v>
          </cell>
          <cell r="F9081">
            <v>0</v>
          </cell>
          <cell r="G9081">
            <v>0</v>
          </cell>
        </row>
        <row r="9082">
          <cell r="A9082" t="str">
            <v>57-01-01-1493</v>
          </cell>
          <cell r="B9082">
            <v>0</v>
          </cell>
          <cell r="C9082" t="str">
            <v xml:space="preserve">  MUHAMMAD ASLAM H/FITTER M # 4</v>
          </cell>
          <cell r="D9082">
            <v>0</v>
          </cell>
          <cell r="E9082">
            <v>0</v>
          </cell>
          <cell r="F9082">
            <v>0</v>
          </cell>
          <cell r="G9082">
            <v>0</v>
          </cell>
        </row>
        <row r="9083">
          <cell r="A9083" t="str">
            <v>57-01-01-1494</v>
          </cell>
          <cell r="B9083">
            <v>0</v>
          </cell>
          <cell r="C9083" t="str">
            <v xml:space="preserve">  AKHTAR HUSSAIN JOBBER MILL # 4</v>
          </cell>
          <cell r="D9083">
            <v>0</v>
          </cell>
          <cell r="E9083">
            <v>0</v>
          </cell>
          <cell r="F9083">
            <v>0</v>
          </cell>
          <cell r="G9083">
            <v>0</v>
          </cell>
        </row>
        <row r="9084">
          <cell r="A9084" t="str">
            <v>57-01-01-1495</v>
          </cell>
          <cell r="B9084">
            <v>0</v>
          </cell>
          <cell r="C9084" t="str">
            <v xml:space="preserve">  IJAZ HUSSAIN Q.OBSERVER LAB # 1</v>
          </cell>
          <cell r="D9084">
            <v>0</v>
          </cell>
          <cell r="E9084">
            <v>0</v>
          </cell>
          <cell r="F9084">
            <v>0</v>
          </cell>
          <cell r="G9084">
            <v>0</v>
          </cell>
        </row>
        <row r="9085">
          <cell r="A9085" t="str">
            <v>57-01-01-1496</v>
          </cell>
          <cell r="B9085">
            <v>0</v>
          </cell>
          <cell r="C9085" t="str">
            <v xml:space="preserve">  MUHAMMAD FAYAZ OPT MILL # 1</v>
          </cell>
          <cell r="D9085">
            <v>0</v>
          </cell>
          <cell r="E9085">
            <v>0</v>
          </cell>
          <cell r="F9085">
            <v>0</v>
          </cell>
          <cell r="G9085">
            <v>0</v>
          </cell>
        </row>
        <row r="9086">
          <cell r="A9086" t="str">
            <v>57-01-01-1497</v>
          </cell>
          <cell r="B9086">
            <v>0</v>
          </cell>
          <cell r="C9086" t="str">
            <v xml:space="preserve">  AMAN ULLAH OPT MILL # 1</v>
          </cell>
          <cell r="D9086">
            <v>0</v>
          </cell>
          <cell r="E9086">
            <v>0</v>
          </cell>
          <cell r="F9086">
            <v>0</v>
          </cell>
          <cell r="G9086">
            <v>0</v>
          </cell>
        </row>
        <row r="9087">
          <cell r="A9087" t="str">
            <v>57-01-01-1498</v>
          </cell>
          <cell r="B9087">
            <v>0</v>
          </cell>
          <cell r="C9087" t="str">
            <v xml:space="preserve">  IMTIAZ AHMED EXCISE CLERK</v>
          </cell>
          <cell r="D9087">
            <v>0</v>
          </cell>
          <cell r="E9087">
            <v>0</v>
          </cell>
          <cell r="F9087">
            <v>0</v>
          </cell>
          <cell r="G9087">
            <v>0</v>
          </cell>
        </row>
        <row r="9088">
          <cell r="A9088" t="str">
            <v>57-01-01-1499</v>
          </cell>
          <cell r="B9088">
            <v>0</v>
          </cell>
          <cell r="C9088" t="str">
            <v xml:space="preserve">  MUHAMMAD SULEMAN 4/S MILL</v>
          </cell>
          <cell r="D9088">
            <v>0</v>
          </cell>
          <cell r="E9088">
            <v>0</v>
          </cell>
          <cell r="F9088">
            <v>0</v>
          </cell>
          <cell r="G9088">
            <v>0</v>
          </cell>
        </row>
        <row r="9089">
          <cell r="A9089" t="str">
            <v>57-01-01-1500</v>
          </cell>
          <cell r="B9089">
            <v>0</v>
          </cell>
          <cell r="C9089" t="str">
            <v xml:space="preserve">  MUHAMMAD RAMZAN CT MILL # 1</v>
          </cell>
          <cell r="D9089">
            <v>0</v>
          </cell>
          <cell r="E9089">
            <v>0</v>
          </cell>
          <cell r="F9089">
            <v>0</v>
          </cell>
          <cell r="G9089">
            <v>0</v>
          </cell>
        </row>
        <row r="9090">
          <cell r="A9090" t="str">
            <v>57-01-01-1501</v>
          </cell>
          <cell r="B9090">
            <v>0</v>
          </cell>
          <cell r="C9090" t="str">
            <v xml:space="preserve">  AMJAD HUSSAIN TAPEMAN MILL</v>
          </cell>
          <cell r="D9090">
            <v>0</v>
          </cell>
          <cell r="E9090">
            <v>0</v>
          </cell>
          <cell r="F9090">
            <v>0</v>
          </cell>
          <cell r="G9090">
            <v>0</v>
          </cell>
        </row>
        <row r="9091">
          <cell r="A9091" t="str">
            <v>57-01-01-1502</v>
          </cell>
          <cell r="B9091">
            <v>0</v>
          </cell>
          <cell r="C9091" t="str">
            <v xml:space="preserve">  MUHAMMAD JAVED S/FITTER MILL</v>
          </cell>
          <cell r="D9091">
            <v>0</v>
          </cell>
          <cell r="E9091">
            <v>0</v>
          </cell>
          <cell r="F9091">
            <v>0</v>
          </cell>
          <cell r="G9091">
            <v>0</v>
          </cell>
        </row>
        <row r="9092">
          <cell r="A9092" t="str">
            <v>57-01-01-1503</v>
          </cell>
          <cell r="B9092">
            <v>0</v>
          </cell>
          <cell r="C9092" t="str">
            <v xml:space="preserve">  NASIR IQBAL 4/S MILL # 1</v>
          </cell>
          <cell r="D9092">
            <v>0</v>
          </cell>
          <cell r="E9092">
            <v>0</v>
          </cell>
          <cell r="F9092">
            <v>0</v>
          </cell>
          <cell r="G9092">
            <v>0</v>
          </cell>
        </row>
        <row r="9093">
          <cell r="A9093" t="str">
            <v>57-01-01-1504</v>
          </cell>
          <cell r="B9093">
            <v>0</v>
          </cell>
          <cell r="C9093" t="str">
            <v xml:space="preserve">  ARSHAD ALI 4/S MILL # 2</v>
          </cell>
          <cell r="D9093">
            <v>0</v>
          </cell>
          <cell r="E9093">
            <v>0</v>
          </cell>
          <cell r="F9093">
            <v>0</v>
          </cell>
          <cell r="G9093">
            <v>0</v>
          </cell>
        </row>
        <row r="9094">
          <cell r="A9094" t="str">
            <v>57-01-01-1505</v>
          </cell>
          <cell r="B9094">
            <v>0</v>
          </cell>
          <cell r="C9094" t="str">
            <v xml:space="preserve">  MUHAMMAD MUNIR OPT MILL # 2</v>
          </cell>
          <cell r="D9094">
            <v>0</v>
          </cell>
          <cell r="E9094">
            <v>0</v>
          </cell>
          <cell r="F9094">
            <v>0</v>
          </cell>
          <cell r="G9094">
            <v>0</v>
          </cell>
        </row>
        <row r="9095">
          <cell r="A9095" t="str">
            <v>57-01-01-1506</v>
          </cell>
          <cell r="B9095">
            <v>0</v>
          </cell>
          <cell r="C9095" t="str">
            <v xml:space="preserve">  GHULAM MURTAZA OPT MILL # 3</v>
          </cell>
          <cell r="D9095">
            <v>0</v>
          </cell>
          <cell r="E9095">
            <v>0</v>
          </cell>
          <cell r="F9095">
            <v>0</v>
          </cell>
          <cell r="G9095">
            <v>0</v>
          </cell>
        </row>
        <row r="9096">
          <cell r="A9096" t="str">
            <v>57-01-01-1507</v>
          </cell>
          <cell r="B9096">
            <v>0</v>
          </cell>
          <cell r="C9096" t="str">
            <v xml:space="preserve">  MUHAMMAD MUNIT OPT MILL # 2</v>
          </cell>
          <cell r="D9096">
            <v>0</v>
          </cell>
          <cell r="E9096">
            <v>0</v>
          </cell>
          <cell r="F9096">
            <v>0</v>
          </cell>
          <cell r="G9096">
            <v>0</v>
          </cell>
        </row>
        <row r="9097">
          <cell r="A9097" t="str">
            <v>57-01-01-1508</v>
          </cell>
          <cell r="B9097">
            <v>0</v>
          </cell>
          <cell r="C9097" t="str">
            <v xml:space="preserve">  MUHAMMAD JEHANGIR GUL OPT MILL # 4</v>
          </cell>
          <cell r="D9097">
            <v>0</v>
          </cell>
          <cell r="E9097">
            <v>0</v>
          </cell>
          <cell r="F9097">
            <v>0</v>
          </cell>
          <cell r="G9097">
            <v>0</v>
          </cell>
        </row>
        <row r="9098">
          <cell r="A9098" t="str">
            <v>57-01-01-1509</v>
          </cell>
          <cell r="B9098">
            <v>0</v>
          </cell>
          <cell r="C9098" t="str">
            <v xml:space="preserve">  SAID AKBAR 4/S MILL # 1</v>
          </cell>
          <cell r="D9098">
            <v>0</v>
          </cell>
          <cell r="E9098">
            <v>0</v>
          </cell>
          <cell r="F9098">
            <v>0</v>
          </cell>
          <cell r="G9098">
            <v>0</v>
          </cell>
        </row>
        <row r="9099">
          <cell r="A9099" t="str">
            <v>57-01-01-1510</v>
          </cell>
          <cell r="B9099">
            <v>0</v>
          </cell>
          <cell r="C9099" t="str">
            <v xml:space="preserve">  ASHFAQ AHMED S/FITTER MILL # 3</v>
          </cell>
          <cell r="D9099">
            <v>0</v>
          </cell>
          <cell r="E9099">
            <v>0</v>
          </cell>
          <cell r="F9099">
            <v>0</v>
          </cell>
          <cell r="G9099">
            <v>0</v>
          </cell>
        </row>
        <row r="9100">
          <cell r="A9100" t="str">
            <v>57-01-01-1511</v>
          </cell>
          <cell r="B9100">
            <v>0</v>
          </cell>
          <cell r="C9100" t="str">
            <v xml:space="preserve">  ALLAH BAKSH DF MILL # 3</v>
          </cell>
          <cell r="D9100">
            <v>0</v>
          </cell>
          <cell r="E9100">
            <v>0</v>
          </cell>
          <cell r="F9100">
            <v>0</v>
          </cell>
          <cell r="G9100">
            <v>0</v>
          </cell>
        </row>
        <row r="9101">
          <cell r="A9101" t="str">
            <v>57-01-01-1512</v>
          </cell>
          <cell r="B9101">
            <v>0</v>
          </cell>
          <cell r="C9101" t="str">
            <v xml:space="preserve">  SAJJAD HUSSAIN OPT MILL # 1</v>
          </cell>
          <cell r="D9101">
            <v>0</v>
          </cell>
          <cell r="E9101">
            <v>0</v>
          </cell>
          <cell r="F9101">
            <v>0</v>
          </cell>
          <cell r="G9101">
            <v>0</v>
          </cell>
        </row>
        <row r="9102">
          <cell r="A9102" t="str">
            <v>57-01-01-1513</v>
          </cell>
          <cell r="B9102">
            <v>0</v>
          </cell>
          <cell r="C9102" t="str">
            <v xml:space="preserve">  NASIR IQBAL 4/S MILL # 2</v>
          </cell>
          <cell r="D9102">
            <v>0</v>
          </cell>
          <cell r="E9102">
            <v>0</v>
          </cell>
          <cell r="F9102">
            <v>0</v>
          </cell>
          <cell r="G9102">
            <v>0</v>
          </cell>
        </row>
        <row r="9103">
          <cell r="A9103" t="str">
            <v>57-01-01-1514</v>
          </cell>
          <cell r="B9103">
            <v>0</v>
          </cell>
          <cell r="C9103" t="str">
            <v xml:space="preserve">  MUHAMMAD RAMZAN OPT MILL</v>
          </cell>
          <cell r="D9103">
            <v>0</v>
          </cell>
          <cell r="E9103">
            <v>0</v>
          </cell>
          <cell r="F9103">
            <v>0</v>
          </cell>
          <cell r="G9103">
            <v>0</v>
          </cell>
        </row>
        <row r="9104">
          <cell r="A9104" t="str">
            <v>57-01-01-1515</v>
          </cell>
          <cell r="B9104">
            <v>0</v>
          </cell>
          <cell r="C9104" t="str">
            <v xml:space="preserve">  TALIB HUSSAIN 4/S MILL # 1</v>
          </cell>
          <cell r="D9104">
            <v>0</v>
          </cell>
          <cell r="E9104">
            <v>0</v>
          </cell>
          <cell r="F9104">
            <v>0</v>
          </cell>
          <cell r="G9104">
            <v>0</v>
          </cell>
        </row>
        <row r="9105">
          <cell r="A9105" t="str">
            <v>57-01-01-1516</v>
          </cell>
          <cell r="B9105">
            <v>0</v>
          </cell>
          <cell r="C9105" t="str">
            <v xml:space="preserve">  MUHAMMAD ANWAR PURCHASE OFFICER</v>
          </cell>
          <cell r="D9105">
            <v>4000</v>
          </cell>
          <cell r="E9105">
            <v>0</v>
          </cell>
          <cell r="F9105">
            <v>0</v>
          </cell>
          <cell r="G9105">
            <v>0</v>
          </cell>
        </row>
        <row r="9106">
          <cell r="A9106" t="str">
            <v>57-01-01-1517</v>
          </cell>
          <cell r="B9106">
            <v>0</v>
          </cell>
          <cell r="C9106" t="str">
            <v xml:space="preserve">  MUAHAMMAD RAMZAN OPT MILL # 1</v>
          </cell>
          <cell r="D9106">
            <v>0</v>
          </cell>
          <cell r="E9106">
            <v>0</v>
          </cell>
          <cell r="F9106">
            <v>0</v>
          </cell>
          <cell r="G9106">
            <v>0</v>
          </cell>
        </row>
        <row r="9107">
          <cell r="A9107" t="str">
            <v>57-01-01-1518</v>
          </cell>
          <cell r="B9107">
            <v>0</v>
          </cell>
          <cell r="C9107" t="str">
            <v xml:space="preserve">  DOST MUHAMMAD DF MILL # 3</v>
          </cell>
          <cell r="D9107">
            <v>0</v>
          </cell>
          <cell r="E9107">
            <v>0</v>
          </cell>
          <cell r="F9107">
            <v>0</v>
          </cell>
          <cell r="G9107">
            <v>0</v>
          </cell>
        </row>
        <row r="9108">
          <cell r="A9108" t="str">
            <v>57-01-01-1519</v>
          </cell>
          <cell r="B9108">
            <v>0</v>
          </cell>
          <cell r="C9108" t="str">
            <v xml:space="preserve">  MUHAMMAD MUDASIR OPT MILL # 1</v>
          </cell>
          <cell r="D9108">
            <v>0</v>
          </cell>
          <cell r="E9108">
            <v>0</v>
          </cell>
          <cell r="F9108">
            <v>0</v>
          </cell>
          <cell r="G9108">
            <v>0</v>
          </cell>
        </row>
        <row r="9109">
          <cell r="A9109" t="str">
            <v>57-01-01-1520</v>
          </cell>
          <cell r="B9109">
            <v>0</v>
          </cell>
          <cell r="C9109" t="str">
            <v xml:space="preserve">  ASIF ALI A/JOBBER MILL # 4</v>
          </cell>
          <cell r="D9109">
            <v>0</v>
          </cell>
          <cell r="E9109">
            <v>0</v>
          </cell>
          <cell r="F9109">
            <v>0</v>
          </cell>
          <cell r="G9109">
            <v>0</v>
          </cell>
        </row>
        <row r="9110">
          <cell r="A9110" t="str">
            <v>57-01-01-1521</v>
          </cell>
          <cell r="B9110">
            <v>0</v>
          </cell>
          <cell r="C9110" t="str">
            <v xml:space="preserve">  MUHAMMAD IMTIAZ DF MILL # 4</v>
          </cell>
          <cell r="D9110">
            <v>0</v>
          </cell>
          <cell r="E9110">
            <v>0</v>
          </cell>
          <cell r="F9110">
            <v>0</v>
          </cell>
          <cell r="G9110">
            <v>0</v>
          </cell>
        </row>
        <row r="9111">
          <cell r="A9111" t="str">
            <v>57-01-01-1522</v>
          </cell>
          <cell r="B9111">
            <v>0</v>
          </cell>
          <cell r="C9111" t="str">
            <v xml:space="preserve">  ZULFIQAR ALI OPT MILL # 3</v>
          </cell>
          <cell r="D9111">
            <v>0</v>
          </cell>
          <cell r="E9111">
            <v>0</v>
          </cell>
          <cell r="F9111">
            <v>0</v>
          </cell>
          <cell r="G9111">
            <v>0</v>
          </cell>
        </row>
        <row r="9112">
          <cell r="A9112" t="str">
            <v>57-01-01-1523</v>
          </cell>
          <cell r="B9112">
            <v>0</v>
          </cell>
          <cell r="C9112" t="str">
            <v xml:space="preserve">  SHAMRAIZ AKHTAR 4/S MILL # 2</v>
          </cell>
          <cell r="D9112">
            <v>0</v>
          </cell>
          <cell r="E9112">
            <v>0</v>
          </cell>
          <cell r="F9112">
            <v>0</v>
          </cell>
          <cell r="G9112">
            <v>0</v>
          </cell>
        </row>
        <row r="9113">
          <cell r="A9113" t="str">
            <v>57-01-01-1524</v>
          </cell>
          <cell r="B9113">
            <v>0</v>
          </cell>
          <cell r="C9113" t="str">
            <v xml:space="preserve">  PERVAIZ AKHTAR 4/S MILL # 2</v>
          </cell>
          <cell r="D9113">
            <v>0</v>
          </cell>
          <cell r="E9113">
            <v>0</v>
          </cell>
          <cell r="F9113">
            <v>0</v>
          </cell>
          <cell r="G9113">
            <v>0</v>
          </cell>
        </row>
        <row r="9114">
          <cell r="A9114" t="str">
            <v>57-01-01-1525</v>
          </cell>
          <cell r="B9114">
            <v>0</v>
          </cell>
          <cell r="C9114" t="str">
            <v xml:space="preserve">  RABNAWAZ PT MILL # 1</v>
          </cell>
          <cell r="D9114">
            <v>0</v>
          </cell>
          <cell r="E9114">
            <v>0</v>
          </cell>
          <cell r="F9114">
            <v>0</v>
          </cell>
          <cell r="G9114">
            <v>0</v>
          </cell>
        </row>
        <row r="9115">
          <cell r="A9115" t="str">
            <v>57-01-01-1526</v>
          </cell>
          <cell r="B9115">
            <v>0</v>
          </cell>
          <cell r="C9115" t="str">
            <v xml:space="preserve">  AHMED ALI OPT MILL # 1</v>
          </cell>
          <cell r="D9115">
            <v>0</v>
          </cell>
          <cell r="E9115">
            <v>0</v>
          </cell>
          <cell r="F9115">
            <v>0</v>
          </cell>
          <cell r="G9115">
            <v>0</v>
          </cell>
        </row>
        <row r="9116">
          <cell r="A9116" t="str">
            <v>57-01-01-1527</v>
          </cell>
          <cell r="B9116">
            <v>0</v>
          </cell>
          <cell r="C9116" t="str">
            <v xml:space="preserve">  MUHAMMAD IMRAN CT MILL # 1</v>
          </cell>
          <cell r="D9116">
            <v>0</v>
          </cell>
          <cell r="E9116">
            <v>0</v>
          </cell>
          <cell r="F9116">
            <v>0</v>
          </cell>
          <cell r="G9116">
            <v>0</v>
          </cell>
        </row>
        <row r="9117">
          <cell r="A9117" t="str">
            <v>57-01-01-1528</v>
          </cell>
          <cell r="B9117">
            <v>0</v>
          </cell>
          <cell r="C9117" t="str">
            <v xml:space="preserve">  MUSHTAQ AHMED OPT MILL # 2</v>
          </cell>
          <cell r="D9117">
            <v>0</v>
          </cell>
          <cell r="E9117">
            <v>0</v>
          </cell>
          <cell r="F9117">
            <v>0</v>
          </cell>
          <cell r="G9117">
            <v>0</v>
          </cell>
        </row>
        <row r="9118">
          <cell r="A9118" t="str">
            <v>57-01-01-1529</v>
          </cell>
          <cell r="B9118">
            <v>0</v>
          </cell>
          <cell r="C9118" t="str">
            <v xml:space="preserve">  YOUSAF KHAN OPT MILL # 4</v>
          </cell>
          <cell r="D9118">
            <v>0</v>
          </cell>
          <cell r="E9118">
            <v>0</v>
          </cell>
          <cell r="F9118">
            <v>0</v>
          </cell>
          <cell r="G9118">
            <v>0</v>
          </cell>
        </row>
        <row r="9119">
          <cell r="A9119" t="str">
            <v>57-01-01-1530</v>
          </cell>
          <cell r="B9119">
            <v>0</v>
          </cell>
          <cell r="C9119" t="str">
            <v xml:space="preserve">  SHAHBAZ AHMED 4/S MILL # 2</v>
          </cell>
          <cell r="D9119">
            <v>0</v>
          </cell>
          <cell r="E9119">
            <v>0</v>
          </cell>
          <cell r="F9119">
            <v>0</v>
          </cell>
          <cell r="G9119">
            <v>0</v>
          </cell>
        </row>
        <row r="9120">
          <cell r="A9120" t="str">
            <v>57-01-01-1531</v>
          </cell>
          <cell r="B9120">
            <v>0</v>
          </cell>
          <cell r="C9120" t="str">
            <v xml:space="preserve">  AMIR HUSSAIN OPT MILL # 4</v>
          </cell>
          <cell r="D9120">
            <v>0</v>
          </cell>
          <cell r="E9120">
            <v>0</v>
          </cell>
          <cell r="F9120">
            <v>0</v>
          </cell>
          <cell r="G9120">
            <v>0</v>
          </cell>
        </row>
        <row r="9121">
          <cell r="A9121" t="str">
            <v>57-01-01-1532</v>
          </cell>
          <cell r="B9121">
            <v>0</v>
          </cell>
          <cell r="C9121" t="str">
            <v xml:space="preserve">  MUHAMMAD SHARIF 4/S MILL # 1</v>
          </cell>
          <cell r="D9121">
            <v>0</v>
          </cell>
          <cell r="E9121">
            <v>0</v>
          </cell>
          <cell r="F9121">
            <v>0</v>
          </cell>
          <cell r="G9121">
            <v>0</v>
          </cell>
        </row>
        <row r="9122">
          <cell r="A9122" t="str">
            <v>57-01-01-1533</v>
          </cell>
          <cell r="B9122">
            <v>0</v>
          </cell>
          <cell r="C9122" t="str">
            <v xml:space="preserve">  MUHAMMAD FAZIL 4/S MILL  # 1</v>
          </cell>
          <cell r="D9122">
            <v>0</v>
          </cell>
          <cell r="E9122">
            <v>0</v>
          </cell>
          <cell r="F9122">
            <v>0</v>
          </cell>
          <cell r="G9122">
            <v>0</v>
          </cell>
        </row>
        <row r="9123">
          <cell r="A9123" t="str">
            <v>57-01-01-1534</v>
          </cell>
          <cell r="B9123">
            <v>0</v>
          </cell>
          <cell r="C9123" t="str">
            <v xml:space="preserve">  TANVEER TABASUM A/FITTER MILL # 4</v>
          </cell>
          <cell r="D9123">
            <v>0</v>
          </cell>
          <cell r="E9123">
            <v>0</v>
          </cell>
          <cell r="F9123">
            <v>0</v>
          </cell>
          <cell r="G9123">
            <v>0</v>
          </cell>
        </row>
        <row r="9124">
          <cell r="A9124" t="str">
            <v>57-01-01-1535</v>
          </cell>
          <cell r="B9124">
            <v>0</v>
          </cell>
          <cell r="C9124" t="str">
            <v xml:space="preserve">  ALAM SHER OPT MILL # 3</v>
          </cell>
          <cell r="D9124">
            <v>0</v>
          </cell>
          <cell r="E9124">
            <v>0</v>
          </cell>
          <cell r="F9124">
            <v>0</v>
          </cell>
          <cell r="G9124">
            <v>0</v>
          </cell>
        </row>
        <row r="9125">
          <cell r="A9125" t="str">
            <v>57-01-01-1536</v>
          </cell>
          <cell r="B9125">
            <v>0</v>
          </cell>
          <cell r="C9125" t="str">
            <v xml:space="preserve">  MUHAMMAD AKRAM DST MILL # 4</v>
          </cell>
          <cell r="D9125">
            <v>0</v>
          </cell>
          <cell r="E9125">
            <v>0</v>
          </cell>
          <cell r="F9125">
            <v>0</v>
          </cell>
          <cell r="G9125">
            <v>0</v>
          </cell>
        </row>
        <row r="9126">
          <cell r="A9126" t="str">
            <v>57-01-01-1537</v>
          </cell>
          <cell r="B9126">
            <v>0</v>
          </cell>
          <cell r="C9126" t="str">
            <v xml:space="preserve">  MUHAMMAD AMIR DST MILL # 4.</v>
          </cell>
          <cell r="D9126">
            <v>0</v>
          </cell>
          <cell r="E9126">
            <v>0</v>
          </cell>
          <cell r="F9126">
            <v>0</v>
          </cell>
          <cell r="G9126">
            <v>0</v>
          </cell>
        </row>
        <row r="9127">
          <cell r="A9127" t="str">
            <v>57-01-01-1538</v>
          </cell>
          <cell r="B9127">
            <v>0</v>
          </cell>
          <cell r="C9127" t="str">
            <v xml:space="preserve">  MUHAMMAD NAZIR KHAN Q.CONTROLLER</v>
          </cell>
          <cell r="D9127">
            <v>0</v>
          </cell>
          <cell r="E9127">
            <v>0</v>
          </cell>
          <cell r="F9127">
            <v>0</v>
          </cell>
          <cell r="G9127">
            <v>0</v>
          </cell>
        </row>
        <row r="9128">
          <cell r="A9128" t="str">
            <v>57-01-01-1539</v>
          </cell>
          <cell r="B9128">
            <v>0</v>
          </cell>
          <cell r="C9128" t="str">
            <v xml:space="preserve">  MUHAMMAD ZAMRUD GENRATOR OPT.</v>
          </cell>
          <cell r="D9128">
            <v>0</v>
          </cell>
          <cell r="E9128">
            <v>0</v>
          </cell>
          <cell r="F9128">
            <v>0</v>
          </cell>
          <cell r="G9128">
            <v>0</v>
          </cell>
        </row>
        <row r="9129">
          <cell r="A9129" t="str">
            <v>57-01-01-1540</v>
          </cell>
          <cell r="B9129">
            <v>0</v>
          </cell>
          <cell r="C9129" t="str">
            <v xml:space="preserve">  MUHAMMAD IMRAN A/FITTER M # 4.</v>
          </cell>
          <cell r="D9129">
            <v>0</v>
          </cell>
          <cell r="E9129">
            <v>0</v>
          </cell>
          <cell r="F9129">
            <v>0</v>
          </cell>
          <cell r="G9129">
            <v>0</v>
          </cell>
        </row>
        <row r="9130">
          <cell r="A9130" t="str">
            <v>57-01-01-1541</v>
          </cell>
          <cell r="B9130">
            <v>0</v>
          </cell>
          <cell r="C9130" t="str">
            <v xml:space="preserve">  ASAD ABBAS FOREMAN MILL # 3</v>
          </cell>
          <cell r="D9130">
            <v>0</v>
          </cell>
          <cell r="E9130">
            <v>0</v>
          </cell>
          <cell r="F9130">
            <v>0</v>
          </cell>
          <cell r="G9130">
            <v>0</v>
          </cell>
        </row>
        <row r="9131">
          <cell r="A9131" t="str">
            <v>57-01-01-1542</v>
          </cell>
          <cell r="B9131">
            <v>0</v>
          </cell>
          <cell r="C9131" t="str">
            <v xml:space="preserve">  NOWSHER AHMED JOBBER MILL # 1</v>
          </cell>
          <cell r="D9131">
            <v>0</v>
          </cell>
          <cell r="E9131">
            <v>0</v>
          </cell>
          <cell r="F9131">
            <v>0</v>
          </cell>
          <cell r="G9131">
            <v>0</v>
          </cell>
        </row>
        <row r="9132">
          <cell r="A9132" t="str">
            <v>57-01-01-1543</v>
          </cell>
          <cell r="B9132">
            <v>0</v>
          </cell>
          <cell r="C9132" t="str">
            <v xml:space="preserve">  ABDUL JABBAR HVI OPT MILL # 3</v>
          </cell>
          <cell r="D9132">
            <v>0</v>
          </cell>
          <cell r="E9132">
            <v>0</v>
          </cell>
          <cell r="F9132">
            <v>0</v>
          </cell>
          <cell r="G9132">
            <v>0</v>
          </cell>
        </row>
        <row r="9133">
          <cell r="A9133" t="str">
            <v>57-01-01-1544</v>
          </cell>
          <cell r="B9133">
            <v>0</v>
          </cell>
          <cell r="C9133" t="str">
            <v xml:space="preserve">  MUHAMMAD AKRM H/ELECTRICIAN</v>
          </cell>
          <cell r="D9133">
            <v>0</v>
          </cell>
          <cell r="E9133">
            <v>0</v>
          </cell>
          <cell r="F9133">
            <v>0</v>
          </cell>
          <cell r="G9133">
            <v>0</v>
          </cell>
        </row>
        <row r="9134">
          <cell r="A9134" t="str">
            <v>57-01-01-1545</v>
          </cell>
          <cell r="B9134">
            <v>0</v>
          </cell>
          <cell r="C9134" t="str">
            <v xml:space="preserve">  TANVIR AHMED A/MOULDER WORKSHOP.</v>
          </cell>
          <cell r="D9134">
            <v>0</v>
          </cell>
          <cell r="E9134">
            <v>0</v>
          </cell>
          <cell r="F9134">
            <v>0</v>
          </cell>
          <cell r="G9134">
            <v>0</v>
          </cell>
        </row>
        <row r="9135">
          <cell r="A9135" t="str">
            <v>57-01-01-1546</v>
          </cell>
          <cell r="B9135">
            <v>0</v>
          </cell>
          <cell r="C9135" t="str">
            <v xml:space="preserve">  AAMIR SHAHZAD A/FITTER MILL # 1</v>
          </cell>
          <cell r="D9135">
            <v>0</v>
          </cell>
          <cell r="E9135">
            <v>0</v>
          </cell>
          <cell r="F9135">
            <v>0</v>
          </cell>
          <cell r="G9135">
            <v>0</v>
          </cell>
        </row>
        <row r="9136">
          <cell r="A9136" t="str">
            <v>57-01-01-1547</v>
          </cell>
          <cell r="B9136">
            <v>0</v>
          </cell>
          <cell r="C9136" t="str">
            <v xml:space="preserve">  MUHAMMAD ASHRAF JOBBER MILL # 1</v>
          </cell>
          <cell r="D9136">
            <v>0</v>
          </cell>
          <cell r="E9136">
            <v>0</v>
          </cell>
          <cell r="F9136">
            <v>0</v>
          </cell>
          <cell r="G9136">
            <v>0</v>
          </cell>
        </row>
        <row r="9137">
          <cell r="A9137" t="str">
            <v>57-01-01-1548</v>
          </cell>
          <cell r="B9137">
            <v>0</v>
          </cell>
          <cell r="C9137" t="str">
            <v xml:space="preserve">  GHULAM SHABBIR OPT MILL # 3</v>
          </cell>
          <cell r="D9137">
            <v>0</v>
          </cell>
          <cell r="E9137">
            <v>0</v>
          </cell>
          <cell r="F9137">
            <v>0</v>
          </cell>
          <cell r="G9137">
            <v>0</v>
          </cell>
        </row>
        <row r="9138">
          <cell r="A9138" t="str">
            <v>57-01-01-1549</v>
          </cell>
          <cell r="B9138">
            <v>0</v>
          </cell>
          <cell r="C9138" t="str">
            <v xml:space="preserve">  ZAFAR IQBAL OPT MILL # 3</v>
          </cell>
          <cell r="D9138">
            <v>0</v>
          </cell>
          <cell r="E9138">
            <v>0</v>
          </cell>
          <cell r="F9138">
            <v>0</v>
          </cell>
          <cell r="G9138">
            <v>0</v>
          </cell>
        </row>
        <row r="9139">
          <cell r="A9139" t="str">
            <v>57-01-01-1550</v>
          </cell>
          <cell r="B9139">
            <v>0</v>
          </cell>
          <cell r="C9139" t="str">
            <v xml:space="preserve">  SHER AFZAL S/FITTER M # 4.</v>
          </cell>
          <cell r="D9139">
            <v>0</v>
          </cell>
          <cell r="E9139">
            <v>0</v>
          </cell>
          <cell r="F9139">
            <v>0</v>
          </cell>
          <cell r="G9139">
            <v>0</v>
          </cell>
        </row>
        <row r="9140">
          <cell r="A9140" t="str">
            <v>57-01-01-1551</v>
          </cell>
          <cell r="B9140">
            <v>0</v>
          </cell>
          <cell r="C9140" t="str">
            <v xml:space="preserve">  AFRASAIB A/JOBBER MILL # 4.</v>
          </cell>
          <cell r="D9140">
            <v>0</v>
          </cell>
          <cell r="E9140">
            <v>0</v>
          </cell>
          <cell r="F9140">
            <v>0</v>
          </cell>
          <cell r="G9140">
            <v>0</v>
          </cell>
        </row>
        <row r="9141">
          <cell r="A9141" t="str">
            <v>57-01-01-1552</v>
          </cell>
          <cell r="B9141">
            <v>0</v>
          </cell>
          <cell r="C9141" t="str">
            <v xml:space="preserve">  ZUBAIR ABBAS 4/S MILL # 4</v>
          </cell>
          <cell r="D9141">
            <v>0</v>
          </cell>
          <cell r="E9141">
            <v>0</v>
          </cell>
          <cell r="F9141">
            <v>0</v>
          </cell>
          <cell r="G9141">
            <v>0</v>
          </cell>
        </row>
        <row r="9142">
          <cell r="A9142" t="str">
            <v>57-01-01-1553</v>
          </cell>
          <cell r="B9142">
            <v>0</v>
          </cell>
          <cell r="C9142" t="str">
            <v xml:space="preserve">  SAJID ALI DF MILL # 3</v>
          </cell>
          <cell r="D9142">
            <v>0</v>
          </cell>
          <cell r="E9142">
            <v>0</v>
          </cell>
          <cell r="F9142">
            <v>0</v>
          </cell>
          <cell r="G9142">
            <v>0</v>
          </cell>
        </row>
        <row r="9143">
          <cell r="A9143" t="str">
            <v>57-01-01-1554</v>
          </cell>
          <cell r="B9143">
            <v>0</v>
          </cell>
          <cell r="C9143" t="str">
            <v xml:space="preserve">  ABDUL MALIK JOBBER MILL # 2</v>
          </cell>
          <cell r="D9143">
            <v>0</v>
          </cell>
          <cell r="E9143">
            <v>0</v>
          </cell>
          <cell r="F9143">
            <v>0</v>
          </cell>
          <cell r="G9143">
            <v>0</v>
          </cell>
        </row>
        <row r="9144">
          <cell r="A9144" t="str">
            <v>57-01-01-1555</v>
          </cell>
          <cell r="B9144">
            <v>0</v>
          </cell>
          <cell r="C9144" t="str">
            <v xml:space="preserve">  FARASAT HUSSAIN FITTER MILL # 4</v>
          </cell>
          <cell r="D9144">
            <v>0</v>
          </cell>
          <cell r="E9144">
            <v>0</v>
          </cell>
          <cell r="F9144">
            <v>0</v>
          </cell>
          <cell r="G9144">
            <v>0</v>
          </cell>
        </row>
        <row r="9145">
          <cell r="A9145" t="str">
            <v>57-01-01-1556</v>
          </cell>
          <cell r="B9145">
            <v>0</v>
          </cell>
          <cell r="C9145" t="str">
            <v xml:space="preserve">  NASRULLAH DF MILL # 1</v>
          </cell>
          <cell r="D9145">
            <v>0</v>
          </cell>
          <cell r="E9145">
            <v>0</v>
          </cell>
          <cell r="F9145">
            <v>0</v>
          </cell>
          <cell r="G9145">
            <v>0</v>
          </cell>
        </row>
        <row r="9146">
          <cell r="A9146" t="str">
            <v>57-01-01-1557</v>
          </cell>
          <cell r="B9146">
            <v>0</v>
          </cell>
          <cell r="C9146" t="str">
            <v xml:space="preserve">  ASHRAF ALI DF MILL # 4</v>
          </cell>
          <cell r="D9146">
            <v>0</v>
          </cell>
          <cell r="E9146">
            <v>0</v>
          </cell>
          <cell r="F9146">
            <v>0</v>
          </cell>
          <cell r="G9146">
            <v>0</v>
          </cell>
        </row>
        <row r="9147">
          <cell r="A9147" t="str">
            <v>57-01-01-1558</v>
          </cell>
          <cell r="B9147">
            <v>0</v>
          </cell>
          <cell r="C9147" t="str">
            <v xml:space="preserve">  MUHAMMAD SULTAN 4/S MILL # 2</v>
          </cell>
          <cell r="D9147">
            <v>0</v>
          </cell>
          <cell r="E9147">
            <v>0</v>
          </cell>
          <cell r="F9147">
            <v>0</v>
          </cell>
          <cell r="G9147">
            <v>0</v>
          </cell>
        </row>
        <row r="9148">
          <cell r="A9148" t="str">
            <v>57-01-01-1559</v>
          </cell>
          <cell r="B9148">
            <v>0</v>
          </cell>
          <cell r="C9148" t="str">
            <v xml:space="preserve">  KHALIQ NAWAZ 4/S MILL # 3</v>
          </cell>
          <cell r="D9148">
            <v>0</v>
          </cell>
          <cell r="E9148">
            <v>0</v>
          </cell>
          <cell r="F9148">
            <v>0</v>
          </cell>
          <cell r="G9148">
            <v>0</v>
          </cell>
        </row>
        <row r="9149">
          <cell r="A9149" t="str">
            <v>57-01-01-1560</v>
          </cell>
          <cell r="B9149">
            <v>0</v>
          </cell>
          <cell r="C9149" t="str">
            <v xml:space="preserve">  MUHAMMAD AKRAM OPT MILL # 2</v>
          </cell>
          <cell r="D9149">
            <v>0</v>
          </cell>
          <cell r="E9149">
            <v>0</v>
          </cell>
          <cell r="F9149">
            <v>0</v>
          </cell>
          <cell r="G9149">
            <v>0</v>
          </cell>
        </row>
        <row r="9150">
          <cell r="A9150" t="str">
            <v>57-01-01-1561</v>
          </cell>
          <cell r="B9150">
            <v>0</v>
          </cell>
          <cell r="C9150" t="str">
            <v xml:space="preserve">  DURIYA AMAN 4/S MILL # 2</v>
          </cell>
          <cell r="D9150">
            <v>0</v>
          </cell>
          <cell r="E9150">
            <v>0</v>
          </cell>
          <cell r="F9150">
            <v>0</v>
          </cell>
          <cell r="G9150">
            <v>0</v>
          </cell>
        </row>
        <row r="9151">
          <cell r="A9151" t="str">
            <v>57-01-01-1562</v>
          </cell>
          <cell r="B9151">
            <v>0</v>
          </cell>
          <cell r="C9151" t="str">
            <v xml:space="preserve">  JAVED IQBAL OPT MILL # 2</v>
          </cell>
          <cell r="D9151">
            <v>0</v>
          </cell>
          <cell r="E9151">
            <v>0</v>
          </cell>
          <cell r="F9151">
            <v>0</v>
          </cell>
          <cell r="G9151">
            <v>0</v>
          </cell>
        </row>
        <row r="9152">
          <cell r="A9152" t="str">
            <v>57-01-01-1563</v>
          </cell>
          <cell r="B9152">
            <v>0</v>
          </cell>
          <cell r="C9152" t="str">
            <v xml:space="preserve">  BASHIR AHMED DST MILL # 3</v>
          </cell>
          <cell r="D9152">
            <v>0</v>
          </cell>
          <cell r="E9152">
            <v>0</v>
          </cell>
          <cell r="F9152">
            <v>0</v>
          </cell>
          <cell r="G9152">
            <v>0</v>
          </cell>
        </row>
        <row r="9153">
          <cell r="A9153" t="str">
            <v>57-01-01-1564</v>
          </cell>
          <cell r="B9153">
            <v>0</v>
          </cell>
          <cell r="C9153" t="str">
            <v xml:space="preserve">  RIAZ AHMED A/JOBBER MILL # 4</v>
          </cell>
          <cell r="D9153">
            <v>0</v>
          </cell>
          <cell r="E9153">
            <v>0</v>
          </cell>
          <cell r="F9153">
            <v>0</v>
          </cell>
          <cell r="G9153">
            <v>0</v>
          </cell>
        </row>
        <row r="9154">
          <cell r="A9154" t="str">
            <v>57-01-01-1565</v>
          </cell>
          <cell r="B9154">
            <v>0</v>
          </cell>
          <cell r="C9154" t="str">
            <v xml:space="preserve">  WASIM JAVED A/FITTER MILL # 4</v>
          </cell>
          <cell r="D9154">
            <v>0</v>
          </cell>
          <cell r="E9154">
            <v>0</v>
          </cell>
          <cell r="F9154">
            <v>0</v>
          </cell>
          <cell r="G9154">
            <v>0</v>
          </cell>
        </row>
        <row r="9155">
          <cell r="A9155" t="str">
            <v>57-01-01-1566</v>
          </cell>
          <cell r="B9155">
            <v>0</v>
          </cell>
          <cell r="C9155" t="str">
            <v xml:space="preserve">  TARIQ HUSSAIN JOBBER MILL # 1</v>
          </cell>
          <cell r="D9155">
            <v>0</v>
          </cell>
          <cell r="E9155">
            <v>0</v>
          </cell>
          <cell r="F9155">
            <v>0</v>
          </cell>
          <cell r="G9155">
            <v>0</v>
          </cell>
        </row>
        <row r="9156">
          <cell r="A9156" t="str">
            <v>57-01-01-1567</v>
          </cell>
          <cell r="B9156">
            <v>0</v>
          </cell>
          <cell r="C9156" t="str">
            <v xml:space="preserve">  WAQAS AHMED FITTER MILL # 4</v>
          </cell>
          <cell r="D9156">
            <v>0</v>
          </cell>
          <cell r="E9156">
            <v>0</v>
          </cell>
          <cell r="F9156">
            <v>0</v>
          </cell>
          <cell r="G9156">
            <v>0</v>
          </cell>
        </row>
        <row r="9157">
          <cell r="A9157" t="str">
            <v>57-01-01-1568</v>
          </cell>
          <cell r="B9157">
            <v>0</v>
          </cell>
          <cell r="C9157" t="str">
            <v xml:space="preserve">  QAMAR ABBAS 4/S MILL # 1</v>
          </cell>
          <cell r="D9157">
            <v>0</v>
          </cell>
          <cell r="E9157">
            <v>0</v>
          </cell>
          <cell r="F9157">
            <v>0</v>
          </cell>
          <cell r="G9157">
            <v>0</v>
          </cell>
        </row>
        <row r="9158">
          <cell r="A9158" t="str">
            <v>57-01-01-1569</v>
          </cell>
          <cell r="B9158">
            <v>0</v>
          </cell>
          <cell r="C9158" t="str">
            <v xml:space="preserve">  MUHAMMAD ILYAS 4/S MILL # 4</v>
          </cell>
          <cell r="D9158">
            <v>0</v>
          </cell>
          <cell r="E9158">
            <v>0</v>
          </cell>
          <cell r="F9158">
            <v>0</v>
          </cell>
          <cell r="G9158">
            <v>0</v>
          </cell>
        </row>
        <row r="9159">
          <cell r="A9159" t="str">
            <v>57-01-01-1570</v>
          </cell>
          <cell r="B9159">
            <v>0</v>
          </cell>
          <cell r="C9159" t="str">
            <v xml:space="preserve">  MUHAMMAD TARIQ PACKING CLERK</v>
          </cell>
          <cell r="D9159">
            <v>0</v>
          </cell>
          <cell r="E9159">
            <v>0</v>
          </cell>
          <cell r="F9159">
            <v>0</v>
          </cell>
          <cell r="G9159">
            <v>0</v>
          </cell>
        </row>
        <row r="9160">
          <cell r="A9160" t="str">
            <v>57-01-01-1571</v>
          </cell>
          <cell r="B9160">
            <v>0</v>
          </cell>
          <cell r="C9160" t="str">
            <v xml:space="preserve">  ABID HUSSAIN OPT MILL # 2</v>
          </cell>
          <cell r="D9160">
            <v>0</v>
          </cell>
          <cell r="E9160">
            <v>0</v>
          </cell>
          <cell r="F9160">
            <v>0</v>
          </cell>
          <cell r="G9160">
            <v>0</v>
          </cell>
        </row>
        <row r="9161">
          <cell r="A9161" t="str">
            <v>57-01-01-1572</v>
          </cell>
          <cell r="B9161">
            <v>0</v>
          </cell>
          <cell r="C9161" t="str">
            <v xml:space="preserve">  MUHAMMAD RIAZ OPT MILL # 2</v>
          </cell>
          <cell r="D9161">
            <v>0</v>
          </cell>
          <cell r="E9161">
            <v>0</v>
          </cell>
          <cell r="F9161">
            <v>0</v>
          </cell>
          <cell r="G9161">
            <v>0</v>
          </cell>
        </row>
        <row r="9162">
          <cell r="A9162" t="str">
            <v>57-01-01-1573</v>
          </cell>
          <cell r="B9162">
            <v>0</v>
          </cell>
          <cell r="C9162" t="str">
            <v xml:space="preserve">  MUHAMMAD RIAZ OPT MILL</v>
          </cell>
          <cell r="D9162">
            <v>0</v>
          </cell>
          <cell r="E9162">
            <v>0</v>
          </cell>
          <cell r="F9162">
            <v>0</v>
          </cell>
          <cell r="G9162">
            <v>0</v>
          </cell>
        </row>
        <row r="9163">
          <cell r="A9163" t="str">
            <v>57-01-01-1574</v>
          </cell>
          <cell r="B9163">
            <v>0</v>
          </cell>
          <cell r="C9163" t="str">
            <v xml:space="preserve">  SHAHBAZ BABAR OPT MILL # 4</v>
          </cell>
          <cell r="D9163">
            <v>0</v>
          </cell>
          <cell r="E9163">
            <v>0</v>
          </cell>
          <cell r="F9163">
            <v>0</v>
          </cell>
          <cell r="G9163">
            <v>0</v>
          </cell>
        </row>
        <row r="9164">
          <cell r="A9164" t="str">
            <v>57-01-01-1575</v>
          </cell>
          <cell r="B9164">
            <v>0</v>
          </cell>
          <cell r="C9164" t="str">
            <v xml:space="preserve">  QAISER SHAHZAD 4/S MILL # 1</v>
          </cell>
          <cell r="D9164">
            <v>0</v>
          </cell>
          <cell r="E9164">
            <v>0</v>
          </cell>
          <cell r="F9164">
            <v>0</v>
          </cell>
          <cell r="G9164">
            <v>0</v>
          </cell>
        </row>
        <row r="9165">
          <cell r="A9165" t="str">
            <v>57-01-01-1576</v>
          </cell>
          <cell r="B9165">
            <v>0</v>
          </cell>
          <cell r="C9165" t="str">
            <v xml:space="preserve">  SAJJAD ANWAR SUPERVISOR WORKSHOP</v>
          </cell>
          <cell r="D9165">
            <v>0</v>
          </cell>
          <cell r="E9165">
            <v>0</v>
          </cell>
          <cell r="F9165">
            <v>0</v>
          </cell>
          <cell r="G9165">
            <v>0</v>
          </cell>
        </row>
        <row r="9166">
          <cell r="A9166" t="str">
            <v>57-01-01-1577</v>
          </cell>
          <cell r="B9166">
            <v>0</v>
          </cell>
          <cell r="C9166" t="str">
            <v xml:space="preserve">  PIRAY KHAN DF MILL # 1</v>
          </cell>
          <cell r="D9166">
            <v>0</v>
          </cell>
          <cell r="E9166">
            <v>0</v>
          </cell>
          <cell r="F9166">
            <v>0</v>
          </cell>
          <cell r="G9166">
            <v>0</v>
          </cell>
        </row>
        <row r="9167">
          <cell r="A9167" t="str">
            <v>57-01-01-1578</v>
          </cell>
          <cell r="B9167">
            <v>0</v>
          </cell>
          <cell r="C9167" t="str">
            <v xml:space="preserve">  JAVED KHAN DF MILL # 1</v>
          </cell>
          <cell r="D9167">
            <v>0</v>
          </cell>
          <cell r="E9167">
            <v>0</v>
          </cell>
          <cell r="F9167">
            <v>0</v>
          </cell>
          <cell r="G9167">
            <v>0</v>
          </cell>
        </row>
        <row r="9168">
          <cell r="A9168" t="str">
            <v>57-01-01-1579</v>
          </cell>
          <cell r="B9168">
            <v>0</v>
          </cell>
          <cell r="C9168" t="str">
            <v xml:space="preserve">  ANEES UR REHMAN CT MILL # 2</v>
          </cell>
          <cell r="D9168">
            <v>0</v>
          </cell>
          <cell r="E9168">
            <v>0</v>
          </cell>
          <cell r="F9168">
            <v>0</v>
          </cell>
          <cell r="G9168">
            <v>0</v>
          </cell>
        </row>
        <row r="9169">
          <cell r="A9169" t="str">
            <v>57-01-01-1580</v>
          </cell>
          <cell r="B9169">
            <v>0</v>
          </cell>
          <cell r="C9169" t="str">
            <v xml:space="preserve">  RAZA KHAN HELPER MILL # 2</v>
          </cell>
          <cell r="D9169">
            <v>0</v>
          </cell>
          <cell r="E9169">
            <v>0</v>
          </cell>
          <cell r="F9169">
            <v>0</v>
          </cell>
          <cell r="G9169">
            <v>0</v>
          </cell>
        </row>
        <row r="9170">
          <cell r="A9170" t="str">
            <v>57-01-01-1581</v>
          </cell>
          <cell r="B9170">
            <v>0</v>
          </cell>
          <cell r="C9170" t="str">
            <v xml:space="preserve">  MUHAMMAD RIZWAN DF MILL # 1</v>
          </cell>
          <cell r="D9170">
            <v>0</v>
          </cell>
          <cell r="E9170">
            <v>0</v>
          </cell>
          <cell r="F9170">
            <v>0</v>
          </cell>
          <cell r="G9170">
            <v>0</v>
          </cell>
        </row>
        <row r="9171">
          <cell r="A9171" t="str">
            <v>57-01-01-1582</v>
          </cell>
          <cell r="B9171">
            <v>0</v>
          </cell>
          <cell r="C9171" t="str">
            <v xml:space="preserve">  SAFDAR HUSSAIN OPT MILL # 1</v>
          </cell>
          <cell r="D9171">
            <v>0</v>
          </cell>
          <cell r="E9171">
            <v>0</v>
          </cell>
          <cell r="F9171">
            <v>0</v>
          </cell>
          <cell r="G9171">
            <v>0</v>
          </cell>
        </row>
        <row r="9172">
          <cell r="A9172" t="str">
            <v>57-01-01-1583</v>
          </cell>
          <cell r="B9172">
            <v>0</v>
          </cell>
          <cell r="C9172" t="str">
            <v xml:space="preserve">  MUDASIR IQBAL DF MILL # 2</v>
          </cell>
          <cell r="D9172">
            <v>0</v>
          </cell>
          <cell r="E9172">
            <v>0</v>
          </cell>
          <cell r="F9172">
            <v>0</v>
          </cell>
          <cell r="G9172">
            <v>0</v>
          </cell>
        </row>
        <row r="9173">
          <cell r="A9173" t="str">
            <v>57-01-01-1584</v>
          </cell>
          <cell r="B9173">
            <v>0</v>
          </cell>
          <cell r="C9173" t="str">
            <v xml:space="preserve">  MUHAMMAD JAMIL DF MILL # 3</v>
          </cell>
          <cell r="D9173">
            <v>0</v>
          </cell>
          <cell r="E9173">
            <v>0</v>
          </cell>
          <cell r="F9173">
            <v>0</v>
          </cell>
          <cell r="G9173">
            <v>0</v>
          </cell>
        </row>
        <row r="9174">
          <cell r="A9174" t="str">
            <v>57-01-01-1585</v>
          </cell>
          <cell r="B9174">
            <v>0</v>
          </cell>
          <cell r="C9174" t="str">
            <v xml:space="preserve">  ABDUL AZIZ 4/S MILL # 3</v>
          </cell>
          <cell r="D9174">
            <v>0</v>
          </cell>
          <cell r="E9174">
            <v>0</v>
          </cell>
          <cell r="F9174">
            <v>0</v>
          </cell>
          <cell r="G9174">
            <v>0</v>
          </cell>
        </row>
        <row r="9175">
          <cell r="A9175" t="str">
            <v>57-01-01-1586</v>
          </cell>
          <cell r="B9175">
            <v>0</v>
          </cell>
          <cell r="C9175" t="str">
            <v xml:space="preserve">  UMER TAWAB 4/S MILL # 1</v>
          </cell>
          <cell r="D9175">
            <v>0</v>
          </cell>
          <cell r="E9175">
            <v>0</v>
          </cell>
          <cell r="F9175">
            <v>0</v>
          </cell>
          <cell r="G9175">
            <v>0</v>
          </cell>
        </row>
        <row r="9176">
          <cell r="A9176" t="str">
            <v>57-01-01-1587</v>
          </cell>
          <cell r="B9176">
            <v>0</v>
          </cell>
          <cell r="C9176" t="str">
            <v xml:space="preserve">  MUHAMMAD RASHID JOBBER MILL # 4</v>
          </cell>
          <cell r="D9176">
            <v>0</v>
          </cell>
          <cell r="E9176">
            <v>0</v>
          </cell>
          <cell r="F9176">
            <v>0</v>
          </cell>
          <cell r="G9176">
            <v>0</v>
          </cell>
        </row>
        <row r="9177">
          <cell r="A9177" t="str">
            <v>57-01-01-1588</v>
          </cell>
          <cell r="B9177">
            <v>0</v>
          </cell>
          <cell r="C9177" t="str">
            <v xml:space="preserve">  MUHAMMAD RAFIQUE WELDER WORKSHOP</v>
          </cell>
          <cell r="D9177">
            <v>0</v>
          </cell>
          <cell r="E9177">
            <v>0</v>
          </cell>
          <cell r="F9177">
            <v>0</v>
          </cell>
          <cell r="G9177">
            <v>0</v>
          </cell>
        </row>
        <row r="9178">
          <cell r="A9178" t="str">
            <v>57-01-01-1589</v>
          </cell>
          <cell r="B9178">
            <v>0</v>
          </cell>
          <cell r="C9178" t="str">
            <v xml:space="preserve">  QADAR BAKSH OPT MILL # 2</v>
          </cell>
          <cell r="D9178">
            <v>0</v>
          </cell>
          <cell r="E9178">
            <v>0</v>
          </cell>
          <cell r="F9178">
            <v>0</v>
          </cell>
          <cell r="G9178">
            <v>0</v>
          </cell>
        </row>
        <row r="9179">
          <cell r="A9179" t="str">
            <v>57-01-01-1590</v>
          </cell>
          <cell r="B9179">
            <v>0</v>
          </cell>
          <cell r="C9179" t="str">
            <v xml:space="preserve">  SHAUKAT ALI 4/S MILL # 1</v>
          </cell>
          <cell r="D9179">
            <v>0</v>
          </cell>
          <cell r="E9179">
            <v>0</v>
          </cell>
          <cell r="F9179">
            <v>0</v>
          </cell>
          <cell r="G9179">
            <v>0</v>
          </cell>
        </row>
        <row r="9180">
          <cell r="A9180" t="str">
            <v>57-01-01-1591</v>
          </cell>
          <cell r="B9180">
            <v>0</v>
          </cell>
          <cell r="C9180" t="str">
            <v xml:space="preserve">  MUHAMMAD MEHBOOB OPT MILL # 4</v>
          </cell>
          <cell r="D9180">
            <v>0</v>
          </cell>
          <cell r="E9180">
            <v>0</v>
          </cell>
          <cell r="F9180">
            <v>0</v>
          </cell>
          <cell r="G9180">
            <v>0</v>
          </cell>
        </row>
        <row r="9181">
          <cell r="A9181" t="str">
            <v>57-01-01-1592</v>
          </cell>
          <cell r="B9181">
            <v>0</v>
          </cell>
          <cell r="C9181" t="str">
            <v xml:space="preserve">  ZAFAR SHABBIR A/JOBBER MILL # 3</v>
          </cell>
          <cell r="D9181">
            <v>0</v>
          </cell>
          <cell r="E9181">
            <v>0</v>
          </cell>
          <cell r="F9181">
            <v>0</v>
          </cell>
          <cell r="G9181">
            <v>0</v>
          </cell>
        </row>
        <row r="9182">
          <cell r="A9182" t="str">
            <v>57-01-01-1593</v>
          </cell>
          <cell r="B9182">
            <v>0</v>
          </cell>
          <cell r="C9182" t="str">
            <v xml:space="preserve">  MUHAMMAD NADEEM OPT MILL # 4</v>
          </cell>
          <cell r="D9182">
            <v>0</v>
          </cell>
          <cell r="E9182">
            <v>0</v>
          </cell>
          <cell r="F9182">
            <v>0</v>
          </cell>
          <cell r="G9182">
            <v>0</v>
          </cell>
        </row>
        <row r="9183">
          <cell r="A9183" t="str">
            <v>57-01-01-1594</v>
          </cell>
          <cell r="B9183">
            <v>0</v>
          </cell>
          <cell r="C9183" t="str">
            <v xml:space="preserve">  MUHAMMAD WASIM FITTER MILL # 4</v>
          </cell>
          <cell r="D9183">
            <v>0</v>
          </cell>
          <cell r="E9183">
            <v>0</v>
          </cell>
          <cell r="F9183">
            <v>0</v>
          </cell>
          <cell r="G9183">
            <v>0</v>
          </cell>
        </row>
        <row r="9184">
          <cell r="A9184" t="str">
            <v>57-01-01-1595</v>
          </cell>
          <cell r="B9184">
            <v>0</v>
          </cell>
          <cell r="C9184" t="str">
            <v xml:space="preserve">  MUHAMMAD ANWAR 4/S MILL # 1</v>
          </cell>
          <cell r="D9184">
            <v>0</v>
          </cell>
          <cell r="E9184">
            <v>0</v>
          </cell>
          <cell r="F9184">
            <v>0</v>
          </cell>
          <cell r="G9184">
            <v>0</v>
          </cell>
        </row>
        <row r="9185">
          <cell r="A9185" t="str">
            <v>57-01-01-1596</v>
          </cell>
          <cell r="B9185">
            <v>0</v>
          </cell>
          <cell r="C9185" t="str">
            <v xml:space="preserve">  NAASIR RAMZAN FITTER MILL # 3</v>
          </cell>
          <cell r="D9185">
            <v>0</v>
          </cell>
          <cell r="E9185">
            <v>0</v>
          </cell>
          <cell r="F9185">
            <v>0</v>
          </cell>
          <cell r="G9185">
            <v>0</v>
          </cell>
        </row>
        <row r="9186">
          <cell r="A9186" t="str">
            <v>57-01-01-1597</v>
          </cell>
          <cell r="B9186">
            <v>0</v>
          </cell>
          <cell r="C9186" t="str">
            <v xml:space="preserve">  MUHAMMAD BOOTA OPT MILL # 2</v>
          </cell>
          <cell r="D9186">
            <v>0</v>
          </cell>
          <cell r="E9186">
            <v>0</v>
          </cell>
          <cell r="F9186">
            <v>0</v>
          </cell>
          <cell r="G9186">
            <v>0</v>
          </cell>
        </row>
        <row r="9187">
          <cell r="A9187" t="str">
            <v>57-01-01-1598</v>
          </cell>
          <cell r="B9187">
            <v>0</v>
          </cell>
          <cell r="C9187" t="str">
            <v xml:space="preserve">  ADIL HUSSAIN 4/S MILL # 2</v>
          </cell>
          <cell r="D9187">
            <v>0</v>
          </cell>
          <cell r="E9187">
            <v>0</v>
          </cell>
          <cell r="F9187">
            <v>0</v>
          </cell>
          <cell r="G9187">
            <v>0</v>
          </cell>
        </row>
        <row r="9188">
          <cell r="A9188" t="str">
            <v>57-01-01-1599</v>
          </cell>
          <cell r="B9188">
            <v>0</v>
          </cell>
          <cell r="C9188" t="str">
            <v xml:space="preserve">  AZHAR MEHMOOD DST MILL # 4</v>
          </cell>
          <cell r="D9188">
            <v>0</v>
          </cell>
          <cell r="E9188">
            <v>0</v>
          </cell>
          <cell r="F9188">
            <v>0</v>
          </cell>
          <cell r="G9188">
            <v>0</v>
          </cell>
        </row>
        <row r="9189">
          <cell r="A9189" t="str">
            <v>57-01-01-1600</v>
          </cell>
          <cell r="B9189">
            <v>0</v>
          </cell>
          <cell r="C9189" t="str">
            <v xml:space="preserve">  MUHAMMAD SALEEM DF MILL # 3</v>
          </cell>
          <cell r="D9189">
            <v>0</v>
          </cell>
          <cell r="E9189">
            <v>0</v>
          </cell>
          <cell r="F9189">
            <v>0</v>
          </cell>
          <cell r="G9189">
            <v>0</v>
          </cell>
        </row>
        <row r="9190">
          <cell r="A9190" t="str">
            <v>57-01-01-1601</v>
          </cell>
          <cell r="B9190">
            <v>0</v>
          </cell>
          <cell r="C9190" t="str">
            <v xml:space="preserve">  KHYZER HAYAT CT MILL # 1</v>
          </cell>
          <cell r="D9190">
            <v>0</v>
          </cell>
          <cell r="E9190">
            <v>0</v>
          </cell>
          <cell r="F9190">
            <v>0</v>
          </cell>
          <cell r="G9190">
            <v>0</v>
          </cell>
        </row>
        <row r="9191">
          <cell r="A9191" t="str">
            <v>57-01-01-1602</v>
          </cell>
          <cell r="B9191">
            <v>0</v>
          </cell>
          <cell r="C9191" t="str">
            <v xml:space="preserve">  SHAKIR HUSSAIN CT MILL # 2</v>
          </cell>
          <cell r="D9191">
            <v>0</v>
          </cell>
          <cell r="E9191">
            <v>0</v>
          </cell>
          <cell r="F9191">
            <v>0</v>
          </cell>
          <cell r="G9191">
            <v>0</v>
          </cell>
        </row>
        <row r="9192">
          <cell r="A9192" t="str">
            <v>57-01-01-1603</v>
          </cell>
          <cell r="B9192">
            <v>0</v>
          </cell>
          <cell r="C9192" t="str">
            <v xml:space="preserve">  AMRAIZ KHAN 4/S MILL # 1</v>
          </cell>
          <cell r="D9192">
            <v>0</v>
          </cell>
          <cell r="E9192">
            <v>0</v>
          </cell>
          <cell r="F9192">
            <v>0</v>
          </cell>
          <cell r="G9192">
            <v>0</v>
          </cell>
        </row>
        <row r="9193">
          <cell r="A9193" t="str">
            <v>57-01-01-1604</v>
          </cell>
          <cell r="B9193">
            <v>0</v>
          </cell>
          <cell r="C9193" t="str">
            <v xml:space="preserve">  MUHAMMAD SHAFIQUE OPT MILL # 4</v>
          </cell>
          <cell r="D9193">
            <v>0</v>
          </cell>
          <cell r="E9193">
            <v>0</v>
          </cell>
          <cell r="F9193">
            <v>0</v>
          </cell>
          <cell r="G9193">
            <v>0</v>
          </cell>
        </row>
        <row r="9194">
          <cell r="A9194" t="str">
            <v>57-01-01-1605</v>
          </cell>
          <cell r="B9194">
            <v>0</v>
          </cell>
          <cell r="C9194" t="str">
            <v xml:space="preserve">  MUHAMMAD YAQOOB OPT MILL # 2</v>
          </cell>
          <cell r="D9194">
            <v>0</v>
          </cell>
          <cell r="E9194">
            <v>0</v>
          </cell>
          <cell r="F9194">
            <v>0</v>
          </cell>
          <cell r="G9194">
            <v>0</v>
          </cell>
        </row>
        <row r="9195">
          <cell r="A9195" t="str">
            <v>57-01-01-1606</v>
          </cell>
          <cell r="B9195">
            <v>0</v>
          </cell>
          <cell r="C9195" t="str">
            <v xml:space="preserve">  REHMAN KASHIF QUALITY OPT MILL # 2</v>
          </cell>
          <cell r="D9195">
            <v>0</v>
          </cell>
          <cell r="E9195">
            <v>0</v>
          </cell>
          <cell r="F9195">
            <v>0</v>
          </cell>
          <cell r="G9195">
            <v>0</v>
          </cell>
        </row>
        <row r="9196">
          <cell r="A9196" t="str">
            <v>57-01-01-1607</v>
          </cell>
          <cell r="B9196">
            <v>0</v>
          </cell>
          <cell r="C9196" t="str">
            <v xml:space="preserve">  TASAWAR HUSSAIN QUALITY OBSERVER</v>
          </cell>
          <cell r="D9196">
            <v>0</v>
          </cell>
          <cell r="E9196">
            <v>0</v>
          </cell>
          <cell r="F9196">
            <v>0</v>
          </cell>
          <cell r="G9196">
            <v>0</v>
          </cell>
        </row>
        <row r="9197">
          <cell r="A9197" t="str">
            <v>57-01-01-1608</v>
          </cell>
          <cell r="B9197">
            <v>0</v>
          </cell>
          <cell r="C9197" t="str">
            <v xml:space="preserve">  MOHSEN SHAH LOADING CLERK</v>
          </cell>
          <cell r="D9197">
            <v>0</v>
          </cell>
          <cell r="E9197">
            <v>0</v>
          </cell>
          <cell r="F9197">
            <v>0</v>
          </cell>
          <cell r="G9197">
            <v>0</v>
          </cell>
        </row>
        <row r="9198">
          <cell r="A9198" t="str">
            <v>57-01-01-1609</v>
          </cell>
          <cell r="B9198">
            <v>0</v>
          </cell>
          <cell r="C9198" t="str">
            <v xml:space="preserve">  MUHAMMAD AFZAAL JOBBER MILL # 2</v>
          </cell>
          <cell r="D9198">
            <v>0</v>
          </cell>
          <cell r="E9198">
            <v>0</v>
          </cell>
          <cell r="F9198">
            <v>0</v>
          </cell>
          <cell r="G9198">
            <v>0</v>
          </cell>
        </row>
        <row r="9199">
          <cell r="A9199" t="str">
            <v>57-01-01-1610</v>
          </cell>
          <cell r="B9199">
            <v>0</v>
          </cell>
          <cell r="C9199" t="str">
            <v xml:space="preserve">  ARSALAN AHMED KHAN A.S.M</v>
          </cell>
          <cell r="D9199">
            <v>0</v>
          </cell>
          <cell r="E9199">
            <v>0</v>
          </cell>
          <cell r="F9199">
            <v>0</v>
          </cell>
          <cell r="G9199">
            <v>0</v>
          </cell>
        </row>
        <row r="9200">
          <cell r="A9200" t="str">
            <v>57-01-01-1611</v>
          </cell>
          <cell r="B9200">
            <v>0</v>
          </cell>
          <cell r="C9200" t="str">
            <v xml:space="preserve">  GHULAM JILANI DF MILL # 3</v>
          </cell>
          <cell r="D9200">
            <v>0</v>
          </cell>
          <cell r="E9200">
            <v>0</v>
          </cell>
          <cell r="F9200">
            <v>0</v>
          </cell>
          <cell r="G9200">
            <v>0</v>
          </cell>
        </row>
        <row r="9201">
          <cell r="A9201" t="str">
            <v>57-01-01-1612</v>
          </cell>
          <cell r="B9201">
            <v>0</v>
          </cell>
          <cell r="C9201" t="str">
            <v xml:space="preserve">  MUHAMMAD AKRAM OPT MILL # 3</v>
          </cell>
          <cell r="D9201">
            <v>0</v>
          </cell>
          <cell r="E9201">
            <v>0</v>
          </cell>
          <cell r="F9201">
            <v>0</v>
          </cell>
          <cell r="G9201">
            <v>0</v>
          </cell>
        </row>
        <row r="9202">
          <cell r="A9202" t="str">
            <v>57-01-01-1613</v>
          </cell>
          <cell r="B9202">
            <v>0</v>
          </cell>
          <cell r="C9202" t="str">
            <v xml:space="preserve">  MEHINDI KHAN JOBBER M # 2</v>
          </cell>
          <cell r="D9202">
            <v>0</v>
          </cell>
          <cell r="E9202">
            <v>0</v>
          </cell>
          <cell r="F9202">
            <v>0</v>
          </cell>
          <cell r="G9202">
            <v>0</v>
          </cell>
        </row>
        <row r="9203">
          <cell r="A9203" t="str">
            <v>57-01-01-1614</v>
          </cell>
          <cell r="B9203">
            <v>0</v>
          </cell>
          <cell r="C9203" t="str">
            <v xml:space="preserve">  DILSHAHID IQBAL H/FITTER D/S</v>
          </cell>
          <cell r="D9203">
            <v>0</v>
          </cell>
          <cell r="E9203">
            <v>0</v>
          </cell>
          <cell r="F9203">
            <v>0</v>
          </cell>
          <cell r="G9203">
            <v>0</v>
          </cell>
        </row>
        <row r="9204">
          <cell r="A9204" t="str">
            <v>57-01-01-1615</v>
          </cell>
          <cell r="B9204">
            <v>0</v>
          </cell>
          <cell r="C9204" t="str">
            <v xml:space="preserve">  AZHAR IQBAL FITTER D/S MILLL # 2</v>
          </cell>
          <cell r="D9204">
            <v>0</v>
          </cell>
          <cell r="E9204">
            <v>0</v>
          </cell>
          <cell r="F9204">
            <v>0</v>
          </cell>
          <cell r="G9204">
            <v>0</v>
          </cell>
        </row>
        <row r="9205">
          <cell r="A9205" t="str">
            <v>57-01-01-1616</v>
          </cell>
          <cell r="B9205">
            <v>0</v>
          </cell>
          <cell r="C9205" t="str">
            <v xml:space="preserve">  MUHAMMAD ASLAM OPT A/CONE MILL # 3</v>
          </cell>
          <cell r="D9205">
            <v>0</v>
          </cell>
          <cell r="E9205">
            <v>0</v>
          </cell>
          <cell r="F9205">
            <v>0</v>
          </cell>
          <cell r="G9205">
            <v>0</v>
          </cell>
        </row>
        <row r="9206">
          <cell r="A9206" t="str">
            <v>57-01-01-1617</v>
          </cell>
          <cell r="B9206">
            <v>0</v>
          </cell>
          <cell r="C9206" t="str">
            <v xml:space="preserve">  ZAHID HUSSAIN DF MILL # 3</v>
          </cell>
          <cell r="D9206">
            <v>0</v>
          </cell>
          <cell r="E9206">
            <v>0</v>
          </cell>
          <cell r="F9206">
            <v>0</v>
          </cell>
          <cell r="G9206">
            <v>0</v>
          </cell>
        </row>
        <row r="9207">
          <cell r="A9207" t="str">
            <v>57-01-01-1618</v>
          </cell>
          <cell r="B9207">
            <v>0</v>
          </cell>
          <cell r="C9207" t="str">
            <v xml:space="preserve">  ZAHIR KHALIL AUTO ATTEND</v>
          </cell>
          <cell r="D9207">
            <v>0</v>
          </cell>
          <cell r="E9207">
            <v>0</v>
          </cell>
          <cell r="F9207">
            <v>0</v>
          </cell>
          <cell r="G9207">
            <v>0</v>
          </cell>
        </row>
        <row r="9208">
          <cell r="A9208" t="str">
            <v>57-01-01-1619</v>
          </cell>
          <cell r="B9208">
            <v>0</v>
          </cell>
          <cell r="C9208" t="str">
            <v xml:space="preserve">  MUHAMMAD RAMZAN OPT MILL # 3</v>
          </cell>
          <cell r="D9208">
            <v>0</v>
          </cell>
          <cell r="E9208">
            <v>0</v>
          </cell>
          <cell r="F9208">
            <v>0</v>
          </cell>
          <cell r="G9208">
            <v>0</v>
          </cell>
        </row>
        <row r="9209">
          <cell r="A9209" t="str">
            <v>57-01-01-1620</v>
          </cell>
          <cell r="B9209">
            <v>0</v>
          </cell>
          <cell r="C9209" t="str">
            <v xml:space="preserve">  IRFAN ALI 4/S MILL # 4</v>
          </cell>
          <cell r="D9209">
            <v>0</v>
          </cell>
          <cell r="E9209">
            <v>0</v>
          </cell>
          <cell r="F9209">
            <v>0</v>
          </cell>
          <cell r="G9209">
            <v>0</v>
          </cell>
        </row>
        <row r="9210">
          <cell r="A9210" t="str">
            <v>57-01-01-1621</v>
          </cell>
          <cell r="B9210">
            <v>0</v>
          </cell>
          <cell r="C9210" t="str">
            <v xml:space="preserve">  ALI KHAN 4/S MILL # 1</v>
          </cell>
          <cell r="D9210">
            <v>0</v>
          </cell>
          <cell r="E9210">
            <v>0</v>
          </cell>
          <cell r="F9210">
            <v>0</v>
          </cell>
          <cell r="G9210">
            <v>0</v>
          </cell>
        </row>
        <row r="9211">
          <cell r="A9211" t="str">
            <v>57-01-01-1622</v>
          </cell>
          <cell r="B9211">
            <v>0</v>
          </cell>
          <cell r="C9211" t="str">
            <v xml:space="preserve">  GHULAM SAMDANI OPT MILL # 4</v>
          </cell>
          <cell r="D9211">
            <v>0</v>
          </cell>
          <cell r="E9211">
            <v>0</v>
          </cell>
          <cell r="F9211">
            <v>0</v>
          </cell>
          <cell r="G9211">
            <v>0</v>
          </cell>
        </row>
        <row r="9212">
          <cell r="A9212" t="str">
            <v>57-01-01-1623</v>
          </cell>
          <cell r="B9212">
            <v>0</v>
          </cell>
          <cell r="C9212" t="str">
            <v xml:space="preserve">  MUHAMMAD HUSSAIN 4/S MILL # 1</v>
          </cell>
          <cell r="D9212">
            <v>0</v>
          </cell>
          <cell r="E9212">
            <v>0</v>
          </cell>
          <cell r="F9212">
            <v>0</v>
          </cell>
          <cell r="G9212">
            <v>0</v>
          </cell>
        </row>
        <row r="9213">
          <cell r="A9213" t="str">
            <v>57-01-01-1624</v>
          </cell>
          <cell r="B9213">
            <v>0</v>
          </cell>
          <cell r="C9213" t="str">
            <v xml:space="preserve">  SHAH JAHAN OPT MILL # 3</v>
          </cell>
          <cell r="D9213">
            <v>0</v>
          </cell>
          <cell r="E9213">
            <v>0</v>
          </cell>
          <cell r="F9213">
            <v>0</v>
          </cell>
          <cell r="G9213">
            <v>0</v>
          </cell>
        </row>
        <row r="9214">
          <cell r="A9214" t="str">
            <v>57-01-01-1625</v>
          </cell>
          <cell r="B9214">
            <v>0</v>
          </cell>
          <cell r="C9214" t="str">
            <v xml:space="preserve">  GHULAM ABBAS DF MILL # 3</v>
          </cell>
          <cell r="D9214">
            <v>0</v>
          </cell>
          <cell r="E9214">
            <v>0</v>
          </cell>
          <cell r="F9214">
            <v>0</v>
          </cell>
          <cell r="G9214">
            <v>0</v>
          </cell>
        </row>
        <row r="9215">
          <cell r="A9215" t="str">
            <v>57-01-01-1626</v>
          </cell>
          <cell r="B9215">
            <v>0</v>
          </cell>
          <cell r="C9215" t="str">
            <v xml:space="preserve">  S.AKMAL SHAH 4/S MILL # 4</v>
          </cell>
          <cell r="D9215">
            <v>0</v>
          </cell>
          <cell r="E9215">
            <v>0</v>
          </cell>
          <cell r="F9215">
            <v>0</v>
          </cell>
          <cell r="G9215">
            <v>0</v>
          </cell>
        </row>
        <row r="9216">
          <cell r="A9216" t="str">
            <v>57-01-01-1627</v>
          </cell>
          <cell r="B9216">
            <v>0</v>
          </cell>
          <cell r="C9216" t="str">
            <v xml:space="preserve">  RABNAWAZ 4/S MILL # 1</v>
          </cell>
          <cell r="D9216">
            <v>0</v>
          </cell>
          <cell r="E9216">
            <v>0</v>
          </cell>
          <cell r="F9216">
            <v>0</v>
          </cell>
          <cell r="G9216">
            <v>0</v>
          </cell>
        </row>
        <row r="9217">
          <cell r="A9217" t="str">
            <v>57-01-01-1628</v>
          </cell>
          <cell r="B9217">
            <v>0</v>
          </cell>
          <cell r="C9217" t="str">
            <v xml:space="preserve">  MUHAMMAD FAIZ 4/S MILL # 1</v>
          </cell>
          <cell r="D9217">
            <v>0</v>
          </cell>
          <cell r="E9217">
            <v>0</v>
          </cell>
          <cell r="F9217">
            <v>0</v>
          </cell>
          <cell r="G9217">
            <v>0</v>
          </cell>
        </row>
        <row r="9218">
          <cell r="A9218" t="str">
            <v>57-01-01-1629</v>
          </cell>
          <cell r="B9218">
            <v>0</v>
          </cell>
          <cell r="C9218" t="str">
            <v xml:space="preserve">  NOOR AHMED OPT MILL # 2</v>
          </cell>
          <cell r="D9218">
            <v>0</v>
          </cell>
          <cell r="E9218">
            <v>0</v>
          </cell>
          <cell r="F9218">
            <v>0</v>
          </cell>
          <cell r="G9218">
            <v>0</v>
          </cell>
        </row>
        <row r="9219">
          <cell r="A9219" t="str">
            <v>57-01-01-1630</v>
          </cell>
          <cell r="B9219">
            <v>0</v>
          </cell>
          <cell r="C9219" t="str">
            <v xml:space="preserve">  AKMAL TARIQ S.Q OBSERVER MILL # 3</v>
          </cell>
          <cell r="D9219">
            <v>0</v>
          </cell>
          <cell r="E9219">
            <v>0</v>
          </cell>
          <cell r="F9219">
            <v>0</v>
          </cell>
          <cell r="G9219">
            <v>0</v>
          </cell>
        </row>
        <row r="9220">
          <cell r="A9220" t="str">
            <v>57-01-01-1631</v>
          </cell>
          <cell r="B9220">
            <v>0</v>
          </cell>
          <cell r="C9220" t="str">
            <v xml:space="preserve">  AMIR FAIZULLAH OPT MILL # 4</v>
          </cell>
          <cell r="D9220">
            <v>0</v>
          </cell>
          <cell r="E9220">
            <v>0</v>
          </cell>
          <cell r="F9220">
            <v>0</v>
          </cell>
          <cell r="G9220">
            <v>0</v>
          </cell>
        </row>
        <row r="9221">
          <cell r="A9221" t="str">
            <v>57-01-01-1632</v>
          </cell>
          <cell r="B9221">
            <v>0</v>
          </cell>
          <cell r="C9221" t="str">
            <v xml:space="preserve">  AHMED KHAN 4/S MILL # 3</v>
          </cell>
          <cell r="D9221">
            <v>0</v>
          </cell>
          <cell r="E9221">
            <v>0</v>
          </cell>
          <cell r="F9221">
            <v>0</v>
          </cell>
          <cell r="G9221">
            <v>0</v>
          </cell>
        </row>
        <row r="9222">
          <cell r="A9222" t="str">
            <v>57-01-01-1633</v>
          </cell>
          <cell r="B9222">
            <v>0</v>
          </cell>
          <cell r="C9222" t="str">
            <v xml:space="preserve">  KAHIF NAWAZ CT MILL # 2</v>
          </cell>
          <cell r="D9222">
            <v>0</v>
          </cell>
          <cell r="E9222">
            <v>0</v>
          </cell>
          <cell r="F9222">
            <v>0</v>
          </cell>
          <cell r="G9222">
            <v>0</v>
          </cell>
        </row>
        <row r="9223">
          <cell r="A9223" t="str">
            <v>57-01-01-1634</v>
          </cell>
          <cell r="B9223">
            <v>0</v>
          </cell>
          <cell r="C9223" t="str">
            <v xml:space="preserve">  ATTA ULLAH DF MILL # 3</v>
          </cell>
          <cell r="D9223">
            <v>0</v>
          </cell>
          <cell r="E9223">
            <v>0</v>
          </cell>
          <cell r="F9223">
            <v>0</v>
          </cell>
          <cell r="G9223">
            <v>0</v>
          </cell>
        </row>
        <row r="9224">
          <cell r="A9224" t="str">
            <v>57-01-01-1635</v>
          </cell>
          <cell r="B9224">
            <v>0</v>
          </cell>
          <cell r="C9224" t="str">
            <v xml:space="preserve">  NAJIB ULLAH OPT MILL # 3</v>
          </cell>
          <cell r="D9224">
            <v>0</v>
          </cell>
          <cell r="E9224">
            <v>0</v>
          </cell>
          <cell r="F9224">
            <v>0</v>
          </cell>
          <cell r="G9224">
            <v>0</v>
          </cell>
        </row>
        <row r="9225">
          <cell r="A9225" t="str">
            <v>57-01-01-1636</v>
          </cell>
          <cell r="B9225">
            <v>0</v>
          </cell>
          <cell r="C9225" t="str">
            <v xml:space="preserve">  MUHAMMAD ASGHAR OPT MILL # 3</v>
          </cell>
          <cell r="D9225">
            <v>0</v>
          </cell>
          <cell r="E9225">
            <v>0</v>
          </cell>
          <cell r="F9225">
            <v>0</v>
          </cell>
          <cell r="G9225">
            <v>0</v>
          </cell>
        </row>
        <row r="9226">
          <cell r="A9226" t="str">
            <v>57-01-01-1637</v>
          </cell>
          <cell r="B9226">
            <v>0</v>
          </cell>
          <cell r="C9226" t="str">
            <v xml:space="preserve">  GHULAM MUSTAFA OPT MILL # 2</v>
          </cell>
          <cell r="D9226">
            <v>0</v>
          </cell>
          <cell r="E9226">
            <v>0</v>
          </cell>
          <cell r="F9226">
            <v>0</v>
          </cell>
          <cell r="G9226">
            <v>0</v>
          </cell>
        </row>
        <row r="9227">
          <cell r="A9227" t="str">
            <v>57-01-01-1638</v>
          </cell>
          <cell r="B9227">
            <v>0</v>
          </cell>
          <cell r="C9227" t="str">
            <v xml:space="preserve">  ZAHID MEHMMOD JOBBER MILL # 2</v>
          </cell>
          <cell r="D9227">
            <v>0</v>
          </cell>
          <cell r="E9227">
            <v>0</v>
          </cell>
          <cell r="F9227">
            <v>0</v>
          </cell>
          <cell r="G9227">
            <v>0</v>
          </cell>
        </row>
        <row r="9228">
          <cell r="A9228" t="str">
            <v>57-01-01-1639</v>
          </cell>
          <cell r="B9228">
            <v>0</v>
          </cell>
          <cell r="C9228" t="str">
            <v xml:space="preserve">  MUHAMMAD SALEEM MILL # 4</v>
          </cell>
          <cell r="D9228">
            <v>0</v>
          </cell>
          <cell r="E9228">
            <v>0</v>
          </cell>
          <cell r="F9228">
            <v>0</v>
          </cell>
          <cell r="G9228">
            <v>0</v>
          </cell>
        </row>
        <row r="9229">
          <cell r="A9229" t="str">
            <v>57-01-01-1640</v>
          </cell>
          <cell r="B9229">
            <v>0</v>
          </cell>
          <cell r="C9229" t="str">
            <v xml:space="preserve">  MUHAMMAD ASIF OPT MILL # 2</v>
          </cell>
          <cell r="D9229">
            <v>0</v>
          </cell>
          <cell r="E9229">
            <v>0</v>
          </cell>
          <cell r="F9229">
            <v>0</v>
          </cell>
          <cell r="G9229">
            <v>0</v>
          </cell>
        </row>
        <row r="9230">
          <cell r="A9230" t="str">
            <v>57-01-01-1641</v>
          </cell>
          <cell r="B9230">
            <v>0</v>
          </cell>
          <cell r="C9230" t="str">
            <v xml:space="preserve">  MUHAMMAD AJMAL JOBBER MILL # 4</v>
          </cell>
          <cell r="D9230">
            <v>0</v>
          </cell>
          <cell r="E9230">
            <v>0</v>
          </cell>
          <cell r="F9230">
            <v>0</v>
          </cell>
          <cell r="G9230">
            <v>0</v>
          </cell>
        </row>
        <row r="9231">
          <cell r="A9231" t="str">
            <v>57-01-01-1642</v>
          </cell>
          <cell r="B9231">
            <v>0</v>
          </cell>
          <cell r="C9231" t="str">
            <v xml:space="preserve">  MUHAMMAD RAFIQUE HELPER MILL</v>
          </cell>
          <cell r="D9231">
            <v>0</v>
          </cell>
          <cell r="E9231">
            <v>0</v>
          </cell>
          <cell r="F9231">
            <v>0</v>
          </cell>
          <cell r="G9231">
            <v>0</v>
          </cell>
        </row>
        <row r="9232">
          <cell r="A9232" t="str">
            <v>57-01-01-1643</v>
          </cell>
          <cell r="B9232">
            <v>0</v>
          </cell>
          <cell r="C9232" t="str">
            <v xml:space="preserve">  SALEEM RAZA OPT MILL # 3</v>
          </cell>
          <cell r="D9232">
            <v>0</v>
          </cell>
          <cell r="E9232">
            <v>0</v>
          </cell>
          <cell r="F9232">
            <v>0</v>
          </cell>
          <cell r="G9232">
            <v>0</v>
          </cell>
        </row>
        <row r="9233">
          <cell r="A9233" t="str">
            <v>57-01-01-1644</v>
          </cell>
          <cell r="B9233">
            <v>0</v>
          </cell>
          <cell r="C9233" t="str">
            <v xml:space="preserve">  MUHAMMAD ASKAR OPT MILL # 2</v>
          </cell>
          <cell r="D9233">
            <v>0</v>
          </cell>
          <cell r="E9233">
            <v>0</v>
          </cell>
          <cell r="F9233">
            <v>0</v>
          </cell>
          <cell r="G9233">
            <v>0</v>
          </cell>
        </row>
        <row r="9234">
          <cell r="A9234" t="str">
            <v>57-01-01-1645</v>
          </cell>
          <cell r="B9234">
            <v>0</v>
          </cell>
          <cell r="C9234" t="str">
            <v xml:space="preserve">  ZAFAR IQBAL OPT MILL # 4</v>
          </cell>
          <cell r="D9234">
            <v>0</v>
          </cell>
          <cell r="E9234">
            <v>0</v>
          </cell>
          <cell r="F9234">
            <v>0</v>
          </cell>
          <cell r="G9234">
            <v>0</v>
          </cell>
        </row>
        <row r="9235">
          <cell r="A9235" t="str">
            <v>57-01-01-1646</v>
          </cell>
          <cell r="B9235">
            <v>0</v>
          </cell>
          <cell r="C9235" t="str">
            <v xml:space="preserve">  MUSAWWIR SAJJAD OPT MILL # 4</v>
          </cell>
          <cell r="D9235">
            <v>0</v>
          </cell>
          <cell r="E9235">
            <v>0</v>
          </cell>
          <cell r="F9235">
            <v>0</v>
          </cell>
          <cell r="G9235">
            <v>0</v>
          </cell>
        </row>
        <row r="9236">
          <cell r="A9236" t="str">
            <v>57-01-01-1647</v>
          </cell>
          <cell r="B9236">
            <v>0</v>
          </cell>
          <cell r="C9236" t="str">
            <v xml:space="preserve">  KHALID HUSSAIN 4/S MILL # 4</v>
          </cell>
          <cell r="D9236">
            <v>0</v>
          </cell>
          <cell r="E9236">
            <v>0</v>
          </cell>
          <cell r="F9236">
            <v>0</v>
          </cell>
          <cell r="G9236">
            <v>0</v>
          </cell>
        </row>
        <row r="9237">
          <cell r="A9237" t="str">
            <v>57-01-01-1648</v>
          </cell>
          <cell r="B9237">
            <v>0</v>
          </cell>
          <cell r="C9237" t="str">
            <v xml:space="preserve">  ASGHAR ALI 4/S MILL # 1</v>
          </cell>
          <cell r="D9237">
            <v>0</v>
          </cell>
          <cell r="E9237">
            <v>0</v>
          </cell>
          <cell r="F9237">
            <v>0</v>
          </cell>
          <cell r="G9237">
            <v>0</v>
          </cell>
        </row>
        <row r="9238">
          <cell r="A9238" t="str">
            <v>57-01-01-1649</v>
          </cell>
          <cell r="B9238">
            <v>0</v>
          </cell>
          <cell r="C9238" t="str">
            <v xml:space="preserve">  MUHAMMAD IMRAN 4/S MILL # 1</v>
          </cell>
          <cell r="D9238">
            <v>0</v>
          </cell>
          <cell r="E9238">
            <v>0</v>
          </cell>
          <cell r="F9238">
            <v>0</v>
          </cell>
          <cell r="G9238">
            <v>0</v>
          </cell>
        </row>
        <row r="9239">
          <cell r="A9239" t="str">
            <v>57-01-01-1650</v>
          </cell>
          <cell r="B9239">
            <v>0</v>
          </cell>
          <cell r="C9239" t="str">
            <v xml:space="preserve">  MUHAMMAD IRFAN DF MILL # 2</v>
          </cell>
          <cell r="D9239">
            <v>0</v>
          </cell>
          <cell r="E9239">
            <v>0</v>
          </cell>
          <cell r="F9239">
            <v>0</v>
          </cell>
          <cell r="G9239">
            <v>0</v>
          </cell>
        </row>
        <row r="9240">
          <cell r="A9240" t="str">
            <v>57-01-01-1651</v>
          </cell>
          <cell r="B9240">
            <v>0</v>
          </cell>
          <cell r="C9240" t="str">
            <v xml:space="preserve">  SARFRAZ ALI DF MILL # 2</v>
          </cell>
          <cell r="D9240">
            <v>0</v>
          </cell>
          <cell r="E9240">
            <v>0</v>
          </cell>
          <cell r="F9240">
            <v>0</v>
          </cell>
          <cell r="G9240">
            <v>0</v>
          </cell>
        </row>
        <row r="9241">
          <cell r="A9241" t="str">
            <v>57-01-01-1652</v>
          </cell>
          <cell r="B9241">
            <v>0</v>
          </cell>
          <cell r="C9241" t="str">
            <v xml:space="preserve">  BASHRAT HUSSAIN OPT MILL # 4</v>
          </cell>
          <cell r="D9241">
            <v>0</v>
          </cell>
          <cell r="E9241">
            <v>0</v>
          </cell>
          <cell r="F9241">
            <v>0</v>
          </cell>
          <cell r="G9241">
            <v>0</v>
          </cell>
        </row>
        <row r="9242">
          <cell r="A9242" t="str">
            <v>57-01-01-1653</v>
          </cell>
          <cell r="B9242">
            <v>0</v>
          </cell>
          <cell r="C9242" t="str">
            <v xml:space="preserve">  ISHTIAQ AHMED 4/S MILL # 2</v>
          </cell>
          <cell r="D9242">
            <v>0</v>
          </cell>
          <cell r="E9242">
            <v>0</v>
          </cell>
          <cell r="F9242">
            <v>0</v>
          </cell>
          <cell r="G9242">
            <v>0</v>
          </cell>
        </row>
        <row r="9243">
          <cell r="A9243" t="str">
            <v>57-01-01-1654</v>
          </cell>
          <cell r="B9243">
            <v>0</v>
          </cell>
          <cell r="C9243" t="str">
            <v xml:space="preserve">  MUHAMMAD RAMZAN OPT MILL # 2</v>
          </cell>
          <cell r="D9243">
            <v>0</v>
          </cell>
          <cell r="E9243">
            <v>0</v>
          </cell>
          <cell r="F9243">
            <v>0</v>
          </cell>
          <cell r="G9243">
            <v>0</v>
          </cell>
        </row>
        <row r="9244">
          <cell r="A9244" t="str">
            <v>57-01-01-1655</v>
          </cell>
          <cell r="B9244">
            <v>0</v>
          </cell>
          <cell r="C9244" t="str">
            <v xml:space="preserve">  AZHAR MEHMOOD OPT MILL # 1</v>
          </cell>
          <cell r="D9244">
            <v>0</v>
          </cell>
          <cell r="E9244">
            <v>0</v>
          </cell>
          <cell r="F9244">
            <v>0</v>
          </cell>
          <cell r="G9244">
            <v>0</v>
          </cell>
        </row>
        <row r="9245">
          <cell r="A9245" t="str">
            <v>57-01-01-1656</v>
          </cell>
          <cell r="B9245">
            <v>0</v>
          </cell>
          <cell r="C9245" t="str">
            <v xml:space="preserve">  MUHAMMAD HAYAT DF MILL # 1</v>
          </cell>
          <cell r="D9245">
            <v>0</v>
          </cell>
          <cell r="E9245">
            <v>0</v>
          </cell>
          <cell r="F9245">
            <v>0</v>
          </cell>
          <cell r="G9245">
            <v>0</v>
          </cell>
        </row>
        <row r="9246">
          <cell r="A9246" t="str">
            <v>57-01-01-1657</v>
          </cell>
          <cell r="B9246">
            <v>0</v>
          </cell>
          <cell r="C9246" t="str">
            <v xml:space="preserve">  MUHAMMAD RAMZAN OPT MILL # 4</v>
          </cell>
          <cell r="D9246">
            <v>0</v>
          </cell>
          <cell r="E9246">
            <v>0</v>
          </cell>
          <cell r="F9246">
            <v>0</v>
          </cell>
          <cell r="G9246">
            <v>0</v>
          </cell>
        </row>
        <row r="9247">
          <cell r="A9247" t="str">
            <v>57-01-01-1658</v>
          </cell>
          <cell r="B9247">
            <v>0</v>
          </cell>
          <cell r="C9247" t="str">
            <v xml:space="preserve">  MUHAMMAD QASIM 4/S MILL # 2</v>
          </cell>
          <cell r="D9247">
            <v>0</v>
          </cell>
          <cell r="E9247">
            <v>0</v>
          </cell>
          <cell r="F9247">
            <v>0</v>
          </cell>
          <cell r="G9247">
            <v>0</v>
          </cell>
        </row>
        <row r="9248">
          <cell r="A9248" t="str">
            <v>57-01-01-1659</v>
          </cell>
          <cell r="B9248">
            <v>0</v>
          </cell>
          <cell r="C9248" t="str">
            <v xml:space="preserve">  MUHAMMAD SHARIF DST MILL # 3</v>
          </cell>
          <cell r="D9248">
            <v>0</v>
          </cell>
          <cell r="E9248">
            <v>0</v>
          </cell>
          <cell r="F9248">
            <v>0</v>
          </cell>
          <cell r="G9248">
            <v>0</v>
          </cell>
        </row>
        <row r="9249">
          <cell r="A9249" t="str">
            <v>57-01-01-1660</v>
          </cell>
          <cell r="B9249">
            <v>0</v>
          </cell>
          <cell r="C9249" t="str">
            <v xml:space="preserve">  AAMIR SHAHZAD MILL # 1</v>
          </cell>
          <cell r="D9249">
            <v>0</v>
          </cell>
          <cell r="E9249">
            <v>0</v>
          </cell>
          <cell r="F9249">
            <v>0</v>
          </cell>
          <cell r="G9249">
            <v>0</v>
          </cell>
        </row>
        <row r="9250">
          <cell r="A9250" t="str">
            <v>57-01-01-1661</v>
          </cell>
          <cell r="B9250">
            <v>0</v>
          </cell>
          <cell r="C9250" t="str">
            <v xml:space="preserve">  FARHAT ABBAS MILL # 4</v>
          </cell>
          <cell r="D9250">
            <v>0</v>
          </cell>
          <cell r="E9250">
            <v>0</v>
          </cell>
          <cell r="F9250">
            <v>0</v>
          </cell>
          <cell r="G9250">
            <v>0</v>
          </cell>
        </row>
        <row r="9251">
          <cell r="A9251" t="str">
            <v>57-01-01-1662</v>
          </cell>
          <cell r="B9251">
            <v>0</v>
          </cell>
          <cell r="C9251" t="str">
            <v xml:space="preserve">  MUHAMMAD TUFAIL CT MILL # 3</v>
          </cell>
          <cell r="D9251">
            <v>0</v>
          </cell>
          <cell r="E9251">
            <v>0</v>
          </cell>
          <cell r="F9251">
            <v>0</v>
          </cell>
          <cell r="G9251">
            <v>0</v>
          </cell>
        </row>
        <row r="9252">
          <cell r="A9252" t="str">
            <v>57-01-01-1663</v>
          </cell>
          <cell r="B9252">
            <v>0</v>
          </cell>
          <cell r="C9252" t="str">
            <v xml:space="preserve">  FATEH KHAN JOBBER MILL # 4</v>
          </cell>
          <cell r="D9252">
            <v>0</v>
          </cell>
          <cell r="E9252">
            <v>0</v>
          </cell>
          <cell r="F9252">
            <v>0</v>
          </cell>
          <cell r="G9252">
            <v>0</v>
          </cell>
        </row>
        <row r="9253">
          <cell r="A9253" t="str">
            <v>57-01-01-1664</v>
          </cell>
          <cell r="B9253">
            <v>0</v>
          </cell>
          <cell r="C9253" t="str">
            <v xml:space="preserve">  TANVIR HUSSAIN HELPER MILL # 1</v>
          </cell>
          <cell r="D9253">
            <v>0</v>
          </cell>
          <cell r="E9253">
            <v>0</v>
          </cell>
          <cell r="F9253">
            <v>0</v>
          </cell>
          <cell r="G9253">
            <v>0</v>
          </cell>
        </row>
        <row r="9254">
          <cell r="A9254" t="str">
            <v>57-01-01-1665</v>
          </cell>
          <cell r="B9254">
            <v>0</v>
          </cell>
          <cell r="C9254" t="str">
            <v xml:space="preserve">  SAIF ULLAH JOBBER MILL # 3</v>
          </cell>
          <cell r="D9254">
            <v>0</v>
          </cell>
          <cell r="E9254">
            <v>0</v>
          </cell>
          <cell r="F9254">
            <v>0</v>
          </cell>
          <cell r="G9254">
            <v>0</v>
          </cell>
        </row>
        <row r="9255">
          <cell r="A9255" t="str">
            <v>57-01-01-1666</v>
          </cell>
          <cell r="B9255">
            <v>0</v>
          </cell>
          <cell r="C9255" t="str">
            <v xml:space="preserve">  SAJID MEHMOOD DST MILL # 1</v>
          </cell>
          <cell r="D9255">
            <v>0</v>
          </cell>
          <cell r="E9255">
            <v>0</v>
          </cell>
          <cell r="F9255">
            <v>0</v>
          </cell>
          <cell r="G9255">
            <v>0</v>
          </cell>
        </row>
        <row r="9256">
          <cell r="A9256" t="str">
            <v>57-01-01-1667</v>
          </cell>
          <cell r="B9256">
            <v>0</v>
          </cell>
          <cell r="C9256" t="str">
            <v xml:space="preserve">  ABDUL HUSSAIN OPT MILL # 1</v>
          </cell>
          <cell r="D9256">
            <v>0</v>
          </cell>
          <cell r="E9256">
            <v>0</v>
          </cell>
          <cell r="F9256">
            <v>0</v>
          </cell>
          <cell r="G9256">
            <v>0</v>
          </cell>
        </row>
        <row r="9257">
          <cell r="A9257" t="str">
            <v>57-01-01-1668</v>
          </cell>
          <cell r="B9257">
            <v>0</v>
          </cell>
          <cell r="C9257" t="str">
            <v xml:space="preserve">  MUNIR AHMED 4/S MILL # 3</v>
          </cell>
          <cell r="D9257">
            <v>0</v>
          </cell>
          <cell r="E9257">
            <v>0</v>
          </cell>
          <cell r="F9257">
            <v>0</v>
          </cell>
          <cell r="G9257">
            <v>0</v>
          </cell>
        </row>
        <row r="9258">
          <cell r="A9258" t="str">
            <v>57-01-01-1669</v>
          </cell>
          <cell r="B9258">
            <v>0</v>
          </cell>
          <cell r="C9258" t="str">
            <v xml:space="preserve">  QAZI AHMED 4/S MILL # 1</v>
          </cell>
          <cell r="D9258">
            <v>0</v>
          </cell>
          <cell r="E9258">
            <v>0</v>
          </cell>
          <cell r="F9258">
            <v>0</v>
          </cell>
          <cell r="G9258">
            <v>0</v>
          </cell>
        </row>
        <row r="9259">
          <cell r="A9259" t="str">
            <v>57-01-01-1670</v>
          </cell>
          <cell r="B9259">
            <v>0</v>
          </cell>
          <cell r="C9259" t="str">
            <v xml:space="preserve">  BANARAS ALI OPT MILL # 1</v>
          </cell>
          <cell r="D9259">
            <v>0</v>
          </cell>
          <cell r="E9259">
            <v>0</v>
          </cell>
          <cell r="F9259">
            <v>0</v>
          </cell>
          <cell r="G9259">
            <v>0</v>
          </cell>
        </row>
        <row r="9260">
          <cell r="A9260" t="str">
            <v>57-01-01-1671</v>
          </cell>
          <cell r="B9260">
            <v>0</v>
          </cell>
          <cell r="C9260" t="str">
            <v xml:space="preserve">  SHAUKAT HAYAT FITTER MILL # 3</v>
          </cell>
          <cell r="D9260">
            <v>0</v>
          </cell>
          <cell r="E9260">
            <v>0</v>
          </cell>
          <cell r="F9260">
            <v>0</v>
          </cell>
          <cell r="G9260">
            <v>0</v>
          </cell>
        </row>
        <row r="9261">
          <cell r="A9261" t="str">
            <v>57-01-01-1672</v>
          </cell>
          <cell r="B9261">
            <v>0</v>
          </cell>
          <cell r="C9261" t="str">
            <v xml:space="preserve">  ASMAT ALI 4/S MILL # 2</v>
          </cell>
          <cell r="D9261">
            <v>0</v>
          </cell>
          <cell r="E9261">
            <v>0</v>
          </cell>
          <cell r="F9261">
            <v>0</v>
          </cell>
          <cell r="G9261">
            <v>0</v>
          </cell>
        </row>
        <row r="9262">
          <cell r="A9262" t="str">
            <v>57-01-01-1673</v>
          </cell>
          <cell r="B9262">
            <v>0</v>
          </cell>
          <cell r="C9262" t="str">
            <v xml:space="preserve">  ABDUL LATIF HELPER MILL # 4</v>
          </cell>
          <cell r="D9262">
            <v>0</v>
          </cell>
          <cell r="E9262">
            <v>0</v>
          </cell>
          <cell r="F9262">
            <v>0</v>
          </cell>
          <cell r="G9262">
            <v>0</v>
          </cell>
        </row>
        <row r="9263">
          <cell r="A9263" t="str">
            <v>57-01-01-1674</v>
          </cell>
          <cell r="B9263">
            <v>0</v>
          </cell>
          <cell r="C9263" t="str">
            <v xml:space="preserve">  AZHAR MEHMOOD MILL # 3</v>
          </cell>
          <cell r="D9263">
            <v>0</v>
          </cell>
          <cell r="E9263">
            <v>0</v>
          </cell>
          <cell r="F9263">
            <v>0</v>
          </cell>
          <cell r="G9263">
            <v>0</v>
          </cell>
        </row>
        <row r="9264">
          <cell r="A9264" t="str">
            <v>57-01-01-1675</v>
          </cell>
          <cell r="B9264">
            <v>0</v>
          </cell>
          <cell r="C9264" t="str">
            <v xml:space="preserve">  SHAMSHAD KHAN A/FITTER MILL # 4</v>
          </cell>
          <cell r="D9264">
            <v>0</v>
          </cell>
          <cell r="E9264">
            <v>0</v>
          </cell>
          <cell r="F9264">
            <v>0</v>
          </cell>
          <cell r="G9264">
            <v>0</v>
          </cell>
        </row>
        <row r="9265">
          <cell r="A9265" t="str">
            <v>57-01-01-1676</v>
          </cell>
          <cell r="B9265">
            <v>0</v>
          </cell>
          <cell r="C9265" t="str">
            <v xml:space="preserve">  MUHAMMAD LATIF OPT MILL # 4</v>
          </cell>
          <cell r="D9265">
            <v>0</v>
          </cell>
          <cell r="E9265">
            <v>0</v>
          </cell>
          <cell r="F9265">
            <v>0</v>
          </cell>
          <cell r="G9265">
            <v>0</v>
          </cell>
        </row>
        <row r="9266">
          <cell r="A9266" t="str">
            <v>57-01-01-1677</v>
          </cell>
          <cell r="B9266">
            <v>0</v>
          </cell>
          <cell r="C9266" t="str">
            <v xml:space="preserve">  MUHAMMAD TARIQ HELPER MILL # 2</v>
          </cell>
          <cell r="D9266">
            <v>0</v>
          </cell>
          <cell r="E9266">
            <v>0</v>
          </cell>
          <cell r="F9266">
            <v>0</v>
          </cell>
          <cell r="G9266">
            <v>0</v>
          </cell>
        </row>
        <row r="9267">
          <cell r="A9267" t="str">
            <v>57-01-01-1678</v>
          </cell>
          <cell r="B9267">
            <v>0</v>
          </cell>
          <cell r="C9267" t="str">
            <v xml:space="preserve">  AAMIR SAJJAD DF MILL # 1</v>
          </cell>
          <cell r="D9267">
            <v>0</v>
          </cell>
          <cell r="E9267">
            <v>0</v>
          </cell>
          <cell r="F9267">
            <v>0</v>
          </cell>
          <cell r="G9267">
            <v>0</v>
          </cell>
        </row>
        <row r="9268">
          <cell r="A9268" t="str">
            <v>57-01-01-1679</v>
          </cell>
          <cell r="B9268">
            <v>0</v>
          </cell>
          <cell r="C9268" t="str">
            <v xml:space="preserve">  MUZAMMIL HUSSAIN DF MILL # 1</v>
          </cell>
          <cell r="D9268">
            <v>0</v>
          </cell>
          <cell r="E9268">
            <v>0</v>
          </cell>
          <cell r="F9268">
            <v>0</v>
          </cell>
          <cell r="G9268">
            <v>0</v>
          </cell>
        </row>
        <row r="9269">
          <cell r="A9269" t="str">
            <v>57-01-01-1680</v>
          </cell>
          <cell r="B9269">
            <v>0</v>
          </cell>
          <cell r="C9269" t="str">
            <v xml:space="preserve">  MULAZIM HUSSAIN HELPER MILL # 2</v>
          </cell>
          <cell r="D9269">
            <v>0</v>
          </cell>
          <cell r="E9269">
            <v>0</v>
          </cell>
          <cell r="F9269">
            <v>0</v>
          </cell>
          <cell r="G9269">
            <v>0</v>
          </cell>
        </row>
        <row r="9270">
          <cell r="A9270" t="str">
            <v>57-01-01-1681</v>
          </cell>
          <cell r="B9270">
            <v>0</v>
          </cell>
          <cell r="C9270" t="str">
            <v xml:space="preserve">  RAFAQAT ALI DF MILL # 1</v>
          </cell>
          <cell r="D9270">
            <v>0</v>
          </cell>
          <cell r="E9270">
            <v>0</v>
          </cell>
          <cell r="F9270">
            <v>0</v>
          </cell>
          <cell r="G9270">
            <v>0</v>
          </cell>
        </row>
        <row r="9271">
          <cell r="A9271" t="str">
            <v>57-01-01-1682</v>
          </cell>
          <cell r="B9271">
            <v>0</v>
          </cell>
          <cell r="C9271" t="str">
            <v xml:space="preserve">  FARMAN ALI 4/S MILL # 3</v>
          </cell>
          <cell r="D9271">
            <v>0</v>
          </cell>
          <cell r="E9271">
            <v>0</v>
          </cell>
          <cell r="F9271">
            <v>0</v>
          </cell>
          <cell r="G9271">
            <v>0</v>
          </cell>
        </row>
        <row r="9272">
          <cell r="A9272" t="str">
            <v>57-01-01-1683</v>
          </cell>
          <cell r="B9272">
            <v>0</v>
          </cell>
          <cell r="C9272" t="str">
            <v xml:space="preserve">  MUHAMMAD SAGHIR OPT MILL # 3</v>
          </cell>
          <cell r="D9272">
            <v>0</v>
          </cell>
          <cell r="E9272">
            <v>0</v>
          </cell>
          <cell r="F9272">
            <v>0</v>
          </cell>
          <cell r="G9272">
            <v>0</v>
          </cell>
        </row>
        <row r="9273">
          <cell r="A9273" t="str">
            <v>57-01-01-1684</v>
          </cell>
          <cell r="B9273">
            <v>0</v>
          </cell>
          <cell r="C9273" t="str">
            <v xml:space="preserve">  SHAH JEHAN 4/S MILL # 1</v>
          </cell>
          <cell r="D9273">
            <v>0</v>
          </cell>
          <cell r="E9273">
            <v>0</v>
          </cell>
          <cell r="F9273">
            <v>0</v>
          </cell>
          <cell r="G9273">
            <v>0</v>
          </cell>
        </row>
        <row r="9274">
          <cell r="A9274" t="str">
            <v>57-01-01-1685</v>
          </cell>
          <cell r="B9274">
            <v>0</v>
          </cell>
          <cell r="C9274" t="str">
            <v xml:space="preserve">  MUHAMMAD SAFDAR A/JOBBER MILL #</v>
          </cell>
          <cell r="D9274">
            <v>0</v>
          </cell>
          <cell r="E9274">
            <v>0</v>
          </cell>
          <cell r="F9274">
            <v>0</v>
          </cell>
          <cell r="G9274">
            <v>0</v>
          </cell>
        </row>
        <row r="9275">
          <cell r="A9275" t="str">
            <v>57-01-01-1686</v>
          </cell>
          <cell r="B9275">
            <v>0</v>
          </cell>
          <cell r="C9275" t="str">
            <v xml:space="preserve">  RAHMAT ULLAH DDT MILL # 4</v>
          </cell>
          <cell r="D9275">
            <v>0</v>
          </cell>
          <cell r="E9275">
            <v>0</v>
          </cell>
          <cell r="F9275">
            <v>0</v>
          </cell>
          <cell r="G9275">
            <v>0</v>
          </cell>
        </row>
        <row r="9276">
          <cell r="A9276" t="str">
            <v>57-01-01-1687</v>
          </cell>
          <cell r="B9276">
            <v>0</v>
          </cell>
          <cell r="C9276" t="str">
            <v xml:space="preserve">  MUHAMMAD BILAL OPT MILL # 4</v>
          </cell>
          <cell r="D9276">
            <v>0</v>
          </cell>
          <cell r="E9276">
            <v>0</v>
          </cell>
          <cell r="F9276">
            <v>0</v>
          </cell>
          <cell r="G9276">
            <v>0</v>
          </cell>
        </row>
        <row r="9277">
          <cell r="A9277" t="str">
            <v>57-01-01-1688</v>
          </cell>
          <cell r="B9277">
            <v>0</v>
          </cell>
          <cell r="C9277" t="str">
            <v xml:space="preserve">  SAID MUHAMMAD DDT MILL # 4</v>
          </cell>
          <cell r="D9277">
            <v>0</v>
          </cell>
          <cell r="E9277">
            <v>0</v>
          </cell>
          <cell r="F9277">
            <v>0</v>
          </cell>
          <cell r="G9277">
            <v>0</v>
          </cell>
        </row>
        <row r="9278">
          <cell r="A9278" t="str">
            <v>57-01-01-1689</v>
          </cell>
          <cell r="B9278">
            <v>0</v>
          </cell>
          <cell r="C9278" t="str">
            <v xml:space="preserve">  MUHAMMAD ISHFAQ OPT MILL # 1</v>
          </cell>
          <cell r="D9278">
            <v>0</v>
          </cell>
          <cell r="E9278">
            <v>0</v>
          </cell>
          <cell r="F9278">
            <v>0</v>
          </cell>
          <cell r="G9278">
            <v>0</v>
          </cell>
        </row>
        <row r="9279">
          <cell r="A9279" t="str">
            <v>57-01-01-1690</v>
          </cell>
          <cell r="B9279">
            <v>0</v>
          </cell>
          <cell r="C9279" t="str">
            <v xml:space="preserve">  ABDUL MASHAL OPT MILL # 3</v>
          </cell>
          <cell r="D9279">
            <v>0</v>
          </cell>
          <cell r="E9279">
            <v>0</v>
          </cell>
          <cell r="F9279">
            <v>0</v>
          </cell>
          <cell r="G9279">
            <v>0</v>
          </cell>
        </row>
        <row r="9280">
          <cell r="A9280" t="str">
            <v>57-01-01-1691</v>
          </cell>
          <cell r="B9280">
            <v>0</v>
          </cell>
          <cell r="C9280" t="str">
            <v xml:space="preserve">  MUHAMMAD IJAZ DST MILL # 4</v>
          </cell>
          <cell r="D9280">
            <v>0</v>
          </cell>
          <cell r="E9280">
            <v>0</v>
          </cell>
          <cell r="F9280">
            <v>0</v>
          </cell>
          <cell r="G9280">
            <v>0</v>
          </cell>
        </row>
        <row r="9281">
          <cell r="A9281" t="str">
            <v>57-01-01-1692</v>
          </cell>
          <cell r="B9281">
            <v>0</v>
          </cell>
          <cell r="C9281" t="str">
            <v xml:space="preserve">  NAZAR HAYAT OPT MILL # 1</v>
          </cell>
          <cell r="D9281">
            <v>0</v>
          </cell>
          <cell r="E9281">
            <v>0</v>
          </cell>
          <cell r="F9281">
            <v>0</v>
          </cell>
          <cell r="G9281">
            <v>0</v>
          </cell>
        </row>
        <row r="9282">
          <cell r="A9282" t="str">
            <v>57-01-01-1693</v>
          </cell>
          <cell r="B9282">
            <v>0</v>
          </cell>
          <cell r="C9282" t="str">
            <v xml:space="preserve">  MUHAMMAD SHABAN OPT MILL # 1</v>
          </cell>
          <cell r="D9282">
            <v>0</v>
          </cell>
          <cell r="E9282">
            <v>0</v>
          </cell>
          <cell r="F9282">
            <v>0</v>
          </cell>
          <cell r="G9282">
            <v>0</v>
          </cell>
        </row>
        <row r="9283">
          <cell r="A9283" t="str">
            <v>57-01-01-1694</v>
          </cell>
          <cell r="B9283">
            <v>0</v>
          </cell>
          <cell r="C9283" t="str">
            <v xml:space="preserve">  SARFARAZ AHMED OPT MILL # 1</v>
          </cell>
          <cell r="D9283">
            <v>0</v>
          </cell>
          <cell r="E9283">
            <v>0</v>
          </cell>
          <cell r="F9283">
            <v>0</v>
          </cell>
          <cell r="G9283">
            <v>0</v>
          </cell>
        </row>
        <row r="9284">
          <cell r="A9284" t="str">
            <v>57-01-01-1695</v>
          </cell>
          <cell r="B9284">
            <v>0</v>
          </cell>
          <cell r="C9284" t="str">
            <v xml:space="preserve">  MUHAMMAD ASLAM OPT MILL # 3</v>
          </cell>
          <cell r="D9284">
            <v>0</v>
          </cell>
          <cell r="E9284">
            <v>0</v>
          </cell>
          <cell r="F9284">
            <v>0</v>
          </cell>
          <cell r="G9284">
            <v>0</v>
          </cell>
        </row>
        <row r="9285">
          <cell r="A9285" t="str">
            <v>57-01-01-1696</v>
          </cell>
          <cell r="B9285">
            <v>0</v>
          </cell>
          <cell r="C9285" t="str">
            <v xml:space="preserve">  GHULAM SARWAR OPT MILL # 3</v>
          </cell>
          <cell r="D9285">
            <v>0</v>
          </cell>
          <cell r="E9285">
            <v>0</v>
          </cell>
          <cell r="F9285">
            <v>0</v>
          </cell>
          <cell r="G9285">
            <v>0</v>
          </cell>
        </row>
        <row r="9286">
          <cell r="A9286" t="str">
            <v>57-01-01-1697</v>
          </cell>
          <cell r="B9286">
            <v>0</v>
          </cell>
          <cell r="C9286" t="str">
            <v xml:space="preserve">  MUNAWAR HUSSAIN DST MILL # 2</v>
          </cell>
          <cell r="D9286">
            <v>0</v>
          </cell>
          <cell r="E9286">
            <v>0</v>
          </cell>
          <cell r="F9286">
            <v>0</v>
          </cell>
          <cell r="G9286">
            <v>0</v>
          </cell>
        </row>
        <row r="9287">
          <cell r="A9287" t="str">
            <v>57-01-01-1698</v>
          </cell>
          <cell r="B9287">
            <v>0</v>
          </cell>
          <cell r="C9287" t="str">
            <v xml:space="preserve">  NADIM AKHTAR OPT MILL # 2</v>
          </cell>
          <cell r="D9287">
            <v>0</v>
          </cell>
          <cell r="E9287">
            <v>0</v>
          </cell>
          <cell r="F9287">
            <v>0</v>
          </cell>
          <cell r="G9287">
            <v>0</v>
          </cell>
        </row>
        <row r="9288">
          <cell r="A9288" t="str">
            <v>57-01-01-1699</v>
          </cell>
          <cell r="B9288">
            <v>0</v>
          </cell>
          <cell r="C9288" t="str">
            <v xml:space="preserve">  GHULAM SARWAR 4/S MILL # 2</v>
          </cell>
          <cell r="D9288">
            <v>0</v>
          </cell>
          <cell r="E9288">
            <v>0</v>
          </cell>
          <cell r="F9288">
            <v>0</v>
          </cell>
          <cell r="G9288">
            <v>0</v>
          </cell>
        </row>
        <row r="9289">
          <cell r="A9289" t="str">
            <v>57-01-01-1700</v>
          </cell>
          <cell r="B9289">
            <v>0</v>
          </cell>
          <cell r="C9289" t="str">
            <v xml:space="preserve">  MUHAMMAD KHALID NADEEM OIL MAN</v>
          </cell>
          <cell r="D9289">
            <v>0</v>
          </cell>
          <cell r="E9289">
            <v>0</v>
          </cell>
          <cell r="F9289">
            <v>0</v>
          </cell>
          <cell r="G9289">
            <v>0</v>
          </cell>
        </row>
        <row r="9290">
          <cell r="A9290" t="str">
            <v>57-01-01-1701</v>
          </cell>
          <cell r="B9290">
            <v>0</v>
          </cell>
          <cell r="C9290" t="str">
            <v xml:space="preserve">  MUSARRAT HUSSAIN Q.OBSERVER</v>
          </cell>
          <cell r="D9290">
            <v>0</v>
          </cell>
          <cell r="E9290">
            <v>0</v>
          </cell>
          <cell r="F9290">
            <v>0</v>
          </cell>
          <cell r="G9290">
            <v>0</v>
          </cell>
        </row>
        <row r="9291">
          <cell r="A9291" t="str">
            <v>57-01-01-1702</v>
          </cell>
          <cell r="B9291">
            <v>0</v>
          </cell>
          <cell r="C9291" t="str">
            <v xml:space="preserve">  ASIF KHAN JOBBER MILL  1</v>
          </cell>
          <cell r="D9291">
            <v>0</v>
          </cell>
          <cell r="E9291">
            <v>0</v>
          </cell>
          <cell r="F9291">
            <v>0</v>
          </cell>
          <cell r="G9291">
            <v>0</v>
          </cell>
        </row>
        <row r="9292">
          <cell r="A9292" t="str">
            <v>57-01-01-1703</v>
          </cell>
          <cell r="B9292">
            <v>0</v>
          </cell>
          <cell r="C9292" t="str">
            <v xml:space="preserve">  FATEH MUHAMMAD 4/S MILL # 4</v>
          </cell>
          <cell r="D9292">
            <v>0</v>
          </cell>
          <cell r="E9292">
            <v>0</v>
          </cell>
          <cell r="F9292">
            <v>0</v>
          </cell>
          <cell r="G9292">
            <v>0</v>
          </cell>
        </row>
        <row r="9293">
          <cell r="A9293" t="str">
            <v>57-01-01-1704</v>
          </cell>
          <cell r="B9293">
            <v>0</v>
          </cell>
          <cell r="C9293" t="str">
            <v xml:space="preserve">  FAZLI SUBHAN 4/S RING # 4</v>
          </cell>
          <cell r="D9293">
            <v>0</v>
          </cell>
          <cell r="E9293">
            <v>0</v>
          </cell>
          <cell r="F9293">
            <v>0</v>
          </cell>
          <cell r="G9293">
            <v>0</v>
          </cell>
        </row>
        <row r="9294">
          <cell r="A9294" t="str">
            <v>57-01-01-1705</v>
          </cell>
          <cell r="B9294">
            <v>0</v>
          </cell>
          <cell r="C9294" t="str">
            <v xml:space="preserve">  MUSHTAQ HUSSAIN OPT A/CONE</v>
          </cell>
          <cell r="D9294">
            <v>0</v>
          </cell>
          <cell r="E9294">
            <v>0</v>
          </cell>
          <cell r="F9294">
            <v>0</v>
          </cell>
          <cell r="G9294">
            <v>0</v>
          </cell>
        </row>
        <row r="9295">
          <cell r="A9295" t="str">
            <v>57-01-01-1706</v>
          </cell>
          <cell r="B9295">
            <v>0</v>
          </cell>
          <cell r="C9295" t="str">
            <v xml:space="preserve">  MUHAMMAD GULTAUB A/JOBBER M</v>
          </cell>
          <cell r="D9295">
            <v>0</v>
          </cell>
          <cell r="E9295">
            <v>0</v>
          </cell>
          <cell r="F9295">
            <v>0</v>
          </cell>
          <cell r="G9295">
            <v>0</v>
          </cell>
        </row>
        <row r="9296">
          <cell r="A9296" t="str">
            <v>57-01-01-1707</v>
          </cell>
          <cell r="B9296">
            <v>0</v>
          </cell>
          <cell r="C9296" t="str">
            <v xml:space="preserve">  ZAKAULLAH DF RING # 3</v>
          </cell>
          <cell r="D9296">
            <v>0</v>
          </cell>
          <cell r="E9296">
            <v>0</v>
          </cell>
          <cell r="F9296">
            <v>0</v>
          </cell>
          <cell r="G9296">
            <v>0</v>
          </cell>
        </row>
        <row r="9297">
          <cell r="A9297" t="str">
            <v>57-01-01-1708</v>
          </cell>
          <cell r="B9297">
            <v>0</v>
          </cell>
          <cell r="C9297" t="str">
            <v xml:space="preserve">  ABID MEHMOOD DESPATCH ASSISSTANT</v>
          </cell>
          <cell r="D9297">
            <v>0</v>
          </cell>
          <cell r="E9297">
            <v>0</v>
          </cell>
          <cell r="F9297">
            <v>0</v>
          </cell>
          <cell r="G9297">
            <v>0</v>
          </cell>
        </row>
        <row r="9298">
          <cell r="A9298" t="str">
            <v>57-01-01-1709</v>
          </cell>
          <cell r="B9298">
            <v>0</v>
          </cell>
          <cell r="C9298" t="str">
            <v xml:space="preserve">  MUHAMMAD SADIQUE DF B/ROOM M</v>
          </cell>
          <cell r="D9298">
            <v>0</v>
          </cell>
          <cell r="E9298">
            <v>0</v>
          </cell>
          <cell r="F9298">
            <v>0</v>
          </cell>
          <cell r="G9298">
            <v>0</v>
          </cell>
        </row>
        <row r="9299">
          <cell r="A9299" t="str">
            <v>57-01-01-1710</v>
          </cell>
          <cell r="B9299">
            <v>0</v>
          </cell>
          <cell r="C9299" t="str">
            <v xml:space="preserve">  SAMR HUSAIN C/T CARD</v>
          </cell>
          <cell r="D9299">
            <v>0</v>
          </cell>
          <cell r="E9299">
            <v>0</v>
          </cell>
          <cell r="F9299">
            <v>0</v>
          </cell>
          <cell r="G9299">
            <v>0</v>
          </cell>
        </row>
        <row r="9300">
          <cell r="A9300" t="str">
            <v>57-01-01-1711</v>
          </cell>
          <cell r="B9300">
            <v>0</v>
          </cell>
          <cell r="C9300" t="str">
            <v xml:space="preserve">  ZEESHAN DF RING # 3</v>
          </cell>
          <cell r="D9300">
            <v>0</v>
          </cell>
          <cell r="E9300">
            <v>0</v>
          </cell>
          <cell r="F9300">
            <v>0</v>
          </cell>
          <cell r="G9300">
            <v>0</v>
          </cell>
        </row>
        <row r="9301">
          <cell r="A9301" t="str">
            <v>57-01-01-1712</v>
          </cell>
          <cell r="B9301">
            <v>0</v>
          </cell>
          <cell r="C9301" t="str">
            <v xml:space="preserve">  NASIR IQBAL 4/S RING # 3</v>
          </cell>
          <cell r="D9301">
            <v>0</v>
          </cell>
          <cell r="E9301">
            <v>0</v>
          </cell>
          <cell r="F9301">
            <v>0</v>
          </cell>
          <cell r="G9301">
            <v>0</v>
          </cell>
        </row>
        <row r="9302">
          <cell r="A9302" t="str">
            <v>57-01-01-1713</v>
          </cell>
          <cell r="B9302">
            <v>0</v>
          </cell>
          <cell r="C9302" t="str">
            <v xml:space="preserve">  LIAQAT ALI 4/S RING</v>
          </cell>
          <cell r="D9302">
            <v>0</v>
          </cell>
          <cell r="E9302">
            <v>0</v>
          </cell>
          <cell r="F9302">
            <v>0</v>
          </cell>
          <cell r="G9302">
            <v>0</v>
          </cell>
        </row>
        <row r="9303">
          <cell r="A9303" t="str">
            <v>57-01-01-1714</v>
          </cell>
          <cell r="B9303">
            <v>0</v>
          </cell>
          <cell r="C9303" t="str">
            <v xml:space="preserve">  MUHAMMAD GULFAM 4/S MILL # 1</v>
          </cell>
          <cell r="D9303">
            <v>0</v>
          </cell>
          <cell r="E9303">
            <v>0</v>
          </cell>
          <cell r="F9303">
            <v>0</v>
          </cell>
          <cell r="G9303">
            <v>0</v>
          </cell>
        </row>
        <row r="9304">
          <cell r="A9304" t="str">
            <v>57-01-01-1715</v>
          </cell>
          <cell r="B9304">
            <v>0</v>
          </cell>
          <cell r="C9304" t="str">
            <v xml:space="preserve">  FAISAL REHMAN CT MILL # 3</v>
          </cell>
          <cell r="D9304">
            <v>0</v>
          </cell>
          <cell r="E9304">
            <v>0</v>
          </cell>
          <cell r="F9304">
            <v>0</v>
          </cell>
          <cell r="G9304">
            <v>0</v>
          </cell>
        </row>
        <row r="9305">
          <cell r="A9305" t="str">
            <v>57-01-01-1716</v>
          </cell>
          <cell r="B9305">
            <v>0</v>
          </cell>
          <cell r="C9305" t="str">
            <v xml:space="preserve">  SHAMSUR REHMAN DST MILL # 2</v>
          </cell>
          <cell r="D9305">
            <v>0</v>
          </cell>
          <cell r="E9305">
            <v>0</v>
          </cell>
          <cell r="F9305">
            <v>0</v>
          </cell>
          <cell r="G9305">
            <v>0</v>
          </cell>
        </row>
        <row r="9306">
          <cell r="A9306" t="str">
            <v>57-01-01-1717</v>
          </cell>
          <cell r="B9306">
            <v>0</v>
          </cell>
          <cell r="C9306" t="str">
            <v xml:space="preserve">  MATI ULLAH A/FITTER MILL # 3</v>
          </cell>
          <cell r="D9306">
            <v>0</v>
          </cell>
          <cell r="E9306">
            <v>0</v>
          </cell>
          <cell r="F9306">
            <v>0</v>
          </cell>
          <cell r="G9306">
            <v>0</v>
          </cell>
        </row>
        <row r="9307">
          <cell r="A9307" t="str">
            <v>57-01-01-1718</v>
          </cell>
          <cell r="B9307">
            <v>0</v>
          </cell>
          <cell r="C9307" t="str">
            <v xml:space="preserve">  ALLAH DITTA OPT MILL # 1</v>
          </cell>
          <cell r="D9307">
            <v>0</v>
          </cell>
          <cell r="E9307">
            <v>0</v>
          </cell>
          <cell r="F9307">
            <v>0</v>
          </cell>
          <cell r="G9307">
            <v>0</v>
          </cell>
        </row>
        <row r="9308">
          <cell r="A9308" t="str">
            <v>57-01-01-1719</v>
          </cell>
          <cell r="B9308">
            <v>0</v>
          </cell>
          <cell r="C9308" t="str">
            <v xml:space="preserve">  QAMAR ABBAS DF MILL # 3</v>
          </cell>
          <cell r="D9308">
            <v>0</v>
          </cell>
          <cell r="E9308">
            <v>0</v>
          </cell>
          <cell r="F9308">
            <v>0</v>
          </cell>
          <cell r="G9308">
            <v>0</v>
          </cell>
        </row>
        <row r="9309">
          <cell r="A9309" t="str">
            <v>57-01-01-1720</v>
          </cell>
          <cell r="B9309">
            <v>0</v>
          </cell>
          <cell r="C9309" t="str">
            <v xml:space="preserve">  MUHAMMAD ASLAM PT MILL # 1</v>
          </cell>
          <cell r="D9309">
            <v>0</v>
          </cell>
          <cell r="E9309">
            <v>0</v>
          </cell>
          <cell r="F9309">
            <v>0</v>
          </cell>
          <cell r="G9309">
            <v>0</v>
          </cell>
        </row>
        <row r="9310">
          <cell r="A9310" t="str">
            <v>57-01-01-1721</v>
          </cell>
          <cell r="B9310">
            <v>0</v>
          </cell>
          <cell r="C9310" t="str">
            <v xml:space="preserve">  ABDUL GHAFFAR DDT MILL # 2</v>
          </cell>
          <cell r="D9310">
            <v>0</v>
          </cell>
          <cell r="E9310">
            <v>0</v>
          </cell>
          <cell r="F9310">
            <v>0</v>
          </cell>
          <cell r="G9310">
            <v>0</v>
          </cell>
        </row>
        <row r="9311">
          <cell r="A9311" t="str">
            <v>57-01-01-1722</v>
          </cell>
          <cell r="B9311">
            <v>0</v>
          </cell>
          <cell r="C9311" t="str">
            <v xml:space="preserve">  MUHAMMAD ZAMAN DST MILL # 1</v>
          </cell>
          <cell r="D9311">
            <v>0</v>
          </cell>
          <cell r="E9311">
            <v>0</v>
          </cell>
          <cell r="F9311">
            <v>0</v>
          </cell>
          <cell r="G9311">
            <v>0</v>
          </cell>
        </row>
        <row r="9312">
          <cell r="A9312" t="str">
            <v>57-01-01-1723</v>
          </cell>
          <cell r="B9312">
            <v>0</v>
          </cell>
          <cell r="C9312" t="str">
            <v xml:space="preserve">  UMER DRAZ OPT MILL # 2</v>
          </cell>
          <cell r="D9312">
            <v>0</v>
          </cell>
          <cell r="E9312">
            <v>0</v>
          </cell>
          <cell r="F9312">
            <v>0</v>
          </cell>
          <cell r="G9312">
            <v>0</v>
          </cell>
        </row>
        <row r="9313">
          <cell r="A9313" t="str">
            <v>57-01-01-1724</v>
          </cell>
          <cell r="B9313">
            <v>0</v>
          </cell>
          <cell r="C9313" t="str">
            <v xml:space="preserve">  MUZAFAR HUSSAIN 4/S MILL</v>
          </cell>
          <cell r="D9313">
            <v>0</v>
          </cell>
          <cell r="E9313">
            <v>0</v>
          </cell>
          <cell r="F9313">
            <v>0</v>
          </cell>
          <cell r="G9313">
            <v>0</v>
          </cell>
        </row>
        <row r="9314">
          <cell r="A9314" t="str">
            <v>57-01-01-1725</v>
          </cell>
          <cell r="B9314">
            <v>0</v>
          </cell>
          <cell r="C9314" t="str">
            <v xml:space="preserve">  AURANG ZEB 4/S MILL # 3</v>
          </cell>
          <cell r="D9314">
            <v>0</v>
          </cell>
          <cell r="E9314">
            <v>0</v>
          </cell>
          <cell r="F9314">
            <v>0</v>
          </cell>
          <cell r="G9314">
            <v>0</v>
          </cell>
        </row>
        <row r="9315">
          <cell r="A9315" t="str">
            <v>57-01-01-1726</v>
          </cell>
          <cell r="B9315">
            <v>0</v>
          </cell>
          <cell r="C9315" t="str">
            <v xml:space="preserve">  ATTIQUR REHMAN A/FITTER MILL</v>
          </cell>
          <cell r="D9315">
            <v>0</v>
          </cell>
          <cell r="E9315">
            <v>0</v>
          </cell>
          <cell r="F9315">
            <v>0</v>
          </cell>
          <cell r="G9315">
            <v>0</v>
          </cell>
        </row>
        <row r="9316">
          <cell r="A9316" t="str">
            <v>57-01-01-1727</v>
          </cell>
          <cell r="B9316">
            <v>0</v>
          </cell>
          <cell r="C9316" t="str">
            <v xml:space="preserve">  MUDASIR SHAHEEN HELPER MILL # 4</v>
          </cell>
          <cell r="D9316">
            <v>0</v>
          </cell>
          <cell r="E9316">
            <v>0</v>
          </cell>
          <cell r="F9316">
            <v>0</v>
          </cell>
          <cell r="G9316">
            <v>0</v>
          </cell>
        </row>
        <row r="9317">
          <cell r="A9317" t="str">
            <v>57-01-01-1728</v>
          </cell>
          <cell r="B9317">
            <v>0</v>
          </cell>
          <cell r="C9317" t="str">
            <v xml:space="preserve">  REHMAN BAHADAR 4/S MILL # 4</v>
          </cell>
          <cell r="D9317">
            <v>0</v>
          </cell>
          <cell r="E9317">
            <v>0</v>
          </cell>
          <cell r="F9317">
            <v>0</v>
          </cell>
          <cell r="G9317">
            <v>0</v>
          </cell>
        </row>
        <row r="9318">
          <cell r="A9318" t="str">
            <v>57-01-01-1729</v>
          </cell>
          <cell r="B9318">
            <v>0</v>
          </cell>
          <cell r="C9318" t="str">
            <v xml:space="preserve">  MUHAMMAD RAMZAN DF MILL # 3</v>
          </cell>
          <cell r="D9318">
            <v>0</v>
          </cell>
          <cell r="E9318">
            <v>0</v>
          </cell>
          <cell r="F9318">
            <v>0</v>
          </cell>
          <cell r="G9318">
            <v>0</v>
          </cell>
        </row>
        <row r="9319">
          <cell r="A9319" t="str">
            <v>57-01-01-1730</v>
          </cell>
          <cell r="B9319">
            <v>0</v>
          </cell>
          <cell r="C9319" t="str">
            <v xml:space="preserve">  DARAZ KHAN 4/S MILL # 1</v>
          </cell>
          <cell r="D9319">
            <v>0</v>
          </cell>
          <cell r="E9319">
            <v>0</v>
          </cell>
          <cell r="F9319">
            <v>0</v>
          </cell>
          <cell r="G9319">
            <v>0</v>
          </cell>
        </row>
        <row r="9320">
          <cell r="A9320" t="str">
            <v>57-01-01-1731</v>
          </cell>
          <cell r="B9320">
            <v>0</v>
          </cell>
          <cell r="C9320" t="str">
            <v xml:space="preserve">  ARSHAD IQBAL DST MILL # 1</v>
          </cell>
          <cell r="D9320">
            <v>0</v>
          </cell>
          <cell r="E9320">
            <v>0</v>
          </cell>
          <cell r="F9320">
            <v>0</v>
          </cell>
          <cell r="G9320">
            <v>0</v>
          </cell>
        </row>
        <row r="9321">
          <cell r="A9321" t="str">
            <v>57-01-01-1732</v>
          </cell>
          <cell r="B9321">
            <v>0</v>
          </cell>
          <cell r="C9321" t="str">
            <v xml:space="preserve">  PERVAIZ AKHTAR 4/S MILL # 4</v>
          </cell>
          <cell r="D9321">
            <v>0</v>
          </cell>
          <cell r="E9321">
            <v>0</v>
          </cell>
          <cell r="F9321">
            <v>0</v>
          </cell>
          <cell r="G9321">
            <v>0</v>
          </cell>
        </row>
        <row r="9322">
          <cell r="A9322" t="str">
            <v>57-01-01-1733</v>
          </cell>
          <cell r="B9322">
            <v>0</v>
          </cell>
          <cell r="C9322" t="str">
            <v xml:space="preserve">  MAZHAR ABBAS DF MILL # 2</v>
          </cell>
          <cell r="D9322">
            <v>0</v>
          </cell>
          <cell r="E9322">
            <v>0</v>
          </cell>
          <cell r="F9322">
            <v>0</v>
          </cell>
          <cell r="G9322">
            <v>0</v>
          </cell>
        </row>
        <row r="9323">
          <cell r="A9323" t="str">
            <v>57-01-01-1734</v>
          </cell>
          <cell r="B9323">
            <v>0</v>
          </cell>
          <cell r="C9323" t="str">
            <v xml:space="preserve">  MUHAMMAD ARSHAD A/FITTER M # 4</v>
          </cell>
          <cell r="D9323">
            <v>0</v>
          </cell>
          <cell r="E9323">
            <v>0</v>
          </cell>
          <cell r="F9323">
            <v>0</v>
          </cell>
          <cell r="G9323">
            <v>0</v>
          </cell>
        </row>
        <row r="9324">
          <cell r="A9324" t="str">
            <v>57-01-01-1735</v>
          </cell>
          <cell r="B9324">
            <v>0</v>
          </cell>
          <cell r="C9324" t="str">
            <v xml:space="preserve">  GULTAB KHAN 4/S MILL # 1</v>
          </cell>
          <cell r="D9324">
            <v>0</v>
          </cell>
          <cell r="E9324">
            <v>0</v>
          </cell>
          <cell r="F9324">
            <v>0</v>
          </cell>
          <cell r="G9324">
            <v>0</v>
          </cell>
        </row>
        <row r="9325">
          <cell r="A9325" t="str">
            <v>57-01-01-1736</v>
          </cell>
          <cell r="B9325">
            <v>0</v>
          </cell>
          <cell r="C9325" t="str">
            <v xml:space="preserve">  FATIH KHAN DF RING # 7 MILL # 3</v>
          </cell>
          <cell r="D9325">
            <v>0</v>
          </cell>
          <cell r="E9325">
            <v>0</v>
          </cell>
          <cell r="F9325">
            <v>0</v>
          </cell>
          <cell r="G9325">
            <v>0</v>
          </cell>
        </row>
        <row r="9326">
          <cell r="A9326" t="str">
            <v>57-01-01-1737</v>
          </cell>
          <cell r="B9326">
            <v>0</v>
          </cell>
          <cell r="C9326" t="str">
            <v xml:space="preserve">  JAVED AKBAR OPT A/CONE MILL # 4</v>
          </cell>
          <cell r="D9326">
            <v>0</v>
          </cell>
          <cell r="E9326">
            <v>0</v>
          </cell>
          <cell r="F9326">
            <v>0</v>
          </cell>
          <cell r="G9326">
            <v>0</v>
          </cell>
        </row>
        <row r="9327">
          <cell r="A9327" t="str">
            <v>57-01-01-1738</v>
          </cell>
          <cell r="B9327">
            <v>0</v>
          </cell>
          <cell r="C9327" t="str">
            <v xml:space="preserve">  MUHAMMAD ASIF DDT D/S MILL # 1</v>
          </cell>
          <cell r="D9327">
            <v>0</v>
          </cell>
          <cell r="E9327">
            <v>0</v>
          </cell>
          <cell r="F9327">
            <v>0</v>
          </cell>
          <cell r="G9327">
            <v>0</v>
          </cell>
        </row>
        <row r="9328">
          <cell r="A9328" t="str">
            <v>57-01-01-1739</v>
          </cell>
          <cell r="B9328">
            <v>0</v>
          </cell>
          <cell r="C9328" t="str">
            <v xml:space="preserve">  ARSHAD JAMAL TAP/MAN RING # 1</v>
          </cell>
          <cell r="D9328">
            <v>0</v>
          </cell>
          <cell r="E9328">
            <v>0</v>
          </cell>
          <cell r="F9328">
            <v>0</v>
          </cell>
          <cell r="G9328">
            <v>0</v>
          </cell>
        </row>
        <row r="9329">
          <cell r="A9329" t="str">
            <v>57-01-01-1740</v>
          </cell>
          <cell r="B9329">
            <v>0</v>
          </cell>
          <cell r="C9329" t="str">
            <v xml:space="preserve">  KASHIF SHARIF Q/OBS LAB # 1</v>
          </cell>
          <cell r="D9329">
            <v>0</v>
          </cell>
          <cell r="E9329">
            <v>0</v>
          </cell>
          <cell r="F9329">
            <v>0</v>
          </cell>
          <cell r="G9329">
            <v>0</v>
          </cell>
        </row>
        <row r="9330">
          <cell r="A9330" t="str">
            <v>57-01-01-1741</v>
          </cell>
          <cell r="B9330">
            <v>0</v>
          </cell>
          <cell r="C9330" t="str">
            <v xml:space="preserve">  NAZAKAT ALI DF RING # 1</v>
          </cell>
          <cell r="D9330">
            <v>0</v>
          </cell>
          <cell r="E9330">
            <v>0</v>
          </cell>
          <cell r="F9330">
            <v>0</v>
          </cell>
          <cell r="G9330">
            <v>0</v>
          </cell>
        </row>
        <row r="9331">
          <cell r="A9331" t="str">
            <v>57-01-01-1742</v>
          </cell>
          <cell r="B9331">
            <v>0</v>
          </cell>
          <cell r="C9331" t="str">
            <v xml:space="preserve">  MUHAMMAD SHABAZ DF RING # 8</v>
          </cell>
          <cell r="D9331">
            <v>0</v>
          </cell>
          <cell r="E9331">
            <v>0</v>
          </cell>
          <cell r="F9331">
            <v>0</v>
          </cell>
          <cell r="G9331">
            <v>0</v>
          </cell>
        </row>
        <row r="9332">
          <cell r="A9332" t="str">
            <v>57-01-01-1743</v>
          </cell>
          <cell r="B9332">
            <v>0</v>
          </cell>
          <cell r="C9332" t="str">
            <v xml:space="preserve">  MUHAMMAD BUTA 4/S RING # 8</v>
          </cell>
          <cell r="D9332">
            <v>0</v>
          </cell>
          <cell r="E9332">
            <v>0</v>
          </cell>
          <cell r="F9332">
            <v>0</v>
          </cell>
          <cell r="G9332">
            <v>0</v>
          </cell>
        </row>
        <row r="9333">
          <cell r="A9333" t="str">
            <v>57-01-01-1744</v>
          </cell>
          <cell r="B9333">
            <v>0</v>
          </cell>
          <cell r="C9333" t="str">
            <v xml:space="preserve">  SHER NAWAZ 4/S RING # 4</v>
          </cell>
          <cell r="D9333">
            <v>0</v>
          </cell>
          <cell r="E9333">
            <v>0</v>
          </cell>
          <cell r="F9333">
            <v>0</v>
          </cell>
          <cell r="G9333">
            <v>0</v>
          </cell>
        </row>
        <row r="9334">
          <cell r="A9334" t="str">
            <v>57-01-01-1745</v>
          </cell>
          <cell r="B9334">
            <v>0</v>
          </cell>
          <cell r="C9334" t="str">
            <v xml:space="preserve">  SULTAN AYAZ OPT A/CONE MILL # 4</v>
          </cell>
          <cell r="D9334">
            <v>0</v>
          </cell>
          <cell r="E9334">
            <v>0</v>
          </cell>
          <cell r="F9334">
            <v>0</v>
          </cell>
          <cell r="G9334">
            <v>0</v>
          </cell>
        </row>
        <row r="9335">
          <cell r="A9335" t="str">
            <v>57-01-01-1746</v>
          </cell>
          <cell r="B9335">
            <v>0</v>
          </cell>
          <cell r="C9335" t="str">
            <v xml:space="preserve">  BABR HUSSAIN DF B/ROOM MILL # 1</v>
          </cell>
          <cell r="D9335">
            <v>0</v>
          </cell>
          <cell r="E9335">
            <v>0</v>
          </cell>
          <cell r="F9335">
            <v>0</v>
          </cell>
          <cell r="G9335">
            <v>0</v>
          </cell>
        </row>
        <row r="9336">
          <cell r="A9336" t="str">
            <v>57-01-01-1747</v>
          </cell>
          <cell r="B9336">
            <v>0</v>
          </cell>
          <cell r="C9336" t="str">
            <v xml:space="preserve">  MUHAMMAD ISHAQUE DF MILL # 1</v>
          </cell>
          <cell r="D9336">
            <v>0</v>
          </cell>
          <cell r="E9336">
            <v>0</v>
          </cell>
          <cell r="F9336">
            <v>0</v>
          </cell>
          <cell r="G9336">
            <v>0</v>
          </cell>
        </row>
        <row r="9337">
          <cell r="A9337" t="str">
            <v>57-01-01-1748</v>
          </cell>
          <cell r="B9337">
            <v>0</v>
          </cell>
          <cell r="C9337" t="str">
            <v xml:space="preserve">  SANA ULLAH P/T B/ROOM MILL # 1</v>
          </cell>
          <cell r="D9337">
            <v>0</v>
          </cell>
          <cell r="E9337">
            <v>0</v>
          </cell>
          <cell r="F9337">
            <v>0</v>
          </cell>
          <cell r="G9337">
            <v>0</v>
          </cell>
        </row>
        <row r="9338">
          <cell r="A9338" t="str">
            <v>57-01-01-1749</v>
          </cell>
          <cell r="B9338">
            <v>0</v>
          </cell>
          <cell r="C9338" t="str">
            <v xml:space="preserve">  MUHAMMAD MASOOD C/T COMBER MILL</v>
          </cell>
          <cell r="D9338">
            <v>0</v>
          </cell>
          <cell r="E9338">
            <v>0</v>
          </cell>
          <cell r="F9338">
            <v>0</v>
          </cell>
          <cell r="G9338">
            <v>0</v>
          </cell>
        </row>
        <row r="9339">
          <cell r="A9339" t="str">
            <v>57-01-01-1750</v>
          </cell>
          <cell r="B9339">
            <v>0</v>
          </cell>
          <cell r="C9339" t="str">
            <v xml:space="preserve">  JEHAN KHAN DST D/SIMPLEX M # 4</v>
          </cell>
          <cell r="D9339">
            <v>0</v>
          </cell>
          <cell r="E9339">
            <v>0</v>
          </cell>
          <cell r="F9339">
            <v>0</v>
          </cell>
          <cell r="G9339">
            <v>0</v>
          </cell>
        </row>
        <row r="9340">
          <cell r="A9340" t="str">
            <v>57-01-01-1751</v>
          </cell>
          <cell r="B9340">
            <v>0</v>
          </cell>
          <cell r="C9340" t="str">
            <v xml:space="preserve">  MUHAMMAD ASLAM 4/S RING # 8</v>
          </cell>
          <cell r="D9340">
            <v>0</v>
          </cell>
          <cell r="E9340">
            <v>0</v>
          </cell>
          <cell r="F9340">
            <v>0</v>
          </cell>
          <cell r="G9340">
            <v>0</v>
          </cell>
        </row>
        <row r="9341">
          <cell r="A9341" t="str">
            <v>57-01-01-1752</v>
          </cell>
          <cell r="B9341">
            <v>0</v>
          </cell>
          <cell r="C9341" t="str">
            <v xml:space="preserve">  MANASIB ALI HELPER RING # 8</v>
          </cell>
          <cell r="D9341">
            <v>0</v>
          </cell>
          <cell r="E9341">
            <v>0</v>
          </cell>
          <cell r="F9341">
            <v>0</v>
          </cell>
          <cell r="G9341">
            <v>0</v>
          </cell>
        </row>
        <row r="9342">
          <cell r="A9342" t="str">
            <v>57-01-01-1753</v>
          </cell>
          <cell r="B9342">
            <v>0</v>
          </cell>
          <cell r="C9342" t="str">
            <v xml:space="preserve">  ABDUR REHMAN FOREMAN RING # 4</v>
          </cell>
          <cell r="D9342">
            <v>0</v>
          </cell>
          <cell r="E9342">
            <v>0</v>
          </cell>
          <cell r="F9342">
            <v>0</v>
          </cell>
          <cell r="G9342">
            <v>0</v>
          </cell>
        </row>
        <row r="9343">
          <cell r="A9343" t="str">
            <v>57-01-01-1754</v>
          </cell>
          <cell r="B9343">
            <v>0</v>
          </cell>
          <cell r="C9343" t="str">
            <v xml:space="preserve">  JAVED HUSSAIN  BADGE # 79682</v>
          </cell>
          <cell r="D9343">
            <v>0</v>
          </cell>
          <cell r="E9343">
            <v>0</v>
          </cell>
          <cell r="F9343">
            <v>0</v>
          </cell>
          <cell r="G9343">
            <v>0</v>
          </cell>
        </row>
        <row r="9344">
          <cell r="A9344" t="str">
            <v>57-01-01-1755</v>
          </cell>
          <cell r="B9344">
            <v>0</v>
          </cell>
          <cell r="C9344" t="str">
            <v xml:space="preserve">  NAZIR AHMED S/SUP MILL # 6</v>
          </cell>
          <cell r="D9344">
            <v>0</v>
          </cell>
          <cell r="E9344">
            <v>0</v>
          </cell>
          <cell r="F9344">
            <v>0</v>
          </cell>
          <cell r="G9344">
            <v>0</v>
          </cell>
        </row>
        <row r="9345">
          <cell r="A9345" t="str">
            <v>57-01-01-1756</v>
          </cell>
          <cell r="B9345">
            <v>0</v>
          </cell>
          <cell r="C9345" t="str">
            <v xml:space="preserve">  TARIQ MAHMOOD  LAB # 6</v>
          </cell>
          <cell r="D9345">
            <v>0</v>
          </cell>
          <cell r="E9345">
            <v>0</v>
          </cell>
          <cell r="F9345">
            <v>0</v>
          </cell>
          <cell r="G9345">
            <v>0</v>
          </cell>
        </row>
        <row r="9346">
          <cell r="A9346" t="str">
            <v>57-01-01-1757</v>
          </cell>
          <cell r="B9346">
            <v>0</v>
          </cell>
          <cell r="C9346" t="str">
            <v xml:space="preserve">  MUHAMMAD ASLAM BAWANY (PURCHASER) LOAN</v>
          </cell>
          <cell r="D9346">
            <v>0</v>
          </cell>
          <cell r="E9346">
            <v>0</v>
          </cell>
          <cell r="F9346">
            <v>0</v>
          </cell>
          <cell r="G9346">
            <v>0</v>
          </cell>
        </row>
        <row r="9347">
          <cell r="A9347" t="str">
            <v>57-01-01-1758</v>
          </cell>
          <cell r="B9347">
            <v>0</v>
          </cell>
          <cell r="C9347" t="str">
            <v xml:space="preserve">  ABDUL SATTAR FORMAN CARDING M</v>
          </cell>
          <cell r="D9347">
            <v>0</v>
          </cell>
          <cell r="E9347">
            <v>0</v>
          </cell>
          <cell r="F9347">
            <v>0</v>
          </cell>
          <cell r="G9347">
            <v>0</v>
          </cell>
        </row>
        <row r="9348">
          <cell r="A9348" t="str">
            <v>57-01-01-1759</v>
          </cell>
          <cell r="B9348">
            <v>0</v>
          </cell>
          <cell r="C9348" t="str">
            <v xml:space="preserve">  SAFDAR ALI S/FITT D/S MILL # 1</v>
          </cell>
          <cell r="D9348">
            <v>0</v>
          </cell>
          <cell r="E9348">
            <v>0</v>
          </cell>
          <cell r="F9348">
            <v>0</v>
          </cell>
          <cell r="G9348">
            <v>0</v>
          </cell>
        </row>
        <row r="9349">
          <cell r="A9349" t="str">
            <v>57-01-01-1760</v>
          </cell>
          <cell r="B9349">
            <v>0</v>
          </cell>
          <cell r="C9349" t="str">
            <v xml:space="preserve">  MUHAMMAD SHAFIQ S/FIT R.C. MILL # 4</v>
          </cell>
          <cell r="D9349">
            <v>0</v>
          </cell>
          <cell r="E9349">
            <v>0</v>
          </cell>
          <cell r="F9349">
            <v>0</v>
          </cell>
          <cell r="G9349">
            <v>0</v>
          </cell>
        </row>
        <row r="9350">
          <cell r="A9350" t="str">
            <v>57-01-01-1761</v>
          </cell>
          <cell r="B9350">
            <v>0</v>
          </cell>
          <cell r="C9350" t="str">
            <v xml:space="preserve">  RAFAQAT ALI JOBBER RING # 4</v>
          </cell>
          <cell r="D9350">
            <v>0</v>
          </cell>
          <cell r="E9350">
            <v>0</v>
          </cell>
          <cell r="F9350">
            <v>0</v>
          </cell>
          <cell r="G9350">
            <v>0</v>
          </cell>
        </row>
        <row r="9351">
          <cell r="A9351" t="str">
            <v>57-01-01-1762</v>
          </cell>
          <cell r="B9351">
            <v>0</v>
          </cell>
          <cell r="C9351" t="str">
            <v xml:space="preserve">  TANVIR AHMED FOREMAN A/C MILL</v>
          </cell>
          <cell r="D9351">
            <v>0</v>
          </cell>
          <cell r="E9351">
            <v>0</v>
          </cell>
          <cell r="F9351">
            <v>0</v>
          </cell>
          <cell r="G9351">
            <v>0</v>
          </cell>
        </row>
        <row r="9352">
          <cell r="A9352" t="str">
            <v>57-01-01-1763</v>
          </cell>
          <cell r="B9352">
            <v>0</v>
          </cell>
          <cell r="C9352" t="str">
            <v xml:space="preserve">  ABDUL RASHEED OPT A/CONE MILL # 3</v>
          </cell>
          <cell r="D9352">
            <v>0</v>
          </cell>
          <cell r="E9352">
            <v>0</v>
          </cell>
          <cell r="F9352">
            <v>0</v>
          </cell>
          <cell r="G9352">
            <v>0</v>
          </cell>
        </row>
        <row r="9353">
          <cell r="A9353" t="str">
            <v>57-01-01-1764</v>
          </cell>
          <cell r="B9353">
            <v>0</v>
          </cell>
          <cell r="C9353" t="str">
            <v xml:space="preserve">  MUHAMMAD SARWAR A/JOB MILL # 4</v>
          </cell>
          <cell r="D9353">
            <v>0</v>
          </cell>
          <cell r="E9353">
            <v>0</v>
          </cell>
          <cell r="F9353">
            <v>0</v>
          </cell>
          <cell r="G9353">
            <v>0</v>
          </cell>
        </row>
        <row r="9354">
          <cell r="A9354" t="str">
            <v>57-01-01-1765</v>
          </cell>
          <cell r="B9354">
            <v>0</v>
          </cell>
          <cell r="C9354" t="str">
            <v xml:space="preserve">  GHULAM MUSTAFA D/C MILL # 4</v>
          </cell>
          <cell r="D9354">
            <v>0</v>
          </cell>
          <cell r="E9354">
            <v>0</v>
          </cell>
          <cell r="F9354">
            <v>0</v>
          </cell>
          <cell r="G9354">
            <v>0</v>
          </cell>
        </row>
        <row r="9355">
          <cell r="A9355" t="str">
            <v>57-01-01-1766</v>
          </cell>
          <cell r="B9355">
            <v>0</v>
          </cell>
          <cell r="C9355" t="str">
            <v xml:space="preserve">  AHMAD SHER OPT A.CONE MILL # 1</v>
          </cell>
          <cell r="D9355">
            <v>0</v>
          </cell>
          <cell r="E9355">
            <v>0</v>
          </cell>
          <cell r="F9355">
            <v>0</v>
          </cell>
          <cell r="G9355">
            <v>0</v>
          </cell>
        </row>
        <row r="9356">
          <cell r="A9356" t="str">
            <v>57-01-01-1767</v>
          </cell>
          <cell r="B9356">
            <v>0</v>
          </cell>
          <cell r="C9356" t="str">
            <v xml:space="preserve">  NOOR HASHIM L/OPT RING # 8</v>
          </cell>
          <cell r="D9356">
            <v>0</v>
          </cell>
          <cell r="E9356">
            <v>0</v>
          </cell>
          <cell r="F9356">
            <v>0</v>
          </cell>
          <cell r="G9356">
            <v>0</v>
          </cell>
        </row>
        <row r="9357">
          <cell r="A9357" t="str">
            <v>57-01-01-1768</v>
          </cell>
          <cell r="B9357">
            <v>0</v>
          </cell>
          <cell r="C9357" t="str">
            <v xml:space="preserve">  AHMAD KHAN SHIFT INCHARGE MILL</v>
          </cell>
          <cell r="D9357">
            <v>0</v>
          </cell>
          <cell r="E9357">
            <v>0</v>
          </cell>
          <cell r="F9357">
            <v>0</v>
          </cell>
          <cell r="G9357">
            <v>0</v>
          </cell>
        </row>
        <row r="9358">
          <cell r="A9358" t="str">
            <v>57-01-01-1769</v>
          </cell>
          <cell r="B9358">
            <v>0</v>
          </cell>
          <cell r="C9358" t="str">
            <v xml:space="preserve">  MUHAMMAD SHIHBAZ D/F</v>
          </cell>
          <cell r="D9358">
            <v>0</v>
          </cell>
          <cell r="E9358">
            <v>0</v>
          </cell>
          <cell r="F9358">
            <v>0</v>
          </cell>
          <cell r="G9358">
            <v>0</v>
          </cell>
        </row>
        <row r="9359">
          <cell r="A9359" t="str">
            <v>57-01-01-1770</v>
          </cell>
          <cell r="B9359">
            <v>0</v>
          </cell>
          <cell r="C9359" t="str">
            <v xml:space="preserve">  MUHAMMAD NIAZ OPT A/CONE</v>
          </cell>
          <cell r="D9359">
            <v>0</v>
          </cell>
          <cell r="E9359">
            <v>0</v>
          </cell>
          <cell r="F9359">
            <v>0</v>
          </cell>
          <cell r="G9359">
            <v>0</v>
          </cell>
        </row>
        <row r="9360">
          <cell r="A9360" t="str">
            <v>57-01-01-1771</v>
          </cell>
          <cell r="B9360">
            <v>0</v>
          </cell>
          <cell r="C9360" t="str">
            <v xml:space="preserve">  MUHAMMAD RIAZ OPT A/CONE MILL</v>
          </cell>
          <cell r="D9360">
            <v>0</v>
          </cell>
          <cell r="E9360">
            <v>0</v>
          </cell>
          <cell r="F9360">
            <v>0</v>
          </cell>
          <cell r="G9360">
            <v>0</v>
          </cell>
        </row>
        <row r="9361">
          <cell r="A9361" t="str">
            <v>57-01-01-1772</v>
          </cell>
          <cell r="B9361">
            <v>0</v>
          </cell>
          <cell r="C9361" t="str">
            <v xml:space="preserve">  AZHAR IQBAL D/F D/S MILL # 1</v>
          </cell>
          <cell r="D9361">
            <v>0</v>
          </cell>
          <cell r="E9361">
            <v>0</v>
          </cell>
          <cell r="F9361">
            <v>0</v>
          </cell>
          <cell r="G9361">
            <v>0</v>
          </cell>
        </row>
        <row r="9362">
          <cell r="A9362" t="str">
            <v>57-01-01-1774</v>
          </cell>
          <cell r="B9362">
            <v>0</v>
          </cell>
          <cell r="C9362" t="str">
            <v xml:space="preserve">  MUHAMMAD HAYAT D.ST D/S MILL # 1</v>
          </cell>
          <cell r="D9362">
            <v>0</v>
          </cell>
          <cell r="E9362">
            <v>0</v>
          </cell>
          <cell r="F9362">
            <v>0</v>
          </cell>
          <cell r="G9362">
            <v>0</v>
          </cell>
        </row>
        <row r="9363">
          <cell r="A9363" t="str">
            <v>57-01-01-1776</v>
          </cell>
          <cell r="B9363">
            <v>0</v>
          </cell>
          <cell r="C9363" t="str">
            <v xml:space="preserve">  IHSANULLAH D/F MILL # 1</v>
          </cell>
          <cell r="D9363">
            <v>0</v>
          </cell>
          <cell r="E9363">
            <v>0</v>
          </cell>
          <cell r="F9363">
            <v>0</v>
          </cell>
          <cell r="G9363">
            <v>0</v>
          </cell>
        </row>
        <row r="9364">
          <cell r="A9364" t="str">
            <v>57-01-01-1777</v>
          </cell>
          <cell r="B9364">
            <v>0</v>
          </cell>
          <cell r="C9364" t="str">
            <v xml:space="preserve">  TASAWAR IQBAL RING 1</v>
          </cell>
          <cell r="D9364">
            <v>0</v>
          </cell>
          <cell r="E9364">
            <v>0</v>
          </cell>
          <cell r="F9364">
            <v>0</v>
          </cell>
          <cell r="G9364">
            <v>0</v>
          </cell>
        </row>
        <row r="9365">
          <cell r="A9365" t="str">
            <v>57-01-01-1778</v>
          </cell>
          <cell r="B9365">
            <v>0</v>
          </cell>
          <cell r="C9365" t="str">
            <v xml:space="preserve">  GHULAM FARID HELPER</v>
          </cell>
          <cell r="D9365">
            <v>0</v>
          </cell>
          <cell r="E9365">
            <v>0</v>
          </cell>
          <cell r="F9365">
            <v>0</v>
          </cell>
          <cell r="G9365">
            <v>0</v>
          </cell>
        </row>
        <row r="9366">
          <cell r="A9366" t="str">
            <v>57-01-01-1780</v>
          </cell>
          <cell r="B9366">
            <v>0</v>
          </cell>
          <cell r="C9366" t="str">
            <v xml:space="preserve">  ALTAF HUSSAIN 4/S RING</v>
          </cell>
          <cell r="D9366">
            <v>0</v>
          </cell>
          <cell r="E9366">
            <v>0</v>
          </cell>
          <cell r="F9366">
            <v>0</v>
          </cell>
          <cell r="G9366">
            <v>0</v>
          </cell>
        </row>
        <row r="9367">
          <cell r="A9367" t="str">
            <v>57-01-01-1783</v>
          </cell>
          <cell r="B9367">
            <v>0</v>
          </cell>
          <cell r="C9367" t="str">
            <v xml:space="preserve">  MEHBOOB HUSSAIN A/JOB MILL # 4</v>
          </cell>
          <cell r="D9367">
            <v>6600</v>
          </cell>
          <cell r="E9367">
            <v>0</v>
          </cell>
          <cell r="F9367">
            <v>0</v>
          </cell>
          <cell r="G9367">
            <v>0</v>
          </cell>
        </row>
        <row r="9368">
          <cell r="A9368" t="str">
            <v>57-01-01-1784</v>
          </cell>
          <cell r="B9368">
            <v>0</v>
          </cell>
          <cell r="C9368" t="str">
            <v xml:space="preserve">  ADNAN ALI D/E MILL # 2</v>
          </cell>
          <cell r="D9368">
            <v>0</v>
          </cell>
          <cell r="E9368">
            <v>0</v>
          </cell>
          <cell r="F9368">
            <v>0</v>
          </cell>
          <cell r="G9368">
            <v>0</v>
          </cell>
        </row>
        <row r="9369">
          <cell r="A9369" t="str">
            <v>57-01-01-1785</v>
          </cell>
          <cell r="B9369">
            <v>0</v>
          </cell>
          <cell r="C9369" t="str">
            <v xml:space="preserve">  SAKHAWAT J/B D/D MILL # 2</v>
          </cell>
          <cell r="D9369">
            <v>0</v>
          </cell>
          <cell r="E9369">
            <v>0</v>
          </cell>
          <cell r="F9369">
            <v>0</v>
          </cell>
          <cell r="G9369">
            <v>0</v>
          </cell>
        </row>
        <row r="9370">
          <cell r="A9370" t="str">
            <v>57-01-01-1790</v>
          </cell>
          <cell r="B9370">
            <v>0</v>
          </cell>
          <cell r="C9370" t="str">
            <v xml:space="preserve">  KAZIM HUSSAIN D/F RING 1</v>
          </cell>
          <cell r="D9370">
            <v>0</v>
          </cell>
          <cell r="E9370">
            <v>0</v>
          </cell>
          <cell r="F9370">
            <v>0</v>
          </cell>
          <cell r="G9370">
            <v>0</v>
          </cell>
        </row>
        <row r="9371">
          <cell r="A9371" t="str">
            <v>57-01-01-1792</v>
          </cell>
          <cell r="B9371">
            <v>0</v>
          </cell>
          <cell r="C9371" t="str">
            <v xml:space="preserve">  KHURSHEED AHMED FOREMAN MILL</v>
          </cell>
          <cell r="D9371">
            <v>0</v>
          </cell>
          <cell r="E9371">
            <v>0</v>
          </cell>
          <cell r="F9371">
            <v>0</v>
          </cell>
          <cell r="G9371">
            <v>0</v>
          </cell>
        </row>
        <row r="9372">
          <cell r="A9372" t="str">
            <v>57-01-01-1793</v>
          </cell>
          <cell r="B9372">
            <v>0</v>
          </cell>
          <cell r="C9372" t="str">
            <v xml:space="preserve">  SHER REHMAN D.D.T MILL # 4</v>
          </cell>
          <cell r="D9372">
            <v>0</v>
          </cell>
          <cell r="E9372">
            <v>0</v>
          </cell>
          <cell r="F9372">
            <v>0</v>
          </cell>
          <cell r="G9372">
            <v>0</v>
          </cell>
        </row>
        <row r="9373">
          <cell r="A9373" t="str">
            <v>57-01-01-1794</v>
          </cell>
          <cell r="B9373">
            <v>0</v>
          </cell>
          <cell r="C9373" t="str">
            <v xml:space="preserve">  NAHID AKHTAR D/F MILL # 1</v>
          </cell>
          <cell r="D9373">
            <v>0</v>
          </cell>
          <cell r="E9373">
            <v>0</v>
          </cell>
          <cell r="F9373">
            <v>0</v>
          </cell>
          <cell r="G9373">
            <v>0</v>
          </cell>
        </row>
        <row r="9374">
          <cell r="A9374" t="str">
            <v>57-01-01-1796</v>
          </cell>
          <cell r="B9374">
            <v>0</v>
          </cell>
          <cell r="C9374" t="str">
            <v xml:space="preserve">  TANVEER HUSSAIN H/FT R.C MILL # 03</v>
          </cell>
          <cell r="D9374">
            <v>0</v>
          </cell>
          <cell r="E9374">
            <v>0</v>
          </cell>
          <cell r="F9374">
            <v>0</v>
          </cell>
          <cell r="G9374">
            <v>0</v>
          </cell>
        </row>
        <row r="9375">
          <cell r="A9375" t="str">
            <v>57-01-01-1797</v>
          </cell>
          <cell r="B9375">
            <v>0</v>
          </cell>
          <cell r="C9375" t="str">
            <v xml:space="preserve">  UMAR DARAZ D/S MILL # 3</v>
          </cell>
          <cell r="D9375">
            <v>0</v>
          </cell>
          <cell r="E9375">
            <v>0</v>
          </cell>
          <cell r="F9375">
            <v>0</v>
          </cell>
          <cell r="G9375">
            <v>0</v>
          </cell>
        </row>
        <row r="9376">
          <cell r="A9376" t="str">
            <v>57-01-01-1798</v>
          </cell>
          <cell r="B9376">
            <v>0</v>
          </cell>
          <cell r="C9376" t="str">
            <v xml:space="preserve">  RAUF AHMED FOREMAN DOUBLEIN</v>
          </cell>
          <cell r="D9376">
            <v>0</v>
          </cell>
          <cell r="E9376">
            <v>0</v>
          </cell>
          <cell r="F9376">
            <v>0</v>
          </cell>
          <cell r="G9376">
            <v>0</v>
          </cell>
        </row>
        <row r="9377">
          <cell r="A9377" t="str">
            <v>57-01-01-1799</v>
          </cell>
          <cell r="B9377">
            <v>0</v>
          </cell>
          <cell r="C9377" t="str">
            <v xml:space="preserve">  SAHIB DIN 4/S MILL # 1</v>
          </cell>
          <cell r="D9377">
            <v>0</v>
          </cell>
          <cell r="E9377">
            <v>0</v>
          </cell>
          <cell r="F9377">
            <v>0</v>
          </cell>
          <cell r="G9377">
            <v>0</v>
          </cell>
        </row>
        <row r="9378">
          <cell r="A9378" t="str">
            <v>57-01-01-1800</v>
          </cell>
          <cell r="B9378">
            <v>0</v>
          </cell>
          <cell r="C9378" t="str">
            <v xml:space="preserve">  ABDUL AZIZ FIRST AID INCHARGE</v>
          </cell>
          <cell r="D9378">
            <v>0</v>
          </cell>
          <cell r="E9378">
            <v>0</v>
          </cell>
          <cell r="F9378">
            <v>0</v>
          </cell>
          <cell r="G9378">
            <v>0</v>
          </cell>
        </row>
        <row r="9379">
          <cell r="A9379" t="str">
            <v>57-01-01-1801</v>
          </cell>
          <cell r="B9379">
            <v>0</v>
          </cell>
          <cell r="C9379" t="str">
            <v xml:space="preserve">  SAJID NADIM OPT MILL # 4</v>
          </cell>
          <cell r="D9379">
            <v>0</v>
          </cell>
          <cell r="E9379">
            <v>0</v>
          </cell>
          <cell r="F9379">
            <v>0</v>
          </cell>
          <cell r="G9379">
            <v>0</v>
          </cell>
        </row>
        <row r="9380">
          <cell r="A9380" t="str">
            <v>57-01-01-1803</v>
          </cell>
          <cell r="B9380">
            <v>0</v>
          </cell>
          <cell r="C9380" t="str">
            <v xml:space="preserve">  LIAQUAT ALI D/FORMAN MILL # 3</v>
          </cell>
          <cell r="D9380">
            <v>0</v>
          </cell>
          <cell r="E9380">
            <v>0</v>
          </cell>
          <cell r="F9380">
            <v>0</v>
          </cell>
          <cell r="G9380">
            <v>0</v>
          </cell>
        </row>
        <row r="9381">
          <cell r="A9381" t="str">
            <v>57-01-01-1804</v>
          </cell>
          <cell r="B9381">
            <v>0</v>
          </cell>
          <cell r="C9381" t="str">
            <v xml:space="preserve">  MUJAHID ABBAS A/FORMEN MILL</v>
          </cell>
          <cell r="D9381">
            <v>0</v>
          </cell>
          <cell r="E9381">
            <v>0</v>
          </cell>
          <cell r="F9381">
            <v>0</v>
          </cell>
          <cell r="G9381">
            <v>0</v>
          </cell>
        </row>
        <row r="9382">
          <cell r="A9382" t="str">
            <v>57-01-01-1805</v>
          </cell>
          <cell r="B9382">
            <v>0</v>
          </cell>
          <cell r="C9382" t="str">
            <v xml:space="preserve">  MUHAMMAD ALTAF JOBBER MILL # 2</v>
          </cell>
          <cell r="D9382">
            <v>0</v>
          </cell>
          <cell r="E9382">
            <v>0</v>
          </cell>
          <cell r="F9382">
            <v>0</v>
          </cell>
          <cell r="G9382">
            <v>0</v>
          </cell>
        </row>
        <row r="9383">
          <cell r="A9383" t="str">
            <v>57-01-01-1806</v>
          </cell>
          <cell r="B9383">
            <v>0</v>
          </cell>
          <cell r="C9383" t="str">
            <v xml:space="preserve">  YASIR IQBAL A/FIT</v>
          </cell>
          <cell r="D9383">
            <v>0</v>
          </cell>
          <cell r="E9383">
            <v>0</v>
          </cell>
          <cell r="F9383">
            <v>0</v>
          </cell>
          <cell r="G9383">
            <v>0</v>
          </cell>
        </row>
        <row r="9384">
          <cell r="A9384" t="str">
            <v>57-01-01-1807</v>
          </cell>
          <cell r="B9384">
            <v>0</v>
          </cell>
          <cell r="C9384" t="str">
            <v xml:space="preserve">  MEHBOOB AKHTAR H/FITTER MILL # 2</v>
          </cell>
          <cell r="D9384">
            <v>0</v>
          </cell>
          <cell r="E9384">
            <v>0</v>
          </cell>
          <cell r="F9384">
            <v>0</v>
          </cell>
          <cell r="G9384">
            <v>0</v>
          </cell>
        </row>
        <row r="9385">
          <cell r="A9385" t="str">
            <v>57-01-01-1808</v>
          </cell>
          <cell r="B9385">
            <v>0</v>
          </cell>
          <cell r="C9385" t="str">
            <v xml:space="preserve">  BAKHAT BILAL C/T MILL # 4</v>
          </cell>
          <cell r="D9385">
            <v>0</v>
          </cell>
          <cell r="E9385">
            <v>0</v>
          </cell>
          <cell r="F9385">
            <v>0</v>
          </cell>
          <cell r="G9385">
            <v>0</v>
          </cell>
        </row>
        <row r="9386">
          <cell r="A9386" t="str">
            <v>57-01-01-1809</v>
          </cell>
          <cell r="B9386">
            <v>0</v>
          </cell>
          <cell r="C9386" t="str">
            <v xml:space="preserve">  MUHAMMAD RAMZAN OPT MILL # 3</v>
          </cell>
          <cell r="D9386">
            <v>0</v>
          </cell>
          <cell r="E9386">
            <v>0</v>
          </cell>
          <cell r="F9386">
            <v>0</v>
          </cell>
          <cell r="G9386">
            <v>0</v>
          </cell>
        </row>
        <row r="9387">
          <cell r="A9387" t="str">
            <v>57-01-01-1810</v>
          </cell>
          <cell r="B9387">
            <v>0</v>
          </cell>
          <cell r="C9387" t="str">
            <v xml:space="preserve">  KHYZER ABBAS 4/S MILL # 2</v>
          </cell>
          <cell r="D9387">
            <v>0</v>
          </cell>
          <cell r="E9387">
            <v>0</v>
          </cell>
          <cell r="F9387">
            <v>0</v>
          </cell>
          <cell r="G9387">
            <v>0</v>
          </cell>
        </row>
        <row r="9388">
          <cell r="A9388" t="str">
            <v>57-01-01-1812</v>
          </cell>
          <cell r="B9388">
            <v>0</v>
          </cell>
          <cell r="C9388" t="str">
            <v xml:space="preserve">  KAMRAN SAEED</v>
          </cell>
          <cell r="D9388">
            <v>0</v>
          </cell>
          <cell r="E9388">
            <v>0</v>
          </cell>
          <cell r="F9388">
            <v>0</v>
          </cell>
          <cell r="G9388">
            <v>0</v>
          </cell>
        </row>
        <row r="9389">
          <cell r="A9389" t="str">
            <v>57-01-01-1813</v>
          </cell>
          <cell r="B9389">
            <v>0</v>
          </cell>
          <cell r="C9389" t="str">
            <v xml:space="preserve">  MUHAMMAD RASHEED PACKING INCHARGE</v>
          </cell>
          <cell r="D9389">
            <v>0</v>
          </cell>
          <cell r="E9389">
            <v>0</v>
          </cell>
          <cell r="F9389">
            <v>0</v>
          </cell>
          <cell r="G9389">
            <v>0</v>
          </cell>
        </row>
        <row r="9390">
          <cell r="A9390" t="str">
            <v>57-01-01-1814</v>
          </cell>
          <cell r="B9390">
            <v>0</v>
          </cell>
          <cell r="C9390" t="str">
            <v xml:space="preserve">  ZAHOOR AHMED COOK ADMN.GTML</v>
          </cell>
          <cell r="D9390">
            <v>0</v>
          </cell>
          <cell r="E9390">
            <v>0</v>
          </cell>
          <cell r="F9390">
            <v>0</v>
          </cell>
          <cell r="G9390">
            <v>0</v>
          </cell>
        </row>
        <row r="9391">
          <cell r="A9391" t="str">
            <v>57-01-01-1815</v>
          </cell>
          <cell r="B9391">
            <v>0</v>
          </cell>
          <cell r="C9391" t="str">
            <v xml:space="preserve">  KANDAL KHAN DDT MILL # 1</v>
          </cell>
          <cell r="D9391">
            <v>0</v>
          </cell>
          <cell r="E9391">
            <v>0</v>
          </cell>
          <cell r="F9391">
            <v>0</v>
          </cell>
          <cell r="G9391">
            <v>0</v>
          </cell>
        </row>
        <row r="9392">
          <cell r="A9392" t="str">
            <v>57-01-01-1817</v>
          </cell>
          <cell r="B9392">
            <v>0</v>
          </cell>
          <cell r="C9392" t="str">
            <v xml:space="preserve">  MUHAMMAD ASLAM H/FIT MILL # 3</v>
          </cell>
          <cell r="D9392">
            <v>0</v>
          </cell>
          <cell r="E9392">
            <v>0</v>
          </cell>
          <cell r="F9392">
            <v>0</v>
          </cell>
          <cell r="G9392">
            <v>0</v>
          </cell>
        </row>
        <row r="9393">
          <cell r="A9393" t="str">
            <v>57-01-01-1818</v>
          </cell>
          <cell r="B9393">
            <v>0</v>
          </cell>
          <cell r="C9393" t="str">
            <v xml:space="preserve">  MUHAMMAD MUMTAZ CT MILL # 1</v>
          </cell>
          <cell r="D9393">
            <v>0</v>
          </cell>
          <cell r="E9393">
            <v>0</v>
          </cell>
          <cell r="F9393">
            <v>0</v>
          </cell>
          <cell r="G9393">
            <v>0</v>
          </cell>
        </row>
        <row r="9394">
          <cell r="A9394" t="str">
            <v>57-01-01-1819</v>
          </cell>
          <cell r="B9394">
            <v>0</v>
          </cell>
          <cell r="C9394" t="str">
            <v xml:space="preserve">  MUHAMMAD WARIS 4/S MILL # 3</v>
          </cell>
          <cell r="D9394">
            <v>0</v>
          </cell>
          <cell r="E9394">
            <v>0</v>
          </cell>
          <cell r="F9394">
            <v>0</v>
          </cell>
          <cell r="G9394">
            <v>0</v>
          </cell>
        </row>
        <row r="9395">
          <cell r="A9395" t="str">
            <v>57-01-01-1820</v>
          </cell>
          <cell r="B9395">
            <v>0</v>
          </cell>
          <cell r="C9395" t="str">
            <v xml:space="preserve">  MUHAMMAD IRFAN S/ELECT MILL</v>
          </cell>
          <cell r="D9395">
            <v>0</v>
          </cell>
          <cell r="E9395">
            <v>0</v>
          </cell>
          <cell r="F9395">
            <v>0</v>
          </cell>
          <cell r="G9395">
            <v>0</v>
          </cell>
        </row>
        <row r="9396">
          <cell r="A9396" t="str">
            <v>57-01-01-1821</v>
          </cell>
          <cell r="B9396">
            <v>0</v>
          </cell>
          <cell r="C9396" t="str">
            <v xml:space="preserve">  NASEEM AKHTAR</v>
          </cell>
          <cell r="D9396">
            <v>0</v>
          </cell>
          <cell r="E9396">
            <v>0</v>
          </cell>
          <cell r="F9396">
            <v>0</v>
          </cell>
          <cell r="G9396">
            <v>0</v>
          </cell>
        </row>
        <row r="9397">
          <cell r="A9397" t="str">
            <v>57-01-01-1822</v>
          </cell>
          <cell r="B9397">
            <v>0</v>
          </cell>
          <cell r="C9397" t="str">
            <v xml:space="preserve">  KAMRAN ASIF D.S.T.</v>
          </cell>
          <cell r="D9397">
            <v>0</v>
          </cell>
          <cell r="E9397">
            <v>0</v>
          </cell>
          <cell r="F9397">
            <v>0</v>
          </cell>
          <cell r="G9397">
            <v>0</v>
          </cell>
        </row>
        <row r="9398">
          <cell r="A9398" t="str">
            <v>57-01-01-1823</v>
          </cell>
          <cell r="B9398">
            <v>0</v>
          </cell>
          <cell r="C9398" t="str">
            <v xml:space="preserve">  IMTIAZ AHMED LYCRA OPT MILL # 4</v>
          </cell>
          <cell r="D9398">
            <v>0</v>
          </cell>
          <cell r="E9398">
            <v>0</v>
          </cell>
          <cell r="F9398">
            <v>0</v>
          </cell>
          <cell r="G9398">
            <v>0</v>
          </cell>
        </row>
        <row r="9399">
          <cell r="A9399" t="str">
            <v>57-01-01-1824</v>
          </cell>
          <cell r="B9399">
            <v>0</v>
          </cell>
          <cell r="C9399" t="str">
            <v xml:space="preserve">  SHAFQAT MUMTAZ T.M MILL # 6</v>
          </cell>
          <cell r="D9399">
            <v>0</v>
          </cell>
          <cell r="E9399">
            <v>0</v>
          </cell>
          <cell r="F9399">
            <v>0</v>
          </cell>
          <cell r="G9399">
            <v>0</v>
          </cell>
        </row>
        <row r="9400">
          <cell r="A9400" t="str">
            <v>57-01-01-1825</v>
          </cell>
          <cell r="B9400">
            <v>0</v>
          </cell>
          <cell r="C9400" t="str">
            <v xml:space="preserve">  MUHAMMAD SHAHBAZ OPT MILL # 1</v>
          </cell>
          <cell r="D9400">
            <v>0</v>
          </cell>
          <cell r="E9400">
            <v>0</v>
          </cell>
          <cell r="F9400">
            <v>0</v>
          </cell>
          <cell r="G9400">
            <v>0</v>
          </cell>
        </row>
        <row r="9401">
          <cell r="A9401" t="str">
            <v>57-01-01-1826</v>
          </cell>
          <cell r="B9401">
            <v>0</v>
          </cell>
          <cell r="C9401" t="str">
            <v xml:space="preserve">  KHALIL UR REHMAN COM OPT MILL # 2</v>
          </cell>
          <cell r="D9401">
            <v>0</v>
          </cell>
          <cell r="E9401">
            <v>0</v>
          </cell>
          <cell r="F9401">
            <v>0</v>
          </cell>
          <cell r="G9401">
            <v>0</v>
          </cell>
        </row>
        <row r="9402">
          <cell r="A9402" t="str">
            <v>57-01-01-1827</v>
          </cell>
          <cell r="B9402">
            <v>0</v>
          </cell>
          <cell r="C9402" t="str">
            <v xml:space="preserve">  MUHAMMAD ASLAM 4/S MILL # 2</v>
          </cell>
          <cell r="D9402">
            <v>0</v>
          </cell>
          <cell r="E9402">
            <v>0</v>
          </cell>
          <cell r="F9402">
            <v>0</v>
          </cell>
          <cell r="G9402">
            <v>0</v>
          </cell>
        </row>
        <row r="9403">
          <cell r="A9403" t="str">
            <v>57-01-01-1828</v>
          </cell>
          <cell r="B9403">
            <v>0</v>
          </cell>
          <cell r="C9403" t="str">
            <v xml:space="preserve">  MUHAMMAD ASHRAF 4/S MILL # 2</v>
          </cell>
          <cell r="D9403">
            <v>0</v>
          </cell>
          <cell r="E9403">
            <v>0</v>
          </cell>
          <cell r="F9403">
            <v>0</v>
          </cell>
          <cell r="G9403">
            <v>0</v>
          </cell>
        </row>
        <row r="9404">
          <cell r="A9404" t="str">
            <v>57-01-01-1829</v>
          </cell>
          <cell r="B9404">
            <v>0</v>
          </cell>
          <cell r="C9404" t="str">
            <v xml:space="preserve">  JAVAID AKRAM DF D/S MILL # 1</v>
          </cell>
          <cell r="D9404">
            <v>0</v>
          </cell>
          <cell r="E9404">
            <v>0</v>
          </cell>
          <cell r="F9404">
            <v>0</v>
          </cell>
          <cell r="G9404">
            <v>0</v>
          </cell>
        </row>
        <row r="9405">
          <cell r="A9405" t="str">
            <v>57-01-01-1830</v>
          </cell>
          <cell r="B9405">
            <v>0</v>
          </cell>
          <cell r="C9405" t="str">
            <v xml:space="preserve">  WARIS ALI JOBBER MILL # 2</v>
          </cell>
          <cell r="D9405">
            <v>0</v>
          </cell>
          <cell r="E9405">
            <v>0</v>
          </cell>
          <cell r="F9405">
            <v>0</v>
          </cell>
          <cell r="G9405">
            <v>0</v>
          </cell>
        </row>
        <row r="9406">
          <cell r="A9406" t="str">
            <v>57-01-01-1831</v>
          </cell>
          <cell r="B9406">
            <v>0</v>
          </cell>
          <cell r="C9406" t="str">
            <v xml:space="preserve">  SULTAN MEHMOOD JOBBER MILL # 1</v>
          </cell>
          <cell r="D9406">
            <v>0</v>
          </cell>
          <cell r="E9406">
            <v>0</v>
          </cell>
          <cell r="F9406">
            <v>0</v>
          </cell>
          <cell r="G9406">
            <v>0</v>
          </cell>
        </row>
        <row r="9407">
          <cell r="A9407" t="str">
            <v>57-01-01-1832</v>
          </cell>
          <cell r="B9407">
            <v>0</v>
          </cell>
          <cell r="C9407" t="str">
            <v xml:space="preserve">  ASAD KHAN 6/S MILL # 03</v>
          </cell>
          <cell r="D9407">
            <v>0</v>
          </cell>
          <cell r="E9407">
            <v>0</v>
          </cell>
          <cell r="F9407">
            <v>0</v>
          </cell>
          <cell r="G9407">
            <v>0</v>
          </cell>
        </row>
        <row r="9408">
          <cell r="A9408" t="str">
            <v>57-01-01-1833</v>
          </cell>
          <cell r="B9408">
            <v>0</v>
          </cell>
          <cell r="C9408" t="str">
            <v xml:space="preserve">  MUHAMMAD RIAZ D.D.T MILL # 1</v>
          </cell>
          <cell r="D9408">
            <v>0</v>
          </cell>
          <cell r="E9408">
            <v>0</v>
          </cell>
          <cell r="F9408">
            <v>0</v>
          </cell>
          <cell r="G9408">
            <v>0</v>
          </cell>
        </row>
        <row r="9409">
          <cell r="A9409" t="str">
            <v>57-01-01-1834</v>
          </cell>
          <cell r="B9409">
            <v>0</v>
          </cell>
          <cell r="C9409" t="str">
            <v xml:space="preserve">  MUHAMMAD YOUSAF OPT MILL # 3</v>
          </cell>
          <cell r="D9409">
            <v>0</v>
          </cell>
          <cell r="E9409">
            <v>0</v>
          </cell>
          <cell r="F9409">
            <v>0</v>
          </cell>
          <cell r="G9409">
            <v>0</v>
          </cell>
        </row>
        <row r="9410">
          <cell r="A9410" t="str">
            <v>57-01-01-1836</v>
          </cell>
          <cell r="B9410">
            <v>0</v>
          </cell>
          <cell r="C9410" t="str">
            <v xml:space="preserve">  SAMI ULLAH OPT MILL # 3</v>
          </cell>
          <cell r="D9410">
            <v>0</v>
          </cell>
          <cell r="E9410">
            <v>0</v>
          </cell>
          <cell r="F9410">
            <v>0</v>
          </cell>
          <cell r="G9410">
            <v>0</v>
          </cell>
        </row>
        <row r="9411">
          <cell r="A9411" t="str">
            <v>57-01-01-1837</v>
          </cell>
          <cell r="B9411">
            <v>0</v>
          </cell>
          <cell r="C9411" t="str">
            <v xml:space="preserve">  TAJ BAHADAR D/F MILL # 4</v>
          </cell>
          <cell r="D9411">
            <v>0</v>
          </cell>
          <cell r="E9411">
            <v>0</v>
          </cell>
          <cell r="F9411">
            <v>0</v>
          </cell>
          <cell r="G9411">
            <v>0</v>
          </cell>
        </row>
        <row r="9412">
          <cell r="A9412" t="str">
            <v>57-01-01-1838</v>
          </cell>
          <cell r="B9412">
            <v>0</v>
          </cell>
          <cell r="C9412" t="str">
            <v xml:space="preserve">  NAZIR AHMED OPT MILL # 1</v>
          </cell>
          <cell r="D9412">
            <v>0</v>
          </cell>
          <cell r="E9412">
            <v>0</v>
          </cell>
          <cell r="F9412">
            <v>0</v>
          </cell>
          <cell r="G9412">
            <v>0</v>
          </cell>
        </row>
        <row r="9413">
          <cell r="A9413" t="str">
            <v>57-01-01-1839</v>
          </cell>
          <cell r="B9413">
            <v>0</v>
          </cell>
          <cell r="C9413" t="str">
            <v xml:space="preserve">  RASHAD ALI D/D/T MILL # 2</v>
          </cell>
          <cell r="D9413">
            <v>0</v>
          </cell>
          <cell r="E9413">
            <v>0</v>
          </cell>
          <cell r="F9413">
            <v>0</v>
          </cell>
          <cell r="G9413">
            <v>0</v>
          </cell>
        </row>
        <row r="9414">
          <cell r="A9414" t="str">
            <v>57-01-01-1840</v>
          </cell>
          <cell r="B9414">
            <v>0</v>
          </cell>
          <cell r="C9414" t="str">
            <v xml:space="preserve">  TANVEER IQBAL A/FITT MILL # 1</v>
          </cell>
          <cell r="D9414">
            <v>0</v>
          </cell>
          <cell r="E9414">
            <v>0</v>
          </cell>
          <cell r="F9414">
            <v>0</v>
          </cell>
          <cell r="G9414">
            <v>0</v>
          </cell>
        </row>
        <row r="9415">
          <cell r="A9415" t="str">
            <v>57-01-01-1841</v>
          </cell>
          <cell r="B9415">
            <v>0</v>
          </cell>
          <cell r="C9415" t="str">
            <v xml:space="preserve">  JAVAID IQBAL D/F MILL # 3</v>
          </cell>
          <cell r="D9415">
            <v>0</v>
          </cell>
          <cell r="E9415">
            <v>0</v>
          </cell>
          <cell r="F9415">
            <v>0</v>
          </cell>
          <cell r="G9415">
            <v>0</v>
          </cell>
        </row>
        <row r="9416">
          <cell r="A9416" t="str">
            <v>57-01-01-1842</v>
          </cell>
          <cell r="B9416">
            <v>0</v>
          </cell>
          <cell r="C9416" t="str">
            <v xml:space="preserve">  GULRAIZ 4/S MILL # 1</v>
          </cell>
          <cell r="D9416">
            <v>0</v>
          </cell>
          <cell r="E9416">
            <v>0</v>
          </cell>
          <cell r="F9416">
            <v>0</v>
          </cell>
          <cell r="G9416">
            <v>0</v>
          </cell>
        </row>
        <row r="9417">
          <cell r="A9417" t="str">
            <v>57-01-01-1843</v>
          </cell>
          <cell r="B9417">
            <v>0</v>
          </cell>
          <cell r="C9417" t="str">
            <v xml:space="preserve">  ABDUL RAZZAQ OPT AUTO CONE M</v>
          </cell>
          <cell r="D9417">
            <v>0</v>
          </cell>
          <cell r="E9417">
            <v>0</v>
          </cell>
          <cell r="F9417">
            <v>0</v>
          </cell>
          <cell r="G9417">
            <v>0</v>
          </cell>
        </row>
        <row r="9418">
          <cell r="A9418" t="str">
            <v>57-01-01-1844</v>
          </cell>
          <cell r="B9418">
            <v>0</v>
          </cell>
          <cell r="C9418" t="str">
            <v xml:space="preserve">  KAKIM KHAN DOFFER MILL # 03</v>
          </cell>
          <cell r="D9418">
            <v>0</v>
          </cell>
          <cell r="E9418">
            <v>0</v>
          </cell>
          <cell r="F9418">
            <v>0</v>
          </cell>
          <cell r="G9418">
            <v>0</v>
          </cell>
        </row>
        <row r="9419">
          <cell r="A9419" t="str">
            <v>57-01-01-1845</v>
          </cell>
          <cell r="B9419">
            <v>0</v>
          </cell>
          <cell r="C9419" t="str">
            <v xml:space="preserve">  TAZA GUL 4/S MILL # 01</v>
          </cell>
          <cell r="D9419">
            <v>0</v>
          </cell>
          <cell r="E9419">
            <v>0</v>
          </cell>
          <cell r="F9419">
            <v>0</v>
          </cell>
          <cell r="G9419">
            <v>0</v>
          </cell>
        </row>
        <row r="9420">
          <cell r="A9420" t="str">
            <v>57-01-01-1846</v>
          </cell>
          <cell r="B9420">
            <v>0</v>
          </cell>
          <cell r="C9420" t="str">
            <v xml:space="preserve">  GHULAM AKBAR OPT MILL # 3</v>
          </cell>
          <cell r="D9420">
            <v>0</v>
          </cell>
          <cell r="E9420">
            <v>0</v>
          </cell>
          <cell r="F9420">
            <v>0</v>
          </cell>
          <cell r="G9420">
            <v>0</v>
          </cell>
        </row>
        <row r="9421">
          <cell r="A9421" t="str">
            <v>57-01-01-1847</v>
          </cell>
          <cell r="B9421">
            <v>0</v>
          </cell>
          <cell r="C9421" t="str">
            <v xml:space="preserve">  MUHAMMAD MURSLIN</v>
          </cell>
          <cell r="D9421">
            <v>0</v>
          </cell>
          <cell r="E9421">
            <v>0</v>
          </cell>
          <cell r="F9421">
            <v>0</v>
          </cell>
          <cell r="G9421">
            <v>0</v>
          </cell>
        </row>
        <row r="9422">
          <cell r="A9422" t="str">
            <v>57-01-01-1849</v>
          </cell>
          <cell r="B9422">
            <v>0</v>
          </cell>
          <cell r="C9422" t="str">
            <v xml:space="preserve">  ABIB HUSSAIN 4/S C/SP MILL # 5</v>
          </cell>
          <cell r="D9422">
            <v>0</v>
          </cell>
          <cell r="E9422">
            <v>0</v>
          </cell>
          <cell r="F9422">
            <v>0</v>
          </cell>
          <cell r="G9422">
            <v>0</v>
          </cell>
        </row>
        <row r="9423">
          <cell r="A9423" t="str">
            <v>57-01-01-1850</v>
          </cell>
          <cell r="B9423">
            <v>0</v>
          </cell>
          <cell r="C9423" t="str">
            <v xml:space="preserve">  MUHAMMAD JAVAID 4/S C/SP</v>
          </cell>
          <cell r="D9423">
            <v>0</v>
          </cell>
          <cell r="E9423">
            <v>0</v>
          </cell>
          <cell r="F9423">
            <v>0</v>
          </cell>
          <cell r="G9423">
            <v>0</v>
          </cell>
        </row>
        <row r="9424">
          <cell r="A9424" t="str">
            <v>57-01-01-1851</v>
          </cell>
          <cell r="B9424">
            <v>0</v>
          </cell>
          <cell r="C9424" t="str">
            <v xml:space="preserve">  KHUSHI MUHAMMAD 4/S C/SP MILL</v>
          </cell>
          <cell r="D9424">
            <v>0</v>
          </cell>
          <cell r="E9424">
            <v>0</v>
          </cell>
          <cell r="F9424">
            <v>0</v>
          </cell>
          <cell r="G9424">
            <v>0</v>
          </cell>
        </row>
        <row r="9425">
          <cell r="A9425" t="str">
            <v>57-01-01-1852</v>
          </cell>
          <cell r="B9425">
            <v>0</v>
          </cell>
          <cell r="C9425" t="str">
            <v xml:space="preserve">  GHULAM SHABBIR C.T.COMBER M # 4</v>
          </cell>
          <cell r="D9425">
            <v>0</v>
          </cell>
          <cell r="E9425">
            <v>0</v>
          </cell>
          <cell r="F9425">
            <v>0</v>
          </cell>
          <cell r="G9425">
            <v>0</v>
          </cell>
        </row>
        <row r="9426">
          <cell r="A9426" t="str">
            <v>57-01-01-1854</v>
          </cell>
          <cell r="B9426">
            <v>0</v>
          </cell>
          <cell r="C9426" t="str">
            <v xml:space="preserve">  ANSIR ALI H/FITTER</v>
          </cell>
          <cell r="D9426">
            <v>0</v>
          </cell>
          <cell r="E9426">
            <v>0</v>
          </cell>
          <cell r="F9426">
            <v>0</v>
          </cell>
          <cell r="G9426">
            <v>0</v>
          </cell>
        </row>
        <row r="9427">
          <cell r="A9427" t="str">
            <v>57-01-01-1855</v>
          </cell>
          <cell r="B9427">
            <v>0</v>
          </cell>
          <cell r="C9427" t="str">
            <v xml:space="preserve">  MUHAMMAD KHAN OPT AUTO CONE</v>
          </cell>
          <cell r="D9427">
            <v>0</v>
          </cell>
          <cell r="E9427">
            <v>0</v>
          </cell>
          <cell r="F9427">
            <v>0</v>
          </cell>
          <cell r="G9427">
            <v>0</v>
          </cell>
        </row>
        <row r="9428">
          <cell r="A9428" t="str">
            <v>57-01-01-1856</v>
          </cell>
          <cell r="B9428">
            <v>0</v>
          </cell>
          <cell r="C9428" t="str">
            <v xml:space="preserve">  MUHAMMAD USSAN HELPER ELEC MILL</v>
          </cell>
          <cell r="D9428">
            <v>0</v>
          </cell>
          <cell r="E9428">
            <v>0</v>
          </cell>
          <cell r="F9428">
            <v>0</v>
          </cell>
          <cell r="G9428">
            <v>0</v>
          </cell>
        </row>
        <row r="9429">
          <cell r="A9429" t="str">
            <v>57-01-01-1857</v>
          </cell>
          <cell r="B9429">
            <v>0</v>
          </cell>
          <cell r="C9429" t="str">
            <v xml:space="preserve">  MUHAMMAD ASLAM D/F B/R MILL # 03</v>
          </cell>
          <cell r="D9429">
            <v>0</v>
          </cell>
          <cell r="E9429">
            <v>0</v>
          </cell>
          <cell r="F9429">
            <v>0</v>
          </cell>
          <cell r="G9429">
            <v>0</v>
          </cell>
        </row>
        <row r="9430">
          <cell r="A9430" t="str">
            <v>57-01-01-1858</v>
          </cell>
          <cell r="B9430">
            <v>0</v>
          </cell>
          <cell r="C9430" t="str">
            <v xml:space="preserve">  SAMANDAR GUL 4/S RING</v>
          </cell>
          <cell r="D9430">
            <v>0</v>
          </cell>
          <cell r="E9430">
            <v>0</v>
          </cell>
          <cell r="F9430">
            <v>0</v>
          </cell>
          <cell r="G9430">
            <v>0</v>
          </cell>
        </row>
        <row r="9431">
          <cell r="A9431" t="str">
            <v>57-01-01-1859</v>
          </cell>
          <cell r="B9431">
            <v>0</v>
          </cell>
          <cell r="C9431" t="str">
            <v xml:space="preserve">  MUHAMMAD AKRAM OPT A/CONE M # 4</v>
          </cell>
          <cell r="D9431">
            <v>0</v>
          </cell>
          <cell r="E9431">
            <v>0</v>
          </cell>
          <cell r="F9431">
            <v>0</v>
          </cell>
          <cell r="G9431">
            <v>0</v>
          </cell>
        </row>
        <row r="9432">
          <cell r="A9432" t="str">
            <v>57-01-01-1861</v>
          </cell>
          <cell r="B9432">
            <v>0</v>
          </cell>
          <cell r="C9432" t="str">
            <v xml:space="preserve">  USMAN AKRAM S/FITT C/SP</v>
          </cell>
          <cell r="D9432">
            <v>0</v>
          </cell>
          <cell r="E9432">
            <v>0</v>
          </cell>
          <cell r="F9432">
            <v>0</v>
          </cell>
          <cell r="G9432">
            <v>0</v>
          </cell>
        </row>
        <row r="9433">
          <cell r="A9433" t="str">
            <v>57-01-01-1862</v>
          </cell>
          <cell r="B9433">
            <v>0</v>
          </cell>
          <cell r="C9433" t="str">
            <v xml:space="preserve">  MUHAMMAD HANIF TURNER WORKSHOP</v>
          </cell>
          <cell r="D9433">
            <v>0</v>
          </cell>
          <cell r="E9433">
            <v>0</v>
          </cell>
          <cell r="F9433">
            <v>0</v>
          </cell>
          <cell r="G9433">
            <v>0</v>
          </cell>
        </row>
        <row r="9434">
          <cell r="A9434" t="str">
            <v>57-01-01-1863</v>
          </cell>
          <cell r="B9434">
            <v>0</v>
          </cell>
          <cell r="C9434" t="str">
            <v xml:space="preserve">  ABID HUSSAIN FITT C/SP</v>
          </cell>
          <cell r="D9434">
            <v>0</v>
          </cell>
          <cell r="E9434">
            <v>0</v>
          </cell>
          <cell r="F9434">
            <v>0</v>
          </cell>
          <cell r="G9434">
            <v>0</v>
          </cell>
        </row>
        <row r="9435">
          <cell r="A9435" t="str">
            <v>57-01-01-1864</v>
          </cell>
          <cell r="B9435">
            <v>0</v>
          </cell>
          <cell r="C9435" t="str">
            <v xml:space="preserve">  RAMEEZ AKRAM A/FITT C/SP M # 4</v>
          </cell>
          <cell r="D9435">
            <v>0</v>
          </cell>
          <cell r="E9435">
            <v>0</v>
          </cell>
          <cell r="F9435">
            <v>0</v>
          </cell>
          <cell r="G9435">
            <v>0</v>
          </cell>
        </row>
        <row r="9436">
          <cell r="A9436" t="str">
            <v>57-01-01-1865</v>
          </cell>
          <cell r="B9436">
            <v>0</v>
          </cell>
          <cell r="C9436" t="str">
            <v xml:space="preserve">  MUGHAMMAD ASGHAR ALI</v>
          </cell>
          <cell r="D9436">
            <v>0</v>
          </cell>
          <cell r="E9436">
            <v>0</v>
          </cell>
          <cell r="F9436">
            <v>0</v>
          </cell>
          <cell r="G9436">
            <v>0</v>
          </cell>
        </row>
        <row r="9437">
          <cell r="A9437" t="str">
            <v>57-01-01-1866</v>
          </cell>
          <cell r="B9437">
            <v>0</v>
          </cell>
          <cell r="C9437" t="str">
            <v xml:space="preserve">  MUHAMMAD ASLAM D/F</v>
          </cell>
          <cell r="D9437">
            <v>0</v>
          </cell>
          <cell r="E9437">
            <v>0</v>
          </cell>
          <cell r="F9437">
            <v>0</v>
          </cell>
          <cell r="G9437">
            <v>0</v>
          </cell>
        </row>
        <row r="9438">
          <cell r="A9438" t="str">
            <v>57-01-01-1867</v>
          </cell>
          <cell r="B9438">
            <v>0</v>
          </cell>
          <cell r="C9438" t="str">
            <v xml:space="preserve">  AKHTAR ABBAS C/T CARD</v>
          </cell>
          <cell r="D9438">
            <v>0</v>
          </cell>
          <cell r="E9438">
            <v>0</v>
          </cell>
          <cell r="F9438">
            <v>0</v>
          </cell>
          <cell r="G9438">
            <v>0</v>
          </cell>
        </row>
        <row r="9439">
          <cell r="A9439" t="str">
            <v>57-01-01-1869</v>
          </cell>
          <cell r="B9439">
            <v>0</v>
          </cell>
          <cell r="C9439" t="str">
            <v xml:space="preserve">  MUHAMMAD RIAZ JOB C/SP MILL</v>
          </cell>
          <cell r="D9439">
            <v>0</v>
          </cell>
          <cell r="E9439">
            <v>0</v>
          </cell>
          <cell r="F9439">
            <v>0</v>
          </cell>
          <cell r="G9439">
            <v>0</v>
          </cell>
        </row>
        <row r="9440">
          <cell r="A9440" t="str">
            <v>57-01-01-1870</v>
          </cell>
          <cell r="B9440">
            <v>0</v>
          </cell>
          <cell r="C9440" t="str">
            <v xml:space="preserve">  MUHAMMAD NAWAZ H/JOB</v>
          </cell>
          <cell r="D9440">
            <v>0</v>
          </cell>
          <cell r="E9440">
            <v>0</v>
          </cell>
          <cell r="F9440">
            <v>0</v>
          </cell>
          <cell r="G9440">
            <v>0</v>
          </cell>
        </row>
        <row r="9441">
          <cell r="A9441" t="str">
            <v>57-01-01-1872</v>
          </cell>
          <cell r="B9441">
            <v>0</v>
          </cell>
          <cell r="C9441" t="str">
            <v xml:space="preserve">  MUHAMMAD RIAZ C/T CARD</v>
          </cell>
          <cell r="D9441">
            <v>0</v>
          </cell>
          <cell r="E9441">
            <v>0</v>
          </cell>
          <cell r="F9441">
            <v>0</v>
          </cell>
          <cell r="G9441">
            <v>0</v>
          </cell>
        </row>
        <row r="9442">
          <cell r="A9442" t="str">
            <v>57-01-01-1873</v>
          </cell>
          <cell r="B9442">
            <v>0</v>
          </cell>
          <cell r="C9442" t="str">
            <v xml:space="preserve">  MUHAMMAD SHAFI C/T</v>
          </cell>
          <cell r="D9442">
            <v>0</v>
          </cell>
          <cell r="E9442">
            <v>0</v>
          </cell>
          <cell r="F9442">
            <v>0</v>
          </cell>
          <cell r="G9442">
            <v>0</v>
          </cell>
        </row>
        <row r="9443">
          <cell r="A9443" t="str">
            <v>57-01-01-1874</v>
          </cell>
          <cell r="B9443">
            <v>0</v>
          </cell>
          <cell r="C9443" t="str">
            <v xml:space="preserve">  ABDUL RASHEED C.T CARD</v>
          </cell>
          <cell r="D9443">
            <v>0</v>
          </cell>
          <cell r="E9443">
            <v>0</v>
          </cell>
          <cell r="F9443">
            <v>0</v>
          </cell>
          <cell r="G9443">
            <v>0</v>
          </cell>
        </row>
        <row r="9444">
          <cell r="A9444" t="str">
            <v>57-01-01-1875</v>
          </cell>
          <cell r="B9444">
            <v>0</v>
          </cell>
          <cell r="C9444" t="str">
            <v xml:space="preserve">  MUHAMMAD FAROOQ H/FITTER</v>
          </cell>
          <cell r="D9444">
            <v>0</v>
          </cell>
          <cell r="E9444">
            <v>0</v>
          </cell>
          <cell r="F9444">
            <v>0</v>
          </cell>
          <cell r="G9444">
            <v>0</v>
          </cell>
        </row>
        <row r="9445">
          <cell r="A9445" t="str">
            <v>57-01-01-1876</v>
          </cell>
          <cell r="B9445">
            <v>0</v>
          </cell>
          <cell r="C9445" t="str">
            <v xml:space="preserve">  GHULAM SHABBIR D/F RING # 1</v>
          </cell>
          <cell r="D9445">
            <v>0</v>
          </cell>
          <cell r="E9445">
            <v>0</v>
          </cell>
          <cell r="F9445">
            <v>0</v>
          </cell>
          <cell r="G9445">
            <v>0</v>
          </cell>
        </row>
        <row r="9446">
          <cell r="A9446" t="str">
            <v>57-01-01-1877</v>
          </cell>
          <cell r="B9446">
            <v>0</v>
          </cell>
          <cell r="C9446" t="str">
            <v xml:space="preserve">  ABRAR HUSSAIN S.A.FOREMAN A/CON</v>
          </cell>
          <cell r="D9446">
            <v>0</v>
          </cell>
          <cell r="E9446">
            <v>0</v>
          </cell>
          <cell r="F9446">
            <v>0</v>
          </cell>
          <cell r="G9446">
            <v>0</v>
          </cell>
        </row>
        <row r="9447">
          <cell r="A9447" t="str">
            <v>57-01-01-1878</v>
          </cell>
          <cell r="B9447">
            <v>0</v>
          </cell>
          <cell r="C9447" t="str">
            <v xml:space="preserve">  NAEEM KHADIM D/F RING # 1</v>
          </cell>
          <cell r="D9447">
            <v>0</v>
          </cell>
          <cell r="E9447">
            <v>0</v>
          </cell>
          <cell r="F9447">
            <v>0</v>
          </cell>
          <cell r="G9447">
            <v>0</v>
          </cell>
        </row>
        <row r="9448">
          <cell r="A9448" t="str">
            <v>57-01-01-1879</v>
          </cell>
          <cell r="B9448">
            <v>0</v>
          </cell>
          <cell r="C9448" t="str">
            <v xml:space="preserve">  PARVIZ IQBAL D/F RING 7</v>
          </cell>
          <cell r="D9448">
            <v>0</v>
          </cell>
          <cell r="E9448">
            <v>0</v>
          </cell>
          <cell r="F9448">
            <v>0</v>
          </cell>
          <cell r="G9448">
            <v>0</v>
          </cell>
        </row>
        <row r="9449">
          <cell r="A9449" t="str">
            <v>57-01-01-1880</v>
          </cell>
          <cell r="B9449">
            <v>0</v>
          </cell>
          <cell r="C9449" t="str">
            <v xml:space="preserve">  TARS MIRAN OPT A/CONE</v>
          </cell>
          <cell r="D9449">
            <v>0</v>
          </cell>
          <cell r="E9449">
            <v>0</v>
          </cell>
          <cell r="F9449">
            <v>0</v>
          </cell>
          <cell r="G9449">
            <v>0</v>
          </cell>
        </row>
        <row r="9450">
          <cell r="A9450" t="str">
            <v>57-01-01-1881</v>
          </cell>
          <cell r="B9450">
            <v>0</v>
          </cell>
          <cell r="C9450" t="str">
            <v xml:space="preserve">  ABDUL GHAFFAR S.A./FOR RING</v>
          </cell>
          <cell r="D9450">
            <v>0</v>
          </cell>
          <cell r="E9450">
            <v>0</v>
          </cell>
          <cell r="F9450">
            <v>0</v>
          </cell>
          <cell r="G9450">
            <v>0</v>
          </cell>
        </row>
        <row r="9451">
          <cell r="A9451" t="str">
            <v>57-01-01-1882</v>
          </cell>
          <cell r="B9451">
            <v>0</v>
          </cell>
          <cell r="C9451" t="str">
            <v xml:space="preserve">  MUHAMMAD QASIM D/F CARD-1</v>
          </cell>
          <cell r="D9451">
            <v>0</v>
          </cell>
          <cell r="E9451">
            <v>0</v>
          </cell>
          <cell r="F9451">
            <v>0</v>
          </cell>
          <cell r="G9451">
            <v>0</v>
          </cell>
        </row>
        <row r="9452">
          <cell r="A9452" t="str">
            <v>57-01-01-1883</v>
          </cell>
          <cell r="B9452">
            <v>0</v>
          </cell>
          <cell r="C9452" t="str">
            <v xml:space="preserve">  IMTAIZ AHMED TM-3</v>
          </cell>
          <cell r="D9452">
            <v>0</v>
          </cell>
          <cell r="E9452">
            <v>24000</v>
          </cell>
          <cell r="F9452">
            <v>0</v>
          </cell>
          <cell r="G9452">
            <v>0</v>
          </cell>
        </row>
        <row r="9453">
          <cell r="A9453" t="str">
            <v>57-01-01-1884</v>
          </cell>
          <cell r="B9453">
            <v>0</v>
          </cell>
          <cell r="C9453" t="str">
            <v xml:space="preserve">  GHULAM ABBAS JOB RING</v>
          </cell>
          <cell r="D9453">
            <v>0</v>
          </cell>
          <cell r="E9453">
            <v>0</v>
          </cell>
          <cell r="F9453">
            <v>0</v>
          </cell>
          <cell r="G9453">
            <v>0</v>
          </cell>
        </row>
        <row r="9454">
          <cell r="A9454" t="str">
            <v>57-01-01-1885</v>
          </cell>
          <cell r="B9454">
            <v>0</v>
          </cell>
          <cell r="C9454" t="str">
            <v xml:space="preserve">  MUHAMMAD IMRAN OPT A/CONE</v>
          </cell>
          <cell r="D9454">
            <v>0</v>
          </cell>
          <cell r="E9454">
            <v>0</v>
          </cell>
          <cell r="F9454">
            <v>0</v>
          </cell>
          <cell r="G9454">
            <v>0</v>
          </cell>
        </row>
        <row r="9455">
          <cell r="A9455" t="str">
            <v>57-01-01-1886</v>
          </cell>
          <cell r="B9455">
            <v>0</v>
          </cell>
          <cell r="C9455" t="str">
            <v xml:space="preserve">  FAYYAZ HUSSAIN SHAH FIT M-3</v>
          </cell>
          <cell r="D9455">
            <v>0</v>
          </cell>
          <cell r="E9455">
            <v>0</v>
          </cell>
          <cell r="F9455">
            <v>0</v>
          </cell>
          <cell r="G9455">
            <v>0</v>
          </cell>
        </row>
        <row r="9456">
          <cell r="A9456" t="str">
            <v>57-01-01-1887</v>
          </cell>
          <cell r="B9456">
            <v>0</v>
          </cell>
          <cell r="C9456" t="str">
            <v xml:space="preserve">  AMJAD FAROOQ A/FIT A/CONE</v>
          </cell>
          <cell r="D9456">
            <v>0</v>
          </cell>
          <cell r="E9456">
            <v>0</v>
          </cell>
          <cell r="F9456">
            <v>0</v>
          </cell>
          <cell r="G9456">
            <v>0</v>
          </cell>
        </row>
        <row r="9457">
          <cell r="A9457" t="str">
            <v>57-01-01-1888</v>
          </cell>
          <cell r="B9457">
            <v>0</v>
          </cell>
          <cell r="C9457" t="str">
            <v xml:space="preserve">  PERVAIZ IQBAL 4/S RING-8</v>
          </cell>
          <cell r="D9457">
            <v>0</v>
          </cell>
          <cell r="E9457">
            <v>0</v>
          </cell>
          <cell r="F9457">
            <v>0</v>
          </cell>
          <cell r="G9457">
            <v>0</v>
          </cell>
        </row>
        <row r="9458">
          <cell r="A9458" t="str">
            <v>57-01-01-1889</v>
          </cell>
          <cell r="B9458">
            <v>0</v>
          </cell>
          <cell r="C9458" t="str">
            <v xml:space="preserve">  MUHAMMAS ABBAS HELPER R C MILL</v>
          </cell>
          <cell r="D9458">
            <v>0</v>
          </cell>
          <cell r="E9458">
            <v>0</v>
          </cell>
          <cell r="F9458">
            <v>0</v>
          </cell>
          <cell r="G9458">
            <v>0</v>
          </cell>
        </row>
        <row r="9459">
          <cell r="A9459" t="str">
            <v>57-01-01-1890</v>
          </cell>
          <cell r="B9459">
            <v>0</v>
          </cell>
          <cell r="C9459" t="str">
            <v xml:space="preserve">  MUHAMMAD BOOTA S.A.FOREMAN</v>
          </cell>
          <cell r="D9459">
            <v>0</v>
          </cell>
          <cell r="E9459">
            <v>0</v>
          </cell>
          <cell r="F9459">
            <v>0</v>
          </cell>
          <cell r="G9459">
            <v>0</v>
          </cell>
        </row>
        <row r="9460">
          <cell r="A9460" t="str">
            <v>57-01-01-1891</v>
          </cell>
          <cell r="B9460">
            <v>0</v>
          </cell>
          <cell r="C9460" t="str">
            <v xml:space="preserve">  ZUBAIR YOUSAF A.S.M MILL # 4</v>
          </cell>
          <cell r="D9460">
            <v>0</v>
          </cell>
          <cell r="E9460">
            <v>0</v>
          </cell>
          <cell r="F9460">
            <v>0</v>
          </cell>
          <cell r="G9460">
            <v>0</v>
          </cell>
        </row>
        <row r="9461">
          <cell r="A9461" t="str">
            <v>57-01-01-1892</v>
          </cell>
          <cell r="B9461">
            <v>0</v>
          </cell>
          <cell r="C9461" t="str">
            <v xml:space="preserve">  MUHAMMAD ZAHOOR D/F RING</v>
          </cell>
          <cell r="D9461">
            <v>0</v>
          </cell>
          <cell r="E9461">
            <v>0</v>
          </cell>
          <cell r="F9461">
            <v>0</v>
          </cell>
          <cell r="G9461">
            <v>0</v>
          </cell>
        </row>
        <row r="9462">
          <cell r="A9462" t="str">
            <v>57-01-01-1894</v>
          </cell>
          <cell r="B9462">
            <v>0</v>
          </cell>
          <cell r="C9462" t="str">
            <v xml:space="preserve">  GUL FARAZ 4/S RING</v>
          </cell>
          <cell r="D9462">
            <v>0</v>
          </cell>
          <cell r="E9462">
            <v>0</v>
          </cell>
          <cell r="F9462">
            <v>0</v>
          </cell>
          <cell r="G9462">
            <v>0</v>
          </cell>
        </row>
        <row r="9463">
          <cell r="A9463" t="str">
            <v>57-01-01-1896</v>
          </cell>
          <cell r="B9463">
            <v>0</v>
          </cell>
          <cell r="C9463" t="str">
            <v xml:space="preserve">  AMANAT ALI JOBBER B/ROOM MILL # 2</v>
          </cell>
          <cell r="D9463">
            <v>0</v>
          </cell>
          <cell r="E9463">
            <v>0</v>
          </cell>
          <cell r="F9463">
            <v>0</v>
          </cell>
          <cell r="G9463">
            <v>0</v>
          </cell>
        </row>
        <row r="9464">
          <cell r="A9464" t="str">
            <v>57-01-01-1898</v>
          </cell>
          <cell r="B9464">
            <v>0</v>
          </cell>
          <cell r="C9464" t="str">
            <v xml:space="preserve">  AAMIR ADNAN</v>
          </cell>
          <cell r="D9464">
            <v>0</v>
          </cell>
          <cell r="E9464">
            <v>0</v>
          </cell>
          <cell r="F9464">
            <v>0</v>
          </cell>
          <cell r="G9464">
            <v>0</v>
          </cell>
        </row>
        <row r="9465">
          <cell r="A9465" t="str">
            <v>57-01-01-1899</v>
          </cell>
          <cell r="B9465">
            <v>0</v>
          </cell>
          <cell r="C9465" t="str">
            <v xml:space="preserve">  MUHAMMAD TANVIR 4/S RING 4</v>
          </cell>
          <cell r="D9465">
            <v>0</v>
          </cell>
          <cell r="E9465">
            <v>0</v>
          </cell>
          <cell r="F9465">
            <v>0</v>
          </cell>
          <cell r="G9465">
            <v>0</v>
          </cell>
        </row>
        <row r="9466">
          <cell r="A9466" t="str">
            <v>57-01-01-1901</v>
          </cell>
          <cell r="B9466">
            <v>0</v>
          </cell>
          <cell r="C9466" t="str">
            <v xml:space="preserve">  AZAZ HUSSAIN H/FITT</v>
          </cell>
          <cell r="D9466">
            <v>0</v>
          </cell>
          <cell r="E9466">
            <v>0</v>
          </cell>
          <cell r="F9466">
            <v>0</v>
          </cell>
          <cell r="G9466">
            <v>0</v>
          </cell>
        </row>
        <row r="9467">
          <cell r="A9467" t="str">
            <v>57-01-01-1902</v>
          </cell>
          <cell r="B9467">
            <v>0</v>
          </cell>
          <cell r="C9467" t="str">
            <v xml:space="preserve">  SOHAIL AKRAM FITT RING 6 M # 1</v>
          </cell>
          <cell r="D9467">
            <v>0</v>
          </cell>
          <cell r="E9467">
            <v>0</v>
          </cell>
          <cell r="F9467">
            <v>0</v>
          </cell>
          <cell r="G9467">
            <v>0</v>
          </cell>
        </row>
        <row r="9468">
          <cell r="A9468" t="str">
            <v>57-01-01-1903</v>
          </cell>
          <cell r="B9468">
            <v>0</v>
          </cell>
          <cell r="C9468" t="str">
            <v xml:space="preserve">  MUHAMMAD ASIF A/FITTER</v>
          </cell>
          <cell r="D9468">
            <v>0</v>
          </cell>
          <cell r="E9468">
            <v>0</v>
          </cell>
          <cell r="F9468">
            <v>0</v>
          </cell>
          <cell r="G9468">
            <v>0</v>
          </cell>
        </row>
        <row r="9469">
          <cell r="A9469" t="str">
            <v>57-01-01-1904</v>
          </cell>
          <cell r="B9469">
            <v>0</v>
          </cell>
          <cell r="C9469" t="str">
            <v xml:space="preserve">  RABERT JAVAID S/QLTY</v>
          </cell>
          <cell r="D9469">
            <v>0</v>
          </cell>
          <cell r="E9469">
            <v>0</v>
          </cell>
          <cell r="F9469">
            <v>0</v>
          </cell>
          <cell r="G9469">
            <v>0</v>
          </cell>
        </row>
        <row r="9470">
          <cell r="A9470" t="str">
            <v>57-01-01-1905</v>
          </cell>
          <cell r="B9470">
            <v>0</v>
          </cell>
          <cell r="C9470" t="str">
            <v xml:space="preserve">  KASHIF SOHAIL PIP/FITT MILL # 4</v>
          </cell>
          <cell r="D9470">
            <v>0</v>
          </cell>
          <cell r="E9470">
            <v>0</v>
          </cell>
          <cell r="F9470">
            <v>0</v>
          </cell>
          <cell r="G9470">
            <v>0</v>
          </cell>
        </row>
        <row r="9471">
          <cell r="A9471" t="str">
            <v>57-01-01-1906</v>
          </cell>
          <cell r="B9471">
            <v>0</v>
          </cell>
          <cell r="C9471" t="str">
            <v xml:space="preserve">  GHULAM RAZA SHAH OB B/ROOM</v>
          </cell>
          <cell r="D9471">
            <v>0</v>
          </cell>
          <cell r="E9471">
            <v>0</v>
          </cell>
          <cell r="F9471">
            <v>0</v>
          </cell>
          <cell r="G9471">
            <v>0</v>
          </cell>
        </row>
        <row r="9472">
          <cell r="A9472" t="str">
            <v>57-01-01-1907</v>
          </cell>
          <cell r="B9472">
            <v>0</v>
          </cell>
          <cell r="C9472" t="str">
            <v xml:space="preserve">  UMAR FAROOQ HELPER MILL # 2</v>
          </cell>
          <cell r="D9472">
            <v>0</v>
          </cell>
          <cell r="E9472">
            <v>0</v>
          </cell>
          <cell r="F9472">
            <v>0</v>
          </cell>
          <cell r="G9472">
            <v>0</v>
          </cell>
        </row>
        <row r="9473">
          <cell r="A9473" t="str">
            <v>57-01-01-1908</v>
          </cell>
          <cell r="B9473">
            <v>0</v>
          </cell>
          <cell r="C9473" t="str">
            <v xml:space="preserve">  BASHIR AHMED 4/S RING 2</v>
          </cell>
          <cell r="D9473">
            <v>0</v>
          </cell>
          <cell r="E9473">
            <v>0</v>
          </cell>
          <cell r="F9473">
            <v>0</v>
          </cell>
          <cell r="G9473">
            <v>0</v>
          </cell>
        </row>
        <row r="9474">
          <cell r="A9474" t="str">
            <v>57-01-01-1909</v>
          </cell>
          <cell r="B9474">
            <v>0</v>
          </cell>
          <cell r="C9474" t="str">
            <v xml:space="preserve">  IFTIKHAR AHMED OPT A/CONE MILL</v>
          </cell>
          <cell r="D9474">
            <v>0</v>
          </cell>
          <cell r="E9474">
            <v>0</v>
          </cell>
          <cell r="F9474">
            <v>0</v>
          </cell>
          <cell r="G9474">
            <v>0</v>
          </cell>
        </row>
        <row r="9475">
          <cell r="A9475" t="str">
            <v>57-01-01-1910</v>
          </cell>
          <cell r="B9475">
            <v>0</v>
          </cell>
          <cell r="C9475" t="str">
            <v xml:space="preserve">  MUHAMMAD SAJJAD OPT A.CONE MILL</v>
          </cell>
          <cell r="D9475">
            <v>0</v>
          </cell>
          <cell r="E9475">
            <v>0</v>
          </cell>
          <cell r="F9475">
            <v>0</v>
          </cell>
          <cell r="G9475">
            <v>0</v>
          </cell>
        </row>
        <row r="9476">
          <cell r="A9476" t="str">
            <v>57-01-01-1911</v>
          </cell>
          <cell r="B9476">
            <v>0</v>
          </cell>
          <cell r="C9476" t="str">
            <v xml:space="preserve">  HASNAIN D/F RING 6</v>
          </cell>
          <cell r="D9476">
            <v>0</v>
          </cell>
          <cell r="E9476">
            <v>0</v>
          </cell>
          <cell r="F9476">
            <v>0</v>
          </cell>
          <cell r="G9476">
            <v>0</v>
          </cell>
        </row>
        <row r="9477">
          <cell r="A9477" t="str">
            <v>57-01-01-1912</v>
          </cell>
          <cell r="B9477">
            <v>0</v>
          </cell>
          <cell r="C9477" t="str">
            <v xml:space="preserve">  MUH RAMZAN FITT RING 8</v>
          </cell>
          <cell r="D9477">
            <v>0</v>
          </cell>
          <cell r="E9477">
            <v>0</v>
          </cell>
          <cell r="F9477">
            <v>0</v>
          </cell>
          <cell r="G9477">
            <v>0</v>
          </cell>
        </row>
        <row r="9478">
          <cell r="A9478" t="str">
            <v>57-01-01-1913</v>
          </cell>
          <cell r="B9478">
            <v>0</v>
          </cell>
          <cell r="C9478" t="str">
            <v xml:space="preserve">  MUHAMMAD AFZAL C.T MILL # 1</v>
          </cell>
          <cell r="D9478">
            <v>0</v>
          </cell>
          <cell r="E9478">
            <v>0</v>
          </cell>
          <cell r="F9478">
            <v>0</v>
          </cell>
          <cell r="G9478">
            <v>0</v>
          </cell>
        </row>
        <row r="9479">
          <cell r="A9479" t="str">
            <v>57-01-01-1914</v>
          </cell>
          <cell r="B9479">
            <v>0</v>
          </cell>
          <cell r="C9479" t="str">
            <v xml:space="preserve">  TARIQ RAHIM C.T.CARD</v>
          </cell>
          <cell r="D9479">
            <v>0</v>
          </cell>
          <cell r="E9479">
            <v>0</v>
          </cell>
          <cell r="F9479">
            <v>0</v>
          </cell>
          <cell r="G9479">
            <v>0</v>
          </cell>
        </row>
        <row r="9480">
          <cell r="A9480" t="str">
            <v>57-01-01-1915</v>
          </cell>
          <cell r="B9480">
            <v>0</v>
          </cell>
          <cell r="C9480" t="str">
            <v xml:space="preserve">  PARVAIZ IQBAL A/FITT CARD MILL</v>
          </cell>
          <cell r="D9480">
            <v>0</v>
          </cell>
          <cell r="E9480">
            <v>0</v>
          </cell>
          <cell r="F9480">
            <v>0</v>
          </cell>
          <cell r="G9480">
            <v>0</v>
          </cell>
        </row>
        <row r="9481">
          <cell r="A9481" t="str">
            <v>57-01-01-1916</v>
          </cell>
          <cell r="B9481">
            <v>0</v>
          </cell>
          <cell r="C9481" t="str">
            <v xml:space="preserve">  AFZAL QAYUM LT COMBER</v>
          </cell>
          <cell r="D9481">
            <v>0</v>
          </cell>
          <cell r="E9481">
            <v>0</v>
          </cell>
          <cell r="F9481">
            <v>0</v>
          </cell>
          <cell r="G9481">
            <v>0</v>
          </cell>
        </row>
        <row r="9482">
          <cell r="A9482" t="str">
            <v>57-01-01-1917</v>
          </cell>
          <cell r="B9482">
            <v>0</v>
          </cell>
          <cell r="C9482" t="str">
            <v xml:space="preserve">  KHALID HUSSAIN 4/S RING</v>
          </cell>
          <cell r="D9482">
            <v>0</v>
          </cell>
          <cell r="E9482">
            <v>0</v>
          </cell>
          <cell r="F9482">
            <v>0</v>
          </cell>
          <cell r="G9482">
            <v>0</v>
          </cell>
        </row>
        <row r="9483">
          <cell r="A9483" t="str">
            <v>57-01-01-1918</v>
          </cell>
          <cell r="B9483">
            <v>0</v>
          </cell>
          <cell r="C9483" t="str">
            <v xml:space="preserve">  TAJAMAL HUSSAIN L/OPT RING 8</v>
          </cell>
          <cell r="D9483">
            <v>0</v>
          </cell>
          <cell r="E9483">
            <v>0</v>
          </cell>
          <cell r="F9483">
            <v>0</v>
          </cell>
          <cell r="G9483">
            <v>0</v>
          </cell>
        </row>
        <row r="9484">
          <cell r="A9484" t="str">
            <v>57-01-01-1919</v>
          </cell>
          <cell r="B9484">
            <v>0</v>
          </cell>
          <cell r="C9484" t="str">
            <v xml:space="preserve">  IFTIKHAR AHMED A/FITT</v>
          </cell>
          <cell r="D9484">
            <v>0</v>
          </cell>
          <cell r="E9484">
            <v>0</v>
          </cell>
          <cell r="F9484">
            <v>0</v>
          </cell>
          <cell r="G9484">
            <v>0</v>
          </cell>
        </row>
        <row r="9485">
          <cell r="A9485" t="str">
            <v>57-01-01-1920</v>
          </cell>
          <cell r="B9485">
            <v>0</v>
          </cell>
          <cell r="C9485" t="str">
            <v xml:space="preserve">  NADEEM SATTAR CLERK MILL # 1</v>
          </cell>
          <cell r="D9485">
            <v>0</v>
          </cell>
          <cell r="E9485">
            <v>0</v>
          </cell>
          <cell r="F9485">
            <v>0</v>
          </cell>
          <cell r="G9485">
            <v>0</v>
          </cell>
        </row>
        <row r="9486">
          <cell r="A9486" t="str">
            <v>57-01-01-1921</v>
          </cell>
          <cell r="B9486">
            <v>0</v>
          </cell>
          <cell r="C9486" t="str">
            <v xml:space="preserve">  MUH IRSHAD TABASSUM S.FITT</v>
          </cell>
          <cell r="D9486">
            <v>0</v>
          </cell>
          <cell r="E9486">
            <v>0</v>
          </cell>
          <cell r="F9486">
            <v>0</v>
          </cell>
          <cell r="G9486">
            <v>0</v>
          </cell>
        </row>
        <row r="9487">
          <cell r="A9487" t="str">
            <v>57-01-01-1922</v>
          </cell>
          <cell r="B9487">
            <v>0</v>
          </cell>
          <cell r="C9487" t="str">
            <v xml:space="preserve">  AISAB KHAN 4/S</v>
          </cell>
          <cell r="D9487">
            <v>0</v>
          </cell>
          <cell r="E9487">
            <v>0</v>
          </cell>
          <cell r="F9487">
            <v>0</v>
          </cell>
          <cell r="G9487">
            <v>0</v>
          </cell>
        </row>
        <row r="9488">
          <cell r="A9488" t="str">
            <v>57-01-01-1923</v>
          </cell>
          <cell r="B9488">
            <v>0</v>
          </cell>
          <cell r="C9488" t="str">
            <v xml:space="preserve">  MUHAMMMAD SHAFIQUE FITT WORKSHOP</v>
          </cell>
          <cell r="D9488">
            <v>0</v>
          </cell>
          <cell r="E9488">
            <v>0</v>
          </cell>
          <cell r="F9488">
            <v>0</v>
          </cell>
          <cell r="G9488">
            <v>0</v>
          </cell>
        </row>
        <row r="9489">
          <cell r="A9489" t="str">
            <v>57-01-01-1924</v>
          </cell>
          <cell r="B9489">
            <v>0</v>
          </cell>
          <cell r="C9489" t="str">
            <v xml:space="preserve">  YASIR RAMZAN SHAPER MAN</v>
          </cell>
          <cell r="D9489">
            <v>0</v>
          </cell>
          <cell r="E9489">
            <v>0</v>
          </cell>
          <cell r="F9489">
            <v>0</v>
          </cell>
          <cell r="G9489">
            <v>0</v>
          </cell>
        </row>
        <row r="9490">
          <cell r="A9490" t="str">
            <v>57-01-01-1927</v>
          </cell>
          <cell r="B9490">
            <v>0</v>
          </cell>
          <cell r="C9490" t="str">
            <v xml:space="preserve">  ABDUL WAHID RING 4 JOB</v>
          </cell>
          <cell r="D9490">
            <v>0</v>
          </cell>
          <cell r="E9490">
            <v>0</v>
          </cell>
          <cell r="F9490">
            <v>0</v>
          </cell>
          <cell r="G9490">
            <v>0</v>
          </cell>
        </row>
        <row r="9491">
          <cell r="A9491" t="str">
            <v>57-01-01-1928</v>
          </cell>
          <cell r="B9491">
            <v>0</v>
          </cell>
          <cell r="C9491" t="str">
            <v xml:space="preserve">  TANSAR IQBAL 4/S RING</v>
          </cell>
          <cell r="D9491">
            <v>0</v>
          </cell>
          <cell r="E9491">
            <v>0</v>
          </cell>
          <cell r="F9491">
            <v>0</v>
          </cell>
          <cell r="G9491">
            <v>0</v>
          </cell>
        </row>
        <row r="9492">
          <cell r="A9492" t="str">
            <v>57-01-01-1929</v>
          </cell>
          <cell r="B9492">
            <v>0</v>
          </cell>
          <cell r="C9492" t="str">
            <v xml:space="preserve">  NIAZ HUSSAIN D/F B/ROOM</v>
          </cell>
          <cell r="D9492">
            <v>0</v>
          </cell>
          <cell r="E9492">
            <v>0</v>
          </cell>
          <cell r="F9492">
            <v>0</v>
          </cell>
          <cell r="G9492">
            <v>0</v>
          </cell>
        </row>
        <row r="9493">
          <cell r="A9493" t="str">
            <v>57-01-01-1930</v>
          </cell>
          <cell r="B9493">
            <v>0</v>
          </cell>
          <cell r="C9493" t="str">
            <v xml:space="preserve">  MUH SULEMAN A/FITT W/SUP ADMIN</v>
          </cell>
          <cell r="D9493">
            <v>0</v>
          </cell>
          <cell r="E9493">
            <v>0</v>
          </cell>
          <cell r="F9493">
            <v>0</v>
          </cell>
          <cell r="G9493">
            <v>0</v>
          </cell>
        </row>
        <row r="9494">
          <cell r="A9494" t="str">
            <v>57-01-01-1931</v>
          </cell>
          <cell r="B9494">
            <v>0</v>
          </cell>
          <cell r="C9494" t="str">
            <v xml:space="preserve">  GHULAM MURTAZA 4/S RING</v>
          </cell>
          <cell r="D9494">
            <v>0</v>
          </cell>
          <cell r="E9494">
            <v>0</v>
          </cell>
          <cell r="F9494">
            <v>0</v>
          </cell>
          <cell r="G9494">
            <v>0</v>
          </cell>
        </row>
        <row r="9495">
          <cell r="A9495" t="str">
            <v>57-01-01-1933</v>
          </cell>
          <cell r="B9495">
            <v>0</v>
          </cell>
          <cell r="C9495" t="str">
            <v xml:space="preserve">  MIHENDI KHAN OPT A/CONE</v>
          </cell>
          <cell r="D9495">
            <v>0</v>
          </cell>
          <cell r="E9495">
            <v>0</v>
          </cell>
          <cell r="F9495">
            <v>0</v>
          </cell>
          <cell r="G9495">
            <v>0</v>
          </cell>
        </row>
        <row r="9496">
          <cell r="A9496" t="str">
            <v>57-01-01-1934</v>
          </cell>
          <cell r="B9496">
            <v>0</v>
          </cell>
          <cell r="C9496" t="str">
            <v xml:space="preserve">  SABER REHMAN 4/S RING 6</v>
          </cell>
          <cell r="D9496">
            <v>0</v>
          </cell>
          <cell r="E9496">
            <v>0</v>
          </cell>
          <cell r="F9496">
            <v>0</v>
          </cell>
          <cell r="G9496">
            <v>0</v>
          </cell>
        </row>
        <row r="9497">
          <cell r="A9497" t="str">
            <v>57-01-01-1935</v>
          </cell>
          <cell r="B9497">
            <v>0</v>
          </cell>
          <cell r="C9497" t="str">
            <v xml:space="preserve">  MUHAMMAD AHSAN 4/S RING 1</v>
          </cell>
          <cell r="D9497">
            <v>0</v>
          </cell>
          <cell r="E9497">
            <v>0</v>
          </cell>
          <cell r="F9497">
            <v>0</v>
          </cell>
          <cell r="G9497">
            <v>0</v>
          </cell>
        </row>
        <row r="9498">
          <cell r="A9498" t="str">
            <v>57-01-01-1936</v>
          </cell>
          <cell r="B9498">
            <v>0</v>
          </cell>
          <cell r="C9498" t="str">
            <v xml:space="preserve">  LIAQUAT ALI L/OPT RING</v>
          </cell>
          <cell r="D9498">
            <v>0</v>
          </cell>
          <cell r="E9498">
            <v>0</v>
          </cell>
          <cell r="F9498">
            <v>0</v>
          </cell>
          <cell r="G9498">
            <v>0</v>
          </cell>
        </row>
        <row r="9499">
          <cell r="A9499" t="str">
            <v>57-01-01-1937</v>
          </cell>
          <cell r="B9499">
            <v>0</v>
          </cell>
          <cell r="C9499" t="str">
            <v xml:space="preserve">  IRSHAD HUSSAIN 4/S RING 5 MILL</v>
          </cell>
          <cell r="D9499">
            <v>0</v>
          </cell>
          <cell r="E9499">
            <v>0</v>
          </cell>
          <cell r="F9499">
            <v>0</v>
          </cell>
          <cell r="G9499">
            <v>0</v>
          </cell>
        </row>
        <row r="9500">
          <cell r="A9500" t="str">
            <v>57-01-01-1938</v>
          </cell>
          <cell r="B9500">
            <v>0</v>
          </cell>
          <cell r="C9500" t="str">
            <v xml:space="preserve">  ALLAH DITTA D/F D.ST MILL # 1</v>
          </cell>
          <cell r="D9500">
            <v>0</v>
          </cell>
          <cell r="E9500">
            <v>0</v>
          </cell>
          <cell r="F9500">
            <v>0</v>
          </cell>
          <cell r="G9500">
            <v>0</v>
          </cell>
        </row>
        <row r="9501">
          <cell r="A9501" t="str">
            <v>57-01-01-1939</v>
          </cell>
          <cell r="B9501">
            <v>0</v>
          </cell>
          <cell r="C9501" t="str">
            <v xml:space="preserve">  ABID HUSSAIN D/F RING 3</v>
          </cell>
          <cell r="D9501">
            <v>0</v>
          </cell>
          <cell r="E9501">
            <v>0</v>
          </cell>
          <cell r="F9501">
            <v>0</v>
          </cell>
          <cell r="G9501">
            <v>0</v>
          </cell>
        </row>
        <row r="9502">
          <cell r="A9502" t="str">
            <v>57-01-01-1940</v>
          </cell>
          <cell r="B9502">
            <v>0</v>
          </cell>
          <cell r="C9502" t="str">
            <v xml:space="preserve">  MUHAMMAD KHALIL D/F RING 3</v>
          </cell>
          <cell r="D9502">
            <v>0</v>
          </cell>
          <cell r="E9502">
            <v>0</v>
          </cell>
          <cell r="F9502">
            <v>0</v>
          </cell>
          <cell r="G9502">
            <v>0</v>
          </cell>
        </row>
        <row r="9503">
          <cell r="A9503" t="str">
            <v>57-01-01-1942</v>
          </cell>
          <cell r="B9503">
            <v>0</v>
          </cell>
          <cell r="C9503" t="str">
            <v xml:space="preserve">  GULZAR AHMED 4/S RING</v>
          </cell>
          <cell r="D9503">
            <v>0</v>
          </cell>
          <cell r="E9503">
            <v>0</v>
          </cell>
          <cell r="F9503">
            <v>0</v>
          </cell>
          <cell r="G9503">
            <v>0</v>
          </cell>
        </row>
        <row r="9504">
          <cell r="A9504" t="str">
            <v>57-01-01-1943</v>
          </cell>
          <cell r="B9504">
            <v>0</v>
          </cell>
          <cell r="C9504" t="str">
            <v xml:space="preserve">  MANZOOR HUSSAIN 4/S RING 7</v>
          </cell>
          <cell r="D9504">
            <v>0</v>
          </cell>
          <cell r="E9504">
            <v>0</v>
          </cell>
          <cell r="F9504">
            <v>0</v>
          </cell>
          <cell r="G9504">
            <v>0</v>
          </cell>
        </row>
        <row r="9505">
          <cell r="A9505" t="str">
            <v>57-01-01-1944</v>
          </cell>
          <cell r="B9505">
            <v>0</v>
          </cell>
          <cell r="C9505" t="str">
            <v xml:space="preserve">  MUHAMMAD YAQOOB OPT A/CONE</v>
          </cell>
          <cell r="D9505">
            <v>0</v>
          </cell>
          <cell r="E9505">
            <v>0</v>
          </cell>
          <cell r="F9505">
            <v>0</v>
          </cell>
          <cell r="G9505">
            <v>0</v>
          </cell>
        </row>
        <row r="9506">
          <cell r="A9506" t="str">
            <v>57-01-01-1945</v>
          </cell>
          <cell r="B9506">
            <v>0</v>
          </cell>
          <cell r="C9506" t="str">
            <v xml:space="preserve">  MUHAMMAD AKHTAR OPT A/CONE</v>
          </cell>
          <cell r="D9506">
            <v>0</v>
          </cell>
          <cell r="E9506">
            <v>0</v>
          </cell>
          <cell r="F9506">
            <v>0</v>
          </cell>
          <cell r="G9506">
            <v>0</v>
          </cell>
        </row>
        <row r="9507">
          <cell r="A9507" t="str">
            <v>57-01-01-1946</v>
          </cell>
          <cell r="B9507">
            <v>0</v>
          </cell>
          <cell r="C9507" t="str">
            <v xml:space="preserve">  MUHAMMAD IQBAL 4/S RING 3</v>
          </cell>
          <cell r="D9507">
            <v>0</v>
          </cell>
          <cell r="E9507">
            <v>0</v>
          </cell>
          <cell r="F9507">
            <v>0</v>
          </cell>
          <cell r="G9507">
            <v>0</v>
          </cell>
        </row>
        <row r="9508">
          <cell r="A9508" t="str">
            <v>57-01-01-1947</v>
          </cell>
          <cell r="B9508">
            <v>0</v>
          </cell>
          <cell r="C9508" t="str">
            <v xml:space="preserve">  NIAZ KHAN D.S.T.D/S MILL # 2</v>
          </cell>
          <cell r="D9508">
            <v>0</v>
          </cell>
          <cell r="E9508">
            <v>0</v>
          </cell>
          <cell r="F9508">
            <v>0</v>
          </cell>
          <cell r="G9508">
            <v>0</v>
          </cell>
        </row>
        <row r="9509">
          <cell r="A9509" t="str">
            <v>57-01-01-1948</v>
          </cell>
          <cell r="B9509">
            <v>0</v>
          </cell>
          <cell r="C9509" t="str">
            <v xml:space="preserve">  IMRAN ALI HELPER A.C.MILL # 3</v>
          </cell>
          <cell r="D9509">
            <v>0</v>
          </cell>
          <cell r="E9509">
            <v>0</v>
          </cell>
          <cell r="F9509">
            <v>0</v>
          </cell>
          <cell r="G9509">
            <v>0</v>
          </cell>
        </row>
        <row r="9510">
          <cell r="A9510" t="str">
            <v>57-01-01-1949</v>
          </cell>
          <cell r="B9510">
            <v>0</v>
          </cell>
          <cell r="C9510" t="str">
            <v xml:space="preserve">  AHMED YAR OPT A/CONE</v>
          </cell>
          <cell r="D9510">
            <v>0</v>
          </cell>
          <cell r="E9510">
            <v>0</v>
          </cell>
          <cell r="F9510">
            <v>0</v>
          </cell>
          <cell r="G9510">
            <v>0</v>
          </cell>
        </row>
        <row r="9511">
          <cell r="A9511" t="str">
            <v>57-01-01-1950</v>
          </cell>
          <cell r="B9511">
            <v>0</v>
          </cell>
          <cell r="C9511" t="str">
            <v xml:space="preserve">  MALIK SHABBIR 4/S RING 1</v>
          </cell>
          <cell r="D9511">
            <v>0</v>
          </cell>
          <cell r="E9511">
            <v>0</v>
          </cell>
          <cell r="F9511">
            <v>0</v>
          </cell>
          <cell r="G9511">
            <v>0</v>
          </cell>
        </row>
        <row r="9512">
          <cell r="A9512" t="str">
            <v>57-01-01-1951</v>
          </cell>
          <cell r="B9512">
            <v>0</v>
          </cell>
          <cell r="C9512" t="str">
            <v xml:space="preserve">  SARFRAZ AHMED S/FITT B/ROOM</v>
          </cell>
          <cell r="D9512">
            <v>0</v>
          </cell>
          <cell r="E9512">
            <v>0</v>
          </cell>
          <cell r="F9512">
            <v>0</v>
          </cell>
          <cell r="G9512">
            <v>0</v>
          </cell>
        </row>
        <row r="9513">
          <cell r="A9513" t="str">
            <v>57-01-01-1952</v>
          </cell>
          <cell r="B9513">
            <v>0</v>
          </cell>
          <cell r="C9513" t="str">
            <v xml:space="preserve">  MUHAMMAD SARFRAZ KHAN A.CASHIER</v>
          </cell>
          <cell r="D9513">
            <v>0</v>
          </cell>
          <cell r="E9513">
            <v>0</v>
          </cell>
          <cell r="F9513">
            <v>0</v>
          </cell>
          <cell r="G9513">
            <v>0</v>
          </cell>
        </row>
        <row r="9514">
          <cell r="A9514" t="str">
            <v>57-01-01-1953</v>
          </cell>
          <cell r="B9514">
            <v>0</v>
          </cell>
          <cell r="C9514" t="str">
            <v xml:space="preserve">  SUBA KHAN OPT</v>
          </cell>
          <cell r="D9514">
            <v>0</v>
          </cell>
          <cell r="E9514">
            <v>0</v>
          </cell>
          <cell r="F9514">
            <v>0</v>
          </cell>
          <cell r="G9514">
            <v>0</v>
          </cell>
        </row>
        <row r="9515">
          <cell r="A9515" t="str">
            <v>57-01-01-1954</v>
          </cell>
          <cell r="B9515">
            <v>0</v>
          </cell>
          <cell r="C9515" t="str">
            <v xml:space="preserve">  NASIR HUSSAIN SHAH D/F B/ROOM</v>
          </cell>
          <cell r="D9515">
            <v>0</v>
          </cell>
          <cell r="E9515">
            <v>0</v>
          </cell>
          <cell r="F9515">
            <v>0</v>
          </cell>
          <cell r="G9515">
            <v>0</v>
          </cell>
        </row>
        <row r="9516">
          <cell r="A9516" t="str">
            <v>57-01-01-1955</v>
          </cell>
          <cell r="B9516">
            <v>0</v>
          </cell>
          <cell r="C9516" t="str">
            <v xml:space="preserve">  ABDUL MAJID 4/S RING 8</v>
          </cell>
          <cell r="D9516">
            <v>0</v>
          </cell>
          <cell r="E9516">
            <v>0</v>
          </cell>
          <cell r="F9516">
            <v>0</v>
          </cell>
          <cell r="G9516">
            <v>0</v>
          </cell>
        </row>
        <row r="9517">
          <cell r="A9517" t="str">
            <v>57-01-01-1956</v>
          </cell>
          <cell r="B9517">
            <v>0</v>
          </cell>
          <cell r="C9517" t="str">
            <v xml:space="preserve">  ALLAH DITTAM L/OPT MILL # 4</v>
          </cell>
          <cell r="D9517">
            <v>0</v>
          </cell>
          <cell r="E9517">
            <v>0</v>
          </cell>
          <cell r="F9517">
            <v>0</v>
          </cell>
          <cell r="G9517">
            <v>0</v>
          </cell>
        </row>
        <row r="9518">
          <cell r="A9518" t="str">
            <v>57-01-01-1957</v>
          </cell>
          <cell r="B9518">
            <v>0</v>
          </cell>
          <cell r="C9518" t="str">
            <v xml:space="preserve">  UMER DARAZ PACKING CLERK MILL</v>
          </cell>
          <cell r="D9518">
            <v>0</v>
          </cell>
          <cell r="E9518">
            <v>0</v>
          </cell>
          <cell r="F9518">
            <v>0</v>
          </cell>
          <cell r="G9518">
            <v>0</v>
          </cell>
        </row>
        <row r="9519">
          <cell r="A9519" t="str">
            <v>57-01-01-1958</v>
          </cell>
          <cell r="B9519">
            <v>0</v>
          </cell>
          <cell r="C9519" t="str">
            <v xml:space="preserve">  TAHIR MEHMOOD 4/S RING 7</v>
          </cell>
          <cell r="D9519">
            <v>0</v>
          </cell>
          <cell r="E9519">
            <v>0</v>
          </cell>
          <cell r="F9519">
            <v>0</v>
          </cell>
          <cell r="G9519">
            <v>0</v>
          </cell>
        </row>
        <row r="9520">
          <cell r="A9520" t="str">
            <v>57-01-01-1959</v>
          </cell>
          <cell r="B9520">
            <v>0</v>
          </cell>
          <cell r="C9520" t="str">
            <v xml:space="preserve">  SAJID MEHMOOD D.S.T.CARD</v>
          </cell>
          <cell r="D9520">
            <v>0</v>
          </cell>
          <cell r="E9520">
            <v>0</v>
          </cell>
          <cell r="F9520">
            <v>0</v>
          </cell>
          <cell r="G9520">
            <v>0</v>
          </cell>
        </row>
        <row r="9521">
          <cell r="A9521" t="str">
            <v>57-01-01-1960</v>
          </cell>
          <cell r="B9521">
            <v>0</v>
          </cell>
          <cell r="C9521" t="str">
            <v xml:space="preserve">  MUHAMMAD SHAHID OPT A/CONE</v>
          </cell>
          <cell r="D9521">
            <v>0</v>
          </cell>
          <cell r="E9521">
            <v>0</v>
          </cell>
          <cell r="F9521">
            <v>0</v>
          </cell>
          <cell r="G9521">
            <v>0</v>
          </cell>
        </row>
        <row r="9522">
          <cell r="A9522" t="str">
            <v>57-01-01-1961</v>
          </cell>
          <cell r="B9522">
            <v>0</v>
          </cell>
          <cell r="C9522" t="str">
            <v xml:space="preserve">  GHULAM YASIN OPT A/CONE MILL</v>
          </cell>
          <cell r="D9522">
            <v>0</v>
          </cell>
          <cell r="E9522">
            <v>0</v>
          </cell>
          <cell r="F9522">
            <v>0</v>
          </cell>
          <cell r="G9522">
            <v>0</v>
          </cell>
        </row>
        <row r="9523">
          <cell r="A9523" t="str">
            <v>57-01-01-1962</v>
          </cell>
          <cell r="B9523">
            <v>0</v>
          </cell>
          <cell r="C9523" t="str">
            <v xml:space="preserve">  MUDASIR IQBAL 4/S RING 2</v>
          </cell>
          <cell r="D9523">
            <v>0</v>
          </cell>
          <cell r="E9523">
            <v>0</v>
          </cell>
          <cell r="F9523">
            <v>0</v>
          </cell>
          <cell r="G9523">
            <v>0</v>
          </cell>
        </row>
        <row r="9524">
          <cell r="A9524" t="str">
            <v>57-01-01-1963</v>
          </cell>
          <cell r="B9524">
            <v>0</v>
          </cell>
          <cell r="C9524" t="str">
            <v xml:space="preserve">  NAZAR HAYAT OPT A/CONE</v>
          </cell>
          <cell r="D9524">
            <v>0</v>
          </cell>
          <cell r="E9524">
            <v>0</v>
          </cell>
          <cell r="F9524">
            <v>0</v>
          </cell>
          <cell r="G9524">
            <v>0</v>
          </cell>
        </row>
        <row r="9525">
          <cell r="A9525" t="str">
            <v>57-01-01-1964</v>
          </cell>
          <cell r="B9525">
            <v>0</v>
          </cell>
          <cell r="C9525" t="str">
            <v xml:space="preserve">  MUHAMMAD FAROOQ 4/S RING # 1</v>
          </cell>
          <cell r="D9525">
            <v>0</v>
          </cell>
          <cell r="E9525">
            <v>0</v>
          </cell>
          <cell r="F9525">
            <v>0</v>
          </cell>
          <cell r="G9525">
            <v>0</v>
          </cell>
        </row>
        <row r="9526">
          <cell r="A9526" t="str">
            <v>57-01-01-1965</v>
          </cell>
          <cell r="B9526">
            <v>0</v>
          </cell>
          <cell r="C9526" t="str">
            <v xml:space="preserve">  SAJID HUISSAIN D/F A/CONE MILL</v>
          </cell>
          <cell r="D9526">
            <v>0</v>
          </cell>
          <cell r="E9526">
            <v>0</v>
          </cell>
          <cell r="F9526">
            <v>0</v>
          </cell>
          <cell r="G9526">
            <v>0</v>
          </cell>
        </row>
        <row r="9527">
          <cell r="A9527" t="str">
            <v>57-01-01-1966</v>
          </cell>
          <cell r="B9527">
            <v>0</v>
          </cell>
          <cell r="C9527" t="str">
            <v xml:space="preserve">  FAYAZ SULTAN SPI/SUP MILL</v>
          </cell>
          <cell r="D9527">
            <v>0</v>
          </cell>
          <cell r="E9527">
            <v>0</v>
          </cell>
          <cell r="F9527">
            <v>0</v>
          </cell>
          <cell r="G9527">
            <v>0</v>
          </cell>
        </row>
        <row r="9528">
          <cell r="A9528" t="str">
            <v>57-01-01-1967</v>
          </cell>
          <cell r="B9528">
            <v>0</v>
          </cell>
          <cell r="C9528" t="str">
            <v xml:space="preserve">  MUHAMMAD SHARIF L/OPT A/CONE</v>
          </cell>
          <cell r="D9528">
            <v>0</v>
          </cell>
          <cell r="E9528">
            <v>0</v>
          </cell>
          <cell r="F9528">
            <v>0</v>
          </cell>
          <cell r="G9528">
            <v>0</v>
          </cell>
        </row>
        <row r="9529">
          <cell r="A9529" t="str">
            <v>57-01-01-1968</v>
          </cell>
          <cell r="B9529">
            <v>0</v>
          </cell>
          <cell r="C9529" t="str">
            <v xml:space="preserve">  ABDUL RASHID OPT A/CONE MILL</v>
          </cell>
          <cell r="D9529">
            <v>0</v>
          </cell>
          <cell r="E9529">
            <v>0</v>
          </cell>
          <cell r="F9529">
            <v>0</v>
          </cell>
          <cell r="G9529">
            <v>0</v>
          </cell>
        </row>
        <row r="9530">
          <cell r="A9530" t="str">
            <v>57-01-01-1969</v>
          </cell>
          <cell r="B9530">
            <v>0</v>
          </cell>
          <cell r="C9530" t="str">
            <v xml:space="preserve">  ZAHID ABBAS D/F B/ROOM MILL # 4</v>
          </cell>
          <cell r="D9530">
            <v>0</v>
          </cell>
          <cell r="E9530">
            <v>0</v>
          </cell>
          <cell r="F9530">
            <v>0</v>
          </cell>
          <cell r="G9530">
            <v>0</v>
          </cell>
        </row>
        <row r="9531">
          <cell r="A9531" t="str">
            <v>57-01-01-1970</v>
          </cell>
          <cell r="B9531">
            <v>0</v>
          </cell>
          <cell r="C9531" t="str">
            <v xml:space="preserve">  MUHAMMAD TANVIR OPT A/CONE</v>
          </cell>
          <cell r="D9531">
            <v>0</v>
          </cell>
          <cell r="E9531">
            <v>0</v>
          </cell>
          <cell r="F9531">
            <v>0</v>
          </cell>
          <cell r="G9531">
            <v>0</v>
          </cell>
        </row>
        <row r="9532">
          <cell r="A9532" t="str">
            <v>57-01-01-1971</v>
          </cell>
          <cell r="B9532">
            <v>0</v>
          </cell>
          <cell r="C9532" t="str">
            <v xml:space="preserve">  MUHAMMAD HUSSAIN OPT A/CONE MILL</v>
          </cell>
          <cell r="D9532">
            <v>0</v>
          </cell>
          <cell r="E9532">
            <v>0</v>
          </cell>
          <cell r="F9532">
            <v>0</v>
          </cell>
          <cell r="G9532">
            <v>0</v>
          </cell>
        </row>
        <row r="9533">
          <cell r="A9533" t="str">
            <v>57-01-01-1972</v>
          </cell>
          <cell r="B9533">
            <v>0</v>
          </cell>
          <cell r="C9533" t="str">
            <v xml:space="preserve">  MUHAMMAD ISHFAQ 4/S RING</v>
          </cell>
          <cell r="D9533">
            <v>0</v>
          </cell>
          <cell r="E9533">
            <v>0</v>
          </cell>
          <cell r="F9533">
            <v>0</v>
          </cell>
          <cell r="G9533">
            <v>0</v>
          </cell>
        </row>
        <row r="9534">
          <cell r="A9534" t="str">
            <v>57-01-01-1973</v>
          </cell>
          <cell r="B9534">
            <v>0</v>
          </cell>
          <cell r="C9534" t="str">
            <v xml:space="preserve">  MUHAMMAD IMRAN OPT A/CONE</v>
          </cell>
          <cell r="D9534">
            <v>0</v>
          </cell>
          <cell r="E9534">
            <v>0</v>
          </cell>
          <cell r="F9534">
            <v>0</v>
          </cell>
          <cell r="G9534">
            <v>0</v>
          </cell>
        </row>
        <row r="9535">
          <cell r="A9535" t="str">
            <v>57-01-01-1974</v>
          </cell>
          <cell r="B9535">
            <v>0</v>
          </cell>
          <cell r="C9535" t="str">
            <v xml:space="preserve">  SARFRAZ KHAN FITT RING</v>
          </cell>
          <cell r="D9535">
            <v>0</v>
          </cell>
          <cell r="E9535">
            <v>0</v>
          </cell>
          <cell r="F9535">
            <v>0</v>
          </cell>
          <cell r="G9535">
            <v>0</v>
          </cell>
        </row>
        <row r="9536">
          <cell r="A9536" t="str">
            <v>57-01-01-1975</v>
          </cell>
          <cell r="B9536">
            <v>0</v>
          </cell>
          <cell r="C9536" t="str">
            <v xml:space="preserve">  MUH SHAFIQUE HELPER RING # 4</v>
          </cell>
          <cell r="D9536">
            <v>0</v>
          </cell>
          <cell r="E9536">
            <v>0</v>
          </cell>
          <cell r="F9536">
            <v>0</v>
          </cell>
          <cell r="G9536">
            <v>0</v>
          </cell>
        </row>
        <row r="9537">
          <cell r="A9537" t="str">
            <v>57-01-01-1977</v>
          </cell>
          <cell r="B9537">
            <v>0</v>
          </cell>
          <cell r="C9537" t="str">
            <v xml:space="preserve">  BASHIR AHMED HELPER</v>
          </cell>
          <cell r="D9537">
            <v>0</v>
          </cell>
          <cell r="E9537">
            <v>0</v>
          </cell>
          <cell r="F9537">
            <v>0</v>
          </cell>
          <cell r="G9537">
            <v>0</v>
          </cell>
        </row>
        <row r="9538">
          <cell r="A9538" t="str">
            <v>57-01-01-1978</v>
          </cell>
          <cell r="B9538">
            <v>0</v>
          </cell>
          <cell r="C9538" t="str">
            <v xml:space="preserve">  HAMEED ULLAH 4/S RING 6</v>
          </cell>
          <cell r="D9538">
            <v>0</v>
          </cell>
          <cell r="E9538">
            <v>0</v>
          </cell>
          <cell r="F9538">
            <v>0</v>
          </cell>
          <cell r="G9538">
            <v>0</v>
          </cell>
        </row>
        <row r="9539">
          <cell r="A9539" t="str">
            <v>57-01-01-1979</v>
          </cell>
          <cell r="B9539">
            <v>0</v>
          </cell>
          <cell r="C9539" t="str">
            <v xml:space="preserve">  ZAHID AHMED OPT A/CONE MILL # 1</v>
          </cell>
          <cell r="D9539">
            <v>0</v>
          </cell>
          <cell r="E9539">
            <v>0</v>
          </cell>
          <cell r="F9539">
            <v>0</v>
          </cell>
          <cell r="G9539">
            <v>0</v>
          </cell>
        </row>
        <row r="9540">
          <cell r="A9540" t="str">
            <v>57-01-01-1980</v>
          </cell>
          <cell r="B9540">
            <v>0</v>
          </cell>
          <cell r="C9540" t="str">
            <v xml:space="preserve">  FAZAL KHAN G.D.C LABOUR OFFICE</v>
          </cell>
          <cell r="D9540">
            <v>0</v>
          </cell>
          <cell r="E9540">
            <v>0</v>
          </cell>
          <cell r="F9540">
            <v>0</v>
          </cell>
          <cell r="G9540">
            <v>0</v>
          </cell>
        </row>
        <row r="9541">
          <cell r="A9541" t="str">
            <v>57-01-01-1981</v>
          </cell>
          <cell r="B9541">
            <v>0</v>
          </cell>
          <cell r="C9541" t="str">
            <v xml:space="preserve">  ZAFAR HUSSAIN JOB CARD</v>
          </cell>
          <cell r="D9541">
            <v>0</v>
          </cell>
          <cell r="E9541">
            <v>0</v>
          </cell>
          <cell r="F9541">
            <v>0</v>
          </cell>
          <cell r="G9541">
            <v>0</v>
          </cell>
        </row>
        <row r="9542">
          <cell r="A9542" t="str">
            <v>57-01-01-1982</v>
          </cell>
          <cell r="B9542">
            <v>0</v>
          </cell>
          <cell r="C9542" t="str">
            <v xml:space="preserve">  MAHANDI KHAN W/BRIDGE CLERK</v>
          </cell>
          <cell r="D9542">
            <v>0</v>
          </cell>
          <cell r="E9542">
            <v>0</v>
          </cell>
          <cell r="F9542">
            <v>0</v>
          </cell>
          <cell r="G9542">
            <v>0</v>
          </cell>
        </row>
        <row r="9543">
          <cell r="A9543" t="str">
            <v>57-01-01-1983</v>
          </cell>
          <cell r="B9543">
            <v>0</v>
          </cell>
          <cell r="C9543" t="str">
            <v xml:space="preserve">  MUHAMMAD NAWAZ 4/S RING</v>
          </cell>
          <cell r="D9543">
            <v>0</v>
          </cell>
          <cell r="E9543">
            <v>0</v>
          </cell>
          <cell r="F9543">
            <v>0</v>
          </cell>
          <cell r="G9543">
            <v>0</v>
          </cell>
        </row>
        <row r="9544">
          <cell r="A9544" t="str">
            <v>57-01-01-1984</v>
          </cell>
          <cell r="B9544">
            <v>0</v>
          </cell>
          <cell r="C9544" t="str">
            <v xml:space="preserve">  MUHAMMAD AZAM ELECTRCITION MILL</v>
          </cell>
          <cell r="D9544">
            <v>0</v>
          </cell>
          <cell r="E9544">
            <v>0</v>
          </cell>
          <cell r="F9544">
            <v>0</v>
          </cell>
          <cell r="G9544">
            <v>0</v>
          </cell>
        </row>
        <row r="9545">
          <cell r="A9545" t="str">
            <v>57-01-01-1985</v>
          </cell>
          <cell r="B9545">
            <v>0</v>
          </cell>
          <cell r="C9545" t="str">
            <v xml:space="preserve">  MUHAMMAD FAROOQ D/S/T D/S MILL</v>
          </cell>
          <cell r="D9545">
            <v>0</v>
          </cell>
          <cell r="E9545">
            <v>0</v>
          </cell>
          <cell r="F9545">
            <v>0</v>
          </cell>
          <cell r="G9545">
            <v>0</v>
          </cell>
        </row>
        <row r="9546">
          <cell r="A9546" t="str">
            <v>57-01-01-1986</v>
          </cell>
          <cell r="B9546">
            <v>0</v>
          </cell>
          <cell r="C9546" t="str">
            <v xml:space="preserve">  ASIF MEHMOOD S.FITT B/ROOM M #</v>
          </cell>
          <cell r="D9546">
            <v>0</v>
          </cell>
          <cell r="E9546">
            <v>0</v>
          </cell>
          <cell r="F9546">
            <v>0</v>
          </cell>
          <cell r="G9546">
            <v>0</v>
          </cell>
        </row>
        <row r="9547">
          <cell r="A9547" t="str">
            <v>57-01-01-1987</v>
          </cell>
          <cell r="B9547">
            <v>0</v>
          </cell>
          <cell r="C9547" t="str">
            <v xml:space="preserve">  ALLAH DITTA S.FITT RING 7</v>
          </cell>
          <cell r="D9547">
            <v>0</v>
          </cell>
          <cell r="E9547">
            <v>0</v>
          </cell>
          <cell r="F9547">
            <v>0</v>
          </cell>
          <cell r="G9547">
            <v>0</v>
          </cell>
        </row>
        <row r="9548">
          <cell r="A9548" t="str">
            <v>57-01-01-1989</v>
          </cell>
          <cell r="B9548">
            <v>0</v>
          </cell>
          <cell r="C9548" t="str">
            <v xml:space="preserve">  MUHAMMAD RABNAWAZ D/S D.D.T</v>
          </cell>
          <cell r="D9548">
            <v>0</v>
          </cell>
          <cell r="E9548">
            <v>0</v>
          </cell>
          <cell r="F9548">
            <v>0</v>
          </cell>
          <cell r="G9548">
            <v>0</v>
          </cell>
        </row>
        <row r="9549">
          <cell r="A9549" t="str">
            <v>57-01-01-1990</v>
          </cell>
          <cell r="B9549">
            <v>0</v>
          </cell>
          <cell r="C9549" t="str">
            <v xml:space="preserve">  ULFAT NADEEM A/CONE</v>
          </cell>
          <cell r="D9549">
            <v>0</v>
          </cell>
          <cell r="E9549">
            <v>0</v>
          </cell>
          <cell r="F9549">
            <v>0</v>
          </cell>
          <cell r="G9549">
            <v>0</v>
          </cell>
        </row>
        <row r="9550">
          <cell r="A9550" t="str">
            <v>57-01-01-1991</v>
          </cell>
          <cell r="B9550">
            <v>0</v>
          </cell>
          <cell r="C9550" t="str">
            <v xml:space="preserve">  FAISAL RAHSID C.T LAB</v>
          </cell>
          <cell r="D9550">
            <v>0</v>
          </cell>
          <cell r="E9550">
            <v>0</v>
          </cell>
          <cell r="F9550">
            <v>0</v>
          </cell>
          <cell r="G9550">
            <v>0</v>
          </cell>
        </row>
        <row r="9551">
          <cell r="A9551" t="str">
            <v>57-01-01-1992</v>
          </cell>
          <cell r="B9551">
            <v>0</v>
          </cell>
          <cell r="C9551" t="str">
            <v xml:space="preserve">  RAFAQAT HUSSAIN FITT A/CONE</v>
          </cell>
          <cell r="D9551">
            <v>0</v>
          </cell>
          <cell r="E9551">
            <v>0</v>
          </cell>
          <cell r="F9551">
            <v>0</v>
          </cell>
          <cell r="G9551">
            <v>0</v>
          </cell>
        </row>
        <row r="9552">
          <cell r="A9552" t="str">
            <v>57-01-01-1993</v>
          </cell>
          <cell r="B9552">
            <v>0</v>
          </cell>
          <cell r="C9552" t="str">
            <v xml:space="preserve">  ZAFAR IABQL D.D.DT.D/S MILL # 3</v>
          </cell>
          <cell r="D9552">
            <v>0</v>
          </cell>
          <cell r="E9552">
            <v>0</v>
          </cell>
          <cell r="F9552">
            <v>0</v>
          </cell>
          <cell r="G9552">
            <v>0</v>
          </cell>
        </row>
        <row r="9553">
          <cell r="A9553" t="str">
            <v>57-01-01-1994</v>
          </cell>
          <cell r="B9553">
            <v>0</v>
          </cell>
          <cell r="C9553" t="str">
            <v xml:space="preserve">  MUHAMMAD AMJAD ELECTRICIAN</v>
          </cell>
          <cell r="D9553">
            <v>0</v>
          </cell>
          <cell r="E9553">
            <v>0</v>
          </cell>
          <cell r="F9553">
            <v>0</v>
          </cell>
          <cell r="G9553">
            <v>0</v>
          </cell>
        </row>
        <row r="9554">
          <cell r="A9554" t="str">
            <v>57-01-01-1995</v>
          </cell>
          <cell r="B9554">
            <v>0</v>
          </cell>
          <cell r="C9554" t="str">
            <v xml:space="preserve">  NAZIR HUSSAIN OPT A/CONE MILL</v>
          </cell>
          <cell r="D9554">
            <v>0</v>
          </cell>
          <cell r="E9554">
            <v>0</v>
          </cell>
          <cell r="F9554">
            <v>0</v>
          </cell>
          <cell r="G9554">
            <v>0</v>
          </cell>
        </row>
        <row r="9555">
          <cell r="A9555" t="str">
            <v>57-01-01-1996</v>
          </cell>
          <cell r="B9555">
            <v>0</v>
          </cell>
          <cell r="C9555" t="str">
            <v xml:space="preserve">  ZAFAR IQBAL C.T.COMBER MILL # 2</v>
          </cell>
          <cell r="D9555">
            <v>0</v>
          </cell>
          <cell r="E9555">
            <v>0</v>
          </cell>
          <cell r="F9555">
            <v>0</v>
          </cell>
          <cell r="G9555">
            <v>0</v>
          </cell>
        </row>
        <row r="9556">
          <cell r="A9556" t="str">
            <v>57-01-01-1997</v>
          </cell>
          <cell r="B9556">
            <v>0</v>
          </cell>
          <cell r="C9556" t="str">
            <v xml:space="preserve">  KHURAM SHEHZAD RING # 5</v>
          </cell>
          <cell r="D9556">
            <v>0</v>
          </cell>
          <cell r="E9556">
            <v>0</v>
          </cell>
          <cell r="F9556">
            <v>0</v>
          </cell>
          <cell r="G9556">
            <v>0</v>
          </cell>
        </row>
        <row r="9557">
          <cell r="A9557" t="str">
            <v>57-01-01-1999</v>
          </cell>
          <cell r="B9557">
            <v>0</v>
          </cell>
          <cell r="C9557" t="str">
            <v xml:space="preserve">  IMTIAZ AHMED 4/S RING 5</v>
          </cell>
          <cell r="D9557">
            <v>0</v>
          </cell>
          <cell r="E9557">
            <v>0</v>
          </cell>
          <cell r="F9557">
            <v>0</v>
          </cell>
          <cell r="G9557">
            <v>0</v>
          </cell>
        </row>
        <row r="9558">
          <cell r="A9558" t="str">
            <v>57-01-01-2000</v>
          </cell>
          <cell r="B9558">
            <v>0</v>
          </cell>
          <cell r="C9558" t="str">
            <v xml:space="preserve">  SAID RAUF 4/S RING 3</v>
          </cell>
          <cell r="D9558">
            <v>0</v>
          </cell>
          <cell r="E9558">
            <v>0</v>
          </cell>
          <cell r="F9558">
            <v>0</v>
          </cell>
          <cell r="G9558">
            <v>0</v>
          </cell>
        </row>
        <row r="9559">
          <cell r="A9559" t="str">
            <v>57-01-01-2001</v>
          </cell>
          <cell r="B9559">
            <v>0</v>
          </cell>
          <cell r="C9559" t="str">
            <v xml:space="preserve">  IRFAN ULLAH OPT A/C</v>
          </cell>
          <cell r="D9559">
            <v>0</v>
          </cell>
          <cell r="E9559">
            <v>0</v>
          </cell>
          <cell r="F9559">
            <v>0</v>
          </cell>
          <cell r="G9559">
            <v>0</v>
          </cell>
        </row>
        <row r="9560">
          <cell r="A9560" t="str">
            <v>57-01-01-2002</v>
          </cell>
          <cell r="B9560">
            <v>0</v>
          </cell>
          <cell r="C9560" t="str">
            <v xml:space="preserve">  MUNIR AHMAD 4/S RING 5</v>
          </cell>
          <cell r="D9560">
            <v>0</v>
          </cell>
          <cell r="E9560">
            <v>0</v>
          </cell>
          <cell r="F9560">
            <v>0</v>
          </cell>
          <cell r="G9560">
            <v>0</v>
          </cell>
        </row>
        <row r="9561">
          <cell r="A9561" t="str">
            <v>57-01-01-2003</v>
          </cell>
          <cell r="B9561">
            <v>0</v>
          </cell>
          <cell r="C9561" t="str">
            <v xml:space="preserve">  MUH RAMZAN 4/S RING</v>
          </cell>
          <cell r="D9561">
            <v>0</v>
          </cell>
          <cell r="E9561">
            <v>0</v>
          </cell>
          <cell r="F9561">
            <v>0</v>
          </cell>
          <cell r="G9561">
            <v>0</v>
          </cell>
        </row>
        <row r="9562">
          <cell r="A9562" t="str">
            <v>57-01-01-2004</v>
          </cell>
          <cell r="B9562">
            <v>0</v>
          </cell>
          <cell r="C9562" t="str">
            <v xml:space="preserve">  ABDUL SATTAR D/C RING</v>
          </cell>
          <cell r="D9562">
            <v>0</v>
          </cell>
          <cell r="E9562">
            <v>0</v>
          </cell>
          <cell r="F9562">
            <v>0</v>
          </cell>
          <cell r="G9562">
            <v>0</v>
          </cell>
        </row>
        <row r="9563">
          <cell r="A9563" t="str">
            <v>57-01-01-2005</v>
          </cell>
          <cell r="B9563">
            <v>0</v>
          </cell>
          <cell r="C9563" t="str">
            <v xml:space="preserve">  JAHANGIR AHMAD D.D.T D/S MILL</v>
          </cell>
          <cell r="D9563">
            <v>0</v>
          </cell>
          <cell r="E9563">
            <v>0</v>
          </cell>
          <cell r="F9563">
            <v>0</v>
          </cell>
          <cell r="G9563">
            <v>0</v>
          </cell>
        </row>
        <row r="9564">
          <cell r="A9564" t="str">
            <v>57-01-01-2006</v>
          </cell>
          <cell r="B9564">
            <v>0</v>
          </cell>
          <cell r="C9564" t="str">
            <v xml:space="preserve">  MUH RAMZAN S/B RING 7</v>
          </cell>
          <cell r="D9564">
            <v>0</v>
          </cell>
          <cell r="E9564">
            <v>0</v>
          </cell>
          <cell r="F9564">
            <v>0</v>
          </cell>
          <cell r="G9564">
            <v>0</v>
          </cell>
        </row>
        <row r="9565">
          <cell r="A9565" t="str">
            <v>57-01-01-2007</v>
          </cell>
          <cell r="B9565">
            <v>0</v>
          </cell>
          <cell r="C9565" t="str">
            <v xml:space="preserve">  ABID HUSSAIN L/OPT C/SP</v>
          </cell>
          <cell r="D9565">
            <v>0</v>
          </cell>
          <cell r="E9565">
            <v>0</v>
          </cell>
          <cell r="F9565">
            <v>0</v>
          </cell>
          <cell r="G9565">
            <v>0</v>
          </cell>
        </row>
        <row r="9566">
          <cell r="A9566" t="str">
            <v>57-01-01-2008</v>
          </cell>
          <cell r="B9566">
            <v>0</v>
          </cell>
          <cell r="C9566" t="str">
            <v xml:space="preserve">  TASAWAR IQBL L/OPT C/SP MILL</v>
          </cell>
          <cell r="D9566">
            <v>0</v>
          </cell>
          <cell r="E9566">
            <v>0</v>
          </cell>
          <cell r="F9566">
            <v>0</v>
          </cell>
          <cell r="G9566">
            <v>0</v>
          </cell>
        </row>
        <row r="9567">
          <cell r="A9567" t="str">
            <v>57-01-01-2009</v>
          </cell>
          <cell r="B9567">
            <v>0</v>
          </cell>
          <cell r="C9567" t="str">
            <v xml:space="preserve">  YASIN SHAHID MIX/ENG</v>
          </cell>
          <cell r="D9567">
            <v>0</v>
          </cell>
          <cell r="E9567">
            <v>0</v>
          </cell>
          <cell r="F9567">
            <v>0</v>
          </cell>
          <cell r="G9567">
            <v>0</v>
          </cell>
        </row>
        <row r="9568">
          <cell r="A9568" t="str">
            <v>57-01-01-2010</v>
          </cell>
          <cell r="B9568">
            <v>0</v>
          </cell>
          <cell r="C9568" t="str">
            <v xml:space="preserve">  RASHID IQBAL A.S/ENGINEER P.PLANT</v>
          </cell>
          <cell r="D9568">
            <v>0</v>
          </cell>
          <cell r="E9568">
            <v>0</v>
          </cell>
          <cell r="F9568">
            <v>0</v>
          </cell>
          <cell r="G9568">
            <v>0</v>
          </cell>
        </row>
        <row r="9569">
          <cell r="A9569" t="str">
            <v>57-01-01-2011</v>
          </cell>
          <cell r="B9569">
            <v>0</v>
          </cell>
          <cell r="C9569" t="str">
            <v xml:space="preserve">  GUL SHER AHMAD OPT A/CONE MILL</v>
          </cell>
          <cell r="D9569">
            <v>0</v>
          </cell>
          <cell r="E9569">
            <v>0</v>
          </cell>
          <cell r="F9569">
            <v>0</v>
          </cell>
          <cell r="G9569">
            <v>0</v>
          </cell>
        </row>
        <row r="9570">
          <cell r="A9570" t="str">
            <v>57-01-01-2012</v>
          </cell>
          <cell r="B9570">
            <v>0</v>
          </cell>
          <cell r="C9570" t="str">
            <v xml:space="preserve">  AMJAD FAROOQ H/ELECT MILL # 1</v>
          </cell>
          <cell r="D9570">
            <v>0</v>
          </cell>
          <cell r="E9570">
            <v>0</v>
          </cell>
          <cell r="F9570">
            <v>0</v>
          </cell>
          <cell r="G9570">
            <v>0</v>
          </cell>
        </row>
        <row r="9571">
          <cell r="A9571" t="str">
            <v>57-01-01-2013</v>
          </cell>
          <cell r="B9571">
            <v>0</v>
          </cell>
          <cell r="C9571" t="str">
            <v xml:space="preserve">  MUH SARWAR OPT A/CONE</v>
          </cell>
          <cell r="D9571">
            <v>0</v>
          </cell>
          <cell r="E9571">
            <v>0</v>
          </cell>
          <cell r="F9571">
            <v>0</v>
          </cell>
          <cell r="G9571">
            <v>0</v>
          </cell>
        </row>
        <row r="9572">
          <cell r="A9572" t="str">
            <v>57-01-01-2014</v>
          </cell>
          <cell r="B9572">
            <v>0</v>
          </cell>
          <cell r="C9572" t="str">
            <v xml:space="preserve">  MUHAMMAD ILYAS D.D.DT D/S MILL</v>
          </cell>
          <cell r="D9572">
            <v>0</v>
          </cell>
          <cell r="E9572">
            <v>0</v>
          </cell>
          <cell r="F9572">
            <v>0</v>
          </cell>
          <cell r="G9572">
            <v>0</v>
          </cell>
        </row>
        <row r="9573">
          <cell r="A9573" t="str">
            <v>57-01-01-2015</v>
          </cell>
          <cell r="B9573">
            <v>0</v>
          </cell>
          <cell r="C9573" t="str">
            <v xml:space="preserve">  MUHAMMAD AMIN DF B/ROOM MILL</v>
          </cell>
          <cell r="D9573">
            <v>0</v>
          </cell>
          <cell r="E9573">
            <v>0</v>
          </cell>
          <cell r="F9573">
            <v>0</v>
          </cell>
          <cell r="G9573">
            <v>0</v>
          </cell>
        </row>
        <row r="9574">
          <cell r="A9574" t="str">
            <v>57-01-01-2017</v>
          </cell>
          <cell r="B9574">
            <v>0</v>
          </cell>
          <cell r="C9574" t="str">
            <v xml:space="preserve">  SHAHID IMRAN L/OPT C/SP M-5</v>
          </cell>
          <cell r="D9574">
            <v>0</v>
          </cell>
          <cell r="E9574">
            <v>0</v>
          </cell>
          <cell r="F9574">
            <v>0</v>
          </cell>
          <cell r="G9574">
            <v>0</v>
          </cell>
        </row>
        <row r="9575">
          <cell r="A9575" t="str">
            <v>57-01-01-2018</v>
          </cell>
          <cell r="B9575">
            <v>0</v>
          </cell>
          <cell r="C9575" t="str">
            <v xml:space="preserve">  MUHAMMAD RIAZ OPT A/CONE</v>
          </cell>
          <cell r="D9575">
            <v>0</v>
          </cell>
          <cell r="E9575">
            <v>0</v>
          </cell>
          <cell r="F9575">
            <v>0</v>
          </cell>
          <cell r="G9575">
            <v>0</v>
          </cell>
        </row>
        <row r="9576">
          <cell r="A9576" t="str">
            <v>57-01-01-2019</v>
          </cell>
          <cell r="B9576">
            <v>0</v>
          </cell>
          <cell r="C9576" t="str">
            <v xml:space="preserve">  MUHAMMAD ARSHAD D/F RING 8</v>
          </cell>
          <cell r="D9576">
            <v>0</v>
          </cell>
          <cell r="E9576">
            <v>0</v>
          </cell>
          <cell r="F9576">
            <v>0</v>
          </cell>
          <cell r="G9576">
            <v>0</v>
          </cell>
        </row>
        <row r="9577">
          <cell r="A9577" t="str">
            <v>57-01-01-2021</v>
          </cell>
          <cell r="B9577">
            <v>0</v>
          </cell>
          <cell r="C9577" t="str">
            <v xml:space="preserve">  RASHID AMIN S.FITT D/S MILL</v>
          </cell>
          <cell r="D9577">
            <v>0</v>
          </cell>
          <cell r="E9577">
            <v>0</v>
          </cell>
          <cell r="F9577">
            <v>0</v>
          </cell>
          <cell r="G9577">
            <v>0</v>
          </cell>
        </row>
        <row r="9578">
          <cell r="A9578" t="str">
            <v>57-01-01-2022</v>
          </cell>
          <cell r="B9578">
            <v>0</v>
          </cell>
          <cell r="C9578" t="str">
            <v xml:space="preserve">  AZIZ AHMED OPT A/CONE</v>
          </cell>
          <cell r="D9578">
            <v>0</v>
          </cell>
          <cell r="E9578">
            <v>0</v>
          </cell>
          <cell r="F9578">
            <v>0</v>
          </cell>
          <cell r="G9578">
            <v>0</v>
          </cell>
        </row>
        <row r="9579">
          <cell r="A9579" t="str">
            <v>57-01-01-2023</v>
          </cell>
          <cell r="B9579">
            <v>0</v>
          </cell>
          <cell r="C9579" t="str">
            <v xml:space="preserve">  MUHAMMAD AYAZ 4/S RING 6</v>
          </cell>
          <cell r="D9579">
            <v>0</v>
          </cell>
          <cell r="E9579">
            <v>0</v>
          </cell>
          <cell r="F9579">
            <v>0</v>
          </cell>
          <cell r="G9579">
            <v>0</v>
          </cell>
        </row>
        <row r="9580">
          <cell r="A9580" t="str">
            <v>57-01-01-2024</v>
          </cell>
          <cell r="B9580">
            <v>0</v>
          </cell>
          <cell r="C9580" t="str">
            <v xml:space="preserve">  MUHAMMAD RAMZAN OPT A/CONE</v>
          </cell>
          <cell r="D9580">
            <v>0</v>
          </cell>
          <cell r="E9580">
            <v>0</v>
          </cell>
          <cell r="F9580">
            <v>0</v>
          </cell>
          <cell r="G9580">
            <v>0</v>
          </cell>
        </row>
        <row r="9581">
          <cell r="A9581" t="str">
            <v>57-01-01-2025</v>
          </cell>
          <cell r="B9581">
            <v>0</v>
          </cell>
          <cell r="C9581" t="str">
            <v xml:space="preserve">  ZAHID MEHMMOD 4/S MILL</v>
          </cell>
          <cell r="D9581">
            <v>0</v>
          </cell>
          <cell r="E9581">
            <v>0</v>
          </cell>
          <cell r="F9581">
            <v>0</v>
          </cell>
          <cell r="G9581">
            <v>0</v>
          </cell>
        </row>
        <row r="9582">
          <cell r="A9582" t="str">
            <v>57-01-01-2026</v>
          </cell>
          <cell r="B9582">
            <v>0</v>
          </cell>
          <cell r="C9582" t="str">
            <v xml:space="preserve">  ZAHOOR HUSSAIN A/CONE MILL</v>
          </cell>
          <cell r="D9582">
            <v>0</v>
          </cell>
          <cell r="E9582">
            <v>0</v>
          </cell>
          <cell r="F9582">
            <v>0</v>
          </cell>
          <cell r="G9582">
            <v>0</v>
          </cell>
        </row>
        <row r="9583">
          <cell r="A9583" t="str">
            <v>57-01-01-2027</v>
          </cell>
          <cell r="B9583">
            <v>0</v>
          </cell>
          <cell r="C9583" t="str">
            <v xml:space="preserve">  JAVAID KHAN OPT A/CONE</v>
          </cell>
          <cell r="D9583">
            <v>0</v>
          </cell>
          <cell r="E9583">
            <v>0</v>
          </cell>
          <cell r="F9583">
            <v>0</v>
          </cell>
          <cell r="G9583">
            <v>0</v>
          </cell>
        </row>
        <row r="9584">
          <cell r="A9584" t="str">
            <v>57-01-01-2028</v>
          </cell>
          <cell r="B9584">
            <v>0</v>
          </cell>
          <cell r="C9584" t="str">
            <v xml:space="preserve">  ABDULLAH JAN OPT A/CONE</v>
          </cell>
          <cell r="D9584">
            <v>0</v>
          </cell>
          <cell r="E9584">
            <v>0</v>
          </cell>
          <cell r="F9584">
            <v>0</v>
          </cell>
          <cell r="G9584">
            <v>0</v>
          </cell>
        </row>
        <row r="9585">
          <cell r="A9585" t="str">
            <v>57-01-01-2030</v>
          </cell>
          <cell r="B9585">
            <v>0</v>
          </cell>
          <cell r="C9585" t="str">
            <v xml:space="preserve">  SHAHID IQBAL OPT A/CONE MILL # 11</v>
          </cell>
          <cell r="D9585">
            <v>0</v>
          </cell>
          <cell r="E9585">
            <v>0</v>
          </cell>
          <cell r="F9585">
            <v>0</v>
          </cell>
          <cell r="G9585">
            <v>0</v>
          </cell>
        </row>
        <row r="9586">
          <cell r="A9586" t="str">
            <v>57-01-01-2031</v>
          </cell>
          <cell r="B9586">
            <v>0</v>
          </cell>
          <cell r="C9586" t="str">
            <v xml:space="preserve">  SHABIR HUSSAIN H/FITT WORKSHOP</v>
          </cell>
          <cell r="D9586">
            <v>0</v>
          </cell>
          <cell r="E9586">
            <v>0</v>
          </cell>
          <cell r="F9586">
            <v>0</v>
          </cell>
          <cell r="G9586">
            <v>0</v>
          </cell>
        </row>
        <row r="9587">
          <cell r="A9587" t="str">
            <v>57-01-01-2032</v>
          </cell>
          <cell r="B9587">
            <v>0</v>
          </cell>
          <cell r="C9587" t="str">
            <v xml:space="preserve">  TAJ MUHAMMAD 4/S RING</v>
          </cell>
          <cell r="D9587">
            <v>0</v>
          </cell>
          <cell r="E9587">
            <v>0</v>
          </cell>
          <cell r="F9587">
            <v>0</v>
          </cell>
          <cell r="G9587">
            <v>0</v>
          </cell>
        </row>
        <row r="9588">
          <cell r="A9588" t="str">
            <v>57-01-01-2033</v>
          </cell>
          <cell r="B9588">
            <v>0</v>
          </cell>
          <cell r="C9588" t="str">
            <v xml:space="preserve">  MUHAMMAD SABIR 4/S RING # 5</v>
          </cell>
          <cell r="D9588">
            <v>0</v>
          </cell>
          <cell r="E9588">
            <v>0</v>
          </cell>
          <cell r="F9588">
            <v>0</v>
          </cell>
          <cell r="G9588">
            <v>0</v>
          </cell>
        </row>
        <row r="9589">
          <cell r="A9589" t="str">
            <v>57-01-01-2034</v>
          </cell>
          <cell r="B9589">
            <v>0</v>
          </cell>
          <cell r="C9589" t="str">
            <v xml:space="preserve">  MANSHAD ALI H/FITTER</v>
          </cell>
          <cell r="D9589">
            <v>0</v>
          </cell>
          <cell r="E9589">
            <v>0</v>
          </cell>
          <cell r="F9589">
            <v>0</v>
          </cell>
          <cell r="G9589">
            <v>0</v>
          </cell>
        </row>
        <row r="9590">
          <cell r="A9590" t="str">
            <v>57-01-01-2035</v>
          </cell>
          <cell r="B9590">
            <v>0</v>
          </cell>
          <cell r="C9590" t="str">
            <v xml:space="preserve">  SNAN ULLAH C.T CARDING MILL # 01</v>
          </cell>
          <cell r="D9590">
            <v>0</v>
          </cell>
          <cell r="E9590">
            <v>0</v>
          </cell>
          <cell r="F9590">
            <v>0</v>
          </cell>
          <cell r="G9590">
            <v>0</v>
          </cell>
        </row>
        <row r="9591">
          <cell r="A9591" t="str">
            <v>57-01-01-2036</v>
          </cell>
          <cell r="B9591">
            <v>0</v>
          </cell>
          <cell r="C9591" t="str">
            <v xml:space="preserve">  ALI RAZA D/F B/ROOM</v>
          </cell>
          <cell r="D9591">
            <v>0</v>
          </cell>
          <cell r="E9591">
            <v>0</v>
          </cell>
          <cell r="F9591">
            <v>0</v>
          </cell>
          <cell r="G9591">
            <v>0</v>
          </cell>
        </row>
        <row r="9592">
          <cell r="A9592" t="str">
            <v>57-01-01-2038</v>
          </cell>
          <cell r="B9592">
            <v>0</v>
          </cell>
          <cell r="C9592" t="str">
            <v xml:space="preserve">  MUHAMMAD YAQOOB D/F CARDING</v>
          </cell>
          <cell r="D9592">
            <v>0</v>
          </cell>
          <cell r="E9592">
            <v>0</v>
          </cell>
          <cell r="F9592">
            <v>0</v>
          </cell>
          <cell r="G9592">
            <v>0</v>
          </cell>
        </row>
        <row r="9593">
          <cell r="A9593" t="str">
            <v>57-01-01-2039</v>
          </cell>
          <cell r="B9593">
            <v>0</v>
          </cell>
          <cell r="C9593" t="str">
            <v xml:space="preserve">  GHULAM MUSTAFA 6\S MILL # 3</v>
          </cell>
          <cell r="D9593">
            <v>0</v>
          </cell>
          <cell r="E9593">
            <v>0</v>
          </cell>
          <cell r="F9593">
            <v>0</v>
          </cell>
          <cell r="G9593">
            <v>0</v>
          </cell>
        </row>
        <row r="9594">
          <cell r="A9594" t="str">
            <v>57-01-01-2040</v>
          </cell>
          <cell r="B9594">
            <v>0</v>
          </cell>
          <cell r="C9594" t="str">
            <v xml:space="preserve">  MUHAMMAD KASHIF ELECT WIREMAN</v>
          </cell>
          <cell r="D9594">
            <v>0</v>
          </cell>
          <cell r="E9594">
            <v>0</v>
          </cell>
          <cell r="F9594">
            <v>0</v>
          </cell>
          <cell r="G9594">
            <v>0</v>
          </cell>
        </row>
        <row r="9595">
          <cell r="A9595" t="str">
            <v>57-01-01-2041</v>
          </cell>
          <cell r="B9595">
            <v>0</v>
          </cell>
          <cell r="C9595" t="str">
            <v xml:space="preserve">  MUHAMMAD IMRAN A/FITT</v>
          </cell>
          <cell r="D9595">
            <v>0</v>
          </cell>
          <cell r="E9595">
            <v>0</v>
          </cell>
          <cell r="F9595">
            <v>0</v>
          </cell>
          <cell r="G9595">
            <v>0</v>
          </cell>
        </row>
        <row r="9596">
          <cell r="A9596" t="str">
            <v>57-01-01-2043</v>
          </cell>
          <cell r="B9596">
            <v>0</v>
          </cell>
          <cell r="C9596" t="str">
            <v xml:space="preserve">  MUHAMMAD ANWAR 4/S RING 5</v>
          </cell>
          <cell r="D9596">
            <v>0</v>
          </cell>
          <cell r="E9596">
            <v>0</v>
          </cell>
          <cell r="F9596">
            <v>0</v>
          </cell>
          <cell r="G9596">
            <v>0</v>
          </cell>
        </row>
        <row r="9597">
          <cell r="A9597" t="str">
            <v>57-01-01-2044</v>
          </cell>
          <cell r="B9597">
            <v>0</v>
          </cell>
          <cell r="C9597" t="str">
            <v xml:space="preserve">  IFTKHAR AHMED 4/S RING 5</v>
          </cell>
          <cell r="D9597">
            <v>0</v>
          </cell>
          <cell r="E9597">
            <v>0</v>
          </cell>
          <cell r="F9597">
            <v>0</v>
          </cell>
          <cell r="G9597">
            <v>0</v>
          </cell>
        </row>
        <row r="9598">
          <cell r="A9598" t="str">
            <v>57-01-01-2045</v>
          </cell>
          <cell r="B9598">
            <v>0</v>
          </cell>
          <cell r="C9598" t="str">
            <v xml:space="preserve">  NAZAKAT HUSSAIN QT LAB</v>
          </cell>
          <cell r="D9598">
            <v>0</v>
          </cell>
          <cell r="E9598">
            <v>0</v>
          </cell>
          <cell r="F9598">
            <v>0</v>
          </cell>
          <cell r="G9598">
            <v>0</v>
          </cell>
        </row>
        <row r="9599">
          <cell r="A9599" t="str">
            <v>57-01-01-2046</v>
          </cell>
          <cell r="B9599">
            <v>0</v>
          </cell>
          <cell r="C9599" t="str">
            <v xml:space="preserve">  ALLAH WASAYA TEST</v>
          </cell>
          <cell r="D9599">
            <v>0</v>
          </cell>
          <cell r="E9599">
            <v>0</v>
          </cell>
          <cell r="F9599">
            <v>0</v>
          </cell>
          <cell r="G9599">
            <v>0</v>
          </cell>
        </row>
        <row r="9600">
          <cell r="A9600" t="str">
            <v>57-01-01-2047</v>
          </cell>
          <cell r="B9600">
            <v>0</v>
          </cell>
          <cell r="C9600" t="str">
            <v xml:space="preserve">  GHULAM MUHAMMAD 4/S RING</v>
          </cell>
          <cell r="D9600">
            <v>0</v>
          </cell>
          <cell r="E9600">
            <v>0</v>
          </cell>
          <cell r="F9600">
            <v>0</v>
          </cell>
          <cell r="G9600">
            <v>0</v>
          </cell>
        </row>
        <row r="9601">
          <cell r="A9601" t="str">
            <v>57-01-01-2048</v>
          </cell>
          <cell r="B9601">
            <v>0</v>
          </cell>
          <cell r="C9601" t="str">
            <v xml:space="preserve">  AASIM ALI D/F</v>
          </cell>
          <cell r="D9601">
            <v>0</v>
          </cell>
          <cell r="E9601">
            <v>0</v>
          </cell>
          <cell r="F9601">
            <v>0</v>
          </cell>
          <cell r="G9601">
            <v>0</v>
          </cell>
        </row>
        <row r="9602">
          <cell r="A9602" t="str">
            <v>57-01-01-2049</v>
          </cell>
          <cell r="B9602">
            <v>0</v>
          </cell>
          <cell r="C9602" t="str">
            <v xml:space="preserve">  ABDUL SATTAR OPT A/CONE</v>
          </cell>
          <cell r="D9602">
            <v>0</v>
          </cell>
          <cell r="E9602">
            <v>0</v>
          </cell>
          <cell r="F9602">
            <v>0</v>
          </cell>
          <cell r="G9602">
            <v>0</v>
          </cell>
        </row>
        <row r="9603">
          <cell r="A9603" t="str">
            <v>57-01-01-2050</v>
          </cell>
          <cell r="B9603">
            <v>0</v>
          </cell>
          <cell r="C9603" t="str">
            <v xml:space="preserve">  ZAHIR ABBAS C.T.CARD MILL # 2</v>
          </cell>
          <cell r="D9603">
            <v>0</v>
          </cell>
          <cell r="E9603">
            <v>0</v>
          </cell>
          <cell r="F9603">
            <v>0</v>
          </cell>
          <cell r="G9603">
            <v>0</v>
          </cell>
        </row>
        <row r="9604">
          <cell r="A9604" t="str">
            <v>57-01-01-2051</v>
          </cell>
          <cell r="B9604">
            <v>0</v>
          </cell>
          <cell r="C9604" t="str">
            <v xml:space="preserve">  BASHRAT ALI DF D/S MILL # 2</v>
          </cell>
          <cell r="D9604">
            <v>0</v>
          </cell>
          <cell r="E9604">
            <v>0</v>
          </cell>
          <cell r="F9604">
            <v>0</v>
          </cell>
          <cell r="G9604">
            <v>0</v>
          </cell>
        </row>
        <row r="9605">
          <cell r="A9605" t="str">
            <v>57-01-01-2052</v>
          </cell>
          <cell r="B9605">
            <v>0</v>
          </cell>
          <cell r="C9605" t="str">
            <v xml:space="preserve">  MUHAMMAD ARSHAD 4/S RING 5</v>
          </cell>
          <cell r="D9605">
            <v>0</v>
          </cell>
          <cell r="E9605">
            <v>0</v>
          </cell>
          <cell r="F9605">
            <v>0</v>
          </cell>
          <cell r="G9605">
            <v>0</v>
          </cell>
        </row>
        <row r="9606">
          <cell r="A9606" t="str">
            <v>57-01-01-2053</v>
          </cell>
          <cell r="B9606">
            <v>0</v>
          </cell>
          <cell r="C9606" t="str">
            <v xml:space="preserve">  MUHAMMAD IMRAN H/FITT D/S</v>
          </cell>
          <cell r="D9606">
            <v>0</v>
          </cell>
          <cell r="E9606">
            <v>0</v>
          </cell>
          <cell r="F9606">
            <v>0</v>
          </cell>
          <cell r="G9606">
            <v>0</v>
          </cell>
        </row>
        <row r="9607">
          <cell r="A9607" t="str">
            <v>57-01-01-2054</v>
          </cell>
          <cell r="B9607">
            <v>0</v>
          </cell>
          <cell r="C9607" t="str">
            <v xml:space="preserve">  MUHAMMAD YASIN 4/S RING 4</v>
          </cell>
          <cell r="D9607">
            <v>0</v>
          </cell>
          <cell r="E9607">
            <v>0</v>
          </cell>
          <cell r="F9607">
            <v>0</v>
          </cell>
          <cell r="G9607">
            <v>0</v>
          </cell>
        </row>
        <row r="9608">
          <cell r="A9608" t="str">
            <v>57-01-01-2055</v>
          </cell>
          <cell r="B9608">
            <v>0</v>
          </cell>
          <cell r="C9608" t="str">
            <v xml:space="preserve">  MUHAMMAD U=IMRAN RING # 7</v>
          </cell>
          <cell r="D9608">
            <v>0</v>
          </cell>
          <cell r="E9608">
            <v>0</v>
          </cell>
          <cell r="F9608">
            <v>0</v>
          </cell>
          <cell r="G9608">
            <v>0</v>
          </cell>
        </row>
        <row r="9609">
          <cell r="A9609" t="str">
            <v>57-01-01-2056</v>
          </cell>
          <cell r="B9609">
            <v>0</v>
          </cell>
          <cell r="C9609" t="str">
            <v xml:space="preserve">  RAEES AHMAD 4/S C/SP</v>
          </cell>
          <cell r="D9609">
            <v>0</v>
          </cell>
          <cell r="E9609">
            <v>0</v>
          </cell>
          <cell r="F9609">
            <v>0</v>
          </cell>
          <cell r="G9609">
            <v>0</v>
          </cell>
        </row>
        <row r="9610">
          <cell r="A9610" t="str">
            <v>57-01-01-2057</v>
          </cell>
          <cell r="B9610">
            <v>0</v>
          </cell>
          <cell r="C9610" t="str">
            <v xml:space="preserve">  QAISER ABBAS HELPER NEW WORKSHOP</v>
          </cell>
          <cell r="D9610">
            <v>0</v>
          </cell>
          <cell r="E9610">
            <v>0</v>
          </cell>
          <cell r="F9610">
            <v>0</v>
          </cell>
          <cell r="G9610">
            <v>0</v>
          </cell>
        </row>
        <row r="9611">
          <cell r="A9611" t="str">
            <v>57-01-01-2058</v>
          </cell>
          <cell r="B9611">
            <v>0</v>
          </cell>
          <cell r="C9611" t="str">
            <v xml:space="preserve">  DOLAT JAN 4/S RING # 6</v>
          </cell>
          <cell r="D9611">
            <v>0</v>
          </cell>
          <cell r="E9611">
            <v>0</v>
          </cell>
          <cell r="F9611">
            <v>0</v>
          </cell>
          <cell r="G9611">
            <v>0</v>
          </cell>
        </row>
        <row r="9612">
          <cell r="A9612" t="str">
            <v>57-01-01-2059</v>
          </cell>
          <cell r="B9612">
            <v>0</v>
          </cell>
          <cell r="C9612" t="str">
            <v xml:space="preserve">  MUHAMMAD ASLAM HELP RING 5</v>
          </cell>
          <cell r="D9612">
            <v>0</v>
          </cell>
          <cell r="E9612">
            <v>0</v>
          </cell>
          <cell r="F9612">
            <v>0</v>
          </cell>
          <cell r="G9612">
            <v>0</v>
          </cell>
        </row>
        <row r="9613">
          <cell r="A9613" t="str">
            <v>57-01-01-2061</v>
          </cell>
          <cell r="B9613">
            <v>0</v>
          </cell>
          <cell r="C9613" t="str">
            <v xml:space="preserve">  ABDUL SATTAR 4/S RING # 4</v>
          </cell>
          <cell r="D9613">
            <v>0</v>
          </cell>
          <cell r="E9613">
            <v>0</v>
          </cell>
          <cell r="F9613">
            <v>0</v>
          </cell>
          <cell r="G9613">
            <v>0</v>
          </cell>
        </row>
        <row r="9614">
          <cell r="A9614" t="str">
            <v>57-01-01-2062</v>
          </cell>
          <cell r="B9614">
            <v>0</v>
          </cell>
          <cell r="C9614" t="str">
            <v xml:space="preserve">  ABDUL HAMEED H/FABRICO</v>
          </cell>
          <cell r="D9614">
            <v>0</v>
          </cell>
          <cell r="E9614">
            <v>0</v>
          </cell>
          <cell r="F9614">
            <v>0</v>
          </cell>
          <cell r="G9614">
            <v>0</v>
          </cell>
        </row>
        <row r="9615">
          <cell r="A9615" t="str">
            <v>57-01-01-2063</v>
          </cell>
          <cell r="B9615">
            <v>0</v>
          </cell>
          <cell r="C9615" t="str">
            <v xml:space="preserve">  HAJI GHULAM MUHAMMAD S QTY M</v>
          </cell>
          <cell r="D9615">
            <v>0</v>
          </cell>
          <cell r="E9615">
            <v>0</v>
          </cell>
          <cell r="F9615">
            <v>0</v>
          </cell>
          <cell r="G9615">
            <v>0</v>
          </cell>
        </row>
        <row r="9616">
          <cell r="A9616" t="str">
            <v>57-01-01-2064</v>
          </cell>
          <cell r="B9616">
            <v>0</v>
          </cell>
          <cell r="C9616" t="str">
            <v xml:space="preserve">  MUHAMMAD ALI H/ELECT MILL # 1</v>
          </cell>
          <cell r="D9616">
            <v>0</v>
          </cell>
          <cell r="E9616">
            <v>0</v>
          </cell>
          <cell r="F9616">
            <v>0</v>
          </cell>
          <cell r="G9616">
            <v>0</v>
          </cell>
        </row>
        <row r="9617">
          <cell r="A9617" t="str">
            <v>57-01-01-2065</v>
          </cell>
          <cell r="B9617">
            <v>0</v>
          </cell>
          <cell r="C9617" t="str">
            <v xml:space="preserve">  JAVAID HUSSAIN 4/S RING 8</v>
          </cell>
          <cell r="D9617">
            <v>0</v>
          </cell>
          <cell r="E9617">
            <v>0</v>
          </cell>
          <cell r="F9617">
            <v>0</v>
          </cell>
          <cell r="G9617">
            <v>0</v>
          </cell>
        </row>
        <row r="9618">
          <cell r="A9618" t="str">
            <v>57-01-01-2066</v>
          </cell>
          <cell r="B9618">
            <v>0</v>
          </cell>
          <cell r="C9618" t="str">
            <v xml:space="preserve">  GHULAM RABBANI OPT A/CONE</v>
          </cell>
          <cell r="D9618">
            <v>0</v>
          </cell>
          <cell r="E9618">
            <v>0</v>
          </cell>
          <cell r="F9618">
            <v>0</v>
          </cell>
          <cell r="G9618">
            <v>0</v>
          </cell>
        </row>
        <row r="9619">
          <cell r="A9619" t="str">
            <v>57-01-01-2067</v>
          </cell>
          <cell r="B9619">
            <v>0</v>
          </cell>
          <cell r="C9619" t="str">
            <v xml:space="preserve">  ADNAN MUGHAL A/PROGRAMMER</v>
          </cell>
          <cell r="D9619">
            <v>0</v>
          </cell>
          <cell r="E9619">
            <v>0</v>
          </cell>
          <cell r="F9619">
            <v>0</v>
          </cell>
          <cell r="G9619">
            <v>0</v>
          </cell>
        </row>
        <row r="9620">
          <cell r="A9620" t="str">
            <v>57-01-01-2068</v>
          </cell>
          <cell r="B9620">
            <v>0</v>
          </cell>
          <cell r="C9620" t="str">
            <v xml:space="preserve">  88806 MUHAMMAD ASLAM FOREMAN RING M-3</v>
          </cell>
          <cell r="D9620">
            <v>0</v>
          </cell>
          <cell r="E9620">
            <v>0</v>
          </cell>
          <cell r="F9620">
            <v>0</v>
          </cell>
          <cell r="G9620">
            <v>0</v>
          </cell>
        </row>
        <row r="9621">
          <cell r="A9621" t="str">
            <v>57-01-01-2069</v>
          </cell>
          <cell r="B9621">
            <v>0</v>
          </cell>
          <cell r="C9621" t="str">
            <v xml:space="preserve">  ASIF MEHOOM A/FOREMAN A/CONE</v>
          </cell>
          <cell r="D9621">
            <v>0</v>
          </cell>
          <cell r="E9621">
            <v>0</v>
          </cell>
          <cell r="F9621">
            <v>0</v>
          </cell>
          <cell r="G9621">
            <v>0</v>
          </cell>
        </row>
        <row r="9622">
          <cell r="A9622" t="str">
            <v>57-01-01-2070</v>
          </cell>
          <cell r="B9622">
            <v>0</v>
          </cell>
          <cell r="C9622" t="str">
            <v xml:space="preserve">  EHSAN ALI 4/S RING-4 MILL # 02</v>
          </cell>
          <cell r="D9622">
            <v>0</v>
          </cell>
          <cell r="E9622">
            <v>0</v>
          </cell>
          <cell r="F9622">
            <v>0</v>
          </cell>
          <cell r="G9622">
            <v>0</v>
          </cell>
        </row>
        <row r="9623">
          <cell r="A9623" t="str">
            <v>57-01-01-2071</v>
          </cell>
          <cell r="B9623">
            <v>0</v>
          </cell>
          <cell r="C9623" t="str">
            <v xml:space="preserve">  MUHAMMAD AKBAR STORE CLERK</v>
          </cell>
          <cell r="D9623">
            <v>0</v>
          </cell>
          <cell r="E9623">
            <v>0</v>
          </cell>
          <cell r="F9623">
            <v>0</v>
          </cell>
          <cell r="G9623">
            <v>0</v>
          </cell>
        </row>
        <row r="9624">
          <cell r="A9624" t="str">
            <v>57-01-01-2072</v>
          </cell>
          <cell r="B9624">
            <v>0</v>
          </cell>
          <cell r="C9624" t="str">
            <v xml:space="preserve">  ASGHAR ALI ELECTRICAL ENGINEER</v>
          </cell>
          <cell r="D9624">
            <v>0</v>
          </cell>
          <cell r="E9624">
            <v>0</v>
          </cell>
          <cell r="F9624">
            <v>0</v>
          </cell>
          <cell r="G9624">
            <v>0</v>
          </cell>
        </row>
        <row r="9625">
          <cell r="A9625" t="str">
            <v>57-01-01-2073</v>
          </cell>
          <cell r="B9625">
            <v>0</v>
          </cell>
          <cell r="C9625" t="str">
            <v xml:space="preserve">  IMDAD HUSSAIN 6/S RING 1</v>
          </cell>
          <cell r="D9625">
            <v>0</v>
          </cell>
          <cell r="E9625">
            <v>0</v>
          </cell>
          <cell r="F9625">
            <v>0</v>
          </cell>
          <cell r="G9625">
            <v>0</v>
          </cell>
        </row>
        <row r="9626">
          <cell r="A9626" t="str">
            <v>57-01-01-2074</v>
          </cell>
          <cell r="B9626">
            <v>0</v>
          </cell>
          <cell r="C9626" t="str">
            <v xml:space="preserve">  MUHAMMAD SHARIF 4/S RING 1</v>
          </cell>
          <cell r="D9626">
            <v>0</v>
          </cell>
          <cell r="E9626">
            <v>0</v>
          </cell>
          <cell r="F9626">
            <v>0</v>
          </cell>
          <cell r="G9626">
            <v>0</v>
          </cell>
        </row>
        <row r="9627">
          <cell r="A9627" t="str">
            <v>57-01-01-2075</v>
          </cell>
          <cell r="B9627">
            <v>0</v>
          </cell>
          <cell r="C9627" t="str">
            <v xml:space="preserve">  MUHAMMAD ASHRAF TECHNICAL MANAGER</v>
          </cell>
          <cell r="D9627">
            <v>9000</v>
          </cell>
          <cell r="E9627">
            <v>0</v>
          </cell>
          <cell r="F9627">
            <v>0</v>
          </cell>
          <cell r="G9627">
            <v>0</v>
          </cell>
        </row>
        <row r="9628">
          <cell r="A9628" t="str">
            <v>57-01-01-2076</v>
          </cell>
          <cell r="B9628">
            <v>0</v>
          </cell>
          <cell r="C9628" t="str">
            <v xml:space="preserve">  MUHAMMAD TANVEER 4/S RING</v>
          </cell>
          <cell r="D9628">
            <v>0</v>
          </cell>
          <cell r="E9628">
            <v>0</v>
          </cell>
          <cell r="F9628">
            <v>0</v>
          </cell>
          <cell r="G9628">
            <v>0</v>
          </cell>
        </row>
        <row r="9629">
          <cell r="A9629" t="str">
            <v>57-01-01-2077</v>
          </cell>
          <cell r="B9629">
            <v>0</v>
          </cell>
          <cell r="C9629" t="str">
            <v xml:space="preserve">  TOUSEEF AHMED S.B.O.PLANT</v>
          </cell>
          <cell r="D9629">
            <v>0</v>
          </cell>
          <cell r="E9629">
            <v>0</v>
          </cell>
          <cell r="F9629">
            <v>0</v>
          </cell>
          <cell r="G9629">
            <v>0</v>
          </cell>
        </row>
        <row r="9630">
          <cell r="A9630" t="str">
            <v>57-01-01-2078</v>
          </cell>
          <cell r="B9630">
            <v>0</v>
          </cell>
          <cell r="C9630" t="str">
            <v xml:space="preserve">  MUHAMMAD RAMZAN S.FIT RING</v>
          </cell>
          <cell r="D9630">
            <v>0</v>
          </cell>
          <cell r="E9630">
            <v>0</v>
          </cell>
          <cell r="F9630">
            <v>0</v>
          </cell>
          <cell r="G9630">
            <v>0</v>
          </cell>
        </row>
        <row r="9631">
          <cell r="A9631" t="str">
            <v>57-01-01-2079</v>
          </cell>
          <cell r="B9631">
            <v>0</v>
          </cell>
          <cell r="C9631" t="str">
            <v xml:space="preserve">  TABASSUM IQBAL</v>
          </cell>
          <cell r="D9631">
            <v>0</v>
          </cell>
          <cell r="E9631">
            <v>0</v>
          </cell>
          <cell r="F9631">
            <v>0</v>
          </cell>
          <cell r="G9631">
            <v>0</v>
          </cell>
        </row>
        <row r="9632">
          <cell r="A9632" t="str">
            <v>57-01-01-2080</v>
          </cell>
          <cell r="B9632">
            <v>0</v>
          </cell>
          <cell r="C9632" t="str">
            <v xml:space="preserve">  KHYZER ABBAS D/F B/ROOM</v>
          </cell>
          <cell r="D9632">
            <v>0</v>
          </cell>
          <cell r="E9632">
            <v>0</v>
          </cell>
          <cell r="F9632">
            <v>0</v>
          </cell>
          <cell r="G9632">
            <v>0</v>
          </cell>
        </row>
        <row r="9633">
          <cell r="A9633" t="str">
            <v>57-01-01-2081</v>
          </cell>
          <cell r="B9633">
            <v>0</v>
          </cell>
          <cell r="C9633" t="str">
            <v xml:space="preserve">  MOHAIB ULLAH D.D.T.D/S MILL # 3</v>
          </cell>
          <cell r="D9633">
            <v>0</v>
          </cell>
          <cell r="E9633">
            <v>0</v>
          </cell>
          <cell r="F9633">
            <v>0</v>
          </cell>
          <cell r="G9633">
            <v>0</v>
          </cell>
        </row>
        <row r="9634">
          <cell r="A9634" t="str">
            <v>57-01-01-2082</v>
          </cell>
          <cell r="B9634">
            <v>0</v>
          </cell>
          <cell r="C9634" t="str">
            <v xml:space="preserve">  MIAN KHAN JOB C.S.P MILL # 5</v>
          </cell>
          <cell r="D9634">
            <v>0</v>
          </cell>
          <cell r="E9634">
            <v>0</v>
          </cell>
          <cell r="F9634">
            <v>0</v>
          </cell>
          <cell r="G9634">
            <v>0</v>
          </cell>
        </row>
        <row r="9635">
          <cell r="A9635" t="str">
            <v>57-01-01-2083</v>
          </cell>
          <cell r="B9635">
            <v>0</v>
          </cell>
          <cell r="C9635" t="str">
            <v xml:space="preserve">  MUH HUSSAIN LY OPT S/P MILL</v>
          </cell>
          <cell r="D9635">
            <v>0</v>
          </cell>
          <cell r="E9635">
            <v>0</v>
          </cell>
          <cell r="F9635">
            <v>0</v>
          </cell>
          <cell r="G9635">
            <v>0</v>
          </cell>
        </row>
        <row r="9636">
          <cell r="A9636" t="str">
            <v>57-01-01-2084</v>
          </cell>
          <cell r="B9636">
            <v>0</v>
          </cell>
          <cell r="C9636" t="str">
            <v xml:space="preserve">  MUHAMMAD RAMZAN D/F RING 7</v>
          </cell>
          <cell r="D9636">
            <v>0</v>
          </cell>
          <cell r="E9636">
            <v>0</v>
          </cell>
          <cell r="F9636">
            <v>0</v>
          </cell>
          <cell r="G9636">
            <v>0</v>
          </cell>
        </row>
        <row r="9637">
          <cell r="A9637" t="str">
            <v>57-01-01-2085</v>
          </cell>
          <cell r="B9637">
            <v>0</v>
          </cell>
          <cell r="C9637" t="str">
            <v xml:space="preserve">  ARSHAD ALI 4/S RING-7</v>
          </cell>
          <cell r="D9637">
            <v>0</v>
          </cell>
          <cell r="E9637">
            <v>0</v>
          </cell>
          <cell r="F9637">
            <v>0</v>
          </cell>
          <cell r="G9637">
            <v>0</v>
          </cell>
        </row>
        <row r="9638">
          <cell r="A9638" t="str">
            <v>57-01-01-2086</v>
          </cell>
          <cell r="B9638">
            <v>0</v>
          </cell>
          <cell r="C9638" t="str">
            <v xml:space="preserve">  MUHAMMAD ISHFAQ H/ELECT MILL-2</v>
          </cell>
          <cell r="D9638">
            <v>0</v>
          </cell>
          <cell r="E9638">
            <v>0</v>
          </cell>
          <cell r="F9638">
            <v>0</v>
          </cell>
          <cell r="G9638">
            <v>0</v>
          </cell>
        </row>
        <row r="9639">
          <cell r="A9639" t="str">
            <v>57-01-01-2087</v>
          </cell>
          <cell r="B9639">
            <v>0</v>
          </cell>
          <cell r="C9639" t="str">
            <v xml:space="preserve">  KHAN GUL JOBBER RING-4</v>
          </cell>
          <cell r="D9639">
            <v>0</v>
          </cell>
          <cell r="E9639">
            <v>0</v>
          </cell>
          <cell r="F9639">
            <v>0</v>
          </cell>
          <cell r="G9639">
            <v>0</v>
          </cell>
        </row>
        <row r="9640">
          <cell r="A9640" t="str">
            <v>57-01-01-2088</v>
          </cell>
          <cell r="B9640">
            <v>0</v>
          </cell>
          <cell r="C9640" t="str">
            <v xml:space="preserve">  MUHAMMAD NAWAZ 4/S RING # 05</v>
          </cell>
          <cell r="D9640">
            <v>0</v>
          </cell>
          <cell r="E9640">
            <v>0</v>
          </cell>
          <cell r="F9640">
            <v>0</v>
          </cell>
          <cell r="G9640">
            <v>0</v>
          </cell>
        </row>
        <row r="9641">
          <cell r="A9641" t="str">
            <v>57-01-01-2089</v>
          </cell>
          <cell r="B9641">
            <v>0</v>
          </cell>
          <cell r="C9641" t="str">
            <v xml:space="preserve">  IMRAN ASIF D/F B/ROOM</v>
          </cell>
          <cell r="D9641">
            <v>0</v>
          </cell>
          <cell r="E9641">
            <v>0</v>
          </cell>
          <cell r="F9641">
            <v>0</v>
          </cell>
          <cell r="G9641">
            <v>0</v>
          </cell>
        </row>
        <row r="9642">
          <cell r="A9642" t="str">
            <v>57-01-01-2090</v>
          </cell>
          <cell r="B9642">
            <v>0</v>
          </cell>
          <cell r="C9642" t="str">
            <v xml:space="preserve">  HABIBULLAH OPT A/CONE</v>
          </cell>
          <cell r="D9642">
            <v>0</v>
          </cell>
          <cell r="E9642">
            <v>0</v>
          </cell>
          <cell r="F9642">
            <v>0</v>
          </cell>
          <cell r="G9642">
            <v>0</v>
          </cell>
        </row>
        <row r="9643">
          <cell r="A9643" t="str">
            <v>57-01-01-2091</v>
          </cell>
          <cell r="B9643">
            <v>0</v>
          </cell>
          <cell r="C9643" t="str">
            <v xml:space="preserve">  MUH IMRAN ANJUM A.S.M MILL # 04</v>
          </cell>
          <cell r="D9643">
            <v>0</v>
          </cell>
          <cell r="E9643">
            <v>0</v>
          </cell>
          <cell r="F9643">
            <v>0</v>
          </cell>
          <cell r="G9643">
            <v>0</v>
          </cell>
        </row>
        <row r="9644">
          <cell r="A9644" t="str">
            <v>57-01-01-2093</v>
          </cell>
          <cell r="B9644">
            <v>0</v>
          </cell>
          <cell r="C9644" t="str">
            <v xml:space="preserve">  ALLAH BAKHASH P.T B/ROOM MILL</v>
          </cell>
          <cell r="D9644">
            <v>0</v>
          </cell>
          <cell r="E9644">
            <v>0</v>
          </cell>
          <cell r="F9644">
            <v>0</v>
          </cell>
          <cell r="G9644">
            <v>0</v>
          </cell>
        </row>
        <row r="9645">
          <cell r="A9645" t="str">
            <v>57-01-01-2095</v>
          </cell>
          <cell r="B9645">
            <v>0</v>
          </cell>
          <cell r="C9645" t="str">
            <v xml:space="preserve">  MUHAMMAD ASHRAF OPT A/CONE</v>
          </cell>
          <cell r="D9645">
            <v>0</v>
          </cell>
          <cell r="E9645">
            <v>0</v>
          </cell>
          <cell r="F9645">
            <v>0</v>
          </cell>
          <cell r="G9645">
            <v>0</v>
          </cell>
        </row>
        <row r="9646">
          <cell r="A9646" t="str">
            <v>57-01-01-2096</v>
          </cell>
          <cell r="B9646">
            <v>0</v>
          </cell>
          <cell r="C9646" t="str">
            <v xml:space="preserve">  ALLAH BAKHASH OPT A/C MILL # 2</v>
          </cell>
          <cell r="D9646">
            <v>0</v>
          </cell>
          <cell r="E9646">
            <v>0</v>
          </cell>
          <cell r="F9646">
            <v>0</v>
          </cell>
          <cell r="G9646">
            <v>0</v>
          </cell>
        </row>
        <row r="9647">
          <cell r="A9647" t="str">
            <v>57-01-01-2097</v>
          </cell>
          <cell r="B9647">
            <v>0</v>
          </cell>
          <cell r="C9647" t="str">
            <v xml:space="preserve">  MUHAMMAD SULTAN RING 5 D/F MILL</v>
          </cell>
          <cell r="D9647">
            <v>0</v>
          </cell>
          <cell r="E9647">
            <v>0</v>
          </cell>
          <cell r="F9647">
            <v>0</v>
          </cell>
          <cell r="G9647">
            <v>0</v>
          </cell>
        </row>
        <row r="9648">
          <cell r="A9648" t="str">
            <v>57-01-01-2098</v>
          </cell>
          <cell r="B9648">
            <v>0</v>
          </cell>
          <cell r="C9648" t="str">
            <v xml:space="preserve">  AAMIR SHEHZID 4/S RING MILL</v>
          </cell>
          <cell r="D9648">
            <v>0</v>
          </cell>
          <cell r="E9648">
            <v>0</v>
          </cell>
          <cell r="F9648">
            <v>0</v>
          </cell>
          <cell r="G9648">
            <v>0</v>
          </cell>
        </row>
        <row r="9649">
          <cell r="A9649" t="str">
            <v>57-01-01-2099</v>
          </cell>
          <cell r="B9649">
            <v>0</v>
          </cell>
          <cell r="C9649" t="str">
            <v xml:space="preserve">  FIDA HUSSAIN HELPER RING 6</v>
          </cell>
          <cell r="D9649">
            <v>0</v>
          </cell>
          <cell r="E9649">
            <v>0</v>
          </cell>
          <cell r="F9649">
            <v>0</v>
          </cell>
          <cell r="G9649">
            <v>0</v>
          </cell>
        </row>
        <row r="9650">
          <cell r="A9650" t="str">
            <v>57-01-01-2100</v>
          </cell>
          <cell r="B9650">
            <v>0</v>
          </cell>
          <cell r="C9650" t="str">
            <v xml:space="preserve">  MUHAMMAD JAMIL OPT A/CONE MILL # 1</v>
          </cell>
          <cell r="D9650">
            <v>0</v>
          </cell>
          <cell r="E9650">
            <v>0</v>
          </cell>
          <cell r="F9650">
            <v>0</v>
          </cell>
          <cell r="G9650">
            <v>0</v>
          </cell>
        </row>
        <row r="9651">
          <cell r="A9651" t="str">
            <v>57-01-01-2101</v>
          </cell>
          <cell r="B9651">
            <v>0</v>
          </cell>
          <cell r="C9651" t="str">
            <v xml:space="preserve">  MUHAMMAD IZRAM 4/S RING 7</v>
          </cell>
          <cell r="D9651">
            <v>0</v>
          </cell>
          <cell r="E9651">
            <v>0</v>
          </cell>
          <cell r="F9651">
            <v>0</v>
          </cell>
          <cell r="G9651">
            <v>0</v>
          </cell>
        </row>
        <row r="9652">
          <cell r="A9652" t="str">
            <v>57-01-01-2102</v>
          </cell>
          <cell r="B9652">
            <v>0</v>
          </cell>
          <cell r="C9652" t="str">
            <v xml:space="preserve">  RAJAB ALI D.D.T. D/S MILL # 4</v>
          </cell>
          <cell r="D9652">
            <v>0</v>
          </cell>
          <cell r="E9652">
            <v>0</v>
          </cell>
          <cell r="F9652">
            <v>0</v>
          </cell>
          <cell r="G9652">
            <v>0</v>
          </cell>
        </row>
        <row r="9653">
          <cell r="A9653" t="str">
            <v>57-01-01-2103</v>
          </cell>
          <cell r="B9653">
            <v>0</v>
          </cell>
          <cell r="C9653" t="str">
            <v xml:space="preserve">  SARFARAZ AHMAD JOB RING 7</v>
          </cell>
          <cell r="D9653">
            <v>0</v>
          </cell>
          <cell r="E9653">
            <v>0</v>
          </cell>
          <cell r="F9653">
            <v>0</v>
          </cell>
          <cell r="G9653">
            <v>0</v>
          </cell>
        </row>
        <row r="9654">
          <cell r="A9654" t="str">
            <v>57-01-01-2104</v>
          </cell>
          <cell r="B9654">
            <v>0</v>
          </cell>
          <cell r="C9654" t="str">
            <v xml:space="preserve">  TAJ MUHAMMAD 6/S RING</v>
          </cell>
          <cell r="D9654">
            <v>0</v>
          </cell>
          <cell r="E9654">
            <v>0</v>
          </cell>
          <cell r="F9654">
            <v>0</v>
          </cell>
          <cell r="G9654">
            <v>0</v>
          </cell>
        </row>
        <row r="9655">
          <cell r="A9655" t="str">
            <v>57-01-01-2105</v>
          </cell>
          <cell r="B9655">
            <v>0</v>
          </cell>
          <cell r="C9655" t="str">
            <v xml:space="preserve">  MUHAMMAD ARSHAD A/FITT CARD</v>
          </cell>
          <cell r="D9655">
            <v>0</v>
          </cell>
          <cell r="E9655">
            <v>0</v>
          </cell>
          <cell r="F9655">
            <v>0</v>
          </cell>
          <cell r="G9655">
            <v>0</v>
          </cell>
        </row>
        <row r="9656">
          <cell r="A9656" t="str">
            <v>57-01-01-2106</v>
          </cell>
          <cell r="B9656">
            <v>0</v>
          </cell>
          <cell r="C9656" t="str">
            <v xml:space="preserve">  MUHAMMAD HASNAIN OPT A/CONE</v>
          </cell>
          <cell r="D9656">
            <v>0</v>
          </cell>
          <cell r="E9656">
            <v>0</v>
          </cell>
          <cell r="F9656">
            <v>0</v>
          </cell>
          <cell r="G9656">
            <v>0</v>
          </cell>
        </row>
        <row r="9657">
          <cell r="A9657" t="str">
            <v>57-01-01-2107</v>
          </cell>
          <cell r="B9657">
            <v>0</v>
          </cell>
          <cell r="C9657" t="str">
            <v xml:space="preserve">  IRFAN AHMEAD 4/S RING</v>
          </cell>
          <cell r="D9657">
            <v>0</v>
          </cell>
          <cell r="E9657">
            <v>0</v>
          </cell>
          <cell r="F9657">
            <v>0</v>
          </cell>
          <cell r="G9657">
            <v>0</v>
          </cell>
        </row>
        <row r="9658">
          <cell r="A9658" t="str">
            <v>57-01-01-2108</v>
          </cell>
          <cell r="B9658">
            <v>0</v>
          </cell>
          <cell r="C9658" t="str">
            <v xml:space="preserve">  MUHAMMAD AKRAM 4/S RING 3</v>
          </cell>
          <cell r="D9658">
            <v>0</v>
          </cell>
          <cell r="E9658">
            <v>0</v>
          </cell>
          <cell r="F9658">
            <v>0</v>
          </cell>
          <cell r="G9658">
            <v>0</v>
          </cell>
        </row>
        <row r="9659">
          <cell r="A9659" t="str">
            <v>57-01-01-2109</v>
          </cell>
          <cell r="B9659">
            <v>0</v>
          </cell>
          <cell r="C9659" t="str">
            <v xml:space="preserve">  TARIQ HUSSAIN JOB RING 1</v>
          </cell>
          <cell r="D9659">
            <v>0</v>
          </cell>
          <cell r="E9659">
            <v>0</v>
          </cell>
          <cell r="F9659">
            <v>0</v>
          </cell>
          <cell r="G9659">
            <v>0</v>
          </cell>
        </row>
        <row r="9660">
          <cell r="A9660" t="str">
            <v>57-01-01-2110</v>
          </cell>
          <cell r="B9660">
            <v>0</v>
          </cell>
          <cell r="C9660" t="str">
            <v xml:space="preserve">  AZHAR IQBAL D.S.T D/S MILL # 1</v>
          </cell>
          <cell r="D9660">
            <v>0</v>
          </cell>
          <cell r="E9660">
            <v>0</v>
          </cell>
          <cell r="F9660">
            <v>0</v>
          </cell>
          <cell r="G9660">
            <v>0</v>
          </cell>
        </row>
        <row r="9661">
          <cell r="A9661" t="str">
            <v>57-01-01-2111</v>
          </cell>
          <cell r="B9661">
            <v>0</v>
          </cell>
          <cell r="C9661" t="str">
            <v xml:space="preserve">  MUHAMMAD ASHRAF 4/S RING 4</v>
          </cell>
          <cell r="D9661">
            <v>0</v>
          </cell>
          <cell r="E9661">
            <v>0</v>
          </cell>
          <cell r="F9661">
            <v>0</v>
          </cell>
          <cell r="G9661">
            <v>0</v>
          </cell>
        </row>
        <row r="9662">
          <cell r="A9662" t="str">
            <v>57-01-01-2112</v>
          </cell>
          <cell r="B9662">
            <v>0</v>
          </cell>
          <cell r="C9662" t="str">
            <v xml:space="preserve">  NASIR MEHMOOD C.T COMBER</v>
          </cell>
          <cell r="D9662">
            <v>0</v>
          </cell>
          <cell r="E9662">
            <v>0</v>
          </cell>
          <cell r="F9662">
            <v>0</v>
          </cell>
          <cell r="G9662">
            <v>0</v>
          </cell>
        </row>
        <row r="9663">
          <cell r="A9663" t="str">
            <v>57-01-01-2113</v>
          </cell>
          <cell r="B9663">
            <v>0</v>
          </cell>
          <cell r="C9663" t="str">
            <v xml:space="preserve">  MUHSIN RAZA OPT A/CONE</v>
          </cell>
          <cell r="D9663">
            <v>0</v>
          </cell>
          <cell r="E9663">
            <v>0</v>
          </cell>
          <cell r="F9663">
            <v>0</v>
          </cell>
          <cell r="G9663">
            <v>0</v>
          </cell>
        </row>
        <row r="9664">
          <cell r="A9664" t="str">
            <v>57-01-01-2114</v>
          </cell>
          <cell r="B9664">
            <v>0</v>
          </cell>
          <cell r="C9664" t="str">
            <v xml:space="preserve">  MUHAMMAD ASIF D/F RING</v>
          </cell>
          <cell r="D9664">
            <v>0</v>
          </cell>
          <cell r="E9664">
            <v>0</v>
          </cell>
          <cell r="F9664">
            <v>0</v>
          </cell>
          <cell r="G9664">
            <v>0</v>
          </cell>
        </row>
        <row r="9665">
          <cell r="A9665" t="str">
            <v>57-01-01-2115</v>
          </cell>
          <cell r="B9665">
            <v>0</v>
          </cell>
          <cell r="C9665" t="str">
            <v xml:space="preserve">  NAZIR AHMED AVX OPT P.PLANT</v>
          </cell>
          <cell r="D9665">
            <v>0</v>
          </cell>
          <cell r="E9665">
            <v>0</v>
          </cell>
          <cell r="F9665">
            <v>0</v>
          </cell>
          <cell r="G9665">
            <v>0</v>
          </cell>
        </row>
        <row r="9666">
          <cell r="A9666" t="str">
            <v>57-01-01-2116</v>
          </cell>
          <cell r="B9666">
            <v>0</v>
          </cell>
          <cell r="C9666" t="str">
            <v xml:space="preserve">  MUHAMMAD SAFDAR D/F B/ROOM</v>
          </cell>
          <cell r="D9666">
            <v>0</v>
          </cell>
          <cell r="E9666">
            <v>0</v>
          </cell>
          <cell r="F9666">
            <v>0</v>
          </cell>
          <cell r="G9666">
            <v>0</v>
          </cell>
        </row>
        <row r="9667">
          <cell r="A9667" t="str">
            <v>57-01-01-2117</v>
          </cell>
          <cell r="B9667">
            <v>0</v>
          </cell>
          <cell r="C9667" t="str">
            <v xml:space="preserve">  GULFAM ALI 4/S RING 8 MILL # 4</v>
          </cell>
          <cell r="D9667">
            <v>0</v>
          </cell>
          <cell r="E9667">
            <v>0</v>
          </cell>
          <cell r="F9667">
            <v>0</v>
          </cell>
          <cell r="G9667">
            <v>0</v>
          </cell>
        </row>
        <row r="9668">
          <cell r="A9668" t="str">
            <v>57-01-01-2118</v>
          </cell>
          <cell r="B9668">
            <v>0</v>
          </cell>
          <cell r="C9668" t="str">
            <v xml:space="preserve">   TANVEER AHMAD S.FITT CARDING M</v>
          </cell>
          <cell r="D9668">
            <v>0</v>
          </cell>
          <cell r="E9668">
            <v>0</v>
          </cell>
          <cell r="F9668">
            <v>0</v>
          </cell>
          <cell r="G9668">
            <v>0</v>
          </cell>
        </row>
        <row r="9669">
          <cell r="A9669" t="str">
            <v>57-01-01-2119</v>
          </cell>
          <cell r="B9669">
            <v>0</v>
          </cell>
          <cell r="C9669" t="str">
            <v xml:space="preserve">  MUHAMMAD ARIF 4/S RING 4</v>
          </cell>
          <cell r="D9669">
            <v>0</v>
          </cell>
          <cell r="E9669">
            <v>0</v>
          </cell>
          <cell r="F9669">
            <v>0</v>
          </cell>
          <cell r="G9669">
            <v>0</v>
          </cell>
        </row>
        <row r="9670">
          <cell r="A9670" t="str">
            <v>57-01-01-2120</v>
          </cell>
          <cell r="B9670">
            <v>0</v>
          </cell>
          <cell r="C9670" t="str">
            <v xml:space="preserve">  ABDUL RASHEED D/F RING 3</v>
          </cell>
          <cell r="D9670">
            <v>0</v>
          </cell>
          <cell r="E9670">
            <v>0</v>
          </cell>
          <cell r="F9670">
            <v>0</v>
          </cell>
          <cell r="G9670">
            <v>0</v>
          </cell>
        </row>
        <row r="9671">
          <cell r="A9671" t="str">
            <v>57-01-01-2121</v>
          </cell>
          <cell r="B9671">
            <v>0</v>
          </cell>
          <cell r="C9671" t="str">
            <v xml:space="preserve">  MUHAMMAD SHABAN OPT A/CONE</v>
          </cell>
          <cell r="D9671">
            <v>0</v>
          </cell>
          <cell r="E9671">
            <v>0</v>
          </cell>
          <cell r="F9671">
            <v>0</v>
          </cell>
          <cell r="G9671">
            <v>0</v>
          </cell>
        </row>
        <row r="9672">
          <cell r="A9672" t="str">
            <v>57-01-01-2122</v>
          </cell>
          <cell r="B9672">
            <v>0</v>
          </cell>
          <cell r="C9672" t="str">
            <v xml:space="preserve">  MUHAMMAD WAQAS A/FITTER RING 4</v>
          </cell>
          <cell r="D9672">
            <v>0</v>
          </cell>
          <cell r="E9672">
            <v>0</v>
          </cell>
          <cell r="F9672">
            <v>0</v>
          </cell>
          <cell r="G9672">
            <v>0</v>
          </cell>
        </row>
        <row r="9673">
          <cell r="A9673" t="str">
            <v>57-01-01-2123</v>
          </cell>
          <cell r="B9673">
            <v>0</v>
          </cell>
          <cell r="C9673" t="str">
            <v xml:space="preserve">  MUH SHARIF TAPEMAN RING 4</v>
          </cell>
          <cell r="D9673">
            <v>0</v>
          </cell>
          <cell r="E9673">
            <v>0</v>
          </cell>
          <cell r="F9673">
            <v>0</v>
          </cell>
          <cell r="G9673">
            <v>0</v>
          </cell>
        </row>
        <row r="9674">
          <cell r="A9674" t="str">
            <v>57-01-01-2124</v>
          </cell>
          <cell r="B9674">
            <v>0</v>
          </cell>
          <cell r="C9674" t="str">
            <v xml:space="preserve">  AAMIR SHEHZAD 4/S RING 1</v>
          </cell>
          <cell r="D9674">
            <v>0</v>
          </cell>
          <cell r="E9674">
            <v>0</v>
          </cell>
          <cell r="F9674">
            <v>0</v>
          </cell>
          <cell r="G9674">
            <v>0</v>
          </cell>
        </row>
        <row r="9675">
          <cell r="A9675" t="str">
            <v>57-01-01-2125</v>
          </cell>
          <cell r="B9675">
            <v>0</v>
          </cell>
          <cell r="C9675" t="str">
            <v xml:space="preserve">  MUHAMMAD ALTAF 4/S L.S.P</v>
          </cell>
          <cell r="D9675">
            <v>0</v>
          </cell>
          <cell r="E9675">
            <v>0</v>
          </cell>
          <cell r="F9675">
            <v>0</v>
          </cell>
          <cell r="G9675">
            <v>0</v>
          </cell>
        </row>
        <row r="9676">
          <cell r="A9676" t="str">
            <v>57-01-01-2126</v>
          </cell>
          <cell r="B9676">
            <v>0</v>
          </cell>
          <cell r="C9676" t="str">
            <v xml:space="preserve">  AHMAD SALIM A/FIT C/S/P MILL</v>
          </cell>
          <cell r="D9676">
            <v>0</v>
          </cell>
          <cell r="E9676">
            <v>0</v>
          </cell>
          <cell r="F9676">
            <v>0</v>
          </cell>
          <cell r="G9676">
            <v>0</v>
          </cell>
        </row>
        <row r="9677">
          <cell r="A9677" t="str">
            <v>57-01-01-2127</v>
          </cell>
          <cell r="B9677">
            <v>0</v>
          </cell>
          <cell r="C9677" t="str">
            <v xml:space="preserve">  MUHAMMAD RAFIQUE DTY FORMAN M #</v>
          </cell>
          <cell r="D9677">
            <v>0</v>
          </cell>
          <cell r="E9677">
            <v>0</v>
          </cell>
          <cell r="F9677">
            <v>0</v>
          </cell>
          <cell r="G9677">
            <v>0</v>
          </cell>
        </row>
        <row r="9678">
          <cell r="A9678" t="str">
            <v>57-01-01-2128</v>
          </cell>
          <cell r="B9678">
            <v>0</v>
          </cell>
          <cell r="C9678" t="str">
            <v xml:space="preserve">  86662 SHAHKIR HUSSAIN S.Q.B MILL # 4</v>
          </cell>
          <cell r="D9678">
            <v>0</v>
          </cell>
          <cell r="E9678">
            <v>0</v>
          </cell>
          <cell r="F9678">
            <v>0</v>
          </cell>
          <cell r="G9678">
            <v>0</v>
          </cell>
        </row>
        <row r="9679">
          <cell r="A9679" t="str">
            <v>57-01-01-2129</v>
          </cell>
          <cell r="B9679">
            <v>0</v>
          </cell>
          <cell r="C9679" t="str">
            <v xml:space="preserve">  FARAZ KHAN 4/S RING 4</v>
          </cell>
          <cell r="D9679">
            <v>0</v>
          </cell>
          <cell r="E9679">
            <v>0</v>
          </cell>
          <cell r="F9679">
            <v>0</v>
          </cell>
          <cell r="G9679">
            <v>0</v>
          </cell>
        </row>
        <row r="9680">
          <cell r="A9680" t="str">
            <v>57-01-01-2131</v>
          </cell>
          <cell r="B9680">
            <v>0</v>
          </cell>
          <cell r="C9680" t="str">
            <v xml:space="preserve">  ASIF KHAN OPT A/CONE MILL # 3</v>
          </cell>
          <cell r="D9680">
            <v>0</v>
          </cell>
          <cell r="E9680">
            <v>0</v>
          </cell>
          <cell r="F9680">
            <v>0</v>
          </cell>
          <cell r="G9680">
            <v>0</v>
          </cell>
        </row>
        <row r="9681">
          <cell r="A9681" t="str">
            <v>57-01-01-2132</v>
          </cell>
          <cell r="B9681">
            <v>0</v>
          </cell>
          <cell r="C9681" t="str">
            <v xml:space="preserve">  MUHAMMAD ASHRAF 4/S</v>
          </cell>
          <cell r="D9681">
            <v>0</v>
          </cell>
          <cell r="E9681">
            <v>0</v>
          </cell>
          <cell r="F9681">
            <v>0</v>
          </cell>
          <cell r="G9681">
            <v>0</v>
          </cell>
        </row>
        <row r="9682">
          <cell r="A9682" t="str">
            <v>57-01-01-2133</v>
          </cell>
          <cell r="B9682">
            <v>0</v>
          </cell>
          <cell r="C9682" t="str">
            <v xml:space="preserve">  MUHAMMAD IMTIAZ 4/S RING 4</v>
          </cell>
          <cell r="D9682">
            <v>0</v>
          </cell>
          <cell r="E9682">
            <v>0</v>
          </cell>
          <cell r="F9682">
            <v>0</v>
          </cell>
          <cell r="G9682">
            <v>0</v>
          </cell>
        </row>
        <row r="9683">
          <cell r="A9683" t="str">
            <v>57-01-01-2134</v>
          </cell>
          <cell r="B9683">
            <v>0</v>
          </cell>
          <cell r="C9683" t="str">
            <v xml:space="preserve">  MUHAMMAD ASAD D/F RING 1</v>
          </cell>
          <cell r="D9683">
            <v>0</v>
          </cell>
          <cell r="E9683">
            <v>0</v>
          </cell>
          <cell r="F9683">
            <v>0</v>
          </cell>
          <cell r="G9683">
            <v>0</v>
          </cell>
        </row>
        <row r="9684">
          <cell r="A9684" t="str">
            <v>57-01-01-2135</v>
          </cell>
          <cell r="B9684">
            <v>0</v>
          </cell>
          <cell r="C9684" t="str">
            <v xml:space="preserve">  SAFE ULLAH KHAN 4/S RING 1</v>
          </cell>
          <cell r="D9684">
            <v>0</v>
          </cell>
          <cell r="E9684">
            <v>0</v>
          </cell>
          <cell r="F9684">
            <v>0</v>
          </cell>
          <cell r="G9684">
            <v>0</v>
          </cell>
        </row>
        <row r="9685">
          <cell r="A9685" t="str">
            <v>57-01-01-2136</v>
          </cell>
          <cell r="B9685">
            <v>0</v>
          </cell>
          <cell r="C9685" t="str">
            <v xml:space="preserve">  MUHAMMAD ASHRAF 4/S RING 1</v>
          </cell>
          <cell r="D9685">
            <v>0</v>
          </cell>
          <cell r="E9685">
            <v>0</v>
          </cell>
          <cell r="F9685">
            <v>0</v>
          </cell>
          <cell r="G9685">
            <v>0</v>
          </cell>
        </row>
        <row r="9686">
          <cell r="A9686" t="str">
            <v>57-01-01-2137</v>
          </cell>
          <cell r="B9686">
            <v>0</v>
          </cell>
          <cell r="C9686" t="str">
            <v xml:space="preserve">  UMAR DARAZ OPT A/CONE MILL # 1</v>
          </cell>
          <cell r="D9686">
            <v>0</v>
          </cell>
          <cell r="E9686">
            <v>0</v>
          </cell>
          <cell r="F9686">
            <v>0</v>
          </cell>
          <cell r="G9686">
            <v>0</v>
          </cell>
        </row>
        <row r="9687">
          <cell r="A9687" t="str">
            <v>57-01-01-2138</v>
          </cell>
          <cell r="B9687">
            <v>0</v>
          </cell>
          <cell r="C9687" t="str">
            <v xml:space="preserve">  SAFEER ABBAS D/F CARD 1</v>
          </cell>
          <cell r="D9687">
            <v>0</v>
          </cell>
          <cell r="E9687">
            <v>0</v>
          </cell>
          <cell r="F9687">
            <v>0</v>
          </cell>
          <cell r="G9687">
            <v>0</v>
          </cell>
        </row>
        <row r="9688">
          <cell r="A9688" t="str">
            <v>57-01-01-2139</v>
          </cell>
          <cell r="B9688">
            <v>0</v>
          </cell>
          <cell r="C9688" t="str">
            <v xml:space="preserve">  TANVEER HUSSAIN D/F RING 2</v>
          </cell>
          <cell r="D9688">
            <v>0</v>
          </cell>
          <cell r="E9688">
            <v>0</v>
          </cell>
          <cell r="F9688">
            <v>0</v>
          </cell>
          <cell r="G9688">
            <v>0</v>
          </cell>
        </row>
        <row r="9689">
          <cell r="A9689" t="str">
            <v>57-01-01-2140</v>
          </cell>
          <cell r="B9689">
            <v>0</v>
          </cell>
          <cell r="C9689" t="str">
            <v xml:space="preserve">  MUHAMMAD ANEES D/F RING 2</v>
          </cell>
          <cell r="D9689">
            <v>0</v>
          </cell>
          <cell r="E9689">
            <v>0</v>
          </cell>
          <cell r="F9689">
            <v>0</v>
          </cell>
          <cell r="G9689">
            <v>0</v>
          </cell>
        </row>
        <row r="9690">
          <cell r="A9690" t="str">
            <v>57-01-01-2141</v>
          </cell>
          <cell r="B9690">
            <v>0</v>
          </cell>
          <cell r="C9690" t="str">
            <v xml:space="preserve">  NAEEM AKHTAR DDT D/S MILL # 1</v>
          </cell>
          <cell r="D9690">
            <v>0</v>
          </cell>
          <cell r="E9690">
            <v>0</v>
          </cell>
          <cell r="F9690">
            <v>0</v>
          </cell>
          <cell r="G9690">
            <v>0</v>
          </cell>
        </row>
        <row r="9691">
          <cell r="A9691" t="str">
            <v>57-01-01-2142</v>
          </cell>
          <cell r="B9691">
            <v>0</v>
          </cell>
          <cell r="C9691" t="str">
            <v xml:space="preserve">  ZAHOOR HUSSAIN D/F A/CONE MILL</v>
          </cell>
          <cell r="D9691">
            <v>0</v>
          </cell>
          <cell r="E9691">
            <v>0</v>
          </cell>
          <cell r="F9691">
            <v>0</v>
          </cell>
          <cell r="G9691">
            <v>0</v>
          </cell>
        </row>
        <row r="9692">
          <cell r="A9692" t="str">
            <v>57-01-01-2144</v>
          </cell>
          <cell r="B9692">
            <v>0</v>
          </cell>
          <cell r="C9692" t="str">
            <v xml:space="preserve">  HABIB KHAN A/FOREMAN</v>
          </cell>
          <cell r="D9692">
            <v>0</v>
          </cell>
          <cell r="E9692">
            <v>0</v>
          </cell>
          <cell r="F9692">
            <v>0</v>
          </cell>
          <cell r="G9692">
            <v>0</v>
          </cell>
        </row>
        <row r="9693">
          <cell r="A9693" t="str">
            <v>57-01-01-2145</v>
          </cell>
          <cell r="B9693">
            <v>0</v>
          </cell>
          <cell r="C9693" t="str">
            <v xml:space="preserve">  FAQIR HUSSAIN OPT A/CONE</v>
          </cell>
          <cell r="D9693">
            <v>0</v>
          </cell>
          <cell r="E9693">
            <v>0</v>
          </cell>
          <cell r="F9693">
            <v>0</v>
          </cell>
          <cell r="G9693">
            <v>0</v>
          </cell>
        </row>
        <row r="9694">
          <cell r="A9694" t="str">
            <v>57-01-01-2146</v>
          </cell>
          <cell r="B9694">
            <v>0</v>
          </cell>
          <cell r="C9694" t="str">
            <v xml:space="preserve">  SAQIB ALI 4/S RING 3</v>
          </cell>
          <cell r="D9694">
            <v>0</v>
          </cell>
          <cell r="E9694">
            <v>0</v>
          </cell>
          <cell r="F9694">
            <v>0</v>
          </cell>
          <cell r="G9694">
            <v>0</v>
          </cell>
        </row>
        <row r="9695">
          <cell r="A9695" t="str">
            <v>57-01-01-2147</v>
          </cell>
          <cell r="B9695">
            <v>0</v>
          </cell>
          <cell r="C9695" t="str">
            <v xml:space="preserve">  IMTIAZ AHMAD D/F B/ROOM</v>
          </cell>
          <cell r="D9695">
            <v>0</v>
          </cell>
          <cell r="E9695">
            <v>0</v>
          </cell>
          <cell r="F9695">
            <v>0</v>
          </cell>
          <cell r="G9695">
            <v>0</v>
          </cell>
        </row>
        <row r="9696">
          <cell r="A9696" t="str">
            <v>57-01-01-2148</v>
          </cell>
          <cell r="B9696">
            <v>0</v>
          </cell>
          <cell r="C9696" t="str">
            <v xml:space="preserve">  AAMIR SHAHZAD 4/S RING 1</v>
          </cell>
          <cell r="D9696">
            <v>0</v>
          </cell>
          <cell r="E9696">
            <v>0</v>
          </cell>
          <cell r="F9696">
            <v>0</v>
          </cell>
          <cell r="G9696">
            <v>0</v>
          </cell>
        </row>
        <row r="9697">
          <cell r="A9697" t="str">
            <v>57-01-01-2149</v>
          </cell>
          <cell r="B9697">
            <v>0</v>
          </cell>
          <cell r="C9697" t="str">
            <v xml:space="preserve">  MUHAMMAD SHEHBAZ OPT A/CONE</v>
          </cell>
          <cell r="D9697">
            <v>0</v>
          </cell>
          <cell r="E9697">
            <v>0</v>
          </cell>
          <cell r="F9697">
            <v>0</v>
          </cell>
          <cell r="G9697">
            <v>0</v>
          </cell>
        </row>
        <row r="9698">
          <cell r="A9698" t="str">
            <v>57-01-01-2150</v>
          </cell>
          <cell r="B9698">
            <v>0</v>
          </cell>
          <cell r="C9698" t="str">
            <v xml:space="preserve">  ZAHID IQBAL FITT WORKSHOP M # 1</v>
          </cell>
          <cell r="D9698">
            <v>0</v>
          </cell>
          <cell r="E9698">
            <v>0</v>
          </cell>
          <cell r="F9698">
            <v>0</v>
          </cell>
          <cell r="G9698">
            <v>0</v>
          </cell>
        </row>
        <row r="9699">
          <cell r="A9699" t="str">
            <v>57-01-01-2151</v>
          </cell>
          <cell r="B9699">
            <v>0</v>
          </cell>
          <cell r="C9699" t="str">
            <v xml:space="preserve">  TAHIR RAHMAN FITT RING 8</v>
          </cell>
          <cell r="D9699">
            <v>0</v>
          </cell>
          <cell r="E9699">
            <v>0</v>
          </cell>
          <cell r="F9699">
            <v>0</v>
          </cell>
          <cell r="G9699">
            <v>0</v>
          </cell>
        </row>
        <row r="9700">
          <cell r="A9700" t="str">
            <v>57-01-01-2152</v>
          </cell>
          <cell r="B9700">
            <v>0</v>
          </cell>
          <cell r="C9700" t="str">
            <v xml:space="preserve">  MUHAMMAD ROZ KHAN PHONE OPERATOR</v>
          </cell>
          <cell r="D9700">
            <v>0</v>
          </cell>
          <cell r="E9700">
            <v>0</v>
          </cell>
          <cell r="F9700">
            <v>0</v>
          </cell>
          <cell r="G9700">
            <v>0</v>
          </cell>
        </row>
        <row r="9701">
          <cell r="A9701" t="str">
            <v>57-01-01-2153</v>
          </cell>
          <cell r="B9701">
            <v>0</v>
          </cell>
          <cell r="C9701" t="str">
            <v xml:space="preserve">  ABU SAFYAN D/F B/ROOM MILL # 04</v>
          </cell>
          <cell r="D9701">
            <v>0</v>
          </cell>
          <cell r="E9701">
            <v>0</v>
          </cell>
          <cell r="F9701">
            <v>0</v>
          </cell>
          <cell r="G9701">
            <v>0</v>
          </cell>
        </row>
        <row r="9702">
          <cell r="A9702" t="str">
            <v>57-01-01-2154</v>
          </cell>
          <cell r="B9702">
            <v>0</v>
          </cell>
          <cell r="C9702" t="str">
            <v xml:space="preserve">  SAEED SHAH 4/S RING 8 MILL # 04</v>
          </cell>
          <cell r="D9702">
            <v>0</v>
          </cell>
          <cell r="E9702">
            <v>0</v>
          </cell>
          <cell r="F9702">
            <v>0</v>
          </cell>
          <cell r="G9702">
            <v>0</v>
          </cell>
        </row>
        <row r="9703">
          <cell r="A9703" t="str">
            <v>57-01-01-2155</v>
          </cell>
          <cell r="B9703">
            <v>0</v>
          </cell>
          <cell r="C9703" t="str">
            <v xml:space="preserve">  RAEES AHMED OPT A/CONE MILL 4</v>
          </cell>
          <cell r="D9703">
            <v>0</v>
          </cell>
          <cell r="E9703">
            <v>0</v>
          </cell>
          <cell r="F9703">
            <v>0</v>
          </cell>
          <cell r="G9703">
            <v>0</v>
          </cell>
        </row>
        <row r="9704">
          <cell r="A9704" t="str">
            <v>57-01-01-2156</v>
          </cell>
          <cell r="B9704">
            <v>0</v>
          </cell>
          <cell r="C9704" t="str">
            <v xml:space="preserve">  FAIZ MUHAMMAD OPT A/CONE MILL</v>
          </cell>
          <cell r="D9704">
            <v>0</v>
          </cell>
          <cell r="E9704">
            <v>0</v>
          </cell>
          <cell r="F9704">
            <v>0</v>
          </cell>
          <cell r="G9704">
            <v>0</v>
          </cell>
        </row>
        <row r="9705">
          <cell r="A9705" t="str">
            <v>57-01-01-2157</v>
          </cell>
          <cell r="B9705">
            <v>0</v>
          </cell>
          <cell r="C9705" t="str">
            <v xml:space="preserve">  MUHAMMAD ASIF C.T COMBER MILL</v>
          </cell>
          <cell r="D9705">
            <v>0</v>
          </cell>
          <cell r="E9705">
            <v>0</v>
          </cell>
          <cell r="F9705">
            <v>0</v>
          </cell>
          <cell r="G9705">
            <v>0</v>
          </cell>
        </row>
        <row r="9706">
          <cell r="A9706" t="str">
            <v>57-01-01-2158</v>
          </cell>
          <cell r="B9706">
            <v>0</v>
          </cell>
          <cell r="C9706" t="str">
            <v xml:space="preserve">  MUHAMMAD YASIN OIL MAN RING 4</v>
          </cell>
          <cell r="D9706">
            <v>0</v>
          </cell>
          <cell r="E9706">
            <v>0</v>
          </cell>
          <cell r="F9706">
            <v>0</v>
          </cell>
          <cell r="G9706">
            <v>0</v>
          </cell>
        </row>
        <row r="9707">
          <cell r="A9707" t="str">
            <v>57-01-01-2159</v>
          </cell>
          <cell r="B9707">
            <v>0</v>
          </cell>
          <cell r="C9707" t="str">
            <v xml:space="preserve">  ABDUL QADOOS SR/QTY/OBS LAB MILL # 07</v>
          </cell>
          <cell r="D9707">
            <v>0</v>
          </cell>
          <cell r="E9707">
            <v>0</v>
          </cell>
          <cell r="F9707">
            <v>0</v>
          </cell>
          <cell r="G9707">
            <v>0</v>
          </cell>
        </row>
        <row r="9708">
          <cell r="A9708" t="str">
            <v>57-01-01-2160</v>
          </cell>
          <cell r="B9708">
            <v>0</v>
          </cell>
          <cell r="C9708" t="str">
            <v xml:space="preserve">  KHALID HUSSAIN DF A/CONE MILL</v>
          </cell>
          <cell r="D9708">
            <v>0</v>
          </cell>
          <cell r="E9708">
            <v>0</v>
          </cell>
          <cell r="F9708">
            <v>0</v>
          </cell>
          <cell r="G9708">
            <v>0</v>
          </cell>
        </row>
        <row r="9709">
          <cell r="A9709" t="str">
            <v>57-01-01-2161</v>
          </cell>
          <cell r="B9709">
            <v>0</v>
          </cell>
          <cell r="C9709" t="str">
            <v xml:space="preserve">  ASGHAR ALI FITTER D/S MILL # 1</v>
          </cell>
          <cell r="D9709">
            <v>0</v>
          </cell>
          <cell r="E9709">
            <v>0</v>
          </cell>
          <cell r="F9709">
            <v>0</v>
          </cell>
          <cell r="G9709">
            <v>0</v>
          </cell>
        </row>
        <row r="9710">
          <cell r="A9710" t="str">
            <v>57-01-01-2162</v>
          </cell>
          <cell r="B9710">
            <v>0</v>
          </cell>
          <cell r="C9710" t="str">
            <v xml:space="preserve">  GHAZANFAR ABBAS FIT RING</v>
          </cell>
          <cell r="D9710">
            <v>0</v>
          </cell>
          <cell r="E9710">
            <v>0</v>
          </cell>
          <cell r="F9710">
            <v>0</v>
          </cell>
          <cell r="G9710">
            <v>0</v>
          </cell>
        </row>
        <row r="9711">
          <cell r="A9711" t="str">
            <v>57-01-01-2163</v>
          </cell>
          <cell r="B9711">
            <v>0</v>
          </cell>
          <cell r="C9711" t="str">
            <v xml:space="preserve">  TARIQ MEHMOOD OPT A/CONE</v>
          </cell>
          <cell r="D9711">
            <v>0</v>
          </cell>
          <cell r="E9711">
            <v>0</v>
          </cell>
          <cell r="F9711">
            <v>0</v>
          </cell>
          <cell r="G9711">
            <v>0</v>
          </cell>
        </row>
        <row r="9712">
          <cell r="A9712" t="str">
            <v>57-01-01-2164</v>
          </cell>
          <cell r="B9712">
            <v>0</v>
          </cell>
          <cell r="C9712" t="str">
            <v xml:space="preserve">  ARIF SHAH STORE ASSISTANT P.PLANT</v>
          </cell>
          <cell r="D9712">
            <v>0</v>
          </cell>
          <cell r="E9712">
            <v>0</v>
          </cell>
          <cell r="F9712">
            <v>0</v>
          </cell>
          <cell r="G9712">
            <v>0</v>
          </cell>
        </row>
        <row r="9713">
          <cell r="A9713" t="str">
            <v>57-01-01-2165</v>
          </cell>
          <cell r="B9713">
            <v>0</v>
          </cell>
          <cell r="C9713" t="str">
            <v xml:space="preserve">  KHALID HUSSAIN 4/S RING</v>
          </cell>
          <cell r="D9713">
            <v>0</v>
          </cell>
          <cell r="E9713">
            <v>0</v>
          </cell>
          <cell r="F9713">
            <v>0</v>
          </cell>
          <cell r="G9713">
            <v>0</v>
          </cell>
        </row>
        <row r="9714">
          <cell r="A9714" t="str">
            <v>57-01-01-2166</v>
          </cell>
          <cell r="B9714">
            <v>0</v>
          </cell>
          <cell r="C9714" t="str">
            <v xml:space="preserve">  MIAN SHAKEEL MEHMOOD S.B.O P.P</v>
          </cell>
          <cell r="D9714">
            <v>0</v>
          </cell>
          <cell r="E9714">
            <v>0</v>
          </cell>
          <cell r="F9714">
            <v>0</v>
          </cell>
          <cell r="G9714">
            <v>0</v>
          </cell>
        </row>
        <row r="9715">
          <cell r="A9715" t="str">
            <v>57-01-01-2167</v>
          </cell>
          <cell r="B9715">
            <v>0</v>
          </cell>
          <cell r="C9715" t="str">
            <v xml:space="preserve">  AMIR AFZAL DF RING 7</v>
          </cell>
          <cell r="D9715">
            <v>0</v>
          </cell>
          <cell r="E9715">
            <v>0</v>
          </cell>
          <cell r="F9715">
            <v>0</v>
          </cell>
          <cell r="G9715">
            <v>0</v>
          </cell>
        </row>
        <row r="9716">
          <cell r="A9716" t="str">
            <v>57-01-01-2168</v>
          </cell>
          <cell r="B9716">
            <v>0</v>
          </cell>
          <cell r="C9716" t="str">
            <v xml:space="preserve">  ABDUL RAHMAN 4/S RING # 3</v>
          </cell>
          <cell r="D9716">
            <v>0</v>
          </cell>
          <cell r="E9716">
            <v>0</v>
          </cell>
          <cell r="F9716">
            <v>0</v>
          </cell>
          <cell r="G9716">
            <v>0</v>
          </cell>
        </row>
        <row r="9717">
          <cell r="A9717" t="str">
            <v>57-01-01-2169</v>
          </cell>
          <cell r="B9717">
            <v>0</v>
          </cell>
          <cell r="C9717" t="str">
            <v xml:space="preserve">  MUHAMMAD KHAN OPT A/CONE</v>
          </cell>
          <cell r="D9717">
            <v>0</v>
          </cell>
          <cell r="E9717">
            <v>0</v>
          </cell>
          <cell r="F9717">
            <v>0</v>
          </cell>
          <cell r="G9717">
            <v>0</v>
          </cell>
        </row>
        <row r="9718">
          <cell r="A9718" t="str">
            <v>57-01-01-2170</v>
          </cell>
          <cell r="B9718">
            <v>0</v>
          </cell>
          <cell r="C9718" t="str">
            <v xml:space="preserve">  DILAWAR KHAN 4/S RING</v>
          </cell>
          <cell r="D9718">
            <v>0</v>
          </cell>
          <cell r="E9718">
            <v>0</v>
          </cell>
          <cell r="F9718">
            <v>0</v>
          </cell>
          <cell r="G9718">
            <v>0</v>
          </cell>
        </row>
        <row r="9719">
          <cell r="A9719" t="str">
            <v>57-01-01-2171</v>
          </cell>
          <cell r="B9719">
            <v>0</v>
          </cell>
          <cell r="C9719" t="str">
            <v xml:space="preserve">  77666 MUHAMMAD RIAZ RING</v>
          </cell>
          <cell r="D9719">
            <v>0</v>
          </cell>
          <cell r="E9719">
            <v>0</v>
          </cell>
          <cell r="F9719">
            <v>0</v>
          </cell>
          <cell r="G9719">
            <v>0</v>
          </cell>
        </row>
        <row r="9720">
          <cell r="A9720" t="str">
            <v>57-01-01-2173</v>
          </cell>
          <cell r="B9720">
            <v>0</v>
          </cell>
          <cell r="C9720" t="str">
            <v xml:space="preserve">  IMTIAZ AKHTAR HELP ELECTIC</v>
          </cell>
          <cell r="D9720">
            <v>0</v>
          </cell>
          <cell r="E9720">
            <v>0</v>
          </cell>
          <cell r="F9720">
            <v>0</v>
          </cell>
          <cell r="G9720">
            <v>0</v>
          </cell>
        </row>
        <row r="9721">
          <cell r="A9721" t="str">
            <v>57-01-01-2174</v>
          </cell>
          <cell r="B9721">
            <v>0</v>
          </cell>
          <cell r="C9721" t="str">
            <v xml:space="preserve">  MUHAMMAD TAYYAB A/FITT D/D M #</v>
          </cell>
          <cell r="D9721">
            <v>0</v>
          </cell>
          <cell r="E9721">
            <v>0</v>
          </cell>
          <cell r="F9721">
            <v>0</v>
          </cell>
          <cell r="G9721">
            <v>0</v>
          </cell>
        </row>
        <row r="9722">
          <cell r="A9722" t="str">
            <v>57-01-01-2175</v>
          </cell>
          <cell r="B9722">
            <v>0</v>
          </cell>
          <cell r="C9722" t="str">
            <v xml:space="preserve">  MUMTAZ HUSSAIN 4/S RING 8</v>
          </cell>
          <cell r="D9722">
            <v>0</v>
          </cell>
          <cell r="E9722">
            <v>0</v>
          </cell>
          <cell r="F9722">
            <v>0</v>
          </cell>
          <cell r="G9722">
            <v>0</v>
          </cell>
        </row>
        <row r="9723">
          <cell r="A9723" t="str">
            <v>57-01-01-2176</v>
          </cell>
          <cell r="B9723">
            <v>0</v>
          </cell>
          <cell r="C9723" t="str">
            <v xml:space="preserve">  KARIM KHAN D/F 76795</v>
          </cell>
          <cell r="D9723">
            <v>0</v>
          </cell>
          <cell r="E9723">
            <v>0</v>
          </cell>
          <cell r="F9723">
            <v>0</v>
          </cell>
          <cell r="G9723">
            <v>0</v>
          </cell>
        </row>
        <row r="9724">
          <cell r="A9724" t="str">
            <v>57-01-01-2177</v>
          </cell>
          <cell r="B9724">
            <v>0</v>
          </cell>
          <cell r="C9724" t="str">
            <v xml:space="preserve">  ASHIQ MEHMOOD 4/S RING 8 MILL</v>
          </cell>
          <cell r="D9724">
            <v>2000</v>
          </cell>
          <cell r="E9724">
            <v>0</v>
          </cell>
          <cell r="F9724">
            <v>0</v>
          </cell>
          <cell r="G9724">
            <v>0</v>
          </cell>
        </row>
        <row r="9725">
          <cell r="A9725" t="str">
            <v>57-01-01-2178</v>
          </cell>
          <cell r="B9725">
            <v>0</v>
          </cell>
          <cell r="C9725" t="str">
            <v xml:space="preserve">  SAHIBZADA ARIF MAHMUD ACC/OFFICER</v>
          </cell>
          <cell r="D9725">
            <v>18000</v>
          </cell>
          <cell r="E9725">
            <v>0</v>
          </cell>
          <cell r="F9725">
            <v>0</v>
          </cell>
          <cell r="G9725">
            <v>0</v>
          </cell>
        </row>
        <row r="9726">
          <cell r="A9726" t="str">
            <v>57-01-01-2179</v>
          </cell>
          <cell r="B9726">
            <v>0</v>
          </cell>
          <cell r="C9726" t="str">
            <v xml:space="preserve">  SYED ABBAS SUPERVISOR</v>
          </cell>
          <cell r="D9726">
            <v>0</v>
          </cell>
          <cell r="E9726">
            <v>0</v>
          </cell>
          <cell r="F9726">
            <v>0</v>
          </cell>
          <cell r="G9726">
            <v>0</v>
          </cell>
        </row>
        <row r="9727">
          <cell r="A9727" t="str">
            <v>57-01-01-2180</v>
          </cell>
          <cell r="B9727">
            <v>0</v>
          </cell>
          <cell r="C9727" t="str">
            <v xml:space="preserve">  MUHAMMAD ASIF OPT MILL # 2</v>
          </cell>
          <cell r="D9727">
            <v>0</v>
          </cell>
          <cell r="E9727">
            <v>0</v>
          </cell>
          <cell r="F9727">
            <v>0</v>
          </cell>
          <cell r="G9727">
            <v>0</v>
          </cell>
        </row>
        <row r="9728">
          <cell r="A9728" t="str">
            <v>57-01-01-2181</v>
          </cell>
          <cell r="B9728">
            <v>0</v>
          </cell>
          <cell r="C9728" t="str">
            <v xml:space="preserve">  MUHAMMAD MAZHAR OPT MILL # 2</v>
          </cell>
          <cell r="D9728">
            <v>0</v>
          </cell>
          <cell r="E9728">
            <v>0</v>
          </cell>
          <cell r="F9728">
            <v>0</v>
          </cell>
          <cell r="G9728">
            <v>0</v>
          </cell>
        </row>
        <row r="9729">
          <cell r="A9729" t="str">
            <v>57-01-01-2182</v>
          </cell>
          <cell r="B9729">
            <v>0</v>
          </cell>
          <cell r="C9729" t="str">
            <v xml:space="preserve">  GHULAM HUSSAIN D.D,T D.S.M</v>
          </cell>
          <cell r="D9729">
            <v>0</v>
          </cell>
          <cell r="E9729">
            <v>0</v>
          </cell>
          <cell r="F9729">
            <v>0</v>
          </cell>
          <cell r="G9729">
            <v>0</v>
          </cell>
        </row>
        <row r="9730">
          <cell r="A9730" t="str">
            <v>57-01-01-2183</v>
          </cell>
          <cell r="B9730">
            <v>0</v>
          </cell>
          <cell r="C9730" t="str">
            <v xml:space="preserve">  MALIK ABBAS H/FITTER CARD</v>
          </cell>
          <cell r="D9730">
            <v>0</v>
          </cell>
          <cell r="E9730">
            <v>0</v>
          </cell>
          <cell r="F9730">
            <v>0</v>
          </cell>
          <cell r="G9730">
            <v>0</v>
          </cell>
        </row>
        <row r="9731">
          <cell r="A9731" t="str">
            <v>57-01-01-2184</v>
          </cell>
          <cell r="B9731">
            <v>0</v>
          </cell>
          <cell r="C9731" t="str">
            <v xml:space="preserve">  BASHRAT ALI H/FITTER CARD</v>
          </cell>
          <cell r="D9731">
            <v>0</v>
          </cell>
          <cell r="E9731">
            <v>0</v>
          </cell>
          <cell r="F9731">
            <v>0</v>
          </cell>
          <cell r="G9731">
            <v>0</v>
          </cell>
        </row>
        <row r="9732">
          <cell r="A9732" t="str">
            <v>57-01-01-2185</v>
          </cell>
          <cell r="B9732">
            <v>0</v>
          </cell>
          <cell r="C9732" t="str">
            <v xml:space="preserve">  MIAN KHAN 4/S RING # 07</v>
          </cell>
          <cell r="D9732">
            <v>0</v>
          </cell>
          <cell r="E9732">
            <v>0</v>
          </cell>
          <cell r="F9732">
            <v>0</v>
          </cell>
          <cell r="G9732">
            <v>0</v>
          </cell>
        </row>
        <row r="9733">
          <cell r="A9733" t="str">
            <v>57-01-01-2186</v>
          </cell>
          <cell r="B9733">
            <v>0</v>
          </cell>
          <cell r="C9733" t="str">
            <v xml:space="preserve">  MUHAAMD ADEEL 4/S MILL # 3</v>
          </cell>
          <cell r="D9733">
            <v>0</v>
          </cell>
          <cell r="E9733">
            <v>0</v>
          </cell>
          <cell r="F9733">
            <v>0</v>
          </cell>
          <cell r="G9733">
            <v>0</v>
          </cell>
        </row>
        <row r="9734">
          <cell r="A9734" t="str">
            <v>57-01-01-2187</v>
          </cell>
          <cell r="B9734">
            <v>0</v>
          </cell>
          <cell r="C9734" t="str">
            <v xml:space="preserve">  MEHDI AHMED 4/S RING 7</v>
          </cell>
          <cell r="D9734">
            <v>0</v>
          </cell>
          <cell r="E9734">
            <v>0</v>
          </cell>
          <cell r="F9734">
            <v>0</v>
          </cell>
          <cell r="G9734">
            <v>0</v>
          </cell>
        </row>
        <row r="9735">
          <cell r="A9735" t="str">
            <v>57-01-01-2188</v>
          </cell>
          <cell r="B9735">
            <v>0</v>
          </cell>
          <cell r="C9735" t="str">
            <v xml:space="preserve">  AZMAT MEHMOOD C-T COMBER M # 3</v>
          </cell>
          <cell r="D9735">
            <v>0</v>
          </cell>
          <cell r="E9735">
            <v>0</v>
          </cell>
          <cell r="F9735">
            <v>0</v>
          </cell>
          <cell r="G9735">
            <v>0</v>
          </cell>
        </row>
        <row r="9736">
          <cell r="A9736" t="str">
            <v>57-01-01-2189</v>
          </cell>
          <cell r="B9736">
            <v>0</v>
          </cell>
          <cell r="C9736" t="str">
            <v xml:space="preserve">  MUHAMMAD KAMRAN HELPER A/C M # 3</v>
          </cell>
          <cell r="D9736">
            <v>0</v>
          </cell>
          <cell r="E9736">
            <v>0</v>
          </cell>
          <cell r="F9736">
            <v>0</v>
          </cell>
          <cell r="G9736">
            <v>0</v>
          </cell>
        </row>
        <row r="9737">
          <cell r="A9737" t="str">
            <v>57-01-01-2190</v>
          </cell>
          <cell r="B9737">
            <v>0</v>
          </cell>
          <cell r="C9737" t="str">
            <v xml:space="preserve">  MUHAMMAD MUNIR 4/S RING 2</v>
          </cell>
          <cell r="D9737">
            <v>0</v>
          </cell>
          <cell r="E9737">
            <v>0</v>
          </cell>
          <cell r="F9737">
            <v>0</v>
          </cell>
          <cell r="G9737">
            <v>0</v>
          </cell>
        </row>
        <row r="9738">
          <cell r="A9738" t="str">
            <v>57-01-01-2191</v>
          </cell>
          <cell r="B9738">
            <v>0</v>
          </cell>
          <cell r="C9738" t="str">
            <v xml:space="preserve">  TALIB HUSSAIN RING # 1</v>
          </cell>
          <cell r="D9738">
            <v>0</v>
          </cell>
          <cell r="E9738">
            <v>0</v>
          </cell>
          <cell r="F9738">
            <v>0</v>
          </cell>
          <cell r="G9738">
            <v>0</v>
          </cell>
        </row>
        <row r="9739">
          <cell r="A9739" t="str">
            <v>57-01-01-2192</v>
          </cell>
          <cell r="B9739">
            <v>0</v>
          </cell>
          <cell r="C9739" t="str">
            <v xml:space="preserve">  AZHAR MEHMOOD 6/S RING 7</v>
          </cell>
          <cell r="D9739">
            <v>0</v>
          </cell>
          <cell r="E9739">
            <v>0</v>
          </cell>
          <cell r="F9739">
            <v>0</v>
          </cell>
          <cell r="G9739">
            <v>0</v>
          </cell>
        </row>
        <row r="9740">
          <cell r="A9740" t="str">
            <v>57-01-01-2193</v>
          </cell>
          <cell r="B9740">
            <v>0</v>
          </cell>
          <cell r="C9740" t="str">
            <v xml:space="preserve">  GHULAM ABBAS 4/S RING 7</v>
          </cell>
          <cell r="D9740">
            <v>0</v>
          </cell>
          <cell r="E9740">
            <v>0</v>
          </cell>
          <cell r="F9740">
            <v>0</v>
          </cell>
          <cell r="G9740">
            <v>0</v>
          </cell>
        </row>
        <row r="9741">
          <cell r="A9741" t="str">
            <v>57-01-01-2194</v>
          </cell>
          <cell r="B9741">
            <v>0</v>
          </cell>
          <cell r="C9741" t="str">
            <v xml:space="preserve">  MUHAMMAD IHSAN COMP OPT</v>
          </cell>
          <cell r="D9741">
            <v>0</v>
          </cell>
          <cell r="E9741">
            <v>0</v>
          </cell>
          <cell r="F9741">
            <v>0</v>
          </cell>
          <cell r="G9741">
            <v>0</v>
          </cell>
        </row>
        <row r="9742">
          <cell r="A9742" t="str">
            <v>57-01-01-2195</v>
          </cell>
          <cell r="B9742">
            <v>0</v>
          </cell>
          <cell r="C9742" t="str">
            <v xml:space="preserve">  DILAWAR KHAN JOB RING</v>
          </cell>
          <cell r="D9742">
            <v>0</v>
          </cell>
          <cell r="E9742">
            <v>0</v>
          </cell>
          <cell r="F9742">
            <v>0</v>
          </cell>
          <cell r="G9742">
            <v>0</v>
          </cell>
        </row>
        <row r="9743">
          <cell r="A9743" t="str">
            <v>57-01-01-2196</v>
          </cell>
          <cell r="B9743">
            <v>0</v>
          </cell>
          <cell r="C9743" t="str">
            <v xml:space="preserve">  MUH RAHEEL ARSHAD QTY OB M # 4</v>
          </cell>
          <cell r="D9743">
            <v>0</v>
          </cell>
          <cell r="E9743">
            <v>0</v>
          </cell>
          <cell r="F9743">
            <v>0</v>
          </cell>
          <cell r="G9743">
            <v>0</v>
          </cell>
        </row>
        <row r="9744">
          <cell r="A9744" t="str">
            <v>57-01-01-2197</v>
          </cell>
          <cell r="B9744">
            <v>0</v>
          </cell>
          <cell r="C9744" t="str">
            <v xml:space="preserve">  NAZIR AHMED 4/S RING 8</v>
          </cell>
          <cell r="D9744">
            <v>0</v>
          </cell>
          <cell r="E9744">
            <v>0</v>
          </cell>
          <cell r="F9744">
            <v>0</v>
          </cell>
          <cell r="G9744">
            <v>0</v>
          </cell>
        </row>
        <row r="9745">
          <cell r="A9745" t="str">
            <v>57-01-01-2198</v>
          </cell>
          <cell r="B9745">
            <v>0</v>
          </cell>
          <cell r="C9745" t="str">
            <v xml:space="preserve">  MUHAMMAD KHALIL JOB D/S M # 3</v>
          </cell>
          <cell r="D9745">
            <v>0</v>
          </cell>
          <cell r="E9745">
            <v>0</v>
          </cell>
          <cell r="F9745">
            <v>0</v>
          </cell>
          <cell r="G9745">
            <v>0</v>
          </cell>
        </row>
        <row r="9746">
          <cell r="A9746" t="str">
            <v>57-01-01-2199</v>
          </cell>
          <cell r="B9746">
            <v>0</v>
          </cell>
          <cell r="C9746" t="str">
            <v xml:space="preserve">  SAID AZHAR W-MAN ELECTRIC</v>
          </cell>
          <cell r="D9746">
            <v>0</v>
          </cell>
          <cell r="E9746">
            <v>0</v>
          </cell>
          <cell r="F9746">
            <v>0</v>
          </cell>
          <cell r="G9746">
            <v>0</v>
          </cell>
        </row>
        <row r="9747">
          <cell r="A9747" t="str">
            <v>57-01-01-2200</v>
          </cell>
          <cell r="B9747">
            <v>0</v>
          </cell>
          <cell r="C9747" t="str">
            <v xml:space="preserve">  NAWAZISH ALI C.T.B/ROOM</v>
          </cell>
          <cell r="D9747">
            <v>0</v>
          </cell>
          <cell r="E9747">
            <v>0</v>
          </cell>
          <cell r="F9747">
            <v>0</v>
          </cell>
          <cell r="G9747">
            <v>0</v>
          </cell>
        </row>
        <row r="9748">
          <cell r="A9748" t="str">
            <v>57-01-01-2201</v>
          </cell>
          <cell r="B9748">
            <v>0</v>
          </cell>
          <cell r="C9748" t="str">
            <v xml:space="preserve">  MUHAMMAD ISHFAQ QLTY  OBS</v>
          </cell>
          <cell r="D9748">
            <v>0</v>
          </cell>
          <cell r="E9748">
            <v>0</v>
          </cell>
          <cell r="F9748">
            <v>0</v>
          </cell>
          <cell r="G9748">
            <v>0</v>
          </cell>
        </row>
        <row r="9749">
          <cell r="A9749" t="str">
            <v>57-01-01-2202</v>
          </cell>
          <cell r="B9749">
            <v>0</v>
          </cell>
          <cell r="C9749" t="str">
            <v xml:space="preserve">  MUHAMMAD NADEEM FITT RING M # 6</v>
          </cell>
          <cell r="D9749">
            <v>0</v>
          </cell>
          <cell r="E9749">
            <v>0</v>
          </cell>
          <cell r="F9749">
            <v>0</v>
          </cell>
          <cell r="G9749">
            <v>0</v>
          </cell>
        </row>
        <row r="9750">
          <cell r="A9750" t="str">
            <v>57-01-01-2203</v>
          </cell>
          <cell r="B9750">
            <v>0</v>
          </cell>
          <cell r="C9750" t="str">
            <v xml:space="preserve">  GHULAM ABBAS 4/S RING 7</v>
          </cell>
          <cell r="D9750">
            <v>0</v>
          </cell>
          <cell r="E9750">
            <v>0</v>
          </cell>
          <cell r="F9750">
            <v>0</v>
          </cell>
          <cell r="G9750">
            <v>0</v>
          </cell>
        </row>
        <row r="9751">
          <cell r="A9751" t="str">
            <v>57-01-01-2204</v>
          </cell>
          <cell r="B9751">
            <v>0</v>
          </cell>
          <cell r="C9751" t="str">
            <v xml:space="preserve">  MUHAMMAD FAYAZ 4/S RING</v>
          </cell>
          <cell r="D9751">
            <v>0</v>
          </cell>
          <cell r="E9751">
            <v>0</v>
          </cell>
          <cell r="F9751">
            <v>0</v>
          </cell>
          <cell r="G9751">
            <v>0</v>
          </cell>
        </row>
        <row r="9752">
          <cell r="A9752" t="str">
            <v>57-01-01-2205</v>
          </cell>
          <cell r="B9752">
            <v>0</v>
          </cell>
          <cell r="C9752" t="str">
            <v xml:space="preserve">  ISHTIAQ BASHIR M/WINDER ELEC.</v>
          </cell>
          <cell r="D9752">
            <v>0</v>
          </cell>
          <cell r="E9752">
            <v>0</v>
          </cell>
          <cell r="F9752">
            <v>0</v>
          </cell>
          <cell r="G9752">
            <v>0</v>
          </cell>
        </row>
        <row r="9753">
          <cell r="A9753" t="str">
            <v>57-01-01-2206</v>
          </cell>
          <cell r="B9753">
            <v>0</v>
          </cell>
          <cell r="C9753" t="str">
            <v xml:space="preserve">  GHULAM ABBAS TAPE MAN</v>
          </cell>
          <cell r="D9753">
            <v>0</v>
          </cell>
          <cell r="E9753">
            <v>0</v>
          </cell>
          <cell r="F9753">
            <v>0</v>
          </cell>
          <cell r="G9753">
            <v>0</v>
          </cell>
        </row>
        <row r="9754">
          <cell r="A9754" t="str">
            <v>57-01-01-2207</v>
          </cell>
          <cell r="B9754">
            <v>0</v>
          </cell>
          <cell r="C9754" t="str">
            <v xml:space="preserve">  SAJID IMRAN D/S/T D/S MILL # 4</v>
          </cell>
          <cell r="D9754">
            <v>0</v>
          </cell>
          <cell r="E9754">
            <v>0</v>
          </cell>
          <cell r="F9754">
            <v>0</v>
          </cell>
          <cell r="G9754">
            <v>0</v>
          </cell>
        </row>
        <row r="9755">
          <cell r="A9755" t="str">
            <v>57-01-01-2208</v>
          </cell>
          <cell r="B9755">
            <v>0</v>
          </cell>
          <cell r="C9755" t="str">
            <v xml:space="preserve">  IHSAN ULLAH 4/S RING 7</v>
          </cell>
          <cell r="D9755">
            <v>0</v>
          </cell>
          <cell r="E9755">
            <v>0</v>
          </cell>
          <cell r="F9755">
            <v>0</v>
          </cell>
          <cell r="G9755">
            <v>0</v>
          </cell>
        </row>
        <row r="9756">
          <cell r="A9756" t="str">
            <v>57-01-01-2209</v>
          </cell>
          <cell r="B9756">
            <v>0</v>
          </cell>
          <cell r="C9756" t="str">
            <v xml:space="preserve">  TARIQ MEHMOOD C-T</v>
          </cell>
          <cell r="D9756">
            <v>0</v>
          </cell>
          <cell r="E9756">
            <v>0</v>
          </cell>
          <cell r="F9756">
            <v>0</v>
          </cell>
          <cell r="G9756">
            <v>0</v>
          </cell>
        </row>
        <row r="9757">
          <cell r="A9757" t="str">
            <v>57-01-01-2210</v>
          </cell>
          <cell r="B9757">
            <v>0</v>
          </cell>
          <cell r="C9757" t="str">
            <v xml:space="preserve">  RASHID MEHMOOD D/F B/ROOM</v>
          </cell>
          <cell r="D9757">
            <v>0</v>
          </cell>
          <cell r="E9757">
            <v>0</v>
          </cell>
          <cell r="F9757">
            <v>0</v>
          </cell>
          <cell r="G9757">
            <v>0</v>
          </cell>
        </row>
        <row r="9758">
          <cell r="A9758" t="str">
            <v>57-01-01-2211</v>
          </cell>
          <cell r="B9758">
            <v>0</v>
          </cell>
          <cell r="C9758" t="str">
            <v xml:space="preserve">  MUHAMMAD SULEMAN JOB RING</v>
          </cell>
          <cell r="D9758">
            <v>0</v>
          </cell>
          <cell r="E9758">
            <v>0</v>
          </cell>
          <cell r="F9758">
            <v>0</v>
          </cell>
          <cell r="G9758">
            <v>0</v>
          </cell>
        </row>
        <row r="9759">
          <cell r="A9759" t="str">
            <v>57-01-01-2212</v>
          </cell>
          <cell r="B9759">
            <v>0</v>
          </cell>
          <cell r="C9759" t="str">
            <v xml:space="preserve">  GHULAM MURTAZA FITT COM M # 3</v>
          </cell>
          <cell r="D9759">
            <v>0</v>
          </cell>
          <cell r="E9759">
            <v>0</v>
          </cell>
          <cell r="F9759">
            <v>0</v>
          </cell>
          <cell r="G9759">
            <v>0</v>
          </cell>
        </row>
        <row r="9760">
          <cell r="A9760" t="str">
            <v>57-01-01-2213</v>
          </cell>
          <cell r="B9760">
            <v>0</v>
          </cell>
          <cell r="C9760" t="str">
            <v xml:space="preserve">  MUH ISHRAQ A/FITT DOUBLING</v>
          </cell>
          <cell r="D9760">
            <v>0</v>
          </cell>
          <cell r="E9760">
            <v>0</v>
          </cell>
          <cell r="F9760">
            <v>0</v>
          </cell>
          <cell r="G9760">
            <v>0</v>
          </cell>
        </row>
        <row r="9761">
          <cell r="A9761" t="str">
            <v>57-01-01-2214</v>
          </cell>
          <cell r="B9761">
            <v>0</v>
          </cell>
          <cell r="C9761" t="str">
            <v xml:space="preserve">  MUHAMMAD KHALIL 4/S RING</v>
          </cell>
          <cell r="D9761">
            <v>0</v>
          </cell>
          <cell r="E9761">
            <v>0</v>
          </cell>
          <cell r="F9761">
            <v>0</v>
          </cell>
          <cell r="G9761">
            <v>0</v>
          </cell>
        </row>
        <row r="9762">
          <cell r="A9762" t="str">
            <v>57-01-01-2215</v>
          </cell>
          <cell r="B9762">
            <v>0</v>
          </cell>
          <cell r="C9762" t="str">
            <v xml:space="preserve">  JAVAID IQBAL D/F RING # 8</v>
          </cell>
          <cell r="D9762">
            <v>0</v>
          </cell>
          <cell r="E9762">
            <v>0</v>
          </cell>
          <cell r="F9762">
            <v>0</v>
          </cell>
          <cell r="G9762">
            <v>0</v>
          </cell>
        </row>
        <row r="9763">
          <cell r="A9763" t="str">
            <v>57-01-01-2216</v>
          </cell>
          <cell r="B9763">
            <v>0</v>
          </cell>
          <cell r="C9763" t="str">
            <v xml:space="preserve">  IJAZ AHMED 4/S RING 8</v>
          </cell>
          <cell r="D9763">
            <v>0</v>
          </cell>
          <cell r="E9763">
            <v>0</v>
          </cell>
          <cell r="F9763">
            <v>0</v>
          </cell>
          <cell r="G9763">
            <v>0</v>
          </cell>
        </row>
        <row r="9764">
          <cell r="A9764" t="str">
            <v>57-01-01-2217</v>
          </cell>
          <cell r="B9764">
            <v>0</v>
          </cell>
          <cell r="C9764" t="str">
            <v xml:space="preserve">  MAHABT KHAN C.T.COMB MILL # 03</v>
          </cell>
          <cell r="D9764">
            <v>0</v>
          </cell>
          <cell r="E9764">
            <v>0</v>
          </cell>
          <cell r="F9764">
            <v>0</v>
          </cell>
          <cell r="G9764">
            <v>0</v>
          </cell>
        </row>
        <row r="9765">
          <cell r="A9765" t="str">
            <v>57-01-01-2218</v>
          </cell>
          <cell r="B9765">
            <v>0</v>
          </cell>
          <cell r="C9765" t="str">
            <v xml:space="preserve">  WAJID ZAMAN 4/S RING 8</v>
          </cell>
          <cell r="D9765">
            <v>0</v>
          </cell>
          <cell r="E9765">
            <v>0</v>
          </cell>
          <cell r="F9765">
            <v>0</v>
          </cell>
          <cell r="G9765">
            <v>0</v>
          </cell>
        </row>
        <row r="9766">
          <cell r="A9766" t="str">
            <v>57-01-01-2219</v>
          </cell>
          <cell r="B9766">
            <v>0</v>
          </cell>
          <cell r="C9766" t="str">
            <v xml:space="preserve">  AAMIR ABBAS 4/S RING 1</v>
          </cell>
          <cell r="D9766">
            <v>0</v>
          </cell>
          <cell r="E9766">
            <v>0</v>
          </cell>
          <cell r="F9766">
            <v>0</v>
          </cell>
          <cell r="G9766">
            <v>0</v>
          </cell>
        </row>
        <row r="9767">
          <cell r="A9767" t="str">
            <v>57-01-01-2220</v>
          </cell>
          <cell r="B9767">
            <v>0</v>
          </cell>
          <cell r="C9767" t="str">
            <v xml:space="preserve">  AKHTAR MEHMOOD 4/S RING 1</v>
          </cell>
          <cell r="D9767">
            <v>0</v>
          </cell>
          <cell r="E9767">
            <v>0</v>
          </cell>
          <cell r="F9767">
            <v>0</v>
          </cell>
          <cell r="G9767">
            <v>0</v>
          </cell>
        </row>
        <row r="9768">
          <cell r="A9768" t="str">
            <v>57-01-01-2221</v>
          </cell>
          <cell r="B9768">
            <v>0</v>
          </cell>
          <cell r="C9768" t="str">
            <v xml:space="preserve">  ZIA UR REHMAN FITT A/CONE</v>
          </cell>
          <cell r="D9768">
            <v>0</v>
          </cell>
          <cell r="E9768">
            <v>0</v>
          </cell>
          <cell r="F9768">
            <v>0</v>
          </cell>
          <cell r="G9768">
            <v>0</v>
          </cell>
        </row>
        <row r="9769">
          <cell r="A9769" t="str">
            <v>57-01-01-2222</v>
          </cell>
          <cell r="B9769">
            <v>0</v>
          </cell>
          <cell r="C9769" t="str">
            <v xml:space="preserve">  HAMAD HUSSAIN QTY OBS</v>
          </cell>
          <cell r="D9769">
            <v>0</v>
          </cell>
          <cell r="E9769">
            <v>0</v>
          </cell>
          <cell r="F9769">
            <v>0</v>
          </cell>
          <cell r="G9769">
            <v>0</v>
          </cell>
        </row>
        <row r="9770">
          <cell r="A9770" t="str">
            <v>57-01-01-2223</v>
          </cell>
          <cell r="B9770">
            <v>0</v>
          </cell>
          <cell r="C9770" t="str">
            <v xml:space="preserve">  MUH YASIR S.FITT C/SP MILL</v>
          </cell>
          <cell r="D9770">
            <v>0</v>
          </cell>
          <cell r="E9770">
            <v>0</v>
          </cell>
          <cell r="F9770">
            <v>0</v>
          </cell>
          <cell r="G9770">
            <v>0</v>
          </cell>
        </row>
        <row r="9771">
          <cell r="A9771" t="str">
            <v>57-01-01-2224</v>
          </cell>
          <cell r="B9771">
            <v>0</v>
          </cell>
          <cell r="C9771" t="str">
            <v xml:space="preserve">  RABNAWAZ C.T COMB MILL # 3</v>
          </cell>
          <cell r="D9771">
            <v>0</v>
          </cell>
          <cell r="E9771">
            <v>0</v>
          </cell>
          <cell r="F9771">
            <v>0</v>
          </cell>
          <cell r="G9771">
            <v>0</v>
          </cell>
        </row>
        <row r="9772">
          <cell r="A9772" t="str">
            <v>57-01-01-2225</v>
          </cell>
          <cell r="B9772">
            <v>0</v>
          </cell>
          <cell r="C9772" t="str">
            <v xml:space="preserve">  MUH SHABAN 4/S RING 4 MILL # 2</v>
          </cell>
          <cell r="D9772">
            <v>0</v>
          </cell>
          <cell r="E9772">
            <v>0</v>
          </cell>
          <cell r="F9772">
            <v>0</v>
          </cell>
          <cell r="G9772">
            <v>0</v>
          </cell>
        </row>
        <row r="9773">
          <cell r="A9773" t="str">
            <v>57-01-01-2226</v>
          </cell>
          <cell r="B9773">
            <v>0</v>
          </cell>
          <cell r="C9773" t="str">
            <v xml:space="preserve">  HAFIZ QAMAR IJAZ S/F D/S</v>
          </cell>
          <cell r="D9773">
            <v>0</v>
          </cell>
          <cell r="E9773">
            <v>0</v>
          </cell>
          <cell r="F9773">
            <v>0</v>
          </cell>
          <cell r="G9773">
            <v>0</v>
          </cell>
        </row>
        <row r="9774">
          <cell r="A9774" t="str">
            <v>57-01-01-2227</v>
          </cell>
          <cell r="B9774">
            <v>0</v>
          </cell>
          <cell r="C9774" t="str">
            <v xml:space="preserve">  GHULAM ABBAS 4/S RING 1</v>
          </cell>
          <cell r="D9774">
            <v>0</v>
          </cell>
          <cell r="E9774">
            <v>0</v>
          </cell>
          <cell r="F9774">
            <v>0</v>
          </cell>
          <cell r="G9774">
            <v>0</v>
          </cell>
        </row>
        <row r="9775">
          <cell r="A9775" t="str">
            <v>57-01-01-2228</v>
          </cell>
          <cell r="B9775">
            <v>0</v>
          </cell>
          <cell r="C9775" t="str">
            <v xml:space="preserve">  KHALID MEHMOOD 4/S RING</v>
          </cell>
          <cell r="D9775">
            <v>0</v>
          </cell>
          <cell r="E9775">
            <v>0</v>
          </cell>
          <cell r="F9775">
            <v>0</v>
          </cell>
          <cell r="G9775">
            <v>0</v>
          </cell>
        </row>
        <row r="9776">
          <cell r="A9776" t="str">
            <v>57-01-01-2229</v>
          </cell>
          <cell r="B9776">
            <v>0</v>
          </cell>
          <cell r="C9776" t="str">
            <v xml:space="preserve">  MUNTAZIR SHAH S.Q.OBS LAB</v>
          </cell>
          <cell r="D9776">
            <v>0</v>
          </cell>
          <cell r="E9776">
            <v>0</v>
          </cell>
          <cell r="F9776">
            <v>0</v>
          </cell>
          <cell r="G9776">
            <v>0</v>
          </cell>
        </row>
        <row r="9777">
          <cell r="A9777" t="str">
            <v>57-01-01-2230</v>
          </cell>
          <cell r="B9777">
            <v>0</v>
          </cell>
          <cell r="C9777" t="str">
            <v xml:space="preserve">  MUHAMMAD IMRAN 4/S CP MILL</v>
          </cell>
          <cell r="D9777">
            <v>0</v>
          </cell>
          <cell r="E9777">
            <v>0</v>
          </cell>
          <cell r="F9777">
            <v>0</v>
          </cell>
          <cell r="G9777">
            <v>0</v>
          </cell>
        </row>
        <row r="9778">
          <cell r="A9778" t="str">
            <v>57-01-01-2231</v>
          </cell>
          <cell r="B9778">
            <v>0</v>
          </cell>
          <cell r="C9778" t="str">
            <v xml:space="preserve">  ALI ASGHAR D/F RING 8</v>
          </cell>
          <cell r="D9778">
            <v>0</v>
          </cell>
          <cell r="E9778">
            <v>0</v>
          </cell>
          <cell r="F9778">
            <v>0</v>
          </cell>
          <cell r="G9778">
            <v>0</v>
          </cell>
        </row>
        <row r="9779">
          <cell r="A9779" t="str">
            <v>57-01-01-2232</v>
          </cell>
          <cell r="B9779">
            <v>0</v>
          </cell>
          <cell r="C9779" t="str">
            <v xml:space="preserve">  SHARAFAT ALI 4/S C.S.P MILL # 5</v>
          </cell>
          <cell r="D9779">
            <v>0</v>
          </cell>
          <cell r="E9779">
            <v>0</v>
          </cell>
          <cell r="F9779">
            <v>0</v>
          </cell>
          <cell r="G9779">
            <v>0</v>
          </cell>
        </row>
        <row r="9780">
          <cell r="A9780" t="str">
            <v>57-01-01-2233</v>
          </cell>
          <cell r="B9780">
            <v>0</v>
          </cell>
          <cell r="C9780" t="str">
            <v xml:space="preserve">  94079 JAVAID IQBAL 4/S RING 8 MILL #</v>
          </cell>
          <cell r="D9780">
            <v>0</v>
          </cell>
          <cell r="E9780">
            <v>0</v>
          </cell>
          <cell r="F9780">
            <v>0</v>
          </cell>
          <cell r="G9780">
            <v>0</v>
          </cell>
        </row>
        <row r="9781">
          <cell r="A9781" t="str">
            <v>57-01-01-2234</v>
          </cell>
          <cell r="B9781">
            <v>0</v>
          </cell>
          <cell r="C9781" t="str">
            <v xml:space="preserve">  MUHAMMAD SARFRAZ 4/S S.P. MILL</v>
          </cell>
          <cell r="D9781">
            <v>0</v>
          </cell>
          <cell r="E9781">
            <v>0</v>
          </cell>
          <cell r="F9781">
            <v>0</v>
          </cell>
          <cell r="G9781">
            <v>0</v>
          </cell>
        </row>
        <row r="9782">
          <cell r="A9782" t="str">
            <v>57-01-01-2235</v>
          </cell>
          <cell r="B9782">
            <v>0</v>
          </cell>
          <cell r="C9782" t="str">
            <v xml:space="preserve">  SPIN KHAN D/F RING 6</v>
          </cell>
          <cell r="D9782">
            <v>0</v>
          </cell>
          <cell r="E9782">
            <v>0</v>
          </cell>
          <cell r="F9782">
            <v>0</v>
          </cell>
          <cell r="G9782">
            <v>0</v>
          </cell>
        </row>
        <row r="9783">
          <cell r="A9783" t="str">
            <v>57-01-01-2237</v>
          </cell>
          <cell r="B9783">
            <v>0</v>
          </cell>
          <cell r="C9783" t="str">
            <v xml:space="preserve">  IMTIAZ AHMAD 4/S RING 1</v>
          </cell>
          <cell r="D9783">
            <v>0</v>
          </cell>
          <cell r="E9783">
            <v>0</v>
          </cell>
          <cell r="F9783">
            <v>0</v>
          </cell>
          <cell r="G9783">
            <v>0</v>
          </cell>
        </row>
        <row r="9784">
          <cell r="A9784" t="str">
            <v>57-01-01-2238</v>
          </cell>
          <cell r="B9784">
            <v>0</v>
          </cell>
          <cell r="C9784" t="str">
            <v xml:space="preserve">  MOHD IHSAN OPT AUTO CONE MILL</v>
          </cell>
          <cell r="D9784">
            <v>0</v>
          </cell>
          <cell r="E9784">
            <v>0</v>
          </cell>
          <cell r="F9784">
            <v>0</v>
          </cell>
          <cell r="G9784">
            <v>0</v>
          </cell>
        </row>
        <row r="9785">
          <cell r="A9785" t="str">
            <v>57-01-01-2239</v>
          </cell>
          <cell r="B9785">
            <v>0</v>
          </cell>
          <cell r="C9785" t="str">
            <v xml:space="preserve">  89584 GHULAM BASHIR D/F RING 8 MILL #</v>
          </cell>
          <cell r="D9785">
            <v>0</v>
          </cell>
          <cell r="E9785">
            <v>0</v>
          </cell>
          <cell r="F9785">
            <v>0</v>
          </cell>
          <cell r="G9785">
            <v>0</v>
          </cell>
        </row>
        <row r="9786">
          <cell r="A9786" t="str">
            <v>57-01-01-2240</v>
          </cell>
          <cell r="B9786">
            <v>0</v>
          </cell>
          <cell r="C9786" t="str">
            <v xml:space="preserve">  QAISAR MEHMOOD 4/S RING</v>
          </cell>
          <cell r="D9786">
            <v>0</v>
          </cell>
          <cell r="E9786">
            <v>0</v>
          </cell>
          <cell r="F9786">
            <v>0</v>
          </cell>
          <cell r="G9786">
            <v>0</v>
          </cell>
        </row>
        <row r="9787">
          <cell r="A9787" t="str">
            <v>57-01-01-2241</v>
          </cell>
          <cell r="B9787">
            <v>0</v>
          </cell>
          <cell r="C9787" t="str">
            <v xml:space="preserve">  YASIR FAROOQ A/FITT C/SP MILL</v>
          </cell>
          <cell r="D9787">
            <v>0</v>
          </cell>
          <cell r="E9787">
            <v>0</v>
          </cell>
          <cell r="F9787">
            <v>0</v>
          </cell>
          <cell r="G9787">
            <v>0</v>
          </cell>
        </row>
        <row r="9788">
          <cell r="A9788" t="str">
            <v>57-01-01-2242</v>
          </cell>
          <cell r="B9788">
            <v>0</v>
          </cell>
          <cell r="C9788" t="str">
            <v xml:space="preserve">  MOHD KASHIF S.FITT RING 8</v>
          </cell>
          <cell r="D9788">
            <v>0</v>
          </cell>
          <cell r="E9788">
            <v>0</v>
          </cell>
          <cell r="F9788">
            <v>0</v>
          </cell>
          <cell r="G9788">
            <v>0</v>
          </cell>
        </row>
        <row r="9789">
          <cell r="A9789" t="str">
            <v>57-01-01-2243</v>
          </cell>
          <cell r="B9789">
            <v>0</v>
          </cell>
          <cell r="C9789" t="str">
            <v xml:space="preserve">   73715 TASAWAR IQBAL L/OPT C/SP MILL</v>
          </cell>
          <cell r="D9789">
            <v>0</v>
          </cell>
          <cell r="E9789">
            <v>0</v>
          </cell>
          <cell r="F9789">
            <v>0</v>
          </cell>
          <cell r="G9789">
            <v>0</v>
          </cell>
        </row>
        <row r="9790">
          <cell r="A9790" t="str">
            <v>57-01-01-2244</v>
          </cell>
          <cell r="B9790">
            <v>0</v>
          </cell>
          <cell r="C9790" t="str">
            <v xml:space="preserve">  78399 MUNAWAR IQBAL 4/S C/SP MILL # 5</v>
          </cell>
          <cell r="D9790">
            <v>0</v>
          </cell>
          <cell r="E9790">
            <v>0</v>
          </cell>
          <cell r="F9790">
            <v>0</v>
          </cell>
          <cell r="G9790">
            <v>0</v>
          </cell>
        </row>
        <row r="9791">
          <cell r="A9791" t="str">
            <v>57-01-01-2245</v>
          </cell>
          <cell r="B9791">
            <v>0</v>
          </cell>
          <cell r="C9791" t="str">
            <v xml:space="preserve">  94915 MOHD WASIM HELP RING 4 MILL # 4</v>
          </cell>
          <cell r="D9791">
            <v>0</v>
          </cell>
          <cell r="E9791">
            <v>0</v>
          </cell>
          <cell r="F9791">
            <v>0</v>
          </cell>
          <cell r="G9791">
            <v>0</v>
          </cell>
        </row>
        <row r="9792">
          <cell r="A9792" t="str">
            <v>57-01-01-2246</v>
          </cell>
          <cell r="B9792">
            <v>0</v>
          </cell>
          <cell r="C9792" t="str">
            <v xml:space="preserve">  92449 MOH ARIF JOB RING 3 MILL # 2</v>
          </cell>
          <cell r="D9792">
            <v>0</v>
          </cell>
          <cell r="E9792">
            <v>0</v>
          </cell>
          <cell r="F9792">
            <v>0</v>
          </cell>
          <cell r="G9792">
            <v>0</v>
          </cell>
        </row>
        <row r="9793">
          <cell r="A9793" t="str">
            <v>57-01-01-2247</v>
          </cell>
          <cell r="B9793">
            <v>0</v>
          </cell>
          <cell r="C9793" t="str">
            <v xml:space="preserve">  MUNIR HUSSAIN 4/S RING 1</v>
          </cell>
          <cell r="D9793">
            <v>0</v>
          </cell>
          <cell r="E9793">
            <v>0</v>
          </cell>
          <cell r="F9793">
            <v>0</v>
          </cell>
          <cell r="G9793">
            <v>0</v>
          </cell>
        </row>
        <row r="9794">
          <cell r="A9794" t="str">
            <v>57-01-01-2248</v>
          </cell>
          <cell r="B9794">
            <v>0</v>
          </cell>
          <cell r="C9794" t="str">
            <v xml:space="preserve">  AMJAD IQBAL D/F A/CONE</v>
          </cell>
          <cell r="D9794">
            <v>0</v>
          </cell>
          <cell r="E9794">
            <v>0</v>
          </cell>
          <cell r="F9794">
            <v>0</v>
          </cell>
          <cell r="G9794">
            <v>0</v>
          </cell>
        </row>
        <row r="9795">
          <cell r="A9795" t="str">
            <v>57-01-01-2249</v>
          </cell>
          <cell r="B9795">
            <v>0</v>
          </cell>
          <cell r="C9795" t="str">
            <v xml:space="preserve">  SABIR HUSSAIN OPT A/CONE</v>
          </cell>
          <cell r="D9795">
            <v>0</v>
          </cell>
          <cell r="E9795">
            <v>0</v>
          </cell>
          <cell r="F9795">
            <v>0</v>
          </cell>
          <cell r="G9795">
            <v>0</v>
          </cell>
        </row>
        <row r="9796">
          <cell r="A9796" t="str">
            <v>57-01-01-2250</v>
          </cell>
          <cell r="B9796">
            <v>0</v>
          </cell>
          <cell r="C9796" t="str">
            <v xml:space="preserve">  HAQ NAWAZ 4/S RING 7</v>
          </cell>
          <cell r="D9796">
            <v>0</v>
          </cell>
          <cell r="E9796">
            <v>0</v>
          </cell>
          <cell r="F9796">
            <v>0</v>
          </cell>
          <cell r="G9796">
            <v>0</v>
          </cell>
        </row>
        <row r="9797">
          <cell r="A9797" t="str">
            <v>57-01-01-2251</v>
          </cell>
          <cell r="B9797">
            <v>0</v>
          </cell>
          <cell r="C9797" t="str">
            <v xml:space="preserve">  MUHAMMAD ASHRAF MIX INCHARGE M</v>
          </cell>
          <cell r="D9797">
            <v>0</v>
          </cell>
          <cell r="E9797">
            <v>0</v>
          </cell>
          <cell r="F9797">
            <v>0</v>
          </cell>
          <cell r="G9797">
            <v>0</v>
          </cell>
        </row>
        <row r="9798">
          <cell r="A9798" t="str">
            <v>57-01-01-2252</v>
          </cell>
          <cell r="B9798">
            <v>0</v>
          </cell>
          <cell r="C9798" t="str">
            <v xml:space="preserve">  MUHAMMAD RAFIQ 4/S RING # 4</v>
          </cell>
          <cell r="D9798">
            <v>0</v>
          </cell>
          <cell r="E9798">
            <v>0</v>
          </cell>
          <cell r="F9798">
            <v>0</v>
          </cell>
          <cell r="G9798">
            <v>0</v>
          </cell>
        </row>
        <row r="9799">
          <cell r="A9799" t="str">
            <v>57-01-01-2253</v>
          </cell>
          <cell r="B9799">
            <v>0</v>
          </cell>
          <cell r="C9799" t="str">
            <v xml:space="preserve">  MUHAMMAD RAFIQ 4/S RING # 4</v>
          </cell>
          <cell r="D9799">
            <v>0</v>
          </cell>
          <cell r="E9799">
            <v>0</v>
          </cell>
          <cell r="F9799">
            <v>0</v>
          </cell>
          <cell r="G9799">
            <v>0</v>
          </cell>
        </row>
        <row r="9800">
          <cell r="A9800" t="str">
            <v>57-01-01-2254</v>
          </cell>
          <cell r="B9800">
            <v>0</v>
          </cell>
          <cell r="C9800" t="str">
            <v xml:space="preserve">  SHAHZAD HUSSAIN DDT</v>
          </cell>
          <cell r="D9800">
            <v>0</v>
          </cell>
          <cell r="E9800">
            <v>0</v>
          </cell>
          <cell r="F9800">
            <v>0</v>
          </cell>
          <cell r="G9800">
            <v>0</v>
          </cell>
        </row>
        <row r="9801">
          <cell r="A9801" t="str">
            <v>57-01-01-2255</v>
          </cell>
          <cell r="B9801">
            <v>0</v>
          </cell>
          <cell r="C9801" t="str">
            <v xml:space="preserve">  MUHAMMAD KASHIF OPT SHIFT</v>
          </cell>
          <cell r="D9801">
            <v>0</v>
          </cell>
          <cell r="E9801">
            <v>0</v>
          </cell>
          <cell r="F9801">
            <v>0</v>
          </cell>
          <cell r="G9801">
            <v>0</v>
          </cell>
        </row>
        <row r="9802">
          <cell r="A9802" t="str">
            <v>57-01-01-2256</v>
          </cell>
          <cell r="B9802">
            <v>0</v>
          </cell>
          <cell r="C9802" t="str">
            <v xml:space="preserve">  MUHAMMAD RIAZ D/F B/ROOM</v>
          </cell>
          <cell r="D9802">
            <v>0</v>
          </cell>
          <cell r="E9802">
            <v>0</v>
          </cell>
          <cell r="F9802">
            <v>0</v>
          </cell>
          <cell r="G9802">
            <v>0</v>
          </cell>
        </row>
        <row r="9803">
          <cell r="A9803" t="str">
            <v>57-01-01-2257</v>
          </cell>
          <cell r="B9803">
            <v>0</v>
          </cell>
          <cell r="C9803" t="str">
            <v xml:space="preserve">  ALTAF HUSSAIN 4/S C COMP</v>
          </cell>
          <cell r="D9803">
            <v>0</v>
          </cell>
          <cell r="E9803">
            <v>0</v>
          </cell>
          <cell r="F9803">
            <v>0</v>
          </cell>
          <cell r="G9803">
            <v>0</v>
          </cell>
        </row>
        <row r="9804">
          <cell r="A9804" t="str">
            <v>57-01-01-2258</v>
          </cell>
          <cell r="B9804">
            <v>0</v>
          </cell>
          <cell r="C9804" t="str">
            <v xml:space="preserve">  AMAN ULLAH D/SIMP</v>
          </cell>
          <cell r="D9804">
            <v>0</v>
          </cell>
          <cell r="E9804">
            <v>0</v>
          </cell>
          <cell r="F9804">
            <v>0</v>
          </cell>
          <cell r="G9804">
            <v>0</v>
          </cell>
        </row>
        <row r="9805">
          <cell r="A9805" t="str">
            <v>57-01-01-2259</v>
          </cell>
          <cell r="B9805">
            <v>0</v>
          </cell>
          <cell r="C9805" t="str">
            <v xml:space="preserve">  MUHAMMAD ARSHAD 4/S MILL # 3</v>
          </cell>
          <cell r="D9805">
            <v>0</v>
          </cell>
          <cell r="E9805">
            <v>0</v>
          </cell>
          <cell r="F9805">
            <v>0</v>
          </cell>
          <cell r="G9805">
            <v>0</v>
          </cell>
        </row>
        <row r="9806">
          <cell r="A9806" t="str">
            <v>57-01-01-2260</v>
          </cell>
          <cell r="B9806">
            <v>0</v>
          </cell>
          <cell r="C9806" t="str">
            <v xml:space="preserve">  IMRAN HELPER RING M-4</v>
          </cell>
          <cell r="D9806">
            <v>0</v>
          </cell>
          <cell r="E9806">
            <v>0</v>
          </cell>
          <cell r="F9806">
            <v>0</v>
          </cell>
          <cell r="G9806">
            <v>0</v>
          </cell>
        </row>
        <row r="9807">
          <cell r="A9807" t="str">
            <v>57-01-01-2261</v>
          </cell>
          <cell r="B9807">
            <v>0</v>
          </cell>
          <cell r="C9807" t="str">
            <v xml:space="preserve">  WAJID ALI 4/S RING 8</v>
          </cell>
          <cell r="D9807">
            <v>0</v>
          </cell>
          <cell r="E9807">
            <v>0</v>
          </cell>
          <cell r="F9807">
            <v>0</v>
          </cell>
          <cell r="G9807">
            <v>0</v>
          </cell>
        </row>
        <row r="9808">
          <cell r="A9808" t="str">
            <v>57-01-01-2262</v>
          </cell>
          <cell r="B9808">
            <v>0</v>
          </cell>
          <cell r="C9808" t="str">
            <v xml:space="preserve">  GHAFFAR AHMED 4/S RING 1</v>
          </cell>
          <cell r="D9808">
            <v>0</v>
          </cell>
          <cell r="E9808">
            <v>0</v>
          </cell>
          <cell r="F9808">
            <v>0</v>
          </cell>
          <cell r="G9808">
            <v>0</v>
          </cell>
        </row>
        <row r="9809">
          <cell r="A9809" t="str">
            <v>57-01-01-2263</v>
          </cell>
          <cell r="B9809">
            <v>0</v>
          </cell>
          <cell r="C9809" t="str">
            <v xml:space="preserve">  IFTIKHAR UL HASSAN HELPER</v>
          </cell>
          <cell r="D9809">
            <v>0</v>
          </cell>
          <cell r="E9809">
            <v>0</v>
          </cell>
          <cell r="F9809">
            <v>0</v>
          </cell>
          <cell r="G9809">
            <v>0</v>
          </cell>
        </row>
        <row r="9810">
          <cell r="A9810" t="str">
            <v>57-01-01-2264</v>
          </cell>
          <cell r="B9810">
            <v>0</v>
          </cell>
          <cell r="C9810" t="str">
            <v xml:space="preserve">  NAZIR HUSSAIN 4/S RING 7</v>
          </cell>
          <cell r="D9810">
            <v>0</v>
          </cell>
          <cell r="E9810">
            <v>0</v>
          </cell>
          <cell r="F9810">
            <v>0</v>
          </cell>
          <cell r="G9810">
            <v>0</v>
          </cell>
        </row>
        <row r="9811">
          <cell r="A9811" t="str">
            <v>57-01-01-2265</v>
          </cell>
          <cell r="B9811">
            <v>0</v>
          </cell>
          <cell r="C9811" t="str">
            <v xml:space="preserve">  MUHAMMAD ASGHAR DESPATCH INCHARGE.</v>
          </cell>
          <cell r="D9811">
            <v>0</v>
          </cell>
          <cell r="E9811">
            <v>0</v>
          </cell>
          <cell r="F9811">
            <v>0</v>
          </cell>
          <cell r="G9811">
            <v>0</v>
          </cell>
        </row>
        <row r="9812">
          <cell r="A9812" t="str">
            <v>57-01-01-2266</v>
          </cell>
          <cell r="B9812">
            <v>0</v>
          </cell>
          <cell r="C9812" t="str">
            <v xml:space="preserve">  AFZAL RAZA DDT D/S MILL # 1</v>
          </cell>
          <cell r="D9812">
            <v>0</v>
          </cell>
          <cell r="E9812">
            <v>0</v>
          </cell>
          <cell r="F9812">
            <v>0</v>
          </cell>
          <cell r="G9812">
            <v>0</v>
          </cell>
        </row>
        <row r="9813">
          <cell r="A9813" t="str">
            <v>57-01-01-2267</v>
          </cell>
          <cell r="B9813">
            <v>0</v>
          </cell>
          <cell r="C9813" t="str">
            <v xml:space="preserve">  JAVED ZIA MANAGER INTERNAL AUDIT.</v>
          </cell>
          <cell r="D9813">
            <v>0</v>
          </cell>
          <cell r="E9813">
            <v>18000</v>
          </cell>
          <cell r="F9813">
            <v>0</v>
          </cell>
          <cell r="G9813">
            <v>0</v>
          </cell>
        </row>
        <row r="9814">
          <cell r="A9814" t="str">
            <v>57-01-01-2268</v>
          </cell>
          <cell r="B9814">
            <v>0</v>
          </cell>
          <cell r="C9814" t="str">
            <v xml:space="preserve">  SHAFIQUE UR REHMAN (PRC ADMN.)</v>
          </cell>
          <cell r="D9814">
            <v>0</v>
          </cell>
          <cell r="E9814">
            <v>0</v>
          </cell>
          <cell r="F9814">
            <v>0</v>
          </cell>
          <cell r="G9814">
            <v>0</v>
          </cell>
        </row>
        <row r="9815">
          <cell r="A9815" t="str">
            <v>57-01-01-2269</v>
          </cell>
          <cell r="B9815">
            <v>0</v>
          </cell>
          <cell r="C9815" t="str">
            <v xml:space="preserve">  MUHAMMAD JEHANGIR S.FITT RING</v>
          </cell>
          <cell r="D9815">
            <v>0</v>
          </cell>
          <cell r="E9815">
            <v>0</v>
          </cell>
          <cell r="F9815">
            <v>0</v>
          </cell>
          <cell r="G9815">
            <v>0</v>
          </cell>
        </row>
        <row r="9816">
          <cell r="A9816" t="str">
            <v>57-01-01-2270</v>
          </cell>
          <cell r="B9816">
            <v>0</v>
          </cell>
          <cell r="C9816" t="str">
            <v xml:space="preserve">  EHTESHAM NAWAZ L/CLERK</v>
          </cell>
          <cell r="D9816">
            <v>0</v>
          </cell>
          <cell r="E9816">
            <v>0</v>
          </cell>
          <cell r="F9816">
            <v>0</v>
          </cell>
          <cell r="G9816">
            <v>0</v>
          </cell>
        </row>
        <row r="9817">
          <cell r="A9817" t="str">
            <v>57-01-01-2271</v>
          </cell>
          <cell r="B9817">
            <v>0</v>
          </cell>
          <cell r="C9817" t="str">
            <v xml:space="preserve">  GHULAM SARWAR JOB RING M # 4</v>
          </cell>
          <cell r="D9817">
            <v>0</v>
          </cell>
          <cell r="E9817">
            <v>0</v>
          </cell>
          <cell r="F9817">
            <v>0</v>
          </cell>
          <cell r="G9817">
            <v>0</v>
          </cell>
        </row>
        <row r="9818">
          <cell r="A9818" t="str">
            <v>57-01-01-2272</v>
          </cell>
          <cell r="B9818">
            <v>0</v>
          </cell>
          <cell r="C9818" t="str">
            <v xml:space="preserve">  SHAUKAT ALI FITT RING</v>
          </cell>
          <cell r="D9818">
            <v>0</v>
          </cell>
          <cell r="E9818">
            <v>0</v>
          </cell>
          <cell r="F9818">
            <v>0</v>
          </cell>
          <cell r="G9818">
            <v>0</v>
          </cell>
        </row>
        <row r="9819">
          <cell r="A9819" t="str">
            <v>57-01-01-2273</v>
          </cell>
          <cell r="B9819">
            <v>0</v>
          </cell>
          <cell r="C9819" t="str">
            <v xml:space="preserve">  RAB NAWAZ SUP CARD MILL # 1</v>
          </cell>
          <cell r="D9819">
            <v>0</v>
          </cell>
          <cell r="E9819">
            <v>0</v>
          </cell>
          <cell r="F9819">
            <v>0</v>
          </cell>
          <cell r="G9819">
            <v>0</v>
          </cell>
        </row>
        <row r="9820">
          <cell r="A9820" t="str">
            <v>57-01-01-2274</v>
          </cell>
          <cell r="B9820">
            <v>0</v>
          </cell>
          <cell r="C9820" t="str">
            <v xml:space="preserve">  GHULAM MUHD 4/S RING 5</v>
          </cell>
          <cell r="D9820">
            <v>0</v>
          </cell>
          <cell r="E9820">
            <v>0</v>
          </cell>
          <cell r="F9820">
            <v>0</v>
          </cell>
          <cell r="G9820">
            <v>0</v>
          </cell>
        </row>
        <row r="9821">
          <cell r="A9821" t="str">
            <v>57-01-01-2275</v>
          </cell>
          <cell r="B9821">
            <v>0</v>
          </cell>
          <cell r="C9821" t="str">
            <v xml:space="preserve">  ANWAR HUSSAIN S.FITT CARD</v>
          </cell>
          <cell r="D9821">
            <v>0</v>
          </cell>
          <cell r="E9821">
            <v>0</v>
          </cell>
          <cell r="F9821">
            <v>0</v>
          </cell>
          <cell r="G9821">
            <v>0</v>
          </cell>
        </row>
        <row r="9822">
          <cell r="A9822" t="str">
            <v>57-01-01-2276</v>
          </cell>
          <cell r="B9822">
            <v>0</v>
          </cell>
          <cell r="C9822" t="str">
            <v xml:space="preserve">  ALI SABIR COMPUTER OPT LAB</v>
          </cell>
          <cell r="D9822">
            <v>0</v>
          </cell>
          <cell r="E9822">
            <v>0</v>
          </cell>
          <cell r="F9822">
            <v>0</v>
          </cell>
          <cell r="G9822">
            <v>0</v>
          </cell>
        </row>
        <row r="9823">
          <cell r="A9823" t="str">
            <v>57-01-01-2277</v>
          </cell>
          <cell r="B9823">
            <v>0</v>
          </cell>
          <cell r="C9823" t="str">
            <v xml:space="preserve">  KASHIF NAZIR FITT RING 2 MILL</v>
          </cell>
          <cell r="D9823">
            <v>0</v>
          </cell>
          <cell r="E9823">
            <v>0</v>
          </cell>
          <cell r="F9823">
            <v>0</v>
          </cell>
          <cell r="G9823">
            <v>0</v>
          </cell>
        </row>
        <row r="9824">
          <cell r="A9824" t="str">
            <v>57-01-01-2278</v>
          </cell>
          <cell r="B9824">
            <v>0</v>
          </cell>
          <cell r="C9824" t="str">
            <v xml:space="preserve">  NASIR MEHMOOD RING 4</v>
          </cell>
          <cell r="D9824">
            <v>0</v>
          </cell>
          <cell r="E9824">
            <v>0</v>
          </cell>
          <cell r="F9824">
            <v>0</v>
          </cell>
          <cell r="G9824">
            <v>0</v>
          </cell>
        </row>
        <row r="9825">
          <cell r="A9825" t="str">
            <v>57-01-01-2279</v>
          </cell>
          <cell r="B9825">
            <v>0</v>
          </cell>
          <cell r="C9825" t="str">
            <v xml:space="preserve">  RIAZ HUSSAIN C.T CARD MILL #</v>
          </cell>
          <cell r="D9825">
            <v>0</v>
          </cell>
          <cell r="E9825">
            <v>0</v>
          </cell>
          <cell r="F9825">
            <v>0</v>
          </cell>
          <cell r="G9825">
            <v>0</v>
          </cell>
        </row>
        <row r="9826">
          <cell r="A9826" t="str">
            <v>57-01-01-2280</v>
          </cell>
          <cell r="B9826">
            <v>0</v>
          </cell>
          <cell r="C9826" t="str">
            <v xml:space="preserve">  SAFDAR HUSSAIN FITT CARD M # 4</v>
          </cell>
          <cell r="D9826">
            <v>0</v>
          </cell>
          <cell r="E9826">
            <v>0</v>
          </cell>
          <cell r="F9826">
            <v>0</v>
          </cell>
          <cell r="G9826">
            <v>0</v>
          </cell>
        </row>
        <row r="9827">
          <cell r="A9827" t="str">
            <v>57-01-01-2281</v>
          </cell>
          <cell r="B9827">
            <v>0</v>
          </cell>
          <cell r="C9827" t="str">
            <v xml:space="preserve">  ABDUL HAMEED HELPER A/CONE</v>
          </cell>
          <cell r="D9827">
            <v>0</v>
          </cell>
          <cell r="E9827">
            <v>0</v>
          </cell>
          <cell r="F9827">
            <v>0</v>
          </cell>
          <cell r="G9827">
            <v>0</v>
          </cell>
        </row>
        <row r="9828">
          <cell r="A9828" t="str">
            <v>57-01-01-2283</v>
          </cell>
          <cell r="B9828">
            <v>0</v>
          </cell>
          <cell r="C9828" t="str">
            <v xml:space="preserve">  SAJJAD HUSSAIN OPT A/CONE MILL</v>
          </cell>
          <cell r="D9828">
            <v>0</v>
          </cell>
          <cell r="E9828">
            <v>0</v>
          </cell>
          <cell r="F9828">
            <v>0</v>
          </cell>
          <cell r="G9828">
            <v>0</v>
          </cell>
        </row>
        <row r="9829">
          <cell r="A9829" t="str">
            <v>57-01-01-2284</v>
          </cell>
          <cell r="B9829">
            <v>0</v>
          </cell>
          <cell r="C9829" t="str">
            <v xml:space="preserve">  MEMRAIZ KHAN L/OPT RING</v>
          </cell>
          <cell r="D9829">
            <v>0</v>
          </cell>
          <cell r="E9829">
            <v>0</v>
          </cell>
          <cell r="F9829">
            <v>0</v>
          </cell>
          <cell r="G9829">
            <v>0</v>
          </cell>
        </row>
        <row r="9830">
          <cell r="A9830" t="str">
            <v>57-01-01-2285</v>
          </cell>
          <cell r="B9830">
            <v>0</v>
          </cell>
          <cell r="C9830" t="str">
            <v xml:space="preserve">  JAAFAR ABBAS D/F B/ROOM M # 3</v>
          </cell>
          <cell r="D9830">
            <v>0</v>
          </cell>
          <cell r="E9830">
            <v>0</v>
          </cell>
          <cell r="F9830">
            <v>0</v>
          </cell>
          <cell r="G9830">
            <v>0</v>
          </cell>
        </row>
        <row r="9831">
          <cell r="A9831" t="str">
            <v>57-01-01-2286</v>
          </cell>
          <cell r="B9831">
            <v>0</v>
          </cell>
          <cell r="C9831" t="str">
            <v xml:space="preserve">  MUH AMJAD D.ST D/S MILL</v>
          </cell>
          <cell r="D9831">
            <v>0</v>
          </cell>
          <cell r="E9831">
            <v>0</v>
          </cell>
          <cell r="F9831">
            <v>0</v>
          </cell>
          <cell r="G9831">
            <v>0</v>
          </cell>
        </row>
        <row r="9832">
          <cell r="A9832" t="str">
            <v>57-01-01-2287</v>
          </cell>
          <cell r="B9832">
            <v>0</v>
          </cell>
          <cell r="C9832" t="str">
            <v xml:space="preserve">  ABDUL SATTAR TAPE MAN</v>
          </cell>
          <cell r="D9832">
            <v>0</v>
          </cell>
          <cell r="E9832">
            <v>0</v>
          </cell>
          <cell r="F9832">
            <v>0</v>
          </cell>
          <cell r="G9832">
            <v>0</v>
          </cell>
        </row>
        <row r="9833">
          <cell r="A9833" t="str">
            <v>57-01-01-2288</v>
          </cell>
          <cell r="B9833">
            <v>0</v>
          </cell>
          <cell r="C9833" t="str">
            <v xml:space="preserve">  QAISAR ABBAS A/CONE OPT M # 4</v>
          </cell>
          <cell r="D9833">
            <v>0</v>
          </cell>
          <cell r="E9833">
            <v>0</v>
          </cell>
          <cell r="F9833">
            <v>0</v>
          </cell>
          <cell r="G9833">
            <v>0</v>
          </cell>
        </row>
        <row r="9834">
          <cell r="A9834" t="str">
            <v>57-01-01-2289</v>
          </cell>
          <cell r="B9834">
            <v>0</v>
          </cell>
          <cell r="C9834" t="str">
            <v xml:space="preserve">  ZAHOOR HUSSAIN 4/S RING 8</v>
          </cell>
          <cell r="D9834">
            <v>0</v>
          </cell>
          <cell r="E9834">
            <v>0</v>
          </cell>
          <cell r="F9834">
            <v>0</v>
          </cell>
          <cell r="G9834">
            <v>0</v>
          </cell>
        </row>
        <row r="9835">
          <cell r="A9835" t="str">
            <v>57-01-01-2290</v>
          </cell>
          <cell r="B9835">
            <v>0</v>
          </cell>
          <cell r="C9835" t="str">
            <v xml:space="preserve">  BADAR MUNIR D/F RING 8 MILL # 4</v>
          </cell>
          <cell r="D9835">
            <v>0</v>
          </cell>
          <cell r="E9835">
            <v>0</v>
          </cell>
          <cell r="F9835">
            <v>0</v>
          </cell>
          <cell r="G9835">
            <v>0</v>
          </cell>
        </row>
        <row r="9836">
          <cell r="A9836" t="str">
            <v>57-01-01-2292</v>
          </cell>
          <cell r="B9836">
            <v>0</v>
          </cell>
          <cell r="C9836" t="str">
            <v xml:space="preserve">  ABDUL RAZAQ 4/S RING 1</v>
          </cell>
          <cell r="D9836">
            <v>0</v>
          </cell>
          <cell r="E9836">
            <v>0</v>
          </cell>
          <cell r="F9836">
            <v>0</v>
          </cell>
          <cell r="G9836">
            <v>0</v>
          </cell>
        </row>
        <row r="9837">
          <cell r="A9837" t="str">
            <v>57-01-01-2293</v>
          </cell>
          <cell r="B9837">
            <v>0</v>
          </cell>
          <cell r="C9837" t="str">
            <v xml:space="preserve">  MUH SAEED OPT A/CONE MILL # 2</v>
          </cell>
          <cell r="D9837">
            <v>0</v>
          </cell>
          <cell r="E9837">
            <v>0</v>
          </cell>
          <cell r="F9837">
            <v>0</v>
          </cell>
          <cell r="G9837">
            <v>0</v>
          </cell>
        </row>
        <row r="9838">
          <cell r="A9838" t="str">
            <v>57-01-01-2294</v>
          </cell>
          <cell r="B9838">
            <v>0</v>
          </cell>
          <cell r="C9838" t="str">
            <v xml:space="preserve">  IMTIAZ AHMED 4/S RING 1</v>
          </cell>
          <cell r="D9838">
            <v>0</v>
          </cell>
          <cell r="E9838">
            <v>0</v>
          </cell>
          <cell r="F9838">
            <v>0</v>
          </cell>
          <cell r="G9838">
            <v>0</v>
          </cell>
        </row>
        <row r="9839">
          <cell r="A9839" t="str">
            <v>57-01-01-2295</v>
          </cell>
          <cell r="B9839">
            <v>0</v>
          </cell>
          <cell r="C9839" t="str">
            <v xml:space="preserve">  MUHAMMAD ARIF 4/S RING 8</v>
          </cell>
          <cell r="D9839">
            <v>0</v>
          </cell>
          <cell r="E9839">
            <v>0</v>
          </cell>
          <cell r="F9839">
            <v>0</v>
          </cell>
          <cell r="G9839">
            <v>0</v>
          </cell>
        </row>
        <row r="9840">
          <cell r="A9840" t="str">
            <v>57-01-01-2296</v>
          </cell>
          <cell r="B9840">
            <v>0</v>
          </cell>
          <cell r="C9840" t="str">
            <v xml:space="preserve">  MUHARSHAD OPT A/CONE M # 2</v>
          </cell>
          <cell r="D9840">
            <v>0</v>
          </cell>
          <cell r="E9840">
            <v>0</v>
          </cell>
          <cell r="F9840">
            <v>0</v>
          </cell>
          <cell r="G9840">
            <v>0</v>
          </cell>
        </row>
        <row r="9841">
          <cell r="A9841" t="str">
            <v>57-01-01-2297</v>
          </cell>
          <cell r="B9841">
            <v>0</v>
          </cell>
          <cell r="C9841" t="str">
            <v xml:space="preserve">  MUH BASHIR OPT A/CONE MILL # 1</v>
          </cell>
          <cell r="D9841">
            <v>0</v>
          </cell>
          <cell r="E9841">
            <v>0</v>
          </cell>
          <cell r="F9841">
            <v>0</v>
          </cell>
          <cell r="G9841">
            <v>0</v>
          </cell>
        </row>
        <row r="9842">
          <cell r="A9842" t="str">
            <v>57-01-01-2298</v>
          </cell>
          <cell r="B9842">
            <v>0</v>
          </cell>
          <cell r="C9842" t="str">
            <v xml:space="preserve">  SAFDAR SHIFT INC RING MILL # 3</v>
          </cell>
          <cell r="D9842">
            <v>0</v>
          </cell>
          <cell r="E9842">
            <v>0</v>
          </cell>
          <cell r="F9842">
            <v>0</v>
          </cell>
          <cell r="G9842">
            <v>0</v>
          </cell>
        </row>
        <row r="9843">
          <cell r="A9843" t="str">
            <v>57-01-01-2299</v>
          </cell>
          <cell r="B9843">
            <v>0</v>
          </cell>
          <cell r="C9843" t="str">
            <v xml:space="preserve">  BABOZAY 4/S RING 6</v>
          </cell>
          <cell r="D9843">
            <v>0</v>
          </cell>
          <cell r="E9843">
            <v>0</v>
          </cell>
          <cell r="F9843">
            <v>0</v>
          </cell>
          <cell r="G9843">
            <v>0</v>
          </cell>
        </row>
        <row r="9844">
          <cell r="A9844" t="str">
            <v>57-01-01-2300</v>
          </cell>
          <cell r="B9844">
            <v>0</v>
          </cell>
          <cell r="C9844" t="str">
            <v xml:space="preserve">  TARIQ SAJJAD HELP RING 2</v>
          </cell>
          <cell r="D9844">
            <v>0</v>
          </cell>
          <cell r="E9844">
            <v>0</v>
          </cell>
          <cell r="F9844">
            <v>0</v>
          </cell>
          <cell r="G9844">
            <v>0</v>
          </cell>
        </row>
        <row r="9845">
          <cell r="A9845" t="str">
            <v>57-01-01-2301</v>
          </cell>
          <cell r="B9845">
            <v>0</v>
          </cell>
          <cell r="C9845" t="str">
            <v xml:space="preserve">  ZAHOOR AHMED HELP RING 6</v>
          </cell>
          <cell r="D9845">
            <v>0</v>
          </cell>
          <cell r="E9845">
            <v>0</v>
          </cell>
          <cell r="F9845">
            <v>0</v>
          </cell>
          <cell r="G9845">
            <v>0</v>
          </cell>
        </row>
        <row r="9846">
          <cell r="A9846" t="str">
            <v>57-01-01-2302</v>
          </cell>
          <cell r="B9846">
            <v>0</v>
          </cell>
          <cell r="C9846" t="str">
            <v xml:space="preserve">  KHALIL AHMED 4/S RING 2</v>
          </cell>
          <cell r="D9846">
            <v>0</v>
          </cell>
          <cell r="E9846">
            <v>0</v>
          </cell>
          <cell r="F9846">
            <v>0</v>
          </cell>
          <cell r="G9846">
            <v>0</v>
          </cell>
        </row>
        <row r="9847">
          <cell r="A9847" t="str">
            <v>57-01-01-2303</v>
          </cell>
          <cell r="B9847">
            <v>0</v>
          </cell>
          <cell r="C9847" t="str">
            <v xml:space="preserve">  MUH AASIM 4/S RING 2</v>
          </cell>
          <cell r="D9847">
            <v>0</v>
          </cell>
          <cell r="E9847">
            <v>0</v>
          </cell>
          <cell r="F9847">
            <v>0</v>
          </cell>
          <cell r="G9847">
            <v>0</v>
          </cell>
        </row>
        <row r="9848">
          <cell r="A9848" t="str">
            <v>57-01-01-2304</v>
          </cell>
          <cell r="B9848">
            <v>0</v>
          </cell>
          <cell r="C9848" t="str">
            <v xml:space="preserve">  MUH SHAFIQUE 4/S RING 5</v>
          </cell>
          <cell r="D9848">
            <v>0</v>
          </cell>
          <cell r="E9848">
            <v>0</v>
          </cell>
          <cell r="F9848">
            <v>0</v>
          </cell>
          <cell r="G9848">
            <v>0</v>
          </cell>
        </row>
        <row r="9849">
          <cell r="A9849" t="str">
            <v>57-01-01-2305</v>
          </cell>
          <cell r="B9849">
            <v>0</v>
          </cell>
          <cell r="C9849" t="str">
            <v xml:space="preserve">  NAEEM ABBAS OPT A/CONE</v>
          </cell>
          <cell r="D9849">
            <v>0</v>
          </cell>
          <cell r="E9849">
            <v>0</v>
          </cell>
          <cell r="F9849">
            <v>0</v>
          </cell>
          <cell r="G9849">
            <v>0</v>
          </cell>
        </row>
        <row r="9850">
          <cell r="A9850" t="str">
            <v>57-01-01-2306</v>
          </cell>
          <cell r="B9850">
            <v>0</v>
          </cell>
          <cell r="C9850" t="str">
            <v xml:space="preserve">  ARSHAD MEHMOOD CARD COMB</v>
          </cell>
          <cell r="D9850">
            <v>0</v>
          </cell>
          <cell r="E9850">
            <v>0</v>
          </cell>
          <cell r="F9850">
            <v>0</v>
          </cell>
          <cell r="G9850">
            <v>0</v>
          </cell>
        </row>
        <row r="9851">
          <cell r="A9851" t="str">
            <v>57-01-01-2307</v>
          </cell>
          <cell r="B9851">
            <v>0</v>
          </cell>
          <cell r="C9851" t="str">
            <v xml:space="preserve">  MUHAMMAD ISMAIL 4/S RING 8</v>
          </cell>
          <cell r="D9851">
            <v>0</v>
          </cell>
          <cell r="E9851">
            <v>0</v>
          </cell>
          <cell r="F9851">
            <v>0</v>
          </cell>
          <cell r="G9851">
            <v>0</v>
          </cell>
        </row>
        <row r="9852">
          <cell r="A9852" t="str">
            <v>57-01-01-2308</v>
          </cell>
          <cell r="B9852">
            <v>0</v>
          </cell>
          <cell r="C9852" t="str">
            <v xml:space="preserve">  IFTIKHAR AHMED 6/S RING 7</v>
          </cell>
          <cell r="D9852">
            <v>0</v>
          </cell>
          <cell r="E9852">
            <v>0</v>
          </cell>
          <cell r="F9852">
            <v>0</v>
          </cell>
          <cell r="G9852">
            <v>0</v>
          </cell>
        </row>
        <row r="9853">
          <cell r="A9853" t="str">
            <v>57-01-01-2309</v>
          </cell>
          <cell r="B9853">
            <v>0</v>
          </cell>
          <cell r="C9853" t="str">
            <v xml:space="preserve">  MUH JAVAID P.MECH W.SHOP M # 4</v>
          </cell>
          <cell r="D9853">
            <v>0</v>
          </cell>
          <cell r="E9853">
            <v>0</v>
          </cell>
          <cell r="F9853">
            <v>0</v>
          </cell>
          <cell r="G9853">
            <v>0</v>
          </cell>
        </row>
        <row r="9854">
          <cell r="A9854" t="str">
            <v>57-01-01-2310</v>
          </cell>
          <cell r="B9854">
            <v>0</v>
          </cell>
          <cell r="C9854" t="str">
            <v xml:space="preserve">  ZAFAR MASOOD A/JOB</v>
          </cell>
          <cell r="D9854">
            <v>0</v>
          </cell>
          <cell r="E9854">
            <v>0</v>
          </cell>
          <cell r="F9854">
            <v>0</v>
          </cell>
          <cell r="G9854">
            <v>0</v>
          </cell>
        </row>
        <row r="9855">
          <cell r="A9855" t="str">
            <v>57-01-01-2311</v>
          </cell>
          <cell r="B9855">
            <v>0</v>
          </cell>
          <cell r="C9855" t="str">
            <v xml:space="preserve">  MUH ARSHAD FITT B/ROOM MILL # 2</v>
          </cell>
          <cell r="D9855">
            <v>0</v>
          </cell>
          <cell r="E9855">
            <v>0</v>
          </cell>
          <cell r="F9855">
            <v>0</v>
          </cell>
          <cell r="G9855">
            <v>0</v>
          </cell>
        </row>
        <row r="9856">
          <cell r="A9856" t="str">
            <v>57-01-01-2312</v>
          </cell>
          <cell r="B9856">
            <v>0</v>
          </cell>
          <cell r="C9856" t="str">
            <v xml:space="preserve">  ATTA UR REHMAN 4/S</v>
          </cell>
          <cell r="D9856">
            <v>0</v>
          </cell>
          <cell r="E9856">
            <v>0</v>
          </cell>
          <cell r="F9856">
            <v>0</v>
          </cell>
          <cell r="G9856">
            <v>0</v>
          </cell>
        </row>
        <row r="9857">
          <cell r="A9857" t="str">
            <v>57-01-01-2313</v>
          </cell>
          <cell r="B9857">
            <v>0</v>
          </cell>
          <cell r="C9857" t="str">
            <v xml:space="preserve">  MUH ZUBAIR TEST/C LAB 1</v>
          </cell>
          <cell r="D9857">
            <v>0</v>
          </cell>
          <cell r="E9857">
            <v>0</v>
          </cell>
          <cell r="F9857">
            <v>0</v>
          </cell>
          <cell r="G9857">
            <v>0</v>
          </cell>
        </row>
        <row r="9858">
          <cell r="A9858" t="str">
            <v>57-01-01-2314</v>
          </cell>
          <cell r="B9858">
            <v>0</v>
          </cell>
          <cell r="C9858" t="str">
            <v xml:space="preserve">  MUH AZAM OPT A/CONE MILL # 1</v>
          </cell>
          <cell r="D9858">
            <v>0</v>
          </cell>
          <cell r="E9858">
            <v>0</v>
          </cell>
          <cell r="F9858">
            <v>0</v>
          </cell>
          <cell r="G9858">
            <v>0</v>
          </cell>
        </row>
        <row r="9859">
          <cell r="A9859" t="str">
            <v>57-01-01-2315</v>
          </cell>
          <cell r="B9859">
            <v>0</v>
          </cell>
          <cell r="C9859" t="str">
            <v xml:space="preserve">  MUH RAMZAN OPT A/CONE</v>
          </cell>
          <cell r="D9859">
            <v>0</v>
          </cell>
          <cell r="E9859">
            <v>0</v>
          </cell>
          <cell r="F9859">
            <v>0</v>
          </cell>
          <cell r="G9859">
            <v>0</v>
          </cell>
        </row>
        <row r="9860">
          <cell r="A9860" t="str">
            <v>57-01-01-2316</v>
          </cell>
          <cell r="B9860">
            <v>0</v>
          </cell>
          <cell r="C9860" t="str">
            <v xml:space="preserve">  TAHIR HAMEED S.A.FM CARD</v>
          </cell>
          <cell r="D9860">
            <v>0</v>
          </cell>
          <cell r="E9860">
            <v>0</v>
          </cell>
          <cell r="F9860">
            <v>0</v>
          </cell>
          <cell r="G9860">
            <v>0</v>
          </cell>
        </row>
        <row r="9861">
          <cell r="A9861" t="str">
            <v>57-01-01-2317</v>
          </cell>
          <cell r="B9861">
            <v>0</v>
          </cell>
          <cell r="C9861" t="str">
            <v xml:space="preserve">  QAYUM ALI 4/S RING 4</v>
          </cell>
          <cell r="D9861">
            <v>0</v>
          </cell>
          <cell r="E9861">
            <v>0</v>
          </cell>
          <cell r="F9861">
            <v>0</v>
          </cell>
          <cell r="G9861">
            <v>0</v>
          </cell>
        </row>
        <row r="9862">
          <cell r="A9862" t="str">
            <v>57-01-01-2318</v>
          </cell>
          <cell r="B9862">
            <v>0</v>
          </cell>
          <cell r="C9862" t="str">
            <v xml:space="preserve">  MUH SADIQUE OPT A/CONE MILL # 1</v>
          </cell>
          <cell r="D9862">
            <v>0</v>
          </cell>
          <cell r="E9862">
            <v>0</v>
          </cell>
          <cell r="F9862">
            <v>0</v>
          </cell>
          <cell r="G9862">
            <v>0</v>
          </cell>
        </row>
        <row r="9863">
          <cell r="A9863" t="str">
            <v>57-01-01-2319</v>
          </cell>
          <cell r="B9863">
            <v>0</v>
          </cell>
          <cell r="C9863" t="str">
            <v xml:space="preserve">  MUH IQBAL D.S.T D/S MILL # 3</v>
          </cell>
          <cell r="D9863">
            <v>0</v>
          </cell>
          <cell r="E9863">
            <v>0</v>
          </cell>
          <cell r="F9863">
            <v>0</v>
          </cell>
          <cell r="G9863">
            <v>0</v>
          </cell>
        </row>
        <row r="9864">
          <cell r="A9864" t="str">
            <v>57-01-01-2320</v>
          </cell>
          <cell r="B9864">
            <v>0</v>
          </cell>
          <cell r="C9864" t="str">
            <v xml:space="preserve">  MUH ISMAIL OPT A/CONE MILL # 4</v>
          </cell>
          <cell r="D9864">
            <v>0</v>
          </cell>
          <cell r="E9864">
            <v>0</v>
          </cell>
          <cell r="F9864">
            <v>0</v>
          </cell>
          <cell r="G9864">
            <v>0</v>
          </cell>
        </row>
        <row r="9865">
          <cell r="A9865" t="str">
            <v>57-01-01-2321</v>
          </cell>
          <cell r="B9865">
            <v>0</v>
          </cell>
          <cell r="C9865" t="str">
            <v xml:space="preserve">  MUH ASHAD JOB A/CONE MILL # 4</v>
          </cell>
          <cell r="D9865">
            <v>0</v>
          </cell>
          <cell r="E9865">
            <v>0</v>
          </cell>
          <cell r="F9865">
            <v>0</v>
          </cell>
          <cell r="G9865">
            <v>0</v>
          </cell>
        </row>
        <row r="9866">
          <cell r="A9866" t="str">
            <v>57-01-01-2322</v>
          </cell>
          <cell r="B9866">
            <v>0</v>
          </cell>
          <cell r="C9866" t="str">
            <v xml:space="preserve">  IJAZ HUSSAIN OPT A/CONE MILL</v>
          </cell>
          <cell r="D9866">
            <v>0</v>
          </cell>
          <cell r="E9866">
            <v>0</v>
          </cell>
          <cell r="F9866">
            <v>0</v>
          </cell>
          <cell r="G9866">
            <v>0</v>
          </cell>
        </row>
        <row r="9867">
          <cell r="A9867" t="str">
            <v>57-01-01-2323</v>
          </cell>
          <cell r="B9867">
            <v>0</v>
          </cell>
          <cell r="C9867" t="str">
            <v xml:space="preserve">  SHEHBAZ AHMAD DDT D/S M # 2</v>
          </cell>
          <cell r="D9867">
            <v>0</v>
          </cell>
          <cell r="E9867">
            <v>0</v>
          </cell>
          <cell r="F9867">
            <v>0</v>
          </cell>
          <cell r="G9867">
            <v>0</v>
          </cell>
        </row>
        <row r="9868">
          <cell r="A9868" t="str">
            <v>57-01-01-2324</v>
          </cell>
          <cell r="B9868">
            <v>0</v>
          </cell>
          <cell r="C9868" t="str">
            <v xml:space="preserve">  SHAUKAT ALLAH SHIFT INCHARGE</v>
          </cell>
          <cell r="D9868">
            <v>0</v>
          </cell>
          <cell r="E9868">
            <v>0</v>
          </cell>
          <cell r="F9868">
            <v>0</v>
          </cell>
          <cell r="G9868">
            <v>0</v>
          </cell>
        </row>
        <row r="9869">
          <cell r="A9869" t="str">
            <v>57-01-01-2325</v>
          </cell>
          <cell r="B9869">
            <v>0</v>
          </cell>
          <cell r="C9869" t="str">
            <v xml:space="preserve">  MUH MUNIR OPT CARD A/C MILL # 4</v>
          </cell>
          <cell r="D9869">
            <v>0</v>
          </cell>
          <cell r="E9869">
            <v>0</v>
          </cell>
          <cell r="F9869">
            <v>0</v>
          </cell>
          <cell r="G9869">
            <v>0</v>
          </cell>
        </row>
        <row r="9870">
          <cell r="A9870" t="str">
            <v>57-01-01-2326</v>
          </cell>
          <cell r="B9870">
            <v>0</v>
          </cell>
          <cell r="C9870" t="str">
            <v xml:space="preserve">  LIAQUAT ALI OPT A/CONE</v>
          </cell>
          <cell r="D9870">
            <v>0</v>
          </cell>
          <cell r="E9870">
            <v>0</v>
          </cell>
          <cell r="F9870">
            <v>0</v>
          </cell>
          <cell r="G9870">
            <v>0</v>
          </cell>
        </row>
        <row r="9871">
          <cell r="A9871" t="str">
            <v>57-01-01-2327</v>
          </cell>
          <cell r="B9871">
            <v>0</v>
          </cell>
          <cell r="C9871" t="str">
            <v xml:space="preserve">  AHMED YAR CARD A/CONE MILL # 1</v>
          </cell>
          <cell r="D9871">
            <v>0</v>
          </cell>
          <cell r="E9871">
            <v>0</v>
          </cell>
          <cell r="F9871">
            <v>0</v>
          </cell>
          <cell r="G9871">
            <v>0</v>
          </cell>
        </row>
        <row r="9872">
          <cell r="A9872" t="str">
            <v>57-01-01-2328</v>
          </cell>
          <cell r="B9872">
            <v>0</v>
          </cell>
          <cell r="C9872" t="str">
            <v xml:space="preserve">  MUNAWAR HUSSAIN 4/S RING</v>
          </cell>
          <cell r="D9872">
            <v>0</v>
          </cell>
          <cell r="E9872">
            <v>0</v>
          </cell>
          <cell r="F9872">
            <v>0</v>
          </cell>
          <cell r="G9872">
            <v>0</v>
          </cell>
        </row>
        <row r="9873">
          <cell r="A9873" t="str">
            <v>57-01-01-2329</v>
          </cell>
          <cell r="B9873">
            <v>0</v>
          </cell>
          <cell r="C9873" t="str">
            <v xml:space="preserve">  IFTIKHAR ALI SHAH D/F RING</v>
          </cell>
          <cell r="D9873">
            <v>0</v>
          </cell>
          <cell r="E9873">
            <v>0</v>
          </cell>
          <cell r="F9873">
            <v>0</v>
          </cell>
          <cell r="G9873">
            <v>0</v>
          </cell>
        </row>
        <row r="9874">
          <cell r="A9874" t="str">
            <v>57-01-01-2330</v>
          </cell>
          <cell r="B9874">
            <v>0</v>
          </cell>
          <cell r="C9874" t="str">
            <v xml:space="preserve">  MUH NAWAZ JOB RING 1</v>
          </cell>
          <cell r="D9874">
            <v>0</v>
          </cell>
          <cell r="E9874">
            <v>0</v>
          </cell>
          <cell r="F9874">
            <v>0</v>
          </cell>
          <cell r="G9874">
            <v>0</v>
          </cell>
        </row>
        <row r="9875">
          <cell r="A9875" t="str">
            <v>57-01-01-2331</v>
          </cell>
          <cell r="B9875">
            <v>0</v>
          </cell>
          <cell r="C9875" t="str">
            <v xml:space="preserve">  ZAMIR ABBAS 4/S RING 8</v>
          </cell>
          <cell r="D9875">
            <v>0</v>
          </cell>
          <cell r="E9875">
            <v>0</v>
          </cell>
          <cell r="F9875">
            <v>0</v>
          </cell>
          <cell r="G9875">
            <v>0</v>
          </cell>
        </row>
        <row r="9876">
          <cell r="A9876" t="str">
            <v>57-01-01-2332</v>
          </cell>
          <cell r="B9876">
            <v>0</v>
          </cell>
          <cell r="C9876" t="str">
            <v xml:space="preserve">  SAMAN ABBAS OPT A/CONE MILL</v>
          </cell>
          <cell r="D9876">
            <v>0</v>
          </cell>
          <cell r="E9876">
            <v>0</v>
          </cell>
          <cell r="F9876">
            <v>0</v>
          </cell>
          <cell r="G9876">
            <v>0</v>
          </cell>
        </row>
        <row r="9877">
          <cell r="A9877" t="str">
            <v>57-01-01-2333</v>
          </cell>
          <cell r="B9877">
            <v>0</v>
          </cell>
          <cell r="C9877" t="str">
            <v xml:space="preserve">  NISAR ALI C.T COMBER MILL # 2</v>
          </cell>
          <cell r="D9877">
            <v>0</v>
          </cell>
          <cell r="E9877">
            <v>0</v>
          </cell>
          <cell r="F9877">
            <v>0</v>
          </cell>
          <cell r="G9877">
            <v>0</v>
          </cell>
        </row>
        <row r="9878">
          <cell r="A9878" t="str">
            <v>57-01-01-2334</v>
          </cell>
          <cell r="B9878">
            <v>0</v>
          </cell>
          <cell r="C9878" t="str">
            <v xml:space="preserve">  NAEEM OPT A/CONE MILL # 2</v>
          </cell>
          <cell r="D9878">
            <v>0</v>
          </cell>
          <cell r="E9878">
            <v>0</v>
          </cell>
          <cell r="F9878">
            <v>0</v>
          </cell>
          <cell r="G9878">
            <v>0</v>
          </cell>
        </row>
        <row r="9879">
          <cell r="A9879" t="str">
            <v>57-01-01-2335</v>
          </cell>
          <cell r="B9879">
            <v>0</v>
          </cell>
          <cell r="C9879" t="str">
            <v xml:space="preserve">  NOOR NABI SHAH 4/S</v>
          </cell>
          <cell r="D9879">
            <v>0</v>
          </cell>
          <cell r="E9879">
            <v>0</v>
          </cell>
          <cell r="F9879">
            <v>0</v>
          </cell>
          <cell r="G9879">
            <v>0</v>
          </cell>
        </row>
        <row r="9880">
          <cell r="A9880" t="str">
            <v>57-01-01-2336</v>
          </cell>
          <cell r="B9880">
            <v>0</v>
          </cell>
          <cell r="C9880" t="str">
            <v xml:space="preserve">  MUH ISMAIL JOB D/S MILL # 1</v>
          </cell>
          <cell r="D9880">
            <v>0</v>
          </cell>
          <cell r="E9880">
            <v>0</v>
          </cell>
          <cell r="F9880">
            <v>0</v>
          </cell>
          <cell r="G9880">
            <v>0</v>
          </cell>
        </row>
        <row r="9881">
          <cell r="A9881" t="str">
            <v>57-01-01-2337</v>
          </cell>
          <cell r="B9881">
            <v>0</v>
          </cell>
          <cell r="C9881" t="str">
            <v xml:space="preserve">  SAJJAD AHMED B/ROOM D/F M # 4</v>
          </cell>
          <cell r="D9881">
            <v>0</v>
          </cell>
          <cell r="E9881">
            <v>0</v>
          </cell>
          <cell r="F9881">
            <v>0</v>
          </cell>
          <cell r="G9881">
            <v>0</v>
          </cell>
        </row>
        <row r="9882">
          <cell r="A9882" t="str">
            <v>57-01-01-2338</v>
          </cell>
          <cell r="B9882">
            <v>0</v>
          </cell>
          <cell r="C9882" t="str">
            <v xml:space="preserve">  ABDUL QADOS 4/S RING # 3</v>
          </cell>
          <cell r="D9882">
            <v>0</v>
          </cell>
          <cell r="E9882">
            <v>0</v>
          </cell>
          <cell r="F9882">
            <v>0</v>
          </cell>
          <cell r="G9882">
            <v>0</v>
          </cell>
        </row>
        <row r="9883">
          <cell r="A9883" t="str">
            <v>57-01-01-2339</v>
          </cell>
          <cell r="B9883">
            <v>0</v>
          </cell>
          <cell r="C9883" t="str">
            <v xml:space="preserve">  MUH NAWAZ 4/S RING 3</v>
          </cell>
          <cell r="D9883">
            <v>0</v>
          </cell>
          <cell r="E9883">
            <v>0</v>
          </cell>
          <cell r="F9883">
            <v>0</v>
          </cell>
          <cell r="G9883">
            <v>0</v>
          </cell>
        </row>
        <row r="9884">
          <cell r="A9884" t="str">
            <v>57-01-01-2340</v>
          </cell>
          <cell r="B9884">
            <v>0</v>
          </cell>
          <cell r="C9884" t="str">
            <v xml:space="preserve">  NOOR NABI HELPER R.C MILL # 4</v>
          </cell>
          <cell r="D9884">
            <v>0</v>
          </cell>
          <cell r="E9884">
            <v>0</v>
          </cell>
          <cell r="F9884">
            <v>0</v>
          </cell>
          <cell r="G9884">
            <v>0</v>
          </cell>
        </row>
        <row r="9885">
          <cell r="A9885" t="str">
            <v>57-01-01-2341</v>
          </cell>
          <cell r="B9885">
            <v>0</v>
          </cell>
          <cell r="C9885" t="str">
            <v xml:space="preserve">  ABDUL GHAFAR SUP MILL # 4</v>
          </cell>
          <cell r="D9885">
            <v>0</v>
          </cell>
          <cell r="E9885">
            <v>0</v>
          </cell>
          <cell r="F9885">
            <v>0</v>
          </cell>
          <cell r="G9885">
            <v>0</v>
          </cell>
        </row>
        <row r="9886">
          <cell r="A9886" t="str">
            <v>57-01-01-2342</v>
          </cell>
          <cell r="B9886">
            <v>0</v>
          </cell>
          <cell r="C9886" t="str">
            <v xml:space="preserve">  MUH YOUNUS 4/S RING 2</v>
          </cell>
          <cell r="D9886">
            <v>0</v>
          </cell>
          <cell r="E9886">
            <v>0</v>
          </cell>
          <cell r="F9886">
            <v>0</v>
          </cell>
          <cell r="G9886">
            <v>0</v>
          </cell>
        </row>
        <row r="9887">
          <cell r="A9887" t="str">
            <v>57-01-01-2343</v>
          </cell>
          <cell r="B9887">
            <v>0</v>
          </cell>
          <cell r="C9887" t="str">
            <v xml:space="preserve">  ALLAH DITTA OPT A/CONE # MILL 4</v>
          </cell>
          <cell r="D9887">
            <v>0</v>
          </cell>
          <cell r="E9887">
            <v>0</v>
          </cell>
          <cell r="F9887">
            <v>0</v>
          </cell>
          <cell r="G9887">
            <v>0</v>
          </cell>
        </row>
        <row r="9888">
          <cell r="A9888" t="str">
            <v>57-01-01-2344</v>
          </cell>
          <cell r="B9888">
            <v>0</v>
          </cell>
          <cell r="C9888" t="str">
            <v xml:space="preserve">  ASHARAF MEHMOOD S.Q.O.LAB 3</v>
          </cell>
          <cell r="D9888">
            <v>0</v>
          </cell>
          <cell r="E9888">
            <v>0</v>
          </cell>
          <cell r="F9888">
            <v>0</v>
          </cell>
          <cell r="G9888">
            <v>0</v>
          </cell>
        </row>
        <row r="9889">
          <cell r="A9889" t="str">
            <v>57-01-01-2345</v>
          </cell>
          <cell r="B9889">
            <v>0</v>
          </cell>
          <cell r="C9889" t="str">
            <v xml:space="preserve">  AAMIR BASHIR FITT COMB MILL</v>
          </cell>
          <cell r="D9889">
            <v>0</v>
          </cell>
          <cell r="E9889">
            <v>0</v>
          </cell>
          <cell r="F9889">
            <v>0</v>
          </cell>
          <cell r="G9889">
            <v>0</v>
          </cell>
        </row>
        <row r="9890">
          <cell r="A9890" t="str">
            <v>57-01-01-2346</v>
          </cell>
          <cell r="B9890">
            <v>0</v>
          </cell>
          <cell r="C9890" t="str">
            <v xml:space="preserve">  ZAHOOR ALI A/FITT R/C MILL</v>
          </cell>
          <cell r="D9890">
            <v>0</v>
          </cell>
          <cell r="E9890">
            <v>0</v>
          </cell>
          <cell r="F9890">
            <v>0</v>
          </cell>
          <cell r="G9890">
            <v>0</v>
          </cell>
        </row>
        <row r="9891">
          <cell r="A9891" t="str">
            <v>57-01-01-2347</v>
          </cell>
          <cell r="B9891">
            <v>0</v>
          </cell>
          <cell r="C9891" t="str">
            <v xml:space="preserve">  ALLAH BAKHASH D/F COMB MILL # 3</v>
          </cell>
          <cell r="D9891">
            <v>0</v>
          </cell>
          <cell r="E9891">
            <v>0</v>
          </cell>
          <cell r="F9891">
            <v>0</v>
          </cell>
          <cell r="G9891">
            <v>0</v>
          </cell>
        </row>
        <row r="9892">
          <cell r="A9892" t="str">
            <v>57-01-01-2348</v>
          </cell>
          <cell r="B9892">
            <v>0</v>
          </cell>
          <cell r="C9892" t="str">
            <v xml:space="preserve">  MUSHTAQ AHMED SHIF INCHARGE MILL # 07</v>
          </cell>
          <cell r="D9892">
            <v>0</v>
          </cell>
          <cell r="E9892">
            <v>0</v>
          </cell>
          <cell r="F9892">
            <v>0</v>
          </cell>
          <cell r="G9892">
            <v>0</v>
          </cell>
        </row>
        <row r="9893">
          <cell r="A9893" t="str">
            <v>57-01-01-2349</v>
          </cell>
          <cell r="B9893">
            <v>0</v>
          </cell>
          <cell r="C9893" t="str">
            <v xml:space="preserve">  SHAH ZEB FOREMAN D/S MILL # 6</v>
          </cell>
          <cell r="D9893">
            <v>0</v>
          </cell>
          <cell r="E9893">
            <v>0</v>
          </cell>
          <cell r="F9893">
            <v>0</v>
          </cell>
          <cell r="G9893">
            <v>0</v>
          </cell>
        </row>
        <row r="9894">
          <cell r="A9894" t="str">
            <v>57-01-01-2350</v>
          </cell>
          <cell r="B9894">
            <v>0</v>
          </cell>
          <cell r="C9894" t="str">
            <v xml:space="preserve">  MUHAMMAD RIAZ JOB B/ROOM M # 4</v>
          </cell>
          <cell r="D9894">
            <v>0</v>
          </cell>
          <cell r="E9894">
            <v>0</v>
          </cell>
          <cell r="F9894">
            <v>0</v>
          </cell>
          <cell r="G9894">
            <v>0</v>
          </cell>
        </row>
        <row r="9895">
          <cell r="A9895" t="str">
            <v>57-01-01-2351</v>
          </cell>
          <cell r="B9895">
            <v>0</v>
          </cell>
          <cell r="C9895" t="str">
            <v xml:space="preserve">  MUHAMMAD ASIF 4/S RING 1</v>
          </cell>
          <cell r="D9895">
            <v>0</v>
          </cell>
          <cell r="E9895">
            <v>0</v>
          </cell>
          <cell r="F9895">
            <v>0</v>
          </cell>
          <cell r="G9895">
            <v>0</v>
          </cell>
        </row>
        <row r="9896">
          <cell r="A9896" t="str">
            <v>57-01-01-2352</v>
          </cell>
          <cell r="B9896">
            <v>0</v>
          </cell>
          <cell r="C9896" t="str">
            <v xml:space="preserve">  ABRAR NABI FITT D/S MILL # 1</v>
          </cell>
          <cell r="D9896">
            <v>0</v>
          </cell>
          <cell r="E9896">
            <v>0</v>
          </cell>
          <cell r="F9896">
            <v>0</v>
          </cell>
          <cell r="G9896">
            <v>0</v>
          </cell>
        </row>
        <row r="9897">
          <cell r="A9897" t="str">
            <v>57-01-01-2353</v>
          </cell>
          <cell r="B9897">
            <v>0</v>
          </cell>
          <cell r="C9897" t="str">
            <v xml:space="preserve">  MUHAMMAD ILYAS L/OPT MILL # 4</v>
          </cell>
          <cell r="D9897">
            <v>0</v>
          </cell>
          <cell r="E9897">
            <v>0</v>
          </cell>
          <cell r="F9897">
            <v>0</v>
          </cell>
          <cell r="G9897">
            <v>0</v>
          </cell>
        </row>
        <row r="9898">
          <cell r="A9898" t="str">
            <v>57-01-01-2355</v>
          </cell>
          <cell r="B9898">
            <v>0</v>
          </cell>
          <cell r="C9898" t="str">
            <v xml:space="preserve">  GHUFRAN ULLAH S.CLERK ADMN.</v>
          </cell>
          <cell r="D9898">
            <v>0</v>
          </cell>
          <cell r="E9898">
            <v>0</v>
          </cell>
          <cell r="F9898">
            <v>0</v>
          </cell>
          <cell r="G9898">
            <v>0</v>
          </cell>
        </row>
        <row r="9899">
          <cell r="A9899" t="str">
            <v>57-01-01-2356</v>
          </cell>
          <cell r="B9899">
            <v>0</v>
          </cell>
          <cell r="C9899" t="str">
            <v xml:space="preserve">  MUHAMMAD ZAFAR IQBAL B/ROOM M # 3</v>
          </cell>
          <cell r="D9899">
            <v>0</v>
          </cell>
          <cell r="E9899">
            <v>0</v>
          </cell>
          <cell r="F9899">
            <v>0</v>
          </cell>
          <cell r="G9899">
            <v>0</v>
          </cell>
        </row>
        <row r="9900">
          <cell r="A9900" t="str">
            <v>57-01-01-2357</v>
          </cell>
          <cell r="B9900">
            <v>0</v>
          </cell>
          <cell r="C9900" t="str">
            <v xml:space="preserve">  MUHAMMAD ATIF S.OBS LAB 1</v>
          </cell>
          <cell r="D9900">
            <v>0</v>
          </cell>
          <cell r="E9900">
            <v>0</v>
          </cell>
          <cell r="F9900">
            <v>0</v>
          </cell>
          <cell r="G9900">
            <v>0</v>
          </cell>
        </row>
        <row r="9901">
          <cell r="A9901" t="str">
            <v>57-01-01-2358</v>
          </cell>
          <cell r="B9901">
            <v>0</v>
          </cell>
          <cell r="C9901" t="str">
            <v xml:space="preserve">  NASIR ALI D/F RING 8</v>
          </cell>
          <cell r="D9901">
            <v>0</v>
          </cell>
          <cell r="E9901">
            <v>0</v>
          </cell>
          <cell r="F9901">
            <v>0</v>
          </cell>
          <cell r="G9901">
            <v>0</v>
          </cell>
        </row>
        <row r="9902">
          <cell r="A9902" t="str">
            <v>57-01-01-2359</v>
          </cell>
          <cell r="B9902">
            <v>0</v>
          </cell>
          <cell r="C9902" t="str">
            <v xml:space="preserve">  NIAZ MUHAMMAD 4/S RING 2</v>
          </cell>
          <cell r="D9902">
            <v>0</v>
          </cell>
          <cell r="E9902">
            <v>0</v>
          </cell>
          <cell r="F9902">
            <v>0</v>
          </cell>
          <cell r="G9902">
            <v>0</v>
          </cell>
        </row>
        <row r="9903">
          <cell r="A9903" t="str">
            <v>57-01-01-2360</v>
          </cell>
          <cell r="B9903">
            <v>0</v>
          </cell>
          <cell r="C9903" t="str">
            <v xml:space="preserve">  IMTIAZ HUSSAIN TAPE MAN</v>
          </cell>
          <cell r="D9903">
            <v>0</v>
          </cell>
          <cell r="E9903">
            <v>0</v>
          </cell>
          <cell r="F9903">
            <v>0</v>
          </cell>
          <cell r="G9903">
            <v>0</v>
          </cell>
        </row>
        <row r="9904">
          <cell r="A9904" t="str">
            <v>57-01-01-2361</v>
          </cell>
          <cell r="B9904">
            <v>0</v>
          </cell>
          <cell r="C9904" t="str">
            <v xml:space="preserve">  BASHIR AHMED JOB B/ROOM M # 4</v>
          </cell>
          <cell r="D9904">
            <v>0</v>
          </cell>
          <cell r="E9904">
            <v>0</v>
          </cell>
          <cell r="F9904">
            <v>0</v>
          </cell>
          <cell r="G9904">
            <v>0</v>
          </cell>
        </row>
        <row r="9905">
          <cell r="A9905" t="str">
            <v>57-01-01-2362</v>
          </cell>
          <cell r="B9905">
            <v>0</v>
          </cell>
          <cell r="C9905" t="str">
            <v xml:space="preserve">  MUHAMMAD ARIF A/F CARD MILL</v>
          </cell>
          <cell r="D9905">
            <v>0</v>
          </cell>
          <cell r="E9905">
            <v>0</v>
          </cell>
          <cell r="F9905">
            <v>0</v>
          </cell>
          <cell r="G9905">
            <v>0</v>
          </cell>
        </row>
        <row r="9906">
          <cell r="A9906" t="str">
            <v>57-01-01-2363</v>
          </cell>
          <cell r="B9906">
            <v>0</v>
          </cell>
          <cell r="C9906" t="str">
            <v xml:space="preserve">  ABDUL ULLAH JAN R 6</v>
          </cell>
          <cell r="D9906">
            <v>0</v>
          </cell>
          <cell r="E9906">
            <v>0</v>
          </cell>
          <cell r="F9906">
            <v>0</v>
          </cell>
          <cell r="G9906">
            <v>0</v>
          </cell>
        </row>
        <row r="9907">
          <cell r="A9907" t="str">
            <v>57-01-01-2364</v>
          </cell>
          <cell r="B9907">
            <v>0</v>
          </cell>
          <cell r="C9907" t="str">
            <v xml:space="preserve">  ASMAT ULLAH OPT A/CONE MILL # 3</v>
          </cell>
          <cell r="D9907">
            <v>0</v>
          </cell>
          <cell r="E9907">
            <v>0</v>
          </cell>
          <cell r="F9907">
            <v>0</v>
          </cell>
          <cell r="G9907">
            <v>0</v>
          </cell>
        </row>
        <row r="9908">
          <cell r="A9908" t="str">
            <v>57-01-01-2365</v>
          </cell>
          <cell r="B9908">
            <v>0</v>
          </cell>
          <cell r="C9908" t="str">
            <v xml:space="preserve">  MUHAMMAD SHAFIQUE A/FITT</v>
          </cell>
          <cell r="D9908">
            <v>0</v>
          </cell>
          <cell r="E9908">
            <v>0</v>
          </cell>
          <cell r="F9908">
            <v>0</v>
          </cell>
          <cell r="G9908">
            <v>0</v>
          </cell>
        </row>
        <row r="9909">
          <cell r="A9909" t="str">
            <v>57-01-01-2366</v>
          </cell>
          <cell r="B9909">
            <v>0</v>
          </cell>
          <cell r="C9909" t="str">
            <v xml:space="preserve">  MUHAMMAD YAQOOB D/F RING 8</v>
          </cell>
          <cell r="D9909">
            <v>0</v>
          </cell>
          <cell r="E9909">
            <v>0</v>
          </cell>
          <cell r="F9909">
            <v>0</v>
          </cell>
          <cell r="G9909">
            <v>0</v>
          </cell>
        </row>
        <row r="9910">
          <cell r="A9910" t="str">
            <v>57-01-01-2367</v>
          </cell>
          <cell r="B9910">
            <v>0</v>
          </cell>
          <cell r="C9910" t="str">
            <v xml:space="preserve">  MUH RAEES OPT A/CONE MILL # 2</v>
          </cell>
          <cell r="D9910">
            <v>0</v>
          </cell>
          <cell r="E9910">
            <v>0</v>
          </cell>
          <cell r="F9910">
            <v>0</v>
          </cell>
          <cell r="G9910">
            <v>0</v>
          </cell>
        </row>
        <row r="9911">
          <cell r="A9911" t="str">
            <v>57-01-01-2368</v>
          </cell>
          <cell r="B9911">
            <v>0</v>
          </cell>
          <cell r="C9911" t="str">
            <v xml:space="preserve">  AGHAR ALI HELPER B/ROOM M # 2</v>
          </cell>
          <cell r="D9911">
            <v>0</v>
          </cell>
          <cell r="E9911">
            <v>0</v>
          </cell>
          <cell r="F9911">
            <v>0</v>
          </cell>
          <cell r="G9911">
            <v>0</v>
          </cell>
        </row>
        <row r="9912">
          <cell r="A9912" t="str">
            <v>57-01-01-2369</v>
          </cell>
          <cell r="B9912">
            <v>0</v>
          </cell>
          <cell r="C9912" t="str">
            <v xml:space="preserve">  ABDUL WAAHID FITT RING 3 M # 2</v>
          </cell>
          <cell r="D9912">
            <v>0</v>
          </cell>
          <cell r="E9912">
            <v>0</v>
          </cell>
          <cell r="F9912">
            <v>0</v>
          </cell>
          <cell r="G9912">
            <v>0</v>
          </cell>
        </row>
        <row r="9913">
          <cell r="A9913" t="str">
            <v>57-01-01-2370</v>
          </cell>
          <cell r="B9913">
            <v>0</v>
          </cell>
          <cell r="C9913" t="str">
            <v xml:space="preserve">  MUHAMMAD TAHIR D/S MILL # 1</v>
          </cell>
          <cell r="D9913">
            <v>0</v>
          </cell>
          <cell r="E9913">
            <v>0</v>
          </cell>
          <cell r="F9913">
            <v>0</v>
          </cell>
          <cell r="G9913">
            <v>0</v>
          </cell>
        </row>
        <row r="9914">
          <cell r="A9914" t="str">
            <v>57-01-01-2371</v>
          </cell>
          <cell r="B9914">
            <v>0</v>
          </cell>
          <cell r="C9914" t="str">
            <v xml:space="preserve">  HAFIZ ULLAH D/F R 2</v>
          </cell>
          <cell r="D9914">
            <v>0</v>
          </cell>
          <cell r="E9914">
            <v>0</v>
          </cell>
          <cell r="F9914">
            <v>0</v>
          </cell>
          <cell r="G9914">
            <v>0</v>
          </cell>
        </row>
        <row r="9915">
          <cell r="A9915" t="str">
            <v>57-01-01-2372</v>
          </cell>
          <cell r="B9915">
            <v>0</v>
          </cell>
          <cell r="C9915" t="str">
            <v xml:space="preserve">  BAHOO KHAN SHIF INCH SIMLEX</v>
          </cell>
          <cell r="D9915">
            <v>0</v>
          </cell>
          <cell r="E9915">
            <v>0</v>
          </cell>
          <cell r="F9915">
            <v>0</v>
          </cell>
          <cell r="G9915">
            <v>0</v>
          </cell>
        </row>
        <row r="9916">
          <cell r="A9916" t="str">
            <v>57-01-01-2373</v>
          </cell>
          <cell r="B9916">
            <v>0</v>
          </cell>
          <cell r="C9916" t="str">
            <v xml:space="preserve">  MUH SALEEM RIAZ FITT B/ROOM</v>
          </cell>
          <cell r="D9916">
            <v>0</v>
          </cell>
          <cell r="E9916">
            <v>0</v>
          </cell>
          <cell r="F9916">
            <v>0</v>
          </cell>
          <cell r="G9916">
            <v>0</v>
          </cell>
        </row>
        <row r="9917">
          <cell r="A9917" t="str">
            <v>57-01-01-2374</v>
          </cell>
          <cell r="B9917">
            <v>0</v>
          </cell>
          <cell r="C9917" t="str">
            <v xml:space="preserve">  FAQIR MUHAMMAD S.FIIT M # 7</v>
          </cell>
          <cell r="D9917">
            <v>0</v>
          </cell>
          <cell r="E9917">
            <v>0</v>
          </cell>
          <cell r="F9917">
            <v>0</v>
          </cell>
          <cell r="G9917">
            <v>0</v>
          </cell>
        </row>
        <row r="9918">
          <cell r="A9918" t="str">
            <v>57-01-01-2375</v>
          </cell>
          <cell r="B9918">
            <v>0</v>
          </cell>
          <cell r="C9918" t="str">
            <v xml:space="preserve">  MUHAMMAD ASHRAF A/CASHIER M # G</v>
          </cell>
          <cell r="D9918">
            <v>0</v>
          </cell>
          <cell r="E9918">
            <v>0</v>
          </cell>
          <cell r="F9918">
            <v>0</v>
          </cell>
          <cell r="G9918">
            <v>0</v>
          </cell>
        </row>
        <row r="9919">
          <cell r="A9919" t="str">
            <v>57-01-01-2376</v>
          </cell>
          <cell r="B9919">
            <v>0</v>
          </cell>
          <cell r="C9919" t="str">
            <v xml:space="preserve">  FAIZ UR REHMAN OPT A/CONE M # 3</v>
          </cell>
          <cell r="D9919">
            <v>0</v>
          </cell>
          <cell r="E9919">
            <v>0</v>
          </cell>
          <cell r="F9919">
            <v>0</v>
          </cell>
          <cell r="G9919">
            <v>0</v>
          </cell>
        </row>
        <row r="9920">
          <cell r="A9920" t="str">
            <v>57-01-01-2377</v>
          </cell>
          <cell r="B9920">
            <v>0</v>
          </cell>
          <cell r="C9920" t="str">
            <v xml:space="preserve">  MUH SHABAN OPT A/CONE M  # 1</v>
          </cell>
          <cell r="D9920">
            <v>0</v>
          </cell>
          <cell r="E9920">
            <v>0</v>
          </cell>
          <cell r="F9920">
            <v>0</v>
          </cell>
          <cell r="G9920">
            <v>0</v>
          </cell>
        </row>
        <row r="9921">
          <cell r="A9921" t="str">
            <v>57-01-01-2378</v>
          </cell>
          <cell r="B9921">
            <v>0</v>
          </cell>
          <cell r="C9921" t="str">
            <v xml:space="preserve">  MUH RAMZAN OPT A/CONE</v>
          </cell>
          <cell r="D9921">
            <v>0</v>
          </cell>
          <cell r="E9921">
            <v>0</v>
          </cell>
          <cell r="F9921">
            <v>0</v>
          </cell>
          <cell r="G9921">
            <v>0</v>
          </cell>
        </row>
        <row r="9922">
          <cell r="A9922" t="str">
            <v>57-01-01-2379</v>
          </cell>
          <cell r="B9922">
            <v>0</v>
          </cell>
          <cell r="C9922" t="str">
            <v xml:space="preserve">  MUHAMMAD IJAZ JOB C/SP MILL # 4</v>
          </cell>
          <cell r="D9922">
            <v>0</v>
          </cell>
          <cell r="E9922">
            <v>0</v>
          </cell>
          <cell r="F9922">
            <v>0</v>
          </cell>
          <cell r="G9922">
            <v>0</v>
          </cell>
        </row>
        <row r="9923">
          <cell r="A9923" t="str">
            <v>57-01-01-2380</v>
          </cell>
          <cell r="B9923">
            <v>0</v>
          </cell>
          <cell r="C9923" t="str">
            <v xml:space="preserve">  RAISHAM KHAN JOB R 6 MILL # 6</v>
          </cell>
          <cell r="D9923">
            <v>0</v>
          </cell>
          <cell r="E9923">
            <v>0</v>
          </cell>
          <cell r="F9923">
            <v>0</v>
          </cell>
          <cell r="G9923">
            <v>0</v>
          </cell>
        </row>
        <row r="9924">
          <cell r="A9924" t="str">
            <v>57-01-01-2382</v>
          </cell>
          <cell r="B9924">
            <v>0</v>
          </cell>
          <cell r="C9924" t="str">
            <v xml:space="preserve">  MUHAMMAD ARSHAD FITT RING 7 M # 3</v>
          </cell>
          <cell r="D9924">
            <v>0</v>
          </cell>
          <cell r="E9924">
            <v>0</v>
          </cell>
          <cell r="F9924">
            <v>0</v>
          </cell>
          <cell r="G9924">
            <v>0</v>
          </cell>
        </row>
        <row r="9925">
          <cell r="A9925" t="str">
            <v>57-01-01-2383</v>
          </cell>
          <cell r="B9925">
            <v>0</v>
          </cell>
          <cell r="C9925" t="str">
            <v xml:space="preserve">  IJAZ HUSSAIN A/JOB B/ROOM M # 3</v>
          </cell>
          <cell r="D9925">
            <v>0</v>
          </cell>
          <cell r="E9925">
            <v>0</v>
          </cell>
          <cell r="F9925">
            <v>0</v>
          </cell>
          <cell r="G9925">
            <v>0</v>
          </cell>
        </row>
        <row r="9926">
          <cell r="A9926" t="str">
            <v>57-01-01-2384</v>
          </cell>
          <cell r="B9926">
            <v>0</v>
          </cell>
          <cell r="C9926" t="str">
            <v xml:space="preserve">  KHALID NASEER OPT A/CONE M # 1</v>
          </cell>
          <cell r="D9926">
            <v>0</v>
          </cell>
          <cell r="E9926">
            <v>0</v>
          </cell>
          <cell r="F9926">
            <v>0</v>
          </cell>
          <cell r="G9926">
            <v>0</v>
          </cell>
        </row>
        <row r="9927">
          <cell r="A9927" t="str">
            <v>57-01-01-2385</v>
          </cell>
          <cell r="B9927">
            <v>0</v>
          </cell>
          <cell r="C9927" t="str">
            <v xml:space="preserve">  IFTIKHAR AHMED L/OPT R-8 M # 4</v>
          </cell>
          <cell r="D9927">
            <v>2500</v>
          </cell>
          <cell r="E9927">
            <v>0</v>
          </cell>
          <cell r="F9927">
            <v>0</v>
          </cell>
          <cell r="G9927">
            <v>0</v>
          </cell>
        </row>
        <row r="9928">
          <cell r="A9928" t="str">
            <v>57-01-01-2386</v>
          </cell>
          <cell r="B9928">
            <v>0</v>
          </cell>
          <cell r="C9928" t="str">
            <v xml:space="preserve">  MUHAMMAD ALTAF OPT A/CONE M # 1</v>
          </cell>
          <cell r="D9928">
            <v>0</v>
          </cell>
          <cell r="E9928">
            <v>0</v>
          </cell>
          <cell r="F9928">
            <v>0</v>
          </cell>
          <cell r="G9928">
            <v>0</v>
          </cell>
        </row>
        <row r="9929">
          <cell r="A9929" t="str">
            <v>57-01-01-2387</v>
          </cell>
          <cell r="B9929">
            <v>0</v>
          </cell>
          <cell r="C9929" t="str">
            <v xml:space="preserve">  SHAFQAT OPT A/CONE MILL # 2</v>
          </cell>
          <cell r="D9929">
            <v>0</v>
          </cell>
          <cell r="E9929">
            <v>0</v>
          </cell>
          <cell r="F9929">
            <v>0</v>
          </cell>
          <cell r="G9929">
            <v>0</v>
          </cell>
        </row>
        <row r="9930">
          <cell r="A9930" t="str">
            <v>57-01-01-2388</v>
          </cell>
          <cell r="B9930">
            <v>0</v>
          </cell>
          <cell r="C9930" t="str">
            <v xml:space="preserve">  ABDUL JABBAR A/FITT R/C M # 1</v>
          </cell>
          <cell r="D9930">
            <v>0</v>
          </cell>
          <cell r="E9930">
            <v>0</v>
          </cell>
          <cell r="F9930">
            <v>0</v>
          </cell>
          <cell r="G9930">
            <v>0</v>
          </cell>
        </row>
        <row r="9931">
          <cell r="A9931" t="str">
            <v>57-01-01-2389</v>
          </cell>
          <cell r="B9931">
            <v>0</v>
          </cell>
          <cell r="C9931" t="str">
            <v xml:space="preserve">  SHAHID MEHMOOD JOB D/S M # 2</v>
          </cell>
          <cell r="D9931">
            <v>0</v>
          </cell>
          <cell r="E9931">
            <v>0</v>
          </cell>
          <cell r="F9931">
            <v>0</v>
          </cell>
          <cell r="G9931">
            <v>0</v>
          </cell>
        </row>
        <row r="9932">
          <cell r="A9932" t="str">
            <v>57-01-01-2390</v>
          </cell>
          <cell r="B9932">
            <v>0</v>
          </cell>
          <cell r="C9932" t="str">
            <v xml:space="preserve">  MUHAMMAD SABTAIN DST D/S M # 3</v>
          </cell>
          <cell r="D9932">
            <v>0</v>
          </cell>
          <cell r="E9932">
            <v>0</v>
          </cell>
          <cell r="F9932">
            <v>0</v>
          </cell>
          <cell r="G9932">
            <v>0</v>
          </cell>
        </row>
        <row r="9933">
          <cell r="A9933" t="str">
            <v>57-01-01-2391</v>
          </cell>
          <cell r="B9933">
            <v>0</v>
          </cell>
          <cell r="C9933" t="str">
            <v xml:space="preserve">  MUHAMMAD YOUNAS JOB C/SP M # 4</v>
          </cell>
          <cell r="D9933">
            <v>0</v>
          </cell>
          <cell r="E9933">
            <v>0</v>
          </cell>
          <cell r="F9933">
            <v>0</v>
          </cell>
          <cell r="G9933">
            <v>0</v>
          </cell>
        </row>
        <row r="9934">
          <cell r="A9934" t="str">
            <v>57-01-01-2392</v>
          </cell>
          <cell r="B9934">
            <v>0</v>
          </cell>
          <cell r="C9934" t="str">
            <v xml:space="preserve">  ZIA ULLAH 4/S R 7 MILL # 3</v>
          </cell>
          <cell r="D9934">
            <v>0</v>
          </cell>
          <cell r="E9934">
            <v>0</v>
          </cell>
          <cell r="F9934">
            <v>0</v>
          </cell>
          <cell r="G9934">
            <v>0</v>
          </cell>
        </row>
        <row r="9935">
          <cell r="A9935" t="str">
            <v>57-01-01-2393</v>
          </cell>
          <cell r="B9935">
            <v>0</v>
          </cell>
          <cell r="C9935" t="str">
            <v xml:space="preserve">  MUHAMMAD IMRAN 4/S RING 1</v>
          </cell>
          <cell r="D9935">
            <v>0</v>
          </cell>
          <cell r="E9935">
            <v>0</v>
          </cell>
          <cell r="F9935">
            <v>0</v>
          </cell>
          <cell r="G9935">
            <v>0</v>
          </cell>
        </row>
        <row r="9936">
          <cell r="A9936" t="str">
            <v>57-01-01-2394</v>
          </cell>
          <cell r="B9936">
            <v>0</v>
          </cell>
          <cell r="C9936" t="str">
            <v xml:space="preserve">  ABDUL SATTAR FITT A/C MILL # 7</v>
          </cell>
          <cell r="D9936">
            <v>0</v>
          </cell>
          <cell r="E9936">
            <v>0</v>
          </cell>
          <cell r="F9936">
            <v>0</v>
          </cell>
          <cell r="G9936">
            <v>0</v>
          </cell>
        </row>
        <row r="9937">
          <cell r="A9937" t="str">
            <v>57-01-01-2395</v>
          </cell>
          <cell r="B9937">
            <v>0</v>
          </cell>
          <cell r="C9937" t="str">
            <v xml:space="preserve">  MUHAMMAD ASHRAF D.S.T. D/S MILL # 1</v>
          </cell>
          <cell r="D9937">
            <v>0</v>
          </cell>
          <cell r="E9937">
            <v>0</v>
          </cell>
          <cell r="F9937">
            <v>0</v>
          </cell>
          <cell r="G9937">
            <v>0</v>
          </cell>
        </row>
        <row r="9938">
          <cell r="A9938" t="str">
            <v>57-01-01-2396</v>
          </cell>
          <cell r="B9938">
            <v>0</v>
          </cell>
          <cell r="C9938" t="str">
            <v xml:space="preserve">  MUHAMMAD SAJID OPT A/CONE M # 7</v>
          </cell>
          <cell r="D9938">
            <v>0</v>
          </cell>
          <cell r="E9938">
            <v>0</v>
          </cell>
          <cell r="F9938">
            <v>0</v>
          </cell>
          <cell r="G9938">
            <v>0</v>
          </cell>
        </row>
        <row r="9939">
          <cell r="A9939" t="str">
            <v>57-01-01-2397</v>
          </cell>
          <cell r="B9939">
            <v>0</v>
          </cell>
          <cell r="C9939" t="str">
            <v xml:space="preserve">  TARIQ AZIZ OPT A/CONE</v>
          </cell>
          <cell r="D9939">
            <v>0</v>
          </cell>
          <cell r="E9939">
            <v>0</v>
          </cell>
          <cell r="F9939">
            <v>0</v>
          </cell>
          <cell r="G9939">
            <v>0</v>
          </cell>
        </row>
        <row r="9940">
          <cell r="A9940" t="str">
            <v>57-01-01-2398</v>
          </cell>
          <cell r="B9940">
            <v>0</v>
          </cell>
          <cell r="C9940" t="str">
            <v xml:space="preserve">  MUHAMMAD YASIN L/OPT A/CONE MILL</v>
          </cell>
          <cell r="D9940">
            <v>0</v>
          </cell>
          <cell r="E9940">
            <v>0</v>
          </cell>
          <cell r="F9940">
            <v>0</v>
          </cell>
          <cell r="G9940">
            <v>0</v>
          </cell>
        </row>
        <row r="9941">
          <cell r="A9941" t="str">
            <v>57-01-01-2399</v>
          </cell>
          <cell r="B9941">
            <v>0</v>
          </cell>
          <cell r="C9941" t="str">
            <v xml:space="preserve">  SHAD MUHAMMAD 4/S RING 6</v>
          </cell>
          <cell r="D9941">
            <v>0</v>
          </cell>
          <cell r="E9941">
            <v>0</v>
          </cell>
          <cell r="F9941">
            <v>0</v>
          </cell>
          <cell r="G9941">
            <v>0</v>
          </cell>
        </row>
        <row r="9942">
          <cell r="A9942" t="str">
            <v>57-01-01-2400</v>
          </cell>
          <cell r="B9942">
            <v>0</v>
          </cell>
          <cell r="C9942" t="str">
            <v xml:space="preserve">  MUHAMMAD ARSHAD RING 4 M # 2</v>
          </cell>
          <cell r="D9942">
            <v>0</v>
          </cell>
          <cell r="E9942">
            <v>0</v>
          </cell>
          <cell r="F9942">
            <v>0</v>
          </cell>
          <cell r="G9942">
            <v>0</v>
          </cell>
        </row>
        <row r="9943">
          <cell r="A9943" t="str">
            <v>57-01-01-2401</v>
          </cell>
          <cell r="B9943">
            <v>0</v>
          </cell>
          <cell r="C9943" t="str">
            <v xml:space="preserve">  ABDUL MAJEED 4/S RING 7</v>
          </cell>
          <cell r="D9943">
            <v>0</v>
          </cell>
          <cell r="E9943">
            <v>0</v>
          </cell>
          <cell r="F9943">
            <v>0</v>
          </cell>
          <cell r="G9943">
            <v>0</v>
          </cell>
        </row>
        <row r="9944">
          <cell r="A9944" t="str">
            <v>57-01-01-2402</v>
          </cell>
          <cell r="B9944">
            <v>0</v>
          </cell>
          <cell r="C9944" t="str">
            <v xml:space="preserve">  KHALID MEHMOOD HELPER D/S</v>
          </cell>
          <cell r="D9944">
            <v>0</v>
          </cell>
          <cell r="E9944">
            <v>0</v>
          </cell>
          <cell r="F9944">
            <v>0</v>
          </cell>
          <cell r="G9944">
            <v>0</v>
          </cell>
        </row>
        <row r="9945">
          <cell r="A9945" t="str">
            <v>57-01-01-2403</v>
          </cell>
          <cell r="B9945">
            <v>0</v>
          </cell>
          <cell r="C9945" t="str">
            <v xml:space="preserve">  SAFDAR ALI DY FORMAN COMBER</v>
          </cell>
          <cell r="D9945">
            <v>0</v>
          </cell>
          <cell r="E9945">
            <v>0</v>
          </cell>
          <cell r="F9945">
            <v>0</v>
          </cell>
          <cell r="G9945">
            <v>0</v>
          </cell>
        </row>
        <row r="9946">
          <cell r="A9946" t="str">
            <v>57-01-01-2404</v>
          </cell>
          <cell r="B9946">
            <v>0</v>
          </cell>
          <cell r="C9946" t="str">
            <v xml:space="preserve">  AZHAR ABBAS OPT A/CONE M # 1</v>
          </cell>
          <cell r="D9946">
            <v>0</v>
          </cell>
          <cell r="E9946">
            <v>0</v>
          </cell>
          <cell r="F9946">
            <v>0</v>
          </cell>
          <cell r="G9946">
            <v>0</v>
          </cell>
        </row>
        <row r="9947">
          <cell r="A9947" t="str">
            <v>57-01-01-2405</v>
          </cell>
          <cell r="B9947">
            <v>0</v>
          </cell>
          <cell r="C9947" t="str">
            <v xml:space="preserve">  MUHAMMAD YAR D/F B/ROOM MILL # 2</v>
          </cell>
          <cell r="D9947">
            <v>0</v>
          </cell>
          <cell r="E9947">
            <v>0</v>
          </cell>
          <cell r="F9947">
            <v>0</v>
          </cell>
          <cell r="G9947">
            <v>0</v>
          </cell>
        </row>
        <row r="9948">
          <cell r="A9948" t="str">
            <v>57-01-01-2406</v>
          </cell>
          <cell r="B9948">
            <v>0</v>
          </cell>
          <cell r="C9948" t="str">
            <v xml:space="preserve">  BABAR HUSSAIN OPT A/CONE</v>
          </cell>
          <cell r="D9948">
            <v>0</v>
          </cell>
          <cell r="E9948">
            <v>0</v>
          </cell>
          <cell r="F9948">
            <v>0</v>
          </cell>
          <cell r="G9948">
            <v>0</v>
          </cell>
        </row>
        <row r="9949">
          <cell r="A9949" t="str">
            <v>57-01-01-2407</v>
          </cell>
          <cell r="B9949">
            <v>0</v>
          </cell>
          <cell r="C9949" t="str">
            <v xml:space="preserve">  ASGHAR HUSSAIN DF RING 6</v>
          </cell>
          <cell r="D9949">
            <v>0</v>
          </cell>
          <cell r="E9949">
            <v>0</v>
          </cell>
          <cell r="F9949">
            <v>0</v>
          </cell>
          <cell r="G9949">
            <v>0</v>
          </cell>
        </row>
        <row r="9950">
          <cell r="A9950" t="str">
            <v>57-01-01-2408</v>
          </cell>
          <cell r="B9950">
            <v>0</v>
          </cell>
          <cell r="C9950" t="str">
            <v xml:space="preserve">  MUHAMMAD ROKHAN 4/S R 6</v>
          </cell>
          <cell r="D9950">
            <v>0</v>
          </cell>
          <cell r="E9950">
            <v>0</v>
          </cell>
          <cell r="F9950">
            <v>0</v>
          </cell>
          <cell r="G9950">
            <v>0</v>
          </cell>
        </row>
        <row r="9951">
          <cell r="A9951" t="str">
            <v>57-01-01-2409</v>
          </cell>
          <cell r="B9951">
            <v>0</v>
          </cell>
          <cell r="C9951" t="str">
            <v xml:space="preserve">  YOUSAF KHAN OPT A/CONE M # 4</v>
          </cell>
          <cell r="D9951">
            <v>0</v>
          </cell>
          <cell r="E9951">
            <v>0</v>
          </cell>
          <cell r="F9951">
            <v>0</v>
          </cell>
          <cell r="G9951">
            <v>0</v>
          </cell>
        </row>
        <row r="9952">
          <cell r="A9952" t="str">
            <v>57-01-01-2410</v>
          </cell>
          <cell r="B9952">
            <v>0</v>
          </cell>
          <cell r="C9952" t="str">
            <v xml:space="preserve">  TARIQ MHMOOD 4/S C/SP MILL</v>
          </cell>
          <cell r="D9952">
            <v>0</v>
          </cell>
          <cell r="E9952">
            <v>0</v>
          </cell>
          <cell r="F9952">
            <v>0</v>
          </cell>
          <cell r="G9952">
            <v>0</v>
          </cell>
        </row>
        <row r="9953">
          <cell r="A9953" t="str">
            <v>57-01-01-2411</v>
          </cell>
          <cell r="B9953">
            <v>0</v>
          </cell>
          <cell r="C9953" t="str">
            <v xml:space="preserve">  MUHAMMAD ILYAS D.D.T D/S M # 2</v>
          </cell>
          <cell r="D9953">
            <v>0</v>
          </cell>
          <cell r="E9953">
            <v>0</v>
          </cell>
          <cell r="F9953">
            <v>0</v>
          </cell>
          <cell r="G9953">
            <v>0</v>
          </cell>
        </row>
        <row r="9954">
          <cell r="A9954" t="str">
            <v>57-01-01-2412</v>
          </cell>
          <cell r="B9954">
            <v>0</v>
          </cell>
          <cell r="C9954" t="str">
            <v xml:space="preserve">  MUHAMMAD RIAZ D/F RING 2</v>
          </cell>
          <cell r="D9954">
            <v>0</v>
          </cell>
          <cell r="E9954">
            <v>0</v>
          </cell>
          <cell r="F9954">
            <v>0</v>
          </cell>
          <cell r="G9954">
            <v>0</v>
          </cell>
        </row>
        <row r="9955">
          <cell r="A9955" t="str">
            <v>57-01-01-2413</v>
          </cell>
          <cell r="B9955">
            <v>0</v>
          </cell>
          <cell r="C9955" t="str">
            <v xml:space="preserve">  ANSAR ABBAS D.S.T D/S MILL # 4</v>
          </cell>
          <cell r="D9955">
            <v>0</v>
          </cell>
          <cell r="E9955">
            <v>0</v>
          </cell>
          <cell r="F9955">
            <v>0</v>
          </cell>
          <cell r="G9955">
            <v>0</v>
          </cell>
        </row>
        <row r="9956">
          <cell r="A9956" t="str">
            <v>57-01-01-2414</v>
          </cell>
          <cell r="B9956">
            <v>0</v>
          </cell>
          <cell r="C9956" t="str">
            <v xml:space="preserve">  RIZWAN ALI S.FITT RING 1 M # 3</v>
          </cell>
          <cell r="D9956">
            <v>0</v>
          </cell>
          <cell r="E9956">
            <v>0</v>
          </cell>
          <cell r="F9956">
            <v>0</v>
          </cell>
          <cell r="G9956">
            <v>0</v>
          </cell>
        </row>
        <row r="9957">
          <cell r="A9957" t="str">
            <v>57-01-01-2415</v>
          </cell>
          <cell r="B9957">
            <v>0</v>
          </cell>
          <cell r="C9957" t="str">
            <v xml:space="preserve">  IHSSAN ULLAH JOB RING 6 M # 1</v>
          </cell>
          <cell r="D9957">
            <v>0</v>
          </cell>
          <cell r="E9957">
            <v>0</v>
          </cell>
          <cell r="F9957">
            <v>0</v>
          </cell>
          <cell r="G9957">
            <v>0</v>
          </cell>
        </row>
        <row r="9958">
          <cell r="A9958" t="str">
            <v>57-01-01-2416</v>
          </cell>
          <cell r="B9958">
            <v>0</v>
          </cell>
          <cell r="C9958" t="str">
            <v xml:space="preserve">  MUHAMMAD SHAFIQUE A/FITT A/C</v>
          </cell>
          <cell r="D9958">
            <v>0</v>
          </cell>
          <cell r="E9958">
            <v>0</v>
          </cell>
          <cell r="F9958">
            <v>0</v>
          </cell>
          <cell r="G9958">
            <v>0</v>
          </cell>
        </row>
        <row r="9959">
          <cell r="A9959" t="str">
            <v>57-01-01-2417</v>
          </cell>
          <cell r="B9959">
            <v>0</v>
          </cell>
          <cell r="C9959" t="str">
            <v xml:space="preserve">  ZULFIQAR ALI 6/S RING 7</v>
          </cell>
          <cell r="D9959">
            <v>0</v>
          </cell>
          <cell r="E9959">
            <v>0</v>
          </cell>
          <cell r="F9959">
            <v>0</v>
          </cell>
          <cell r="G9959">
            <v>0</v>
          </cell>
        </row>
        <row r="9960">
          <cell r="A9960" t="str">
            <v>57-01-01-2418</v>
          </cell>
          <cell r="B9960">
            <v>0</v>
          </cell>
          <cell r="C9960" t="str">
            <v xml:space="preserve">  WALI REHMAN 4/S RING 6</v>
          </cell>
          <cell r="D9960">
            <v>0</v>
          </cell>
          <cell r="E9960">
            <v>0</v>
          </cell>
          <cell r="F9960">
            <v>0</v>
          </cell>
          <cell r="G9960">
            <v>0</v>
          </cell>
        </row>
        <row r="9961">
          <cell r="A9961" t="str">
            <v>57-01-01-2419</v>
          </cell>
          <cell r="B9961">
            <v>0</v>
          </cell>
          <cell r="C9961" t="str">
            <v xml:space="preserve">  SARFARAZ KHAN OPT A/CONE</v>
          </cell>
          <cell r="D9961">
            <v>0</v>
          </cell>
          <cell r="E9961">
            <v>0</v>
          </cell>
          <cell r="F9961">
            <v>0</v>
          </cell>
          <cell r="G9961">
            <v>0</v>
          </cell>
        </row>
        <row r="9962">
          <cell r="A9962" t="str">
            <v>57-01-01-2420</v>
          </cell>
          <cell r="B9962">
            <v>0</v>
          </cell>
          <cell r="C9962" t="str">
            <v xml:space="preserve">  TARIQ ASHFAQ MANAGER MAINTENANCE P.PLN</v>
          </cell>
          <cell r="D9962">
            <v>0</v>
          </cell>
          <cell r="E9962">
            <v>12000</v>
          </cell>
          <cell r="F9962">
            <v>0</v>
          </cell>
          <cell r="G9962">
            <v>0</v>
          </cell>
        </row>
        <row r="9963">
          <cell r="A9963" t="str">
            <v>57-01-01-2421</v>
          </cell>
          <cell r="B9963">
            <v>0</v>
          </cell>
          <cell r="C9963" t="str">
            <v xml:space="preserve">  MUHAMMAD RIAZ 4/S RING 4</v>
          </cell>
          <cell r="D9963">
            <v>0</v>
          </cell>
          <cell r="E9963">
            <v>0</v>
          </cell>
          <cell r="F9963">
            <v>0</v>
          </cell>
          <cell r="G9963">
            <v>0</v>
          </cell>
        </row>
        <row r="9964">
          <cell r="A9964" t="str">
            <v>57-01-01-2422</v>
          </cell>
          <cell r="B9964">
            <v>0</v>
          </cell>
          <cell r="C9964" t="str">
            <v xml:space="preserve">  MUHAMMAD KHAN 4/S RING 6</v>
          </cell>
          <cell r="D9964">
            <v>0</v>
          </cell>
          <cell r="E9964">
            <v>0</v>
          </cell>
          <cell r="F9964">
            <v>0</v>
          </cell>
          <cell r="G9964">
            <v>0</v>
          </cell>
        </row>
        <row r="9965">
          <cell r="A9965" t="str">
            <v>57-01-01-2423</v>
          </cell>
          <cell r="B9965">
            <v>0</v>
          </cell>
          <cell r="C9965" t="str">
            <v xml:space="preserve">  ZULFIQAR ALI JOB MJS B</v>
          </cell>
          <cell r="D9965">
            <v>0</v>
          </cell>
          <cell r="E9965">
            <v>0</v>
          </cell>
          <cell r="F9965">
            <v>0</v>
          </cell>
          <cell r="G9965">
            <v>0</v>
          </cell>
        </row>
        <row r="9966">
          <cell r="A9966" t="str">
            <v>57-01-01-2424</v>
          </cell>
          <cell r="B9966">
            <v>0</v>
          </cell>
          <cell r="C9966" t="str">
            <v xml:space="preserve">  MUHAMMAD ASGHAR H/F MILL # 4</v>
          </cell>
          <cell r="D9966">
            <v>0</v>
          </cell>
          <cell r="E9966">
            <v>0</v>
          </cell>
          <cell r="F9966">
            <v>0</v>
          </cell>
          <cell r="G9966">
            <v>0</v>
          </cell>
        </row>
        <row r="9967">
          <cell r="A9967" t="str">
            <v>57-01-01-2426</v>
          </cell>
          <cell r="B9967">
            <v>0</v>
          </cell>
          <cell r="C9967" t="str">
            <v xml:space="preserve">  AZIZ KHAN F.MAN COMBER MILL</v>
          </cell>
          <cell r="D9967">
            <v>0</v>
          </cell>
          <cell r="E9967">
            <v>0</v>
          </cell>
          <cell r="F9967">
            <v>0</v>
          </cell>
          <cell r="G9967">
            <v>0</v>
          </cell>
        </row>
        <row r="9968">
          <cell r="A9968" t="str">
            <v>57-01-01-2427</v>
          </cell>
          <cell r="B9968">
            <v>0</v>
          </cell>
          <cell r="C9968" t="str">
            <v xml:space="preserve">  MUHAMMAD AKRAM RING 1 HELP</v>
          </cell>
          <cell r="D9968">
            <v>0</v>
          </cell>
          <cell r="E9968">
            <v>0</v>
          </cell>
          <cell r="F9968">
            <v>0</v>
          </cell>
          <cell r="G9968">
            <v>0</v>
          </cell>
        </row>
        <row r="9969">
          <cell r="A9969" t="str">
            <v>57-01-01-2428</v>
          </cell>
          <cell r="B9969">
            <v>0</v>
          </cell>
          <cell r="C9969" t="str">
            <v xml:space="preserve">  MUHAMMAD NAEEM 4/S RING 1</v>
          </cell>
          <cell r="D9969">
            <v>0</v>
          </cell>
          <cell r="E9969">
            <v>0</v>
          </cell>
          <cell r="F9969">
            <v>0</v>
          </cell>
          <cell r="G9969">
            <v>0</v>
          </cell>
        </row>
        <row r="9970">
          <cell r="A9970" t="str">
            <v>57-01-01-2429</v>
          </cell>
          <cell r="B9970">
            <v>0</v>
          </cell>
          <cell r="C9970" t="str">
            <v xml:space="preserve">  MUHAMMAD IJAZ OPT A/CONE</v>
          </cell>
          <cell r="D9970">
            <v>0</v>
          </cell>
          <cell r="E9970">
            <v>0</v>
          </cell>
          <cell r="F9970">
            <v>0</v>
          </cell>
          <cell r="G9970">
            <v>0</v>
          </cell>
        </row>
        <row r="9971">
          <cell r="A9971" t="str">
            <v>57-01-01-2430</v>
          </cell>
          <cell r="B9971">
            <v>0</v>
          </cell>
          <cell r="C9971" t="str">
            <v xml:space="preserve">  NASIR MEHMOOD DDT D/S</v>
          </cell>
          <cell r="D9971">
            <v>0</v>
          </cell>
          <cell r="E9971">
            <v>0</v>
          </cell>
          <cell r="F9971">
            <v>0</v>
          </cell>
          <cell r="G9971">
            <v>0</v>
          </cell>
        </row>
        <row r="9972">
          <cell r="A9972" t="str">
            <v>57-01-01-2431</v>
          </cell>
          <cell r="B9972">
            <v>0</v>
          </cell>
          <cell r="C9972" t="str">
            <v xml:space="preserve">  AZHAR MUSHTAQ S.QUALITY OBS</v>
          </cell>
          <cell r="D9972">
            <v>0</v>
          </cell>
          <cell r="E9972">
            <v>0</v>
          </cell>
          <cell r="F9972">
            <v>0</v>
          </cell>
          <cell r="G9972">
            <v>0</v>
          </cell>
        </row>
        <row r="9973">
          <cell r="A9973" t="str">
            <v>57-01-01-2432</v>
          </cell>
          <cell r="B9973">
            <v>0</v>
          </cell>
          <cell r="C9973" t="str">
            <v xml:space="preserve">  ALTAF HUSSAIN JOB RING MILL # 6</v>
          </cell>
          <cell r="D9973">
            <v>0</v>
          </cell>
          <cell r="E9973">
            <v>0</v>
          </cell>
          <cell r="F9973">
            <v>0</v>
          </cell>
          <cell r="G9973">
            <v>0</v>
          </cell>
        </row>
        <row r="9974">
          <cell r="A9974" t="str">
            <v>57-01-01-2433</v>
          </cell>
          <cell r="B9974">
            <v>0</v>
          </cell>
          <cell r="C9974" t="str">
            <v xml:space="preserve">  MUHAMMAD SHAHID C.T.B/ROOM</v>
          </cell>
          <cell r="D9974">
            <v>0</v>
          </cell>
          <cell r="E9974">
            <v>0</v>
          </cell>
          <cell r="F9974">
            <v>0</v>
          </cell>
          <cell r="G9974">
            <v>0</v>
          </cell>
        </row>
        <row r="9975">
          <cell r="A9975" t="str">
            <v>57-01-01-2434</v>
          </cell>
          <cell r="B9975">
            <v>0</v>
          </cell>
          <cell r="C9975" t="str">
            <v xml:space="preserve">  ABDUL JABBAR HELP W.SHOP</v>
          </cell>
          <cell r="D9975">
            <v>0</v>
          </cell>
          <cell r="E9975">
            <v>0</v>
          </cell>
          <cell r="F9975">
            <v>0</v>
          </cell>
          <cell r="G9975">
            <v>0</v>
          </cell>
        </row>
        <row r="9976">
          <cell r="A9976" t="str">
            <v>57-01-01-2435</v>
          </cell>
          <cell r="B9976">
            <v>0</v>
          </cell>
          <cell r="C9976" t="str">
            <v xml:space="preserve">  MUHAMMAD SARFRAZ PRES MECH W.SHOP</v>
          </cell>
          <cell r="D9976">
            <v>0</v>
          </cell>
          <cell r="E9976">
            <v>0</v>
          </cell>
          <cell r="F9976">
            <v>0</v>
          </cell>
          <cell r="G9976">
            <v>0</v>
          </cell>
        </row>
        <row r="9977">
          <cell r="A9977" t="str">
            <v>57-01-01-2436</v>
          </cell>
          <cell r="B9977">
            <v>0</v>
          </cell>
          <cell r="C9977" t="str">
            <v xml:space="preserve">  MUHAMMAD FAYYAZ C.T.CARD M # 1</v>
          </cell>
          <cell r="D9977">
            <v>0</v>
          </cell>
          <cell r="E9977">
            <v>0</v>
          </cell>
          <cell r="F9977">
            <v>0</v>
          </cell>
          <cell r="G9977">
            <v>0</v>
          </cell>
        </row>
        <row r="9978">
          <cell r="A9978" t="str">
            <v>57-01-01-2437</v>
          </cell>
          <cell r="B9978">
            <v>0</v>
          </cell>
          <cell r="C9978" t="str">
            <v xml:space="preserve">  MUHAMMAD MUSHTAQ OPT A/CONE M # 3</v>
          </cell>
          <cell r="D9978">
            <v>0</v>
          </cell>
          <cell r="E9978">
            <v>0</v>
          </cell>
          <cell r="F9978">
            <v>0</v>
          </cell>
          <cell r="G9978">
            <v>0</v>
          </cell>
        </row>
        <row r="9979">
          <cell r="A9979" t="str">
            <v>57-01-01-2438</v>
          </cell>
          <cell r="B9979">
            <v>0</v>
          </cell>
          <cell r="C9979" t="str">
            <v xml:space="preserve">  NAVEED AKRAM A/FITT RING M # 4</v>
          </cell>
          <cell r="D9979">
            <v>0</v>
          </cell>
          <cell r="E9979">
            <v>0</v>
          </cell>
          <cell r="F9979">
            <v>0</v>
          </cell>
          <cell r="G9979">
            <v>0</v>
          </cell>
        </row>
        <row r="9980">
          <cell r="A9980" t="str">
            <v>57-01-01-2439</v>
          </cell>
          <cell r="B9980">
            <v>0</v>
          </cell>
          <cell r="C9980" t="str">
            <v xml:space="preserve">  MUHAMMAD SHAFIQUE OPT A/CONE</v>
          </cell>
          <cell r="D9980">
            <v>0</v>
          </cell>
          <cell r="E9980">
            <v>0</v>
          </cell>
          <cell r="F9980">
            <v>0</v>
          </cell>
          <cell r="G9980">
            <v>0</v>
          </cell>
        </row>
        <row r="9981">
          <cell r="A9981" t="str">
            <v>57-01-01-2440</v>
          </cell>
          <cell r="B9981">
            <v>0</v>
          </cell>
          <cell r="C9981" t="str">
            <v xml:space="preserve">  ABDUL KHALIQ DDT D/S MILL # 2</v>
          </cell>
          <cell r="D9981">
            <v>0</v>
          </cell>
          <cell r="E9981">
            <v>0</v>
          </cell>
          <cell r="F9981">
            <v>0</v>
          </cell>
          <cell r="G9981">
            <v>0</v>
          </cell>
        </row>
        <row r="9982">
          <cell r="A9982" t="str">
            <v>57-01-01-2441</v>
          </cell>
          <cell r="B9982">
            <v>0</v>
          </cell>
          <cell r="C9982" t="str">
            <v xml:space="preserve">  TANVIR AHMED D.D.T D/S MILL # 3</v>
          </cell>
          <cell r="D9982">
            <v>0</v>
          </cell>
          <cell r="E9982">
            <v>0</v>
          </cell>
          <cell r="F9982">
            <v>0</v>
          </cell>
          <cell r="G9982">
            <v>0</v>
          </cell>
        </row>
        <row r="9983">
          <cell r="A9983" t="str">
            <v>57-01-01-2442</v>
          </cell>
          <cell r="B9983">
            <v>0</v>
          </cell>
          <cell r="C9983" t="str">
            <v xml:space="preserve">  MUHAMMAD SAJID 4/S RING 4</v>
          </cell>
          <cell r="D9983">
            <v>0</v>
          </cell>
          <cell r="E9983">
            <v>0</v>
          </cell>
          <cell r="F9983">
            <v>0</v>
          </cell>
          <cell r="G9983">
            <v>0</v>
          </cell>
        </row>
        <row r="9984">
          <cell r="A9984" t="str">
            <v>57-01-01-2443</v>
          </cell>
          <cell r="B9984">
            <v>0</v>
          </cell>
          <cell r="C9984" t="str">
            <v xml:space="preserve">  ABDUL GHAFFAR 4/S R 8 MILL # 4</v>
          </cell>
          <cell r="D9984">
            <v>0</v>
          </cell>
          <cell r="E9984">
            <v>0</v>
          </cell>
          <cell r="F9984">
            <v>0</v>
          </cell>
          <cell r="G9984">
            <v>0</v>
          </cell>
        </row>
        <row r="9985">
          <cell r="A9985" t="str">
            <v>57-01-01-2444</v>
          </cell>
          <cell r="B9985">
            <v>0</v>
          </cell>
          <cell r="C9985" t="str">
            <v xml:space="preserve">  MUHAMMAD NASEER 4/S R-1</v>
          </cell>
          <cell r="D9985">
            <v>0</v>
          </cell>
          <cell r="E9985">
            <v>0</v>
          </cell>
          <cell r="F9985">
            <v>0</v>
          </cell>
          <cell r="G9985">
            <v>0</v>
          </cell>
        </row>
        <row r="9986">
          <cell r="A9986" t="str">
            <v>57-01-01-2445</v>
          </cell>
          <cell r="B9986">
            <v>0</v>
          </cell>
          <cell r="C9986" t="str">
            <v xml:space="preserve">  MUHAMMAD MOHSIN D/F R-4</v>
          </cell>
          <cell r="D9986">
            <v>0</v>
          </cell>
          <cell r="E9986">
            <v>0</v>
          </cell>
          <cell r="F9986">
            <v>0</v>
          </cell>
          <cell r="G9986">
            <v>0</v>
          </cell>
        </row>
        <row r="9987">
          <cell r="A9987" t="str">
            <v>57-01-01-2446</v>
          </cell>
          <cell r="B9987">
            <v>0</v>
          </cell>
          <cell r="C9987" t="str">
            <v xml:space="preserve">  MUHAMMAD RAMZAN L/OPT A/CONE</v>
          </cell>
          <cell r="D9987">
            <v>0</v>
          </cell>
          <cell r="E9987">
            <v>0</v>
          </cell>
          <cell r="F9987">
            <v>0</v>
          </cell>
          <cell r="G9987">
            <v>0</v>
          </cell>
        </row>
        <row r="9988">
          <cell r="A9988" t="str">
            <v>57-01-01-2447</v>
          </cell>
          <cell r="B9988">
            <v>0</v>
          </cell>
          <cell r="C9988" t="str">
            <v xml:space="preserve">  MAZHAR JAVAID 4/S R 7 MILL # 3</v>
          </cell>
          <cell r="D9988">
            <v>0</v>
          </cell>
          <cell r="E9988">
            <v>0</v>
          </cell>
          <cell r="F9988">
            <v>0</v>
          </cell>
          <cell r="G9988">
            <v>0</v>
          </cell>
        </row>
        <row r="9989">
          <cell r="A9989" t="str">
            <v>57-01-01-2448</v>
          </cell>
          <cell r="B9989">
            <v>0</v>
          </cell>
          <cell r="C9989" t="str">
            <v xml:space="preserve">  MUHAMMAD AKRM 4/S R 1 MILL # 3</v>
          </cell>
          <cell r="D9989">
            <v>0</v>
          </cell>
          <cell r="E9989">
            <v>0</v>
          </cell>
          <cell r="F9989">
            <v>0</v>
          </cell>
          <cell r="G9989">
            <v>0</v>
          </cell>
        </row>
        <row r="9990">
          <cell r="A9990" t="str">
            <v>57-01-01-2449</v>
          </cell>
          <cell r="B9990">
            <v>0</v>
          </cell>
          <cell r="C9990" t="str">
            <v xml:space="preserve">  ATIF IQBAL D/F B/ROOM MILL # 2</v>
          </cell>
          <cell r="D9990">
            <v>0</v>
          </cell>
          <cell r="E9990">
            <v>0</v>
          </cell>
          <cell r="F9990">
            <v>0</v>
          </cell>
          <cell r="G9990">
            <v>0</v>
          </cell>
        </row>
        <row r="9991">
          <cell r="A9991" t="str">
            <v>57-01-01-2450</v>
          </cell>
          <cell r="B9991">
            <v>0</v>
          </cell>
          <cell r="C9991" t="str">
            <v xml:space="preserve">  KHALIQ NAWAZ 4/S R 7</v>
          </cell>
          <cell r="D9991">
            <v>0</v>
          </cell>
          <cell r="E9991">
            <v>0</v>
          </cell>
          <cell r="F9991">
            <v>0</v>
          </cell>
          <cell r="G9991">
            <v>0</v>
          </cell>
        </row>
        <row r="9992">
          <cell r="A9992" t="str">
            <v>57-01-01-2451</v>
          </cell>
          <cell r="B9992">
            <v>0</v>
          </cell>
          <cell r="C9992" t="str">
            <v xml:space="preserve">  SHER AMAN OPT A/C MILL # 3</v>
          </cell>
          <cell r="D9992">
            <v>0</v>
          </cell>
          <cell r="E9992">
            <v>0</v>
          </cell>
          <cell r="F9992">
            <v>0</v>
          </cell>
          <cell r="G9992">
            <v>0</v>
          </cell>
        </row>
        <row r="9993">
          <cell r="A9993" t="str">
            <v>57-01-01-2452</v>
          </cell>
          <cell r="B9993">
            <v>0</v>
          </cell>
          <cell r="C9993" t="str">
            <v xml:space="preserve">  KHADIM HUSSAIN A/FOREMAN R/C</v>
          </cell>
          <cell r="D9993">
            <v>0</v>
          </cell>
          <cell r="E9993">
            <v>0</v>
          </cell>
          <cell r="F9993">
            <v>0</v>
          </cell>
          <cell r="G9993">
            <v>0</v>
          </cell>
        </row>
        <row r="9994">
          <cell r="A9994" t="str">
            <v>57-01-01-2453</v>
          </cell>
          <cell r="B9994">
            <v>0</v>
          </cell>
          <cell r="C9994" t="str">
            <v xml:space="preserve">  SAIF ULLAH OPT A/CONE MILL # 1</v>
          </cell>
          <cell r="D9994">
            <v>0</v>
          </cell>
          <cell r="E9994">
            <v>0</v>
          </cell>
          <cell r="F9994">
            <v>0</v>
          </cell>
          <cell r="G9994">
            <v>0</v>
          </cell>
        </row>
        <row r="9995">
          <cell r="A9995" t="str">
            <v>57-01-01-2454</v>
          </cell>
          <cell r="B9995">
            <v>0</v>
          </cell>
          <cell r="C9995" t="str">
            <v xml:space="preserve">  MUHAMMAD ASLAM R/S R-1</v>
          </cell>
          <cell r="D9995">
            <v>0</v>
          </cell>
          <cell r="E9995">
            <v>0</v>
          </cell>
          <cell r="F9995">
            <v>0</v>
          </cell>
          <cell r="G9995">
            <v>0</v>
          </cell>
        </row>
        <row r="9996">
          <cell r="A9996" t="str">
            <v>57-01-01-2455</v>
          </cell>
          <cell r="B9996">
            <v>0</v>
          </cell>
          <cell r="C9996" t="str">
            <v xml:space="preserve">  ZAFAR IQBAL OPT A/CONE</v>
          </cell>
          <cell r="D9996">
            <v>0</v>
          </cell>
          <cell r="E9996">
            <v>0</v>
          </cell>
          <cell r="F9996">
            <v>0</v>
          </cell>
          <cell r="G9996">
            <v>0</v>
          </cell>
        </row>
        <row r="9997">
          <cell r="A9997" t="str">
            <v>57-01-01-2456</v>
          </cell>
          <cell r="B9997">
            <v>0</v>
          </cell>
          <cell r="C9997" t="str">
            <v xml:space="preserve">  GULISTAN 4/A R-6 MILL # 1</v>
          </cell>
          <cell r="D9997">
            <v>0</v>
          </cell>
          <cell r="E9997">
            <v>0</v>
          </cell>
          <cell r="F9997">
            <v>0</v>
          </cell>
          <cell r="G9997">
            <v>0</v>
          </cell>
        </row>
        <row r="9998">
          <cell r="A9998" t="str">
            <v>57-01-01-2457</v>
          </cell>
          <cell r="B9998">
            <v>0</v>
          </cell>
          <cell r="C9998" t="str">
            <v xml:space="preserve">  GHULAM MUSTAFA A/CONE MILL # 2</v>
          </cell>
          <cell r="D9998">
            <v>0</v>
          </cell>
          <cell r="E9998">
            <v>0</v>
          </cell>
          <cell r="F9998">
            <v>0</v>
          </cell>
          <cell r="G9998">
            <v>0</v>
          </cell>
        </row>
        <row r="9999">
          <cell r="A9999" t="str">
            <v>57-01-01-2458</v>
          </cell>
          <cell r="B9999">
            <v>0</v>
          </cell>
          <cell r="C9999" t="str">
            <v xml:space="preserve">  NASIR MEHMOOD R-1 MILL # 1</v>
          </cell>
          <cell r="D9999">
            <v>0</v>
          </cell>
          <cell r="E9999">
            <v>0</v>
          </cell>
          <cell r="F9999">
            <v>0</v>
          </cell>
          <cell r="G9999">
            <v>0</v>
          </cell>
        </row>
        <row r="10000">
          <cell r="A10000" t="str">
            <v>57-01-01-2459</v>
          </cell>
          <cell r="B10000">
            <v>0</v>
          </cell>
          <cell r="C10000" t="str">
            <v xml:space="preserve">     UMER HAYAT A/CONE MILL # 2</v>
          </cell>
          <cell r="D10000">
            <v>0</v>
          </cell>
          <cell r="E10000">
            <v>0</v>
          </cell>
          <cell r="F10000">
            <v>0</v>
          </cell>
          <cell r="G10000">
            <v>0</v>
          </cell>
        </row>
        <row r="10001">
          <cell r="A10001" t="str">
            <v>57-01-01-2460</v>
          </cell>
          <cell r="B10001">
            <v>0</v>
          </cell>
          <cell r="C10001" t="str">
            <v xml:space="preserve">  NASIR MAQSOOD R/C MILL # 1</v>
          </cell>
          <cell r="D10001">
            <v>0</v>
          </cell>
          <cell r="E10001">
            <v>0</v>
          </cell>
          <cell r="F10001">
            <v>0</v>
          </cell>
          <cell r="G10001">
            <v>0</v>
          </cell>
        </row>
        <row r="10002">
          <cell r="A10002" t="str">
            <v>57-01-01-2461</v>
          </cell>
          <cell r="B10002">
            <v>0</v>
          </cell>
          <cell r="C10002" t="str">
            <v xml:space="preserve">  DOST MUHAMMAD JOB R-1</v>
          </cell>
          <cell r="D10002">
            <v>0</v>
          </cell>
          <cell r="E10002">
            <v>0</v>
          </cell>
          <cell r="F10002">
            <v>0</v>
          </cell>
          <cell r="G10002">
            <v>0</v>
          </cell>
        </row>
        <row r="10003">
          <cell r="A10003" t="str">
            <v>57-01-01-2462</v>
          </cell>
          <cell r="B10003">
            <v>0</v>
          </cell>
          <cell r="C10003" t="str">
            <v xml:space="preserve">  SHER MUHAMMAD A/CONE MILL # 3</v>
          </cell>
          <cell r="D10003">
            <v>0</v>
          </cell>
          <cell r="E10003">
            <v>0</v>
          </cell>
          <cell r="F10003">
            <v>0</v>
          </cell>
          <cell r="G10003">
            <v>0</v>
          </cell>
        </row>
        <row r="10004">
          <cell r="A10004" t="str">
            <v>57-01-01-2463</v>
          </cell>
          <cell r="B10004">
            <v>0</v>
          </cell>
          <cell r="C10004" t="str">
            <v xml:space="preserve">  ASGHAR ALI 4/S R-1 MILL # 1</v>
          </cell>
          <cell r="D10004">
            <v>0</v>
          </cell>
          <cell r="E10004">
            <v>0</v>
          </cell>
          <cell r="F10004">
            <v>0</v>
          </cell>
          <cell r="G10004">
            <v>0</v>
          </cell>
        </row>
        <row r="10005">
          <cell r="A10005" t="str">
            <v>57-01-01-2464</v>
          </cell>
          <cell r="B10005">
            <v>0</v>
          </cell>
          <cell r="C10005" t="str">
            <v xml:space="preserve">  MAJID KHAN HELPER R-8</v>
          </cell>
          <cell r="D10005">
            <v>0</v>
          </cell>
          <cell r="E10005">
            <v>0</v>
          </cell>
          <cell r="F10005">
            <v>0</v>
          </cell>
          <cell r="G10005">
            <v>0</v>
          </cell>
        </row>
        <row r="10006">
          <cell r="A10006" t="str">
            <v>57-01-01-2465</v>
          </cell>
          <cell r="B10006">
            <v>0</v>
          </cell>
          <cell r="C10006" t="str">
            <v xml:space="preserve">  ABDUL RAZAQ 4/S R-6 MILL # 1</v>
          </cell>
          <cell r="D10006">
            <v>0</v>
          </cell>
          <cell r="E10006">
            <v>0</v>
          </cell>
          <cell r="F10006">
            <v>0</v>
          </cell>
          <cell r="G10006">
            <v>0</v>
          </cell>
        </row>
        <row r="10007">
          <cell r="A10007" t="str">
            <v>57-01-01-2466</v>
          </cell>
          <cell r="B10007">
            <v>0</v>
          </cell>
          <cell r="C10007" t="str">
            <v xml:space="preserve">  GULAM FARID OPT A/CONE M # 2</v>
          </cell>
          <cell r="D10007">
            <v>0</v>
          </cell>
          <cell r="E10007">
            <v>0</v>
          </cell>
          <cell r="F10007">
            <v>0</v>
          </cell>
          <cell r="G10007">
            <v>0</v>
          </cell>
        </row>
        <row r="10008">
          <cell r="A10008" t="str">
            <v>57-01-01-2467</v>
          </cell>
          <cell r="B10008">
            <v>0</v>
          </cell>
          <cell r="C10008" t="str">
            <v xml:space="preserve">  MUHAMMAD SAJID B/ROOM MILL # 1</v>
          </cell>
          <cell r="D10008">
            <v>0</v>
          </cell>
          <cell r="E10008">
            <v>0</v>
          </cell>
          <cell r="F10008">
            <v>0</v>
          </cell>
          <cell r="G10008">
            <v>0</v>
          </cell>
        </row>
        <row r="10009">
          <cell r="A10009" t="str">
            <v>57-01-01-2468</v>
          </cell>
          <cell r="B10009">
            <v>0</v>
          </cell>
          <cell r="C10009" t="str">
            <v xml:space="preserve">  DILAWAR KHAN D/F D/S</v>
          </cell>
          <cell r="D10009">
            <v>0</v>
          </cell>
          <cell r="E10009">
            <v>0</v>
          </cell>
          <cell r="F10009">
            <v>0</v>
          </cell>
          <cell r="G10009">
            <v>0</v>
          </cell>
        </row>
        <row r="10010">
          <cell r="A10010" t="str">
            <v>57-01-01-2469</v>
          </cell>
          <cell r="B10010">
            <v>0</v>
          </cell>
          <cell r="C10010" t="str">
            <v xml:space="preserve">  GUL FARAZ 4/S R-6</v>
          </cell>
          <cell r="D10010">
            <v>0</v>
          </cell>
          <cell r="E10010">
            <v>0</v>
          </cell>
          <cell r="F10010">
            <v>0</v>
          </cell>
          <cell r="G10010">
            <v>0</v>
          </cell>
        </row>
        <row r="10011">
          <cell r="A10011" t="str">
            <v>57-01-01-2470</v>
          </cell>
          <cell r="B10011">
            <v>0</v>
          </cell>
          <cell r="C10011" t="str">
            <v xml:space="preserve">  ALI REHMAN 4/S R-6 MILL # 1</v>
          </cell>
          <cell r="D10011">
            <v>0</v>
          </cell>
          <cell r="E10011">
            <v>0</v>
          </cell>
          <cell r="F10011">
            <v>0</v>
          </cell>
          <cell r="G10011">
            <v>0</v>
          </cell>
        </row>
        <row r="10012">
          <cell r="A10012" t="str">
            <v>57-01-01-2471</v>
          </cell>
          <cell r="B10012">
            <v>0</v>
          </cell>
          <cell r="C10012" t="str">
            <v xml:space="preserve">  MUHAMMAD ARIF OPT A/CONE M # 3</v>
          </cell>
          <cell r="D10012">
            <v>0</v>
          </cell>
          <cell r="E10012">
            <v>0</v>
          </cell>
          <cell r="F10012">
            <v>0</v>
          </cell>
          <cell r="G10012">
            <v>0</v>
          </cell>
        </row>
        <row r="10013">
          <cell r="A10013" t="str">
            <v>57-01-01-2472</v>
          </cell>
          <cell r="B10013">
            <v>0</v>
          </cell>
          <cell r="C10013" t="str">
            <v xml:space="preserve">  ALLAH DITTA JOB R-4 MILL # 4</v>
          </cell>
          <cell r="D10013">
            <v>0</v>
          </cell>
          <cell r="E10013">
            <v>0</v>
          </cell>
          <cell r="F10013">
            <v>0</v>
          </cell>
          <cell r="G10013">
            <v>0</v>
          </cell>
        </row>
        <row r="10014">
          <cell r="A10014" t="str">
            <v>57-01-01-2473</v>
          </cell>
          <cell r="B10014">
            <v>0</v>
          </cell>
          <cell r="C10014" t="str">
            <v xml:space="preserve">  FALAK SHER OPT A/CONE M # 1</v>
          </cell>
          <cell r="D10014">
            <v>0</v>
          </cell>
          <cell r="E10014">
            <v>0</v>
          </cell>
          <cell r="F10014">
            <v>0</v>
          </cell>
          <cell r="G10014">
            <v>0</v>
          </cell>
        </row>
        <row r="10015">
          <cell r="A10015" t="str">
            <v>57-01-01-2474</v>
          </cell>
          <cell r="B10015">
            <v>0</v>
          </cell>
          <cell r="C10015" t="str">
            <v xml:space="preserve">  MUHAMMAD ASIF D/S MILL # 1</v>
          </cell>
          <cell r="D10015">
            <v>0</v>
          </cell>
          <cell r="E10015">
            <v>0</v>
          </cell>
          <cell r="F10015">
            <v>0</v>
          </cell>
          <cell r="G10015">
            <v>0</v>
          </cell>
        </row>
        <row r="10016">
          <cell r="A10016" t="str">
            <v>57-01-01-2475</v>
          </cell>
          <cell r="B10016">
            <v>0</v>
          </cell>
          <cell r="C10016" t="str">
            <v xml:space="preserve">  ZAFAR IQBAL OPT A/CONE M # 4</v>
          </cell>
          <cell r="D10016">
            <v>0</v>
          </cell>
          <cell r="E10016">
            <v>0</v>
          </cell>
          <cell r="F10016">
            <v>0</v>
          </cell>
          <cell r="G10016">
            <v>0</v>
          </cell>
        </row>
        <row r="10017">
          <cell r="A10017" t="str">
            <v>57-01-01-2476</v>
          </cell>
          <cell r="B10017">
            <v>0</v>
          </cell>
          <cell r="C10017" t="str">
            <v xml:space="preserve">  GHULAM SARWAR JOB R-4 MILL # 2</v>
          </cell>
          <cell r="D10017">
            <v>0</v>
          </cell>
          <cell r="E10017">
            <v>0</v>
          </cell>
          <cell r="F10017">
            <v>0</v>
          </cell>
          <cell r="G10017">
            <v>0</v>
          </cell>
        </row>
        <row r="10018">
          <cell r="A10018" t="str">
            <v>57-01-01-2477</v>
          </cell>
          <cell r="B10018">
            <v>0</v>
          </cell>
          <cell r="C10018" t="str">
            <v xml:space="preserve">  MUSHTAQ AHMED JOB RING MILL # 6</v>
          </cell>
          <cell r="D10018">
            <v>0</v>
          </cell>
          <cell r="E10018">
            <v>0</v>
          </cell>
          <cell r="F10018">
            <v>0</v>
          </cell>
          <cell r="G10018">
            <v>0</v>
          </cell>
        </row>
        <row r="10019">
          <cell r="A10019" t="str">
            <v>57-01-01-2478</v>
          </cell>
          <cell r="B10019">
            <v>0</v>
          </cell>
          <cell r="C10019" t="str">
            <v xml:space="preserve">  JAVAID IQBAL 4/S R-7 MILL # 3</v>
          </cell>
          <cell r="D10019">
            <v>0</v>
          </cell>
          <cell r="E10019">
            <v>0</v>
          </cell>
          <cell r="F10019">
            <v>0</v>
          </cell>
          <cell r="G10019">
            <v>0</v>
          </cell>
        </row>
        <row r="10020">
          <cell r="A10020" t="str">
            <v>57-01-01-2479</v>
          </cell>
          <cell r="B10020">
            <v>0</v>
          </cell>
          <cell r="C10020" t="str">
            <v xml:space="preserve">  MUHAMMAD AFZAL D/F R-1 MILL</v>
          </cell>
          <cell r="D10020">
            <v>0</v>
          </cell>
          <cell r="E10020">
            <v>0</v>
          </cell>
          <cell r="F10020">
            <v>0</v>
          </cell>
          <cell r="G10020">
            <v>0</v>
          </cell>
        </row>
        <row r="10021">
          <cell r="A10021" t="str">
            <v>57-01-01-2480</v>
          </cell>
          <cell r="B10021">
            <v>0</v>
          </cell>
          <cell r="C10021" t="str">
            <v xml:space="preserve">  HAQ NAWAZ C.T.COMBER MILL # 3</v>
          </cell>
          <cell r="D10021">
            <v>0</v>
          </cell>
          <cell r="E10021">
            <v>0</v>
          </cell>
          <cell r="F10021">
            <v>0</v>
          </cell>
          <cell r="G10021">
            <v>0</v>
          </cell>
        </row>
        <row r="10022">
          <cell r="A10022" t="str">
            <v>57-01-01-2481</v>
          </cell>
          <cell r="B10022">
            <v>0</v>
          </cell>
          <cell r="C10022" t="str">
            <v xml:space="preserve">  MUHAMMAD NASIM KHAN 4/S R-6</v>
          </cell>
          <cell r="D10022">
            <v>0</v>
          </cell>
          <cell r="E10022">
            <v>0</v>
          </cell>
          <cell r="F10022">
            <v>0</v>
          </cell>
          <cell r="G10022">
            <v>0</v>
          </cell>
        </row>
        <row r="10023">
          <cell r="A10023" t="str">
            <v>57-01-01-2482</v>
          </cell>
          <cell r="B10023">
            <v>0</v>
          </cell>
          <cell r="C10023" t="str">
            <v xml:space="preserve">  MUHAMMAD RIAZ JOB C/SPINNING</v>
          </cell>
          <cell r="D10023">
            <v>0</v>
          </cell>
          <cell r="E10023">
            <v>0</v>
          </cell>
          <cell r="F10023">
            <v>0</v>
          </cell>
          <cell r="G10023">
            <v>0</v>
          </cell>
        </row>
        <row r="10024">
          <cell r="A10024" t="str">
            <v>57-01-01-2483</v>
          </cell>
          <cell r="B10024">
            <v>0</v>
          </cell>
          <cell r="C10024" t="str">
            <v xml:space="preserve">  FAYAZ AHMED D.S.T. D/S MILL # 3</v>
          </cell>
          <cell r="D10024">
            <v>0</v>
          </cell>
          <cell r="E10024">
            <v>0</v>
          </cell>
          <cell r="F10024">
            <v>0</v>
          </cell>
          <cell r="G10024">
            <v>0</v>
          </cell>
        </row>
        <row r="10025">
          <cell r="A10025" t="str">
            <v>57-01-01-2484</v>
          </cell>
          <cell r="B10025">
            <v>0</v>
          </cell>
          <cell r="C10025" t="str">
            <v xml:space="preserve">  MUNIR HUSSAIN D/F R-1 MILL -1</v>
          </cell>
          <cell r="D10025">
            <v>0</v>
          </cell>
          <cell r="E10025">
            <v>0</v>
          </cell>
          <cell r="F10025">
            <v>0</v>
          </cell>
          <cell r="G10025">
            <v>0</v>
          </cell>
        </row>
        <row r="10026">
          <cell r="A10026" t="str">
            <v>57-01-01-2485</v>
          </cell>
          <cell r="B10026">
            <v>0</v>
          </cell>
          <cell r="C10026" t="str">
            <v xml:space="preserve">  BABU KHAN 4/S R-6 MILL # 1</v>
          </cell>
          <cell r="D10026">
            <v>0</v>
          </cell>
          <cell r="E10026">
            <v>0</v>
          </cell>
          <cell r="F10026">
            <v>0</v>
          </cell>
          <cell r="G10026">
            <v>0</v>
          </cell>
        </row>
        <row r="10027">
          <cell r="A10027" t="str">
            <v>57-01-01-2486</v>
          </cell>
          <cell r="B10027">
            <v>0</v>
          </cell>
          <cell r="C10027" t="str">
            <v xml:space="preserve">  SHAMROZ KHAN D/F R-6 MILL # 1</v>
          </cell>
          <cell r="D10027">
            <v>0</v>
          </cell>
          <cell r="E10027">
            <v>0</v>
          </cell>
          <cell r="F10027">
            <v>0</v>
          </cell>
          <cell r="G10027">
            <v>0</v>
          </cell>
        </row>
        <row r="10028">
          <cell r="A10028" t="str">
            <v>57-01-01-2487</v>
          </cell>
          <cell r="B10028">
            <v>0</v>
          </cell>
          <cell r="C10028" t="str">
            <v xml:space="preserve">  FAIZ UR REHMAN S/INCHARGE M # 1</v>
          </cell>
          <cell r="D10028">
            <v>0</v>
          </cell>
          <cell r="E10028">
            <v>0</v>
          </cell>
          <cell r="F10028">
            <v>0</v>
          </cell>
          <cell r="G10028">
            <v>0</v>
          </cell>
        </row>
        <row r="10029">
          <cell r="A10029" t="str">
            <v>57-01-01-2488</v>
          </cell>
          <cell r="B10029">
            <v>0</v>
          </cell>
          <cell r="C10029" t="str">
            <v xml:space="preserve">  MUHAMMAD IJAZ D.S.T.D/S MILL</v>
          </cell>
          <cell r="D10029">
            <v>0</v>
          </cell>
          <cell r="E10029">
            <v>0</v>
          </cell>
          <cell r="F10029">
            <v>0</v>
          </cell>
          <cell r="G10029">
            <v>0</v>
          </cell>
        </row>
        <row r="10030">
          <cell r="A10030" t="str">
            <v>57-01-01-2489</v>
          </cell>
          <cell r="B10030">
            <v>0</v>
          </cell>
          <cell r="C10030" t="str">
            <v xml:space="preserve">  FAISAL ABBAS 4/S R-8 MILL # 4</v>
          </cell>
          <cell r="D10030">
            <v>0</v>
          </cell>
          <cell r="E10030">
            <v>0</v>
          </cell>
          <cell r="F10030">
            <v>0</v>
          </cell>
          <cell r="G10030">
            <v>0</v>
          </cell>
        </row>
        <row r="10031">
          <cell r="A10031" t="str">
            <v>57-01-01-2490</v>
          </cell>
          <cell r="B10031">
            <v>0</v>
          </cell>
          <cell r="C10031" t="str">
            <v xml:space="preserve">  MUHAMMAD YASIN D/S MILL # 3</v>
          </cell>
          <cell r="D10031">
            <v>0</v>
          </cell>
          <cell r="E10031">
            <v>0</v>
          </cell>
          <cell r="F10031">
            <v>0</v>
          </cell>
          <cell r="G10031">
            <v>0</v>
          </cell>
        </row>
        <row r="10032">
          <cell r="A10032" t="str">
            <v>57-01-01-2491</v>
          </cell>
          <cell r="B10032">
            <v>0</v>
          </cell>
          <cell r="C10032" t="str">
            <v xml:space="preserve">  IRSHAD HUSSAIN D/F A/CONE</v>
          </cell>
          <cell r="D10032">
            <v>0</v>
          </cell>
          <cell r="E10032">
            <v>0</v>
          </cell>
          <cell r="F10032">
            <v>0</v>
          </cell>
          <cell r="G10032">
            <v>0</v>
          </cell>
        </row>
        <row r="10033">
          <cell r="A10033" t="str">
            <v>57-01-01-2492</v>
          </cell>
          <cell r="B10033">
            <v>0</v>
          </cell>
          <cell r="C10033" t="str">
            <v xml:space="preserve">  MUHAMMAD AMJAD ELECTRIC M-1</v>
          </cell>
          <cell r="D10033">
            <v>0</v>
          </cell>
          <cell r="E10033">
            <v>0</v>
          </cell>
          <cell r="F10033">
            <v>0</v>
          </cell>
          <cell r="G10033">
            <v>0</v>
          </cell>
        </row>
        <row r="10034">
          <cell r="A10034" t="str">
            <v>57-01-01-2493</v>
          </cell>
          <cell r="B10034">
            <v>0</v>
          </cell>
          <cell r="C10034" t="str">
            <v xml:space="preserve">  MUHAMMAD WASIM 4/S C/SP</v>
          </cell>
          <cell r="D10034">
            <v>0</v>
          </cell>
          <cell r="E10034">
            <v>0</v>
          </cell>
          <cell r="F10034">
            <v>0</v>
          </cell>
          <cell r="G10034">
            <v>0</v>
          </cell>
        </row>
        <row r="10035">
          <cell r="A10035" t="str">
            <v>57-01-01-2494</v>
          </cell>
          <cell r="B10035">
            <v>0</v>
          </cell>
          <cell r="C10035" t="str">
            <v xml:space="preserve">  AKHLAQ AHMED 4/S R-1</v>
          </cell>
          <cell r="D10035">
            <v>0</v>
          </cell>
          <cell r="E10035">
            <v>0</v>
          </cell>
          <cell r="F10035">
            <v>0</v>
          </cell>
          <cell r="G10035">
            <v>0</v>
          </cell>
        </row>
        <row r="10036">
          <cell r="A10036" t="str">
            <v>57-01-01-2495</v>
          </cell>
          <cell r="B10036">
            <v>0</v>
          </cell>
          <cell r="C10036" t="str">
            <v xml:space="preserve">  AMIR MUKHTAR L/OPT</v>
          </cell>
          <cell r="D10036">
            <v>0</v>
          </cell>
          <cell r="E10036">
            <v>0</v>
          </cell>
          <cell r="F10036">
            <v>0</v>
          </cell>
          <cell r="G10036">
            <v>0</v>
          </cell>
        </row>
        <row r="10037">
          <cell r="A10037" t="str">
            <v>57-01-01-2496</v>
          </cell>
          <cell r="B10037">
            <v>0</v>
          </cell>
          <cell r="C10037" t="str">
            <v xml:space="preserve">  ANWAR KHAN D/F R-6</v>
          </cell>
          <cell r="D10037">
            <v>0</v>
          </cell>
          <cell r="E10037">
            <v>0</v>
          </cell>
          <cell r="F10037">
            <v>0</v>
          </cell>
          <cell r="G10037">
            <v>0</v>
          </cell>
        </row>
        <row r="10038">
          <cell r="A10038" t="str">
            <v>57-01-01-2497</v>
          </cell>
          <cell r="B10038">
            <v>0</v>
          </cell>
          <cell r="C10038" t="str">
            <v xml:space="preserve">  MUHAMMAD ILYAS A/JOB B/ROOM</v>
          </cell>
          <cell r="D10038">
            <v>0</v>
          </cell>
          <cell r="E10038">
            <v>0</v>
          </cell>
          <cell r="F10038">
            <v>0</v>
          </cell>
          <cell r="G10038">
            <v>0</v>
          </cell>
        </row>
        <row r="10039">
          <cell r="A10039" t="str">
            <v>57-01-01-2498</v>
          </cell>
          <cell r="B10039">
            <v>0</v>
          </cell>
          <cell r="C10039" t="str">
            <v xml:space="preserve">  NAWAZ AHMED C.T COMBER MILL</v>
          </cell>
          <cell r="D10039">
            <v>0</v>
          </cell>
          <cell r="E10039">
            <v>0</v>
          </cell>
          <cell r="F10039">
            <v>0</v>
          </cell>
          <cell r="G10039">
            <v>0</v>
          </cell>
        </row>
        <row r="10040">
          <cell r="A10040" t="str">
            <v>57-01-01-2499</v>
          </cell>
          <cell r="B10040">
            <v>0</v>
          </cell>
          <cell r="C10040" t="str">
            <v xml:space="preserve">  MEHMOOD D/F R-4 MILL # 2</v>
          </cell>
          <cell r="D10040">
            <v>0</v>
          </cell>
          <cell r="E10040">
            <v>0</v>
          </cell>
          <cell r="F10040">
            <v>0</v>
          </cell>
          <cell r="G10040">
            <v>0</v>
          </cell>
        </row>
        <row r="10041">
          <cell r="A10041" t="str">
            <v>57-01-01-2500</v>
          </cell>
          <cell r="B10041">
            <v>0</v>
          </cell>
          <cell r="C10041" t="str">
            <v xml:space="preserve">  FAZAL WALI D/F RING 1 MILL # 1</v>
          </cell>
          <cell r="D10041">
            <v>0</v>
          </cell>
          <cell r="E10041">
            <v>0</v>
          </cell>
          <cell r="F10041">
            <v>0</v>
          </cell>
          <cell r="G10041">
            <v>0</v>
          </cell>
        </row>
        <row r="10042">
          <cell r="A10042" t="str">
            <v>57-01-01-2501</v>
          </cell>
          <cell r="B10042">
            <v>0</v>
          </cell>
          <cell r="C10042" t="str">
            <v xml:space="preserve">  MUHAMMAD ILYAS 4/S C/SP</v>
          </cell>
          <cell r="D10042">
            <v>0</v>
          </cell>
          <cell r="E10042">
            <v>0</v>
          </cell>
          <cell r="F10042">
            <v>0</v>
          </cell>
          <cell r="G10042">
            <v>0</v>
          </cell>
        </row>
        <row r="10043">
          <cell r="A10043" t="str">
            <v>57-01-01-2502</v>
          </cell>
          <cell r="B10043">
            <v>0</v>
          </cell>
          <cell r="C10043" t="str">
            <v xml:space="preserve">  YASIR NADEEM S.C.T COMBER M # 4</v>
          </cell>
          <cell r="D10043">
            <v>0</v>
          </cell>
          <cell r="E10043">
            <v>0</v>
          </cell>
          <cell r="F10043">
            <v>0</v>
          </cell>
          <cell r="G10043">
            <v>0</v>
          </cell>
        </row>
        <row r="10044">
          <cell r="A10044" t="str">
            <v>57-01-01-2503</v>
          </cell>
          <cell r="B10044">
            <v>0</v>
          </cell>
          <cell r="C10044" t="str">
            <v xml:space="preserve">  MUHAMMAD RIAZ JOB R-2</v>
          </cell>
          <cell r="D10044">
            <v>0</v>
          </cell>
          <cell r="E10044">
            <v>0</v>
          </cell>
          <cell r="F10044">
            <v>0</v>
          </cell>
          <cell r="G10044">
            <v>0</v>
          </cell>
        </row>
        <row r="10045">
          <cell r="A10045" t="str">
            <v>57-01-01-2504</v>
          </cell>
          <cell r="B10045">
            <v>0</v>
          </cell>
          <cell r="C10045" t="str">
            <v xml:space="preserve">  FAISAL ALI 4/S R-4</v>
          </cell>
          <cell r="D10045">
            <v>0</v>
          </cell>
          <cell r="E10045">
            <v>0</v>
          </cell>
          <cell r="F10045">
            <v>0</v>
          </cell>
          <cell r="G10045">
            <v>0</v>
          </cell>
        </row>
        <row r="10046">
          <cell r="A10046" t="str">
            <v>57-01-01-2505</v>
          </cell>
          <cell r="B10046">
            <v>0</v>
          </cell>
          <cell r="C10046" t="str">
            <v xml:space="preserve">  SAPAR KHAN OPT A/CONE MILL # 3</v>
          </cell>
          <cell r="D10046">
            <v>0</v>
          </cell>
          <cell r="E10046">
            <v>0</v>
          </cell>
          <cell r="F10046">
            <v>0</v>
          </cell>
          <cell r="G10046">
            <v>0</v>
          </cell>
        </row>
        <row r="10047">
          <cell r="A10047" t="str">
            <v>57-01-01-2506</v>
          </cell>
          <cell r="B10047">
            <v>0</v>
          </cell>
          <cell r="C10047" t="str">
            <v xml:space="preserve">  FAZAL DAD 4/S RING 6</v>
          </cell>
          <cell r="D10047">
            <v>0</v>
          </cell>
          <cell r="E10047">
            <v>0</v>
          </cell>
          <cell r="F10047">
            <v>0</v>
          </cell>
          <cell r="G10047">
            <v>0</v>
          </cell>
        </row>
        <row r="10048">
          <cell r="A10048" t="str">
            <v>57-01-01-2507</v>
          </cell>
          <cell r="B10048">
            <v>0</v>
          </cell>
          <cell r="C10048" t="str">
            <v xml:space="preserve">  IFTIKHAR ALI S/FITT R/C MILL</v>
          </cell>
          <cell r="D10048">
            <v>0</v>
          </cell>
          <cell r="E10048">
            <v>0</v>
          </cell>
          <cell r="F10048">
            <v>0</v>
          </cell>
          <cell r="G10048">
            <v>0</v>
          </cell>
        </row>
        <row r="10049">
          <cell r="A10049" t="str">
            <v>57-01-01-2508</v>
          </cell>
          <cell r="B10049">
            <v>0</v>
          </cell>
          <cell r="C10049" t="str">
            <v xml:space="preserve">  HAROON RASHEED D/F R-6</v>
          </cell>
          <cell r="D10049">
            <v>0</v>
          </cell>
          <cell r="E10049">
            <v>0</v>
          </cell>
          <cell r="F10049">
            <v>0</v>
          </cell>
          <cell r="G10049">
            <v>0</v>
          </cell>
        </row>
        <row r="10050">
          <cell r="A10050" t="str">
            <v>57-01-01-2509</v>
          </cell>
          <cell r="B10050">
            <v>0</v>
          </cell>
          <cell r="C10050" t="str">
            <v xml:space="preserve">  MUHAMMAD SOHAIL SHAH FITT MILL # 1</v>
          </cell>
          <cell r="D10050">
            <v>0</v>
          </cell>
          <cell r="E10050">
            <v>0</v>
          </cell>
          <cell r="F10050">
            <v>0</v>
          </cell>
          <cell r="G10050">
            <v>0</v>
          </cell>
        </row>
        <row r="10051">
          <cell r="A10051" t="str">
            <v>57-01-01-2510</v>
          </cell>
          <cell r="B10051">
            <v>0</v>
          </cell>
          <cell r="C10051" t="str">
            <v xml:space="preserve">  ARIF SHAH RING -1</v>
          </cell>
          <cell r="D10051">
            <v>0</v>
          </cell>
          <cell r="E10051">
            <v>0</v>
          </cell>
          <cell r="F10051">
            <v>0</v>
          </cell>
          <cell r="G10051">
            <v>0</v>
          </cell>
        </row>
        <row r="10052">
          <cell r="A10052" t="str">
            <v>57-01-01-2511</v>
          </cell>
          <cell r="B10052">
            <v>0</v>
          </cell>
          <cell r="C10052" t="str">
            <v xml:space="preserve">  FAZALI MAULA D/F B/ROOM</v>
          </cell>
          <cell r="D10052">
            <v>2000</v>
          </cell>
          <cell r="E10052">
            <v>0</v>
          </cell>
          <cell r="F10052">
            <v>0</v>
          </cell>
          <cell r="G10052">
            <v>0</v>
          </cell>
        </row>
        <row r="10053">
          <cell r="A10053" t="str">
            <v>57-01-01-2512</v>
          </cell>
          <cell r="B10053">
            <v>0</v>
          </cell>
          <cell r="C10053" t="str">
            <v xml:space="preserve">  ALI AKHTAR FITT A/C MILL # 2</v>
          </cell>
          <cell r="D10053">
            <v>0</v>
          </cell>
          <cell r="E10053">
            <v>0</v>
          </cell>
          <cell r="F10053">
            <v>0</v>
          </cell>
          <cell r="G10053">
            <v>0</v>
          </cell>
        </row>
        <row r="10054">
          <cell r="A10054" t="str">
            <v>57-01-01-2513</v>
          </cell>
          <cell r="B10054">
            <v>0</v>
          </cell>
          <cell r="C10054" t="str">
            <v xml:space="preserve">  MUHAMMAD ARIF C.T.COMBER # 3</v>
          </cell>
          <cell r="D10054">
            <v>0</v>
          </cell>
          <cell r="E10054">
            <v>0</v>
          </cell>
          <cell r="F10054">
            <v>0</v>
          </cell>
          <cell r="G10054">
            <v>0</v>
          </cell>
        </row>
        <row r="10055">
          <cell r="A10055" t="str">
            <v>57-01-01-2514</v>
          </cell>
          <cell r="B10055">
            <v>0</v>
          </cell>
          <cell r="C10055" t="str">
            <v xml:space="preserve">  JAWAID IQBAL 4/S RING 8</v>
          </cell>
          <cell r="D10055">
            <v>0</v>
          </cell>
          <cell r="E10055">
            <v>0</v>
          </cell>
          <cell r="F10055">
            <v>0</v>
          </cell>
          <cell r="G10055">
            <v>0</v>
          </cell>
        </row>
        <row r="10056">
          <cell r="A10056" t="str">
            <v>57-01-01-2515</v>
          </cell>
          <cell r="B10056">
            <v>0</v>
          </cell>
          <cell r="C10056" t="str">
            <v xml:space="preserve">  AZIL KHAN 4/S RING</v>
          </cell>
          <cell r="D10056">
            <v>0</v>
          </cell>
          <cell r="E10056">
            <v>0</v>
          </cell>
          <cell r="F10056">
            <v>0</v>
          </cell>
          <cell r="G10056">
            <v>0</v>
          </cell>
        </row>
        <row r="10057">
          <cell r="A10057" t="str">
            <v>57-01-01-2516</v>
          </cell>
          <cell r="B10057">
            <v>0</v>
          </cell>
          <cell r="C10057" t="str">
            <v xml:space="preserve">  MUHAMMAD ZEESHAN D/F CARD</v>
          </cell>
          <cell r="D10057">
            <v>0</v>
          </cell>
          <cell r="E10057">
            <v>0</v>
          </cell>
          <cell r="F10057">
            <v>0</v>
          </cell>
          <cell r="G10057">
            <v>0</v>
          </cell>
        </row>
        <row r="10058">
          <cell r="A10058" t="str">
            <v>57-01-01-2517</v>
          </cell>
          <cell r="B10058">
            <v>0</v>
          </cell>
          <cell r="C10058" t="str">
            <v xml:space="preserve">  MUHAMMAD YAQOOB C.T R-1</v>
          </cell>
          <cell r="D10058">
            <v>0</v>
          </cell>
          <cell r="E10058">
            <v>0</v>
          </cell>
          <cell r="F10058">
            <v>0</v>
          </cell>
          <cell r="G10058">
            <v>0</v>
          </cell>
        </row>
        <row r="10059">
          <cell r="A10059" t="str">
            <v>57-01-01-2518</v>
          </cell>
          <cell r="B10059">
            <v>0</v>
          </cell>
          <cell r="C10059" t="str">
            <v xml:space="preserve">  NASEER AHMED MILLING OPT W.SHOP</v>
          </cell>
          <cell r="D10059">
            <v>2000</v>
          </cell>
          <cell r="E10059">
            <v>0</v>
          </cell>
          <cell r="F10059">
            <v>0</v>
          </cell>
          <cell r="G10059">
            <v>0</v>
          </cell>
        </row>
        <row r="10060">
          <cell r="A10060" t="str">
            <v>57-01-01-2519</v>
          </cell>
          <cell r="B10060">
            <v>0</v>
          </cell>
          <cell r="C10060" t="str">
            <v xml:space="preserve">  KHALIL HUSSAIN HELPER W.SHOP</v>
          </cell>
          <cell r="D10060">
            <v>2000</v>
          </cell>
          <cell r="E10060">
            <v>0</v>
          </cell>
          <cell r="F10060">
            <v>0</v>
          </cell>
          <cell r="G10060">
            <v>0</v>
          </cell>
        </row>
        <row r="10061">
          <cell r="A10061" t="str">
            <v>57-01-01-2520</v>
          </cell>
          <cell r="B10061">
            <v>0</v>
          </cell>
          <cell r="C10061" t="str">
            <v xml:space="preserve">  SHAFI ULLAH HELPER A/C MILL</v>
          </cell>
          <cell r="D10061">
            <v>2000</v>
          </cell>
          <cell r="E10061">
            <v>0</v>
          </cell>
          <cell r="F10061">
            <v>0</v>
          </cell>
          <cell r="G10061">
            <v>0</v>
          </cell>
        </row>
        <row r="10062">
          <cell r="A10062" t="str">
            <v>57-01-01-2521</v>
          </cell>
          <cell r="B10062">
            <v>0</v>
          </cell>
          <cell r="C10062" t="str">
            <v xml:space="preserve">  HASSAIN ASKARI QLTY OBS MILL</v>
          </cell>
          <cell r="D10062">
            <v>2000</v>
          </cell>
          <cell r="E10062">
            <v>0</v>
          </cell>
          <cell r="F10062">
            <v>0</v>
          </cell>
          <cell r="G10062">
            <v>0</v>
          </cell>
        </row>
        <row r="10063">
          <cell r="A10063" t="str">
            <v>57-01-01-2522</v>
          </cell>
          <cell r="B10063">
            <v>0</v>
          </cell>
          <cell r="C10063" t="str">
            <v xml:space="preserve">  HAMEED UZZAMAN 4/S R-4 MILL # 2</v>
          </cell>
          <cell r="D10063">
            <v>2500</v>
          </cell>
          <cell r="E10063">
            <v>0</v>
          </cell>
          <cell r="F10063">
            <v>0</v>
          </cell>
          <cell r="G10063">
            <v>0</v>
          </cell>
        </row>
        <row r="10064">
          <cell r="A10064" t="str">
            <v>57-01-01-2523</v>
          </cell>
          <cell r="B10064">
            <v>0</v>
          </cell>
          <cell r="C10064" t="str">
            <v xml:space="preserve">  MUHAMMAD AKRAM H/FIITT R/C M #</v>
          </cell>
          <cell r="D10064">
            <v>3000</v>
          </cell>
          <cell r="E10064">
            <v>0</v>
          </cell>
          <cell r="F10064">
            <v>0</v>
          </cell>
          <cell r="G10064">
            <v>0</v>
          </cell>
        </row>
        <row r="10065">
          <cell r="A10065" t="str">
            <v>57-01-01-2524</v>
          </cell>
          <cell r="B10065">
            <v>0</v>
          </cell>
          <cell r="C10065" t="str">
            <v xml:space="preserve">  SHAKEEL AHMAD Q/OB LAB 2 M # 2</v>
          </cell>
          <cell r="D10065">
            <v>0</v>
          </cell>
          <cell r="E10065">
            <v>0</v>
          </cell>
          <cell r="F10065">
            <v>0</v>
          </cell>
          <cell r="G10065">
            <v>0</v>
          </cell>
        </row>
        <row r="10066">
          <cell r="A10066" t="str">
            <v>57-01-01-2525</v>
          </cell>
          <cell r="B10066">
            <v>0</v>
          </cell>
          <cell r="C10066" t="str">
            <v xml:space="preserve">  MUHAMMAD RIAZ ELECTRIC MILL  # 1</v>
          </cell>
          <cell r="D10066">
            <v>3000</v>
          </cell>
          <cell r="E10066">
            <v>0</v>
          </cell>
          <cell r="F10066">
            <v>0</v>
          </cell>
          <cell r="G10066">
            <v>0</v>
          </cell>
        </row>
        <row r="10067">
          <cell r="A10067" t="str">
            <v>57-01-01-2526</v>
          </cell>
          <cell r="B10067">
            <v>0</v>
          </cell>
          <cell r="C10067" t="str">
            <v xml:space="preserve">    MUHAMMAD SHEHZAD ELECTRIC MILL # 3</v>
          </cell>
          <cell r="D10067">
            <v>3000</v>
          </cell>
          <cell r="E10067">
            <v>0</v>
          </cell>
          <cell r="F10067">
            <v>0</v>
          </cell>
          <cell r="G10067">
            <v>0</v>
          </cell>
        </row>
        <row r="10068">
          <cell r="A10068" t="str">
            <v>57-01-01-2527</v>
          </cell>
          <cell r="B10068">
            <v>0</v>
          </cell>
          <cell r="C10068" t="str">
            <v xml:space="preserve">  MUHAMMAD BASHARAT ELECTRIC ENG M</v>
          </cell>
          <cell r="D10068">
            <v>16000</v>
          </cell>
          <cell r="E10068">
            <v>0</v>
          </cell>
          <cell r="F10068">
            <v>0</v>
          </cell>
          <cell r="G10068">
            <v>0</v>
          </cell>
        </row>
        <row r="10069">
          <cell r="A10069" t="str">
            <v>57-01-01-2528</v>
          </cell>
          <cell r="B10069">
            <v>0</v>
          </cell>
          <cell r="C10069" t="str">
            <v xml:space="preserve">  MUHAMMAD NADEEM H/F C/SP M # 5</v>
          </cell>
          <cell r="D10069">
            <v>3000</v>
          </cell>
          <cell r="E10069">
            <v>0</v>
          </cell>
          <cell r="F10069">
            <v>0</v>
          </cell>
          <cell r="G10069">
            <v>0</v>
          </cell>
        </row>
        <row r="10070">
          <cell r="A10070" t="str">
            <v>57-01-01-2529</v>
          </cell>
          <cell r="B10070">
            <v>0</v>
          </cell>
          <cell r="C10070" t="str">
            <v xml:space="preserve">  MUHAMMAD ARSHAD D.S.T.D/S MILL # 2</v>
          </cell>
          <cell r="D10070">
            <v>2000</v>
          </cell>
          <cell r="E10070">
            <v>0</v>
          </cell>
          <cell r="F10070">
            <v>0</v>
          </cell>
          <cell r="G10070">
            <v>0</v>
          </cell>
        </row>
        <row r="10071">
          <cell r="A10071" t="str">
            <v>57-01-01-2530</v>
          </cell>
          <cell r="B10071">
            <v>0</v>
          </cell>
          <cell r="C10071" t="str">
            <v xml:space="preserve">  MEHMOOD ALI FITT A/CONE MILL</v>
          </cell>
          <cell r="D10071">
            <v>0</v>
          </cell>
          <cell r="E10071">
            <v>0</v>
          </cell>
          <cell r="F10071">
            <v>0</v>
          </cell>
          <cell r="G10071">
            <v>0</v>
          </cell>
        </row>
        <row r="10072">
          <cell r="A10072" t="str">
            <v>57-01-01-2531</v>
          </cell>
          <cell r="B10072">
            <v>0</v>
          </cell>
          <cell r="C10072" t="str">
            <v xml:space="preserve">  GHULAM FARID S.FITT COMB MILL</v>
          </cell>
          <cell r="D10072">
            <v>3200</v>
          </cell>
          <cell r="E10072">
            <v>0</v>
          </cell>
          <cell r="F10072">
            <v>0</v>
          </cell>
          <cell r="G10072">
            <v>0</v>
          </cell>
        </row>
        <row r="10073">
          <cell r="A10073" t="str">
            <v>57-01-01-2532</v>
          </cell>
          <cell r="B10073">
            <v>0</v>
          </cell>
          <cell r="C10073" t="str">
            <v xml:space="preserve">  MIRZA KHAN L/OPT A/CONE MILL</v>
          </cell>
          <cell r="D10073">
            <v>2500</v>
          </cell>
          <cell r="E10073">
            <v>0</v>
          </cell>
          <cell r="F10073">
            <v>0</v>
          </cell>
          <cell r="G10073">
            <v>0</v>
          </cell>
        </row>
        <row r="10074">
          <cell r="A10074" t="str">
            <v>57-01-01-2533</v>
          </cell>
          <cell r="B10074">
            <v>0</v>
          </cell>
          <cell r="C10074" t="str">
            <v xml:space="preserve">  MUHAMMAD RAMZAN P/FITT MILL # 1</v>
          </cell>
          <cell r="D10074">
            <v>2000</v>
          </cell>
          <cell r="E10074">
            <v>0</v>
          </cell>
          <cell r="F10074">
            <v>0</v>
          </cell>
          <cell r="G10074">
            <v>0</v>
          </cell>
        </row>
        <row r="10075">
          <cell r="A10075" t="str">
            <v>57-01-01-2534</v>
          </cell>
          <cell r="B10075">
            <v>0</v>
          </cell>
          <cell r="C10075" t="str">
            <v xml:space="preserve">  JAVAID IQBAL COMP OPT MILL # 1</v>
          </cell>
          <cell r="D10075">
            <v>2500</v>
          </cell>
          <cell r="E10075">
            <v>0</v>
          </cell>
          <cell r="F10075">
            <v>0</v>
          </cell>
          <cell r="G10075">
            <v>0</v>
          </cell>
        </row>
        <row r="10076">
          <cell r="A10076" t="str">
            <v>57-01-01-2535</v>
          </cell>
          <cell r="B10076">
            <v>0</v>
          </cell>
          <cell r="C10076" t="str">
            <v xml:space="preserve">  MUHAMMAD NAEEM QLTY OBS LAB-3</v>
          </cell>
          <cell r="D10076">
            <v>0</v>
          </cell>
          <cell r="E10076">
            <v>0</v>
          </cell>
          <cell r="F10076">
            <v>0</v>
          </cell>
          <cell r="G10076">
            <v>0</v>
          </cell>
        </row>
        <row r="10077">
          <cell r="A10077" t="str">
            <v>57-01-01-2536</v>
          </cell>
          <cell r="B10077">
            <v>0</v>
          </cell>
          <cell r="C10077" t="str">
            <v xml:space="preserve">  MUHAMMAD AMIN H/FITT R-1 MILL</v>
          </cell>
          <cell r="D10077">
            <v>3500</v>
          </cell>
          <cell r="E10077">
            <v>0</v>
          </cell>
          <cell r="F10077">
            <v>0</v>
          </cell>
          <cell r="G10077">
            <v>0</v>
          </cell>
        </row>
        <row r="10078">
          <cell r="A10078" t="str">
            <v>57-01-01-2537</v>
          </cell>
          <cell r="B10078">
            <v>0</v>
          </cell>
          <cell r="C10078" t="str">
            <v xml:space="preserve">  ZAKARIA IJAZ A/CASHIER</v>
          </cell>
          <cell r="D10078">
            <v>3000</v>
          </cell>
          <cell r="E10078">
            <v>0</v>
          </cell>
          <cell r="F10078">
            <v>0</v>
          </cell>
          <cell r="G10078">
            <v>0</v>
          </cell>
        </row>
        <row r="10079">
          <cell r="A10079" t="str">
            <v>57-01-01-2538</v>
          </cell>
          <cell r="B10079">
            <v>0</v>
          </cell>
          <cell r="C10079" t="str">
            <v xml:space="preserve">  FARZIND ALI FITT D/S MILL # 3</v>
          </cell>
          <cell r="D10079">
            <v>3000</v>
          </cell>
          <cell r="E10079">
            <v>0</v>
          </cell>
          <cell r="F10079">
            <v>0</v>
          </cell>
          <cell r="G10079">
            <v>0</v>
          </cell>
        </row>
        <row r="10080">
          <cell r="A10080" t="str">
            <v>57-01-01-2539</v>
          </cell>
          <cell r="B10080">
            <v>0</v>
          </cell>
          <cell r="C10080" t="str">
            <v xml:space="preserve">  MUHAMMAD AKRAM OPT A/CONE</v>
          </cell>
          <cell r="D10080">
            <v>2500</v>
          </cell>
          <cell r="E10080">
            <v>0</v>
          </cell>
          <cell r="F10080">
            <v>0</v>
          </cell>
          <cell r="G10080">
            <v>0</v>
          </cell>
        </row>
        <row r="10081">
          <cell r="A10081" t="str">
            <v>57-01-01-2540</v>
          </cell>
          <cell r="B10081">
            <v>0</v>
          </cell>
          <cell r="C10081" t="str">
            <v xml:space="preserve">  GHULAM YASIN OPT A/CONE M # 2</v>
          </cell>
          <cell r="D10081">
            <v>2000</v>
          </cell>
          <cell r="E10081">
            <v>0</v>
          </cell>
          <cell r="F10081">
            <v>0</v>
          </cell>
          <cell r="G10081">
            <v>0</v>
          </cell>
        </row>
        <row r="10082">
          <cell r="A10082" t="str">
            <v>57-01-01-2541</v>
          </cell>
          <cell r="B10082">
            <v>0</v>
          </cell>
          <cell r="C10082" t="str">
            <v xml:space="preserve">  MUHAMMAD BOOTA ELECTRIC M # 1</v>
          </cell>
          <cell r="D10082">
            <v>2000</v>
          </cell>
          <cell r="E10082">
            <v>0</v>
          </cell>
          <cell r="F10082">
            <v>0</v>
          </cell>
          <cell r="G10082">
            <v>0</v>
          </cell>
        </row>
        <row r="10083">
          <cell r="A10083" t="str">
            <v>57-01-01-2542</v>
          </cell>
          <cell r="B10083">
            <v>0</v>
          </cell>
          <cell r="C10083" t="str">
            <v xml:space="preserve">  SAEED AHMED NIAZ JOB B/ROOM</v>
          </cell>
          <cell r="D10083">
            <v>4000</v>
          </cell>
          <cell r="E10083">
            <v>0</v>
          </cell>
          <cell r="F10083">
            <v>0</v>
          </cell>
          <cell r="G10083">
            <v>0</v>
          </cell>
        </row>
        <row r="10084">
          <cell r="A10084" t="str">
            <v>57-01-01-2543</v>
          </cell>
          <cell r="B10084">
            <v>0</v>
          </cell>
          <cell r="C10084" t="str">
            <v xml:space="preserve">  MUHAMMAD BOOTA 4/S R-8 MILL</v>
          </cell>
          <cell r="D10084">
            <v>2000</v>
          </cell>
          <cell r="E10084">
            <v>0</v>
          </cell>
          <cell r="F10084">
            <v>0</v>
          </cell>
          <cell r="G10084">
            <v>0</v>
          </cell>
        </row>
        <row r="10085">
          <cell r="A10085" t="str">
            <v>57-01-01-2544</v>
          </cell>
          <cell r="B10085">
            <v>0</v>
          </cell>
          <cell r="C10085" t="str">
            <v xml:space="preserve">  GHULAM FARID 4/S RING -8</v>
          </cell>
          <cell r="D10085">
            <v>2000</v>
          </cell>
          <cell r="E10085">
            <v>0</v>
          </cell>
          <cell r="F10085">
            <v>0</v>
          </cell>
          <cell r="G10085">
            <v>0</v>
          </cell>
        </row>
        <row r="10086">
          <cell r="A10086" t="str">
            <v>57-01-01-2545</v>
          </cell>
          <cell r="B10086">
            <v>0</v>
          </cell>
          <cell r="C10086" t="str">
            <v xml:space="preserve">  MOHSIN ALI A/FITT CSP MILL # 4</v>
          </cell>
          <cell r="D10086">
            <v>2000</v>
          </cell>
          <cell r="E10086">
            <v>0</v>
          </cell>
          <cell r="F10086">
            <v>0</v>
          </cell>
          <cell r="G10086">
            <v>0</v>
          </cell>
        </row>
        <row r="10087">
          <cell r="A10087" t="str">
            <v>57-01-01-2546</v>
          </cell>
          <cell r="B10087">
            <v>0</v>
          </cell>
          <cell r="C10087" t="str">
            <v xml:space="preserve">  MUHAMMAD WARIS 6/S RING 7</v>
          </cell>
          <cell r="D10087">
            <v>3000</v>
          </cell>
          <cell r="E10087">
            <v>0</v>
          </cell>
          <cell r="F10087">
            <v>0</v>
          </cell>
          <cell r="G10087">
            <v>0</v>
          </cell>
        </row>
        <row r="10088">
          <cell r="A10088" t="str">
            <v>57-01-01-2547</v>
          </cell>
          <cell r="B10088">
            <v>0</v>
          </cell>
          <cell r="C10088" t="str">
            <v xml:space="preserve">  TARIQ ZAMAN FITT D/S MILL # 2</v>
          </cell>
          <cell r="D10088">
            <v>2000</v>
          </cell>
          <cell r="E10088">
            <v>0</v>
          </cell>
          <cell r="F10088">
            <v>0</v>
          </cell>
          <cell r="G10088">
            <v>0</v>
          </cell>
        </row>
        <row r="10089">
          <cell r="A10089" t="str">
            <v>57-01-01-2548</v>
          </cell>
          <cell r="B10089">
            <v>0</v>
          </cell>
          <cell r="C10089" t="str">
            <v xml:space="preserve">  FATEH KHAN D/F R-7 MILL # 3</v>
          </cell>
          <cell r="D10089">
            <v>2000</v>
          </cell>
          <cell r="E10089">
            <v>0</v>
          </cell>
          <cell r="F10089">
            <v>0</v>
          </cell>
          <cell r="G10089">
            <v>0</v>
          </cell>
        </row>
        <row r="10090">
          <cell r="A10090" t="str">
            <v>57-01-01-2549</v>
          </cell>
          <cell r="B10090">
            <v>0</v>
          </cell>
          <cell r="C10090" t="str">
            <v xml:space="preserve">  FATEH KHAN S/C R-6 MILL # 6</v>
          </cell>
          <cell r="D10090">
            <v>6000</v>
          </cell>
          <cell r="E10090">
            <v>0</v>
          </cell>
          <cell r="F10090">
            <v>0</v>
          </cell>
          <cell r="G10090">
            <v>0</v>
          </cell>
        </row>
        <row r="10091">
          <cell r="A10091" t="str">
            <v>57-01-01-2550</v>
          </cell>
          <cell r="B10091">
            <v>0</v>
          </cell>
          <cell r="C10091" t="str">
            <v xml:space="preserve">  ABDUL JABBAR OPT A/C MILL # 3</v>
          </cell>
          <cell r="D10091">
            <v>2000</v>
          </cell>
          <cell r="E10091">
            <v>0</v>
          </cell>
          <cell r="F10091">
            <v>0</v>
          </cell>
          <cell r="G10091">
            <v>0</v>
          </cell>
        </row>
        <row r="10092">
          <cell r="A10092" t="str">
            <v>57-01-01-2551</v>
          </cell>
          <cell r="B10092">
            <v>0</v>
          </cell>
          <cell r="C10092" t="str">
            <v xml:space="preserve">  MUHAMMAD SHEHBAZ LAB SUP M # 1</v>
          </cell>
          <cell r="D10092">
            <v>3000</v>
          </cell>
          <cell r="E10092">
            <v>0</v>
          </cell>
          <cell r="F10092">
            <v>0</v>
          </cell>
          <cell r="G10092">
            <v>0</v>
          </cell>
        </row>
        <row r="10093">
          <cell r="A10093" t="str">
            <v>57-01-01-2552</v>
          </cell>
          <cell r="B10093">
            <v>0</v>
          </cell>
          <cell r="C10093" t="str">
            <v xml:space="preserve">  IMDAD HUSSAIN D/F B/ROOM M # 3</v>
          </cell>
          <cell r="D10093">
            <v>2000</v>
          </cell>
          <cell r="E10093">
            <v>0</v>
          </cell>
          <cell r="F10093">
            <v>0</v>
          </cell>
          <cell r="G10093">
            <v>0</v>
          </cell>
        </row>
        <row r="10094">
          <cell r="A10094" t="str">
            <v>57-01-01-2553</v>
          </cell>
          <cell r="B10094">
            <v>0</v>
          </cell>
          <cell r="C10094" t="str">
            <v xml:space="preserve">  HAQ NAWAZ H/JOB RING M # 7</v>
          </cell>
          <cell r="D10094">
            <v>0</v>
          </cell>
          <cell r="E10094">
            <v>0</v>
          </cell>
          <cell r="F10094">
            <v>0</v>
          </cell>
          <cell r="G10094">
            <v>0</v>
          </cell>
        </row>
        <row r="10095">
          <cell r="A10095" t="str">
            <v>57-01-01-2554</v>
          </cell>
          <cell r="B10095">
            <v>0</v>
          </cell>
          <cell r="C10095" t="str">
            <v xml:space="preserve">  MUHAMMAD TAHIR 4/S R-4 MILL # 3</v>
          </cell>
          <cell r="D10095">
            <v>2000</v>
          </cell>
          <cell r="E10095">
            <v>0</v>
          </cell>
          <cell r="F10095">
            <v>0</v>
          </cell>
          <cell r="G10095">
            <v>0</v>
          </cell>
        </row>
        <row r="10096">
          <cell r="A10096" t="str">
            <v>57-01-01-2555</v>
          </cell>
          <cell r="B10096">
            <v>0</v>
          </cell>
          <cell r="C10096" t="str">
            <v xml:space="preserve">  ZIA UR REHMAN MIXING LAB MILL</v>
          </cell>
          <cell r="D10096">
            <v>1500</v>
          </cell>
          <cell r="E10096">
            <v>0</v>
          </cell>
          <cell r="F10096">
            <v>0</v>
          </cell>
          <cell r="G10096">
            <v>0</v>
          </cell>
        </row>
        <row r="10097">
          <cell r="A10097" t="str">
            <v>57-01-01-2556</v>
          </cell>
          <cell r="B10097">
            <v>0</v>
          </cell>
          <cell r="C10097" t="str">
            <v xml:space="preserve">  NOOR NAEEM D/F B/ROOM MILL # 3</v>
          </cell>
          <cell r="D10097">
            <v>2000</v>
          </cell>
          <cell r="E10097">
            <v>0</v>
          </cell>
          <cell r="F10097">
            <v>0</v>
          </cell>
          <cell r="G10097">
            <v>0</v>
          </cell>
        </row>
        <row r="10098">
          <cell r="A10098" t="str">
            <v>57-01-01-2557</v>
          </cell>
          <cell r="B10098">
            <v>0</v>
          </cell>
          <cell r="C10098" t="str">
            <v xml:space="preserve">  MUHAMMAD AKRAM 4/S R-7 MILL # 3</v>
          </cell>
          <cell r="D10098">
            <v>2000</v>
          </cell>
          <cell r="E10098">
            <v>0</v>
          </cell>
          <cell r="F10098">
            <v>0</v>
          </cell>
          <cell r="G10098">
            <v>0</v>
          </cell>
        </row>
        <row r="10099">
          <cell r="A10099" t="str">
            <v>57-01-01-2558</v>
          </cell>
          <cell r="B10099">
            <v>0</v>
          </cell>
          <cell r="C10099" t="str">
            <v xml:space="preserve">  MUHAMMAD SHAFIQUE 4/S R-4 MI</v>
          </cell>
          <cell r="D10099">
            <v>2000</v>
          </cell>
          <cell r="E10099">
            <v>0</v>
          </cell>
          <cell r="F10099">
            <v>0</v>
          </cell>
          <cell r="G10099">
            <v>0</v>
          </cell>
        </row>
        <row r="10100">
          <cell r="A10100" t="str">
            <v>57-01-01-2559</v>
          </cell>
          <cell r="B10100">
            <v>0</v>
          </cell>
          <cell r="C10100" t="str">
            <v xml:space="preserve">  ALI HAMED D/F RING MILL #3</v>
          </cell>
          <cell r="D10100">
            <v>1500</v>
          </cell>
          <cell r="E10100">
            <v>0</v>
          </cell>
          <cell r="F10100">
            <v>0</v>
          </cell>
          <cell r="G10100">
            <v>0</v>
          </cell>
        </row>
        <row r="10101">
          <cell r="A10101" t="str">
            <v>57-01-01-2560</v>
          </cell>
          <cell r="B10101">
            <v>0</v>
          </cell>
          <cell r="C10101" t="str">
            <v xml:space="preserve">  MUHAMMAD SULTAN S.FITT MILL #</v>
          </cell>
          <cell r="D10101">
            <v>3000</v>
          </cell>
          <cell r="E10101">
            <v>0</v>
          </cell>
          <cell r="F10101">
            <v>0</v>
          </cell>
          <cell r="G10101">
            <v>0</v>
          </cell>
        </row>
        <row r="10102">
          <cell r="A10102" t="str">
            <v>57-01-01-2561</v>
          </cell>
          <cell r="B10102">
            <v>0</v>
          </cell>
          <cell r="C10102" t="str">
            <v xml:space="preserve">  MURID ABBAS A/JOB A/CONE MILL</v>
          </cell>
          <cell r="D10102">
            <v>3000</v>
          </cell>
          <cell r="E10102">
            <v>0</v>
          </cell>
          <cell r="F10102">
            <v>0</v>
          </cell>
          <cell r="G10102">
            <v>0</v>
          </cell>
        </row>
        <row r="10103">
          <cell r="A10103" t="str">
            <v>57-01-01-2562</v>
          </cell>
          <cell r="B10103">
            <v>0</v>
          </cell>
          <cell r="C10103" t="str">
            <v xml:space="preserve">  TAHIR ABBAS 4/S RING-8 MILL # 4</v>
          </cell>
          <cell r="D10103">
            <v>2000</v>
          </cell>
          <cell r="E10103">
            <v>0</v>
          </cell>
          <cell r="F10103">
            <v>0</v>
          </cell>
          <cell r="G10103">
            <v>0</v>
          </cell>
        </row>
        <row r="10104">
          <cell r="A10104" t="str">
            <v>57-01-01-2563</v>
          </cell>
          <cell r="B10104">
            <v>0</v>
          </cell>
          <cell r="C10104" t="str">
            <v xml:space="preserve">  MUHAMMAD SAJID A/FITT R-3 M # 2</v>
          </cell>
          <cell r="D10104">
            <v>2500</v>
          </cell>
          <cell r="E10104">
            <v>0</v>
          </cell>
          <cell r="F10104">
            <v>0</v>
          </cell>
          <cell r="G10104">
            <v>0</v>
          </cell>
        </row>
        <row r="10105">
          <cell r="A10105" t="str">
            <v>57-01-01-2564</v>
          </cell>
          <cell r="B10105">
            <v>0</v>
          </cell>
          <cell r="C10105" t="str">
            <v xml:space="preserve">  GHULAM QADIR HELP R-8 MILL</v>
          </cell>
          <cell r="D10105">
            <v>2000</v>
          </cell>
          <cell r="E10105">
            <v>0</v>
          </cell>
          <cell r="F10105">
            <v>0</v>
          </cell>
          <cell r="G10105">
            <v>0</v>
          </cell>
        </row>
        <row r="10106">
          <cell r="A10106" t="str">
            <v>57-01-01-2565</v>
          </cell>
          <cell r="B10106">
            <v>0</v>
          </cell>
          <cell r="C10106" t="str">
            <v xml:space="preserve">  MUHAMMAD HASNAIN B/ROOM M # 1</v>
          </cell>
          <cell r="D10106">
            <v>0</v>
          </cell>
          <cell r="E10106">
            <v>0</v>
          </cell>
          <cell r="F10106">
            <v>0</v>
          </cell>
          <cell r="G10106">
            <v>0</v>
          </cell>
        </row>
        <row r="10107">
          <cell r="A10107" t="str">
            <v>57-01-01-2566</v>
          </cell>
          <cell r="B10107">
            <v>0</v>
          </cell>
          <cell r="C10107" t="str">
            <v xml:space="preserve">  YAQOOB C.T CARDING MILL # 2</v>
          </cell>
          <cell r="D10107">
            <v>2000</v>
          </cell>
          <cell r="E10107">
            <v>0</v>
          </cell>
          <cell r="F10107">
            <v>0</v>
          </cell>
          <cell r="G10107">
            <v>0</v>
          </cell>
        </row>
        <row r="10108">
          <cell r="A10108" t="str">
            <v>57-01-01-2567</v>
          </cell>
          <cell r="B10108">
            <v>0</v>
          </cell>
          <cell r="C10108" t="str">
            <v xml:space="preserve">  SADAQAT HAYAT 4/S R-7 MILL # 3</v>
          </cell>
          <cell r="D10108">
            <v>2500</v>
          </cell>
          <cell r="E10108">
            <v>0</v>
          </cell>
          <cell r="F10108">
            <v>0</v>
          </cell>
          <cell r="G10108">
            <v>0</v>
          </cell>
        </row>
        <row r="10109">
          <cell r="A10109" t="str">
            <v>57-01-01-2568</v>
          </cell>
          <cell r="B10109">
            <v>0</v>
          </cell>
          <cell r="C10109" t="str">
            <v xml:space="preserve">  JAVAID IQBAL OPT A/CONE MILL</v>
          </cell>
          <cell r="D10109">
            <v>2500</v>
          </cell>
          <cell r="E10109">
            <v>0</v>
          </cell>
          <cell r="F10109">
            <v>0</v>
          </cell>
          <cell r="G10109">
            <v>0</v>
          </cell>
        </row>
        <row r="10110">
          <cell r="A10110" t="str">
            <v>57-01-01-2569</v>
          </cell>
          <cell r="B10110">
            <v>0</v>
          </cell>
          <cell r="C10110" t="str">
            <v xml:space="preserve">  ASGHAR OPT A/CONE MILL # 2</v>
          </cell>
          <cell r="D10110">
            <v>2500</v>
          </cell>
          <cell r="E10110">
            <v>0</v>
          </cell>
          <cell r="F10110">
            <v>0</v>
          </cell>
          <cell r="G10110">
            <v>0</v>
          </cell>
        </row>
        <row r="10111">
          <cell r="A10111" t="str">
            <v>57-01-01-2570</v>
          </cell>
          <cell r="B10111">
            <v>0</v>
          </cell>
          <cell r="C10111" t="str">
            <v xml:space="preserve">  SHAHADAT ALI OPT A/CONE MILL # 2</v>
          </cell>
          <cell r="D10111">
            <v>2500</v>
          </cell>
          <cell r="E10111">
            <v>0</v>
          </cell>
          <cell r="F10111">
            <v>0</v>
          </cell>
          <cell r="G10111">
            <v>0</v>
          </cell>
        </row>
        <row r="10112">
          <cell r="A10112" t="str">
            <v>57-01-01-2571</v>
          </cell>
          <cell r="B10112">
            <v>0</v>
          </cell>
          <cell r="C10112" t="str">
            <v xml:space="preserve">  MUHAMMAD ARSHAD 4/S R-8 MILL</v>
          </cell>
          <cell r="D10112">
            <v>2000</v>
          </cell>
          <cell r="E10112">
            <v>0</v>
          </cell>
          <cell r="F10112">
            <v>0</v>
          </cell>
          <cell r="G10112">
            <v>0</v>
          </cell>
        </row>
        <row r="10113">
          <cell r="A10113" t="str">
            <v>57-01-01-2572</v>
          </cell>
          <cell r="B10113">
            <v>0</v>
          </cell>
          <cell r="C10113" t="str">
            <v xml:space="preserve">  TANVIR AHMED S.A FORMAN D/S</v>
          </cell>
          <cell r="D10113">
            <v>2000</v>
          </cell>
          <cell r="E10113">
            <v>0</v>
          </cell>
          <cell r="F10113">
            <v>0</v>
          </cell>
          <cell r="G10113">
            <v>0</v>
          </cell>
        </row>
        <row r="10114">
          <cell r="A10114" t="str">
            <v>57-01-01-2573</v>
          </cell>
          <cell r="B10114">
            <v>0</v>
          </cell>
          <cell r="C10114" t="str">
            <v xml:space="preserve">  ASHIQ HUSSAIN JOB B/ROOM MILL</v>
          </cell>
          <cell r="D10114">
            <v>5000</v>
          </cell>
          <cell r="E10114">
            <v>0</v>
          </cell>
          <cell r="F10114">
            <v>0</v>
          </cell>
          <cell r="G10114">
            <v>0</v>
          </cell>
        </row>
        <row r="10115">
          <cell r="A10115" t="str">
            <v>57-01-01-2574</v>
          </cell>
          <cell r="B10115">
            <v>0</v>
          </cell>
          <cell r="C10115" t="str">
            <v xml:space="preserve">  NOOR HASSAN DST D/S MILL # 4</v>
          </cell>
          <cell r="D10115">
            <v>2000</v>
          </cell>
          <cell r="E10115">
            <v>0</v>
          </cell>
          <cell r="F10115">
            <v>0</v>
          </cell>
          <cell r="G10115">
            <v>0</v>
          </cell>
        </row>
        <row r="10116">
          <cell r="A10116" t="str">
            <v>57-01-01-2575</v>
          </cell>
          <cell r="B10116">
            <v>0</v>
          </cell>
          <cell r="C10116" t="str">
            <v xml:space="preserve">  JAVAID AHMED 4/S RING MILL # 7</v>
          </cell>
          <cell r="D10116">
            <v>2000</v>
          </cell>
          <cell r="E10116">
            <v>0</v>
          </cell>
          <cell r="F10116">
            <v>0</v>
          </cell>
          <cell r="G10116">
            <v>0</v>
          </cell>
        </row>
        <row r="10117">
          <cell r="A10117" t="str">
            <v>57-01-01-2576</v>
          </cell>
          <cell r="B10117">
            <v>0</v>
          </cell>
          <cell r="C10117" t="str">
            <v xml:space="preserve">  MUHAMMAD QASIM D.S.T. D/S MILL</v>
          </cell>
          <cell r="D10117">
            <v>2000</v>
          </cell>
          <cell r="E10117">
            <v>0</v>
          </cell>
          <cell r="F10117">
            <v>0</v>
          </cell>
          <cell r="G10117">
            <v>0</v>
          </cell>
        </row>
        <row r="10118">
          <cell r="A10118" t="str">
            <v>57-01-01-2577</v>
          </cell>
          <cell r="B10118">
            <v>0</v>
          </cell>
          <cell r="C10118" t="str">
            <v xml:space="preserve">  BABAR ALMAS JOB CARDING MILL #</v>
          </cell>
          <cell r="D10118">
            <v>5000</v>
          </cell>
          <cell r="E10118">
            <v>0</v>
          </cell>
          <cell r="F10118">
            <v>0</v>
          </cell>
          <cell r="G10118">
            <v>0</v>
          </cell>
        </row>
        <row r="10119">
          <cell r="A10119" t="str">
            <v>57-01-01-2578</v>
          </cell>
          <cell r="B10119">
            <v>0</v>
          </cell>
          <cell r="C10119" t="str">
            <v xml:space="preserve">  TARIQ ZAMAN HELPER R/C MILL # 4</v>
          </cell>
          <cell r="D10119">
            <v>2000</v>
          </cell>
          <cell r="E10119">
            <v>0</v>
          </cell>
          <cell r="F10119">
            <v>0</v>
          </cell>
          <cell r="G10119">
            <v>0</v>
          </cell>
        </row>
        <row r="10120">
          <cell r="A10120" t="str">
            <v>57-01-01-2579</v>
          </cell>
          <cell r="B10120">
            <v>0</v>
          </cell>
          <cell r="C10120" t="str">
            <v xml:space="preserve">  TARIQ (MANAGER MAINTENANCE)</v>
          </cell>
          <cell r="D10120">
            <v>48611</v>
          </cell>
          <cell r="E10120">
            <v>0</v>
          </cell>
          <cell r="F10120">
            <v>0</v>
          </cell>
          <cell r="G10120">
            <v>0</v>
          </cell>
        </row>
        <row r="10121">
          <cell r="A10121" t="str">
            <v>57-01-01-2580</v>
          </cell>
          <cell r="B10121">
            <v>0</v>
          </cell>
          <cell r="C10121" t="str">
            <v xml:space="preserve">  ROBERT (MANAGER OPERATIONS)</v>
          </cell>
          <cell r="D10121">
            <v>48611</v>
          </cell>
          <cell r="E10121">
            <v>0</v>
          </cell>
          <cell r="F10121">
            <v>0</v>
          </cell>
          <cell r="G10121">
            <v>0</v>
          </cell>
        </row>
        <row r="10122">
          <cell r="A10122" t="str">
            <v>57-01-01-2581</v>
          </cell>
          <cell r="B10122">
            <v>0</v>
          </cell>
          <cell r="C10122" t="str">
            <v xml:space="preserve">  MUHAMMAD IMRAN D/F-R1</v>
          </cell>
          <cell r="D10122">
            <v>48611</v>
          </cell>
          <cell r="E10122">
            <v>0</v>
          </cell>
          <cell r="F10122">
            <v>0</v>
          </cell>
          <cell r="G10122">
            <v>0</v>
          </cell>
        </row>
        <row r="10123">
          <cell r="A10123" t="str">
            <v>57-01-01-2582</v>
          </cell>
          <cell r="B10123">
            <v>0</v>
          </cell>
          <cell r="C10123" t="str">
            <v xml:space="preserve">  SHABBIR (ELECTRICAL ENGINEER)</v>
          </cell>
          <cell r="D10123">
            <v>48611</v>
          </cell>
          <cell r="E10123">
            <v>0</v>
          </cell>
          <cell r="F10123">
            <v>0</v>
          </cell>
          <cell r="G10123">
            <v>0</v>
          </cell>
        </row>
        <row r="10124">
          <cell r="A10124" t="str">
            <v>57-01-01-2583</v>
          </cell>
          <cell r="B10124">
            <v>0</v>
          </cell>
          <cell r="C10124" t="str">
            <v xml:space="preserve">  IJAZ AHMED OPT A/CONE</v>
          </cell>
          <cell r="D10124">
            <v>2500</v>
          </cell>
          <cell r="E10124">
            <v>0</v>
          </cell>
          <cell r="F10124">
            <v>0</v>
          </cell>
          <cell r="G10124">
            <v>0</v>
          </cell>
        </row>
        <row r="10125">
          <cell r="A10125" t="str">
            <v>57-01-01-2584</v>
          </cell>
          <cell r="B10125">
            <v>0</v>
          </cell>
          <cell r="C10125" t="str">
            <v xml:space="preserve">  MUHAMMAD AKRAM D/F D/S MILL #</v>
          </cell>
          <cell r="D10125">
            <v>2000</v>
          </cell>
          <cell r="E10125">
            <v>0</v>
          </cell>
          <cell r="F10125">
            <v>0</v>
          </cell>
          <cell r="G10125">
            <v>0</v>
          </cell>
        </row>
        <row r="10126">
          <cell r="A10126" t="str">
            <v>57-01-01-2585</v>
          </cell>
          <cell r="B10126">
            <v>0</v>
          </cell>
          <cell r="C10126" t="str">
            <v xml:space="preserve">  DILDAR ALI HELPER R-8</v>
          </cell>
          <cell r="D10126">
            <v>1200</v>
          </cell>
          <cell r="E10126">
            <v>0</v>
          </cell>
          <cell r="F10126">
            <v>0</v>
          </cell>
          <cell r="G10126">
            <v>0</v>
          </cell>
        </row>
        <row r="10127">
          <cell r="A10127" t="str">
            <v>57-01-01-2586</v>
          </cell>
          <cell r="B10127">
            <v>0</v>
          </cell>
          <cell r="C10127" t="str">
            <v xml:space="preserve">  QAISER HUSSAIN 4/S R-1</v>
          </cell>
          <cell r="D10127">
            <v>4000</v>
          </cell>
          <cell r="E10127">
            <v>0</v>
          </cell>
          <cell r="F10127">
            <v>0</v>
          </cell>
          <cell r="G10127">
            <v>0</v>
          </cell>
        </row>
        <row r="10128">
          <cell r="A10128" t="str">
            <v>57-01-01-2587</v>
          </cell>
          <cell r="B10128">
            <v>0</v>
          </cell>
          <cell r="C10128" t="str">
            <v xml:space="preserve">  MUHAMMAD IMRAN D/F R-1</v>
          </cell>
          <cell r="D10128">
            <v>2000</v>
          </cell>
          <cell r="E10128">
            <v>0</v>
          </cell>
          <cell r="F10128">
            <v>0</v>
          </cell>
          <cell r="G10128">
            <v>0</v>
          </cell>
        </row>
        <row r="10129">
          <cell r="A10129" t="str">
            <v>57-01-01-2588</v>
          </cell>
          <cell r="B10129">
            <v>0</v>
          </cell>
          <cell r="C10129" t="str">
            <v xml:space="preserve">  MUSHTAQ AHMED EXCISE ASSISTANT</v>
          </cell>
          <cell r="D10129">
            <v>8000</v>
          </cell>
          <cell r="E10129">
            <v>0</v>
          </cell>
          <cell r="F10129">
            <v>0</v>
          </cell>
          <cell r="G10129">
            <v>0</v>
          </cell>
        </row>
        <row r="10130">
          <cell r="A10130" t="str">
            <v>57-01-01-2589</v>
          </cell>
          <cell r="B10130">
            <v>0</v>
          </cell>
          <cell r="C10130" t="str">
            <v xml:space="preserve">  HABIB KHAN JOB RING MILL # 6</v>
          </cell>
          <cell r="D10130">
            <v>6000</v>
          </cell>
          <cell r="E10130">
            <v>0</v>
          </cell>
          <cell r="F10130">
            <v>0</v>
          </cell>
          <cell r="G10130">
            <v>0</v>
          </cell>
        </row>
        <row r="10131">
          <cell r="A10131" t="str">
            <v>57-01-01-2590</v>
          </cell>
          <cell r="B10131">
            <v>0</v>
          </cell>
          <cell r="C10131" t="str">
            <v xml:space="preserve">  SHAKEEL KHAN A/CASHIER</v>
          </cell>
          <cell r="D10131">
            <v>6000</v>
          </cell>
          <cell r="E10131">
            <v>0</v>
          </cell>
          <cell r="F10131">
            <v>0</v>
          </cell>
          <cell r="G10131">
            <v>0</v>
          </cell>
        </row>
        <row r="10132">
          <cell r="A10132" t="str">
            <v>57-01-01-2591</v>
          </cell>
          <cell r="B10132">
            <v>0</v>
          </cell>
          <cell r="C10132" t="str">
            <v xml:space="preserve">  ZAFAR IQBAL JOB A/CONE MILL # 7</v>
          </cell>
          <cell r="D10132">
            <v>8000</v>
          </cell>
          <cell r="E10132">
            <v>0</v>
          </cell>
          <cell r="F10132">
            <v>0</v>
          </cell>
          <cell r="G10132">
            <v>0</v>
          </cell>
        </row>
        <row r="10133">
          <cell r="A10133" t="str">
            <v>57-01-01-2592</v>
          </cell>
          <cell r="B10133">
            <v>0</v>
          </cell>
          <cell r="C10133" t="str">
            <v xml:space="preserve">  MEHMOOD AKHATAR 4/S R-7 M # 3</v>
          </cell>
          <cell r="D10133">
            <v>4000</v>
          </cell>
          <cell r="E10133">
            <v>0</v>
          </cell>
          <cell r="F10133">
            <v>0</v>
          </cell>
          <cell r="G10133">
            <v>0</v>
          </cell>
        </row>
        <row r="10134">
          <cell r="A10134" t="str">
            <v>57-01-01-2593</v>
          </cell>
          <cell r="B10134">
            <v>0</v>
          </cell>
          <cell r="C10134" t="str">
            <v xml:space="preserve">  SALEEM SHEHZAD SENIOR TM MILL # 3</v>
          </cell>
          <cell r="D10134">
            <v>0</v>
          </cell>
          <cell r="E10134">
            <v>0</v>
          </cell>
          <cell r="F10134">
            <v>0</v>
          </cell>
          <cell r="G10134">
            <v>0</v>
          </cell>
        </row>
        <row r="10135">
          <cell r="A10135" t="str">
            <v>57-01-01-2594</v>
          </cell>
          <cell r="B10135">
            <v>0</v>
          </cell>
          <cell r="C10135" t="str">
            <v xml:space="preserve">  MUHAMMAD ZAHID HELPER R-6 M # 1</v>
          </cell>
          <cell r="D10135">
            <v>4000</v>
          </cell>
          <cell r="E10135">
            <v>0</v>
          </cell>
          <cell r="F10135">
            <v>0</v>
          </cell>
          <cell r="G10135">
            <v>0</v>
          </cell>
        </row>
        <row r="10136">
          <cell r="A10136" t="str">
            <v>57-01-01-2595</v>
          </cell>
          <cell r="B10136">
            <v>0</v>
          </cell>
          <cell r="C10136" t="str">
            <v xml:space="preserve">  SAKHI JAN OPT A/CONE MILL # 2</v>
          </cell>
          <cell r="D10136">
            <v>5000</v>
          </cell>
          <cell r="E10136">
            <v>0</v>
          </cell>
          <cell r="F10136">
            <v>0</v>
          </cell>
          <cell r="G10136">
            <v>0</v>
          </cell>
        </row>
        <row r="10137">
          <cell r="A10137" t="str">
            <v>57-01-01-2596</v>
          </cell>
          <cell r="B10137">
            <v>0</v>
          </cell>
          <cell r="C10137" t="str">
            <v xml:space="preserve">  MUHAMMAD SAJJAD 4/S R-3 M # 2</v>
          </cell>
          <cell r="D10137">
            <v>4000</v>
          </cell>
          <cell r="E10137">
            <v>0</v>
          </cell>
          <cell r="F10137">
            <v>0</v>
          </cell>
          <cell r="G10137">
            <v>0</v>
          </cell>
        </row>
        <row r="10138">
          <cell r="A10138" t="str">
            <v>57-01-01-2597</v>
          </cell>
          <cell r="B10138">
            <v>0</v>
          </cell>
          <cell r="C10138" t="str">
            <v xml:space="preserve">  MUHAMMAD FAYYAZ JOB MILL # 1</v>
          </cell>
          <cell r="D10138">
            <v>0</v>
          </cell>
          <cell r="E10138">
            <v>0</v>
          </cell>
          <cell r="F10138">
            <v>0</v>
          </cell>
          <cell r="G10138">
            <v>0</v>
          </cell>
        </row>
        <row r="10139">
          <cell r="A10139" t="str">
            <v>57-01-01-2598</v>
          </cell>
          <cell r="B10139">
            <v>0</v>
          </cell>
          <cell r="C10139" t="str">
            <v xml:space="preserve">  GHULAM FARID JOB D.S.MILL # 7</v>
          </cell>
          <cell r="D10139">
            <v>8000</v>
          </cell>
          <cell r="E10139">
            <v>0</v>
          </cell>
          <cell r="F10139">
            <v>0</v>
          </cell>
          <cell r="G10139">
            <v>0</v>
          </cell>
        </row>
        <row r="10140">
          <cell r="A10140" t="str">
            <v>57-01-01-2599</v>
          </cell>
          <cell r="B10140">
            <v>0</v>
          </cell>
          <cell r="C10140" t="str">
            <v xml:space="preserve">  MUHAMMAD RAFIQUE B/ROOM MILL # 6</v>
          </cell>
          <cell r="D10140">
            <v>8000</v>
          </cell>
          <cell r="E10140">
            <v>0</v>
          </cell>
          <cell r="F10140">
            <v>0</v>
          </cell>
          <cell r="G10140">
            <v>0</v>
          </cell>
        </row>
        <row r="10141">
          <cell r="A10141" t="str">
            <v>57-01-01-2600</v>
          </cell>
          <cell r="B10141">
            <v>0</v>
          </cell>
          <cell r="C10141" t="str">
            <v xml:space="preserve">  TARIQ MEHMOOD 4/S RING MILL</v>
          </cell>
          <cell r="D10141">
            <v>4000</v>
          </cell>
          <cell r="E10141">
            <v>0</v>
          </cell>
          <cell r="F10141">
            <v>0</v>
          </cell>
          <cell r="G10141">
            <v>0</v>
          </cell>
        </row>
        <row r="10142">
          <cell r="A10142" t="str">
            <v>57-01-01-2601</v>
          </cell>
          <cell r="B10142">
            <v>0</v>
          </cell>
          <cell r="C10142" t="str">
            <v xml:space="preserve">  ABDUL KHALIQ H/FITT R-7 MILL</v>
          </cell>
          <cell r="D10142">
            <v>8000</v>
          </cell>
          <cell r="E10142">
            <v>0</v>
          </cell>
          <cell r="F10142">
            <v>0</v>
          </cell>
          <cell r="G10142">
            <v>0</v>
          </cell>
        </row>
        <row r="10143">
          <cell r="A10143" t="str">
            <v>57-01-01-2602</v>
          </cell>
          <cell r="B10143">
            <v>0</v>
          </cell>
          <cell r="C10143" t="str">
            <v xml:space="preserve">  JAVAID IQBAL L/OPT C/SP MILL</v>
          </cell>
          <cell r="D10143">
            <v>4600</v>
          </cell>
          <cell r="E10143">
            <v>0</v>
          </cell>
          <cell r="F10143">
            <v>0</v>
          </cell>
          <cell r="G10143">
            <v>0</v>
          </cell>
        </row>
        <row r="10144">
          <cell r="A10144" t="str">
            <v>57-01-01-2603</v>
          </cell>
          <cell r="B10144">
            <v>0</v>
          </cell>
          <cell r="C10144" t="str">
            <v xml:space="preserve">  SAJID MEHMOOD FITT RING MILL</v>
          </cell>
          <cell r="D10144">
            <v>4000</v>
          </cell>
          <cell r="E10144">
            <v>0</v>
          </cell>
          <cell r="F10144">
            <v>0</v>
          </cell>
          <cell r="G10144">
            <v>0</v>
          </cell>
        </row>
        <row r="10145">
          <cell r="A10145" t="str">
            <v>57-01-01-2604</v>
          </cell>
          <cell r="B10145">
            <v>0</v>
          </cell>
          <cell r="C10145" t="str">
            <v xml:space="preserve">  MUHAMMAD WAQAR DDT D/S M # 2</v>
          </cell>
          <cell r="D10145">
            <v>4000</v>
          </cell>
          <cell r="E10145">
            <v>0</v>
          </cell>
          <cell r="F10145">
            <v>0</v>
          </cell>
          <cell r="G10145">
            <v>0</v>
          </cell>
        </row>
        <row r="10146">
          <cell r="A10146" t="str">
            <v>57-01-01-2605</v>
          </cell>
          <cell r="B10146">
            <v>0</v>
          </cell>
          <cell r="C10146" t="str">
            <v xml:space="preserve">  MUHAMMAD NADEEM OIL MAN R- 4</v>
          </cell>
          <cell r="D10146">
            <v>5000</v>
          </cell>
          <cell r="E10146">
            <v>0</v>
          </cell>
          <cell r="F10146">
            <v>0</v>
          </cell>
          <cell r="G10146">
            <v>0</v>
          </cell>
        </row>
        <row r="10147">
          <cell r="A10147" t="str">
            <v>57-01-01-2606</v>
          </cell>
          <cell r="B10147">
            <v>0</v>
          </cell>
          <cell r="C10147" t="str">
            <v xml:space="preserve">  MUHAMMAD FAROOQ SHIFT INCH M # 7</v>
          </cell>
          <cell r="D10147">
            <v>10000</v>
          </cell>
          <cell r="E10147">
            <v>0</v>
          </cell>
          <cell r="F10147">
            <v>0</v>
          </cell>
          <cell r="G10147">
            <v>0</v>
          </cell>
        </row>
        <row r="10148">
          <cell r="A10148" t="str">
            <v>57-01-01-2607</v>
          </cell>
          <cell r="B10148">
            <v>0</v>
          </cell>
          <cell r="C10148" t="str">
            <v xml:space="preserve">  AMJAD JAVAID L/OPT C/SP MILL</v>
          </cell>
          <cell r="D10148">
            <v>4600</v>
          </cell>
          <cell r="E10148">
            <v>0</v>
          </cell>
          <cell r="F10148">
            <v>0</v>
          </cell>
          <cell r="G10148">
            <v>0</v>
          </cell>
        </row>
        <row r="10149">
          <cell r="A10149" t="str">
            <v>57-01-01-2608</v>
          </cell>
          <cell r="B10149">
            <v>0</v>
          </cell>
          <cell r="C10149" t="str">
            <v xml:space="preserve">  ABDUL MAJEED UST/OPT MILL # 3</v>
          </cell>
          <cell r="D10149">
            <v>4000</v>
          </cell>
          <cell r="E10149">
            <v>0</v>
          </cell>
          <cell r="F10149">
            <v>0</v>
          </cell>
          <cell r="G10149">
            <v>0</v>
          </cell>
        </row>
        <row r="10150">
          <cell r="A10150" t="str">
            <v>57-01-01-2609</v>
          </cell>
          <cell r="B10150">
            <v>0</v>
          </cell>
          <cell r="C10150" t="str">
            <v xml:space="preserve">  MUHAMMAD SAEED OPT A/C</v>
          </cell>
          <cell r="D10150">
            <v>5000</v>
          </cell>
          <cell r="E10150">
            <v>0</v>
          </cell>
          <cell r="F10150">
            <v>0</v>
          </cell>
          <cell r="G10150">
            <v>0</v>
          </cell>
        </row>
        <row r="10151">
          <cell r="A10151" t="str">
            <v>57-01-01-2610</v>
          </cell>
          <cell r="B10151">
            <v>0</v>
          </cell>
          <cell r="C10151" t="str">
            <v xml:space="preserve">  MUHAMMAD TANVIR 4/S MILL # 1</v>
          </cell>
          <cell r="D10151">
            <v>4000</v>
          </cell>
          <cell r="E10151">
            <v>0</v>
          </cell>
          <cell r="F10151">
            <v>0</v>
          </cell>
          <cell r="G10151">
            <v>0</v>
          </cell>
        </row>
        <row r="10152">
          <cell r="A10152" t="str">
            <v>57-01-01-2611</v>
          </cell>
          <cell r="B10152">
            <v>0</v>
          </cell>
          <cell r="C10152" t="str">
            <v xml:space="preserve">  ISHTIAQ AHMED HELP R- 4 M # 2</v>
          </cell>
          <cell r="D10152">
            <v>4000</v>
          </cell>
          <cell r="E10152">
            <v>0</v>
          </cell>
          <cell r="F10152">
            <v>0</v>
          </cell>
          <cell r="G10152">
            <v>0</v>
          </cell>
        </row>
        <row r="10153">
          <cell r="A10153" t="str">
            <v>57-01-01-2612</v>
          </cell>
          <cell r="B10153">
            <v>0</v>
          </cell>
          <cell r="C10153" t="str">
            <v xml:space="preserve">  MUHAMMAD ISHTIAQ JOB B/ROOM MILL</v>
          </cell>
          <cell r="D10153">
            <v>6600</v>
          </cell>
          <cell r="E10153">
            <v>0</v>
          </cell>
          <cell r="F10153">
            <v>0</v>
          </cell>
          <cell r="G10153">
            <v>0</v>
          </cell>
        </row>
        <row r="10154">
          <cell r="A10154" t="str">
            <v>57-01-01-2613</v>
          </cell>
          <cell r="B10154">
            <v>0</v>
          </cell>
          <cell r="C10154" t="str">
            <v xml:space="preserve">  ABDUL HAKEEM JOB R-6</v>
          </cell>
          <cell r="D10154">
            <v>8000</v>
          </cell>
          <cell r="E10154">
            <v>0</v>
          </cell>
          <cell r="F10154">
            <v>0</v>
          </cell>
          <cell r="G10154">
            <v>0</v>
          </cell>
        </row>
        <row r="10155">
          <cell r="A10155" t="str">
            <v>57-01-01-2614</v>
          </cell>
          <cell r="B10155">
            <v>0</v>
          </cell>
          <cell r="C10155" t="str">
            <v xml:space="preserve">  ZULFIQAR ALI A/FITT R- 2</v>
          </cell>
          <cell r="D10155">
            <v>4000</v>
          </cell>
          <cell r="E10155">
            <v>0</v>
          </cell>
          <cell r="F10155">
            <v>0</v>
          </cell>
          <cell r="G10155">
            <v>0</v>
          </cell>
        </row>
        <row r="10156">
          <cell r="A10156" t="str">
            <v>57-01-01-2615</v>
          </cell>
          <cell r="B10156">
            <v>0</v>
          </cell>
          <cell r="C10156" t="str">
            <v xml:space="preserve">  ALTAF JUSSAIN 4/S R-6 MILL # 4</v>
          </cell>
          <cell r="D10156">
            <v>3000</v>
          </cell>
          <cell r="E10156">
            <v>0</v>
          </cell>
          <cell r="F10156">
            <v>0</v>
          </cell>
          <cell r="G10156">
            <v>0</v>
          </cell>
        </row>
        <row r="10157">
          <cell r="A10157" t="str">
            <v>57-01-01-2616</v>
          </cell>
          <cell r="B10157">
            <v>0</v>
          </cell>
          <cell r="C10157" t="str">
            <v xml:space="preserve">  AKBAR HAYAT HELP A/CONE</v>
          </cell>
          <cell r="D10157">
            <v>4000</v>
          </cell>
          <cell r="E10157">
            <v>0</v>
          </cell>
          <cell r="F10157">
            <v>0</v>
          </cell>
          <cell r="G10157">
            <v>0</v>
          </cell>
        </row>
        <row r="10158">
          <cell r="A10158" t="str">
            <v>57-01-01-2617</v>
          </cell>
          <cell r="B10158">
            <v>0</v>
          </cell>
          <cell r="C10158" t="str">
            <v xml:space="preserve">  AKHTAR ALI S.FITT CARD MILL # 2</v>
          </cell>
          <cell r="D10158">
            <v>6000</v>
          </cell>
          <cell r="E10158">
            <v>0</v>
          </cell>
          <cell r="F10158">
            <v>0</v>
          </cell>
          <cell r="G10158">
            <v>0</v>
          </cell>
        </row>
        <row r="10159">
          <cell r="A10159" t="str">
            <v>57-01-01-2618</v>
          </cell>
          <cell r="B10159">
            <v>0</v>
          </cell>
          <cell r="C10159" t="str">
            <v xml:space="preserve">  TARIQ MEHMOOD OPT A/CONE MILL</v>
          </cell>
          <cell r="D10159">
            <v>5000</v>
          </cell>
          <cell r="E10159">
            <v>0</v>
          </cell>
          <cell r="F10159">
            <v>0</v>
          </cell>
          <cell r="G10159">
            <v>0</v>
          </cell>
        </row>
        <row r="10160">
          <cell r="A10160" t="str">
            <v>57-01-01-2619</v>
          </cell>
          <cell r="B10160">
            <v>0</v>
          </cell>
          <cell r="C10160" t="str">
            <v xml:space="preserve">  GHULAM RABBANI DDT A/CONE M # 6</v>
          </cell>
          <cell r="D10160">
            <v>3000</v>
          </cell>
          <cell r="E10160">
            <v>0</v>
          </cell>
          <cell r="F10160">
            <v>0</v>
          </cell>
          <cell r="G10160">
            <v>0</v>
          </cell>
        </row>
        <row r="10161">
          <cell r="A10161" t="str">
            <v>57-01-01-2620</v>
          </cell>
          <cell r="B10161">
            <v>0</v>
          </cell>
          <cell r="C10161" t="str">
            <v xml:space="preserve">  NOOR MUHAMMAD D/F R-6 MILL # 1</v>
          </cell>
          <cell r="D10161">
            <v>4000</v>
          </cell>
          <cell r="E10161">
            <v>0</v>
          </cell>
          <cell r="F10161">
            <v>0</v>
          </cell>
          <cell r="G10161">
            <v>0</v>
          </cell>
        </row>
        <row r="10162">
          <cell r="A10162" t="str">
            <v>57-01-01-2621</v>
          </cell>
          <cell r="B10162">
            <v>0</v>
          </cell>
          <cell r="C10162" t="str">
            <v xml:space="preserve">  MUHAMMAD ARIF OPT A/CONE MILL # 1</v>
          </cell>
          <cell r="D10162">
            <v>5000</v>
          </cell>
          <cell r="E10162">
            <v>0</v>
          </cell>
          <cell r="F10162">
            <v>0</v>
          </cell>
          <cell r="G10162">
            <v>0</v>
          </cell>
        </row>
        <row r="10163">
          <cell r="A10163" t="str">
            <v>57-01-01-2622</v>
          </cell>
          <cell r="B10163">
            <v>0</v>
          </cell>
          <cell r="C10163" t="str">
            <v xml:space="preserve">  SHAHDAT ALI A/FOREMAN  MILL # 4</v>
          </cell>
          <cell r="D10163">
            <v>0</v>
          </cell>
          <cell r="E10163">
            <v>0</v>
          </cell>
          <cell r="F10163">
            <v>0</v>
          </cell>
          <cell r="G10163">
            <v>0</v>
          </cell>
        </row>
        <row r="10164">
          <cell r="A10164" t="str">
            <v>57-01-01-2623</v>
          </cell>
          <cell r="B10164">
            <v>0</v>
          </cell>
          <cell r="C10164" t="str">
            <v xml:space="preserve">  NAZAR HUSSAIN L/OPT A/CONE</v>
          </cell>
          <cell r="D10164">
            <v>4800</v>
          </cell>
          <cell r="E10164">
            <v>0</v>
          </cell>
          <cell r="F10164">
            <v>0</v>
          </cell>
          <cell r="G10164">
            <v>0</v>
          </cell>
        </row>
        <row r="10165">
          <cell r="A10165" t="str">
            <v>57-01-01-2625</v>
          </cell>
          <cell r="B10165">
            <v>0</v>
          </cell>
          <cell r="C10165" t="str">
            <v xml:space="preserve">  RAEES SHEHZAD L/OPT A/CONE</v>
          </cell>
          <cell r="D10165">
            <v>4800</v>
          </cell>
          <cell r="E10165">
            <v>0</v>
          </cell>
          <cell r="F10165">
            <v>0</v>
          </cell>
          <cell r="G10165">
            <v>0</v>
          </cell>
        </row>
        <row r="10166">
          <cell r="A10166" t="str">
            <v>57-01-01-2626</v>
          </cell>
          <cell r="B10166">
            <v>0</v>
          </cell>
          <cell r="C10166" t="str">
            <v xml:space="preserve">  MUHAMMED NADEEM OPT A/CONE MILL</v>
          </cell>
          <cell r="D10166">
            <v>4000</v>
          </cell>
          <cell r="E10166">
            <v>0</v>
          </cell>
          <cell r="F10166">
            <v>0</v>
          </cell>
          <cell r="G10166">
            <v>0</v>
          </cell>
        </row>
        <row r="10167">
          <cell r="A10167" t="str">
            <v>57-01-01-2627</v>
          </cell>
          <cell r="B10167">
            <v>0</v>
          </cell>
          <cell r="C10167" t="str">
            <v xml:space="preserve">  GHAFAR KHAN 4/S R-2 MILL # 1</v>
          </cell>
          <cell r="D10167">
            <v>4000</v>
          </cell>
          <cell r="E10167">
            <v>0</v>
          </cell>
          <cell r="F10167">
            <v>0</v>
          </cell>
          <cell r="G10167">
            <v>0</v>
          </cell>
        </row>
        <row r="10168">
          <cell r="A10168" t="str">
            <v>57-01-01-2628</v>
          </cell>
          <cell r="B10168">
            <v>0</v>
          </cell>
          <cell r="C10168" t="str">
            <v xml:space="preserve">  SHAH FAISAL S.QLTY OBS M # 4</v>
          </cell>
          <cell r="D10168">
            <v>4000</v>
          </cell>
          <cell r="E10168">
            <v>0</v>
          </cell>
          <cell r="F10168">
            <v>0</v>
          </cell>
          <cell r="G10168">
            <v>0</v>
          </cell>
        </row>
        <row r="10169">
          <cell r="A10169" t="str">
            <v>57-01-01-2629</v>
          </cell>
          <cell r="B10169">
            <v>0</v>
          </cell>
          <cell r="C10169" t="str">
            <v xml:space="preserve">  SAFDAR HUSSAIN PACK SUP MILL</v>
          </cell>
          <cell r="D10169">
            <v>6000</v>
          </cell>
          <cell r="E10169">
            <v>0</v>
          </cell>
          <cell r="F10169">
            <v>0</v>
          </cell>
          <cell r="G10169">
            <v>0</v>
          </cell>
        </row>
        <row r="10170">
          <cell r="A10170" t="str">
            <v>57-01-01-2630</v>
          </cell>
          <cell r="B10170">
            <v>0</v>
          </cell>
          <cell r="C10170" t="str">
            <v xml:space="preserve">  MUHAMMAD KHALIL C.T.B/ROOM MILL</v>
          </cell>
          <cell r="D10170">
            <v>4000</v>
          </cell>
          <cell r="E10170">
            <v>0</v>
          </cell>
          <cell r="F10170">
            <v>0</v>
          </cell>
          <cell r="G10170">
            <v>0</v>
          </cell>
        </row>
        <row r="10171">
          <cell r="A10171" t="str">
            <v>57-01-01-2631</v>
          </cell>
          <cell r="B10171">
            <v>0</v>
          </cell>
          <cell r="C10171" t="str">
            <v xml:space="preserve">  SAFDAR KHAN D/F COMBER MILL # 3</v>
          </cell>
          <cell r="D10171">
            <v>2000</v>
          </cell>
          <cell r="E10171">
            <v>0</v>
          </cell>
          <cell r="F10171">
            <v>0</v>
          </cell>
          <cell r="G10171">
            <v>0</v>
          </cell>
        </row>
        <row r="10172">
          <cell r="A10172" t="str">
            <v>57-01-01-2632</v>
          </cell>
          <cell r="B10172">
            <v>0</v>
          </cell>
          <cell r="C10172" t="str">
            <v xml:space="preserve">  MURID HUSSAIN D/F B/ROOM MILL</v>
          </cell>
          <cell r="D10172">
            <v>4000</v>
          </cell>
          <cell r="E10172">
            <v>0</v>
          </cell>
          <cell r="F10172">
            <v>0</v>
          </cell>
          <cell r="G10172">
            <v>0</v>
          </cell>
        </row>
        <row r="10173">
          <cell r="A10173" t="str">
            <v>57-01-01-2633</v>
          </cell>
          <cell r="B10173">
            <v>0</v>
          </cell>
          <cell r="C10173" t="str">
            <v xml:space="preserve">  MUHAMMAD ARIF JOB D/S MILL</v>
          </cell>
          <cell r="D10173">
            <v>10000</v>
          </cell>
          <cell r="E10173">
            <v>0</v>
          </cell>
          <cell r="F10173">
            <v>0</v>
          </cell>
          <cell r="G10173">
            <v>0</v>
          </cell>
        </row>
        <row r="10174">
          <cell r="A10174" t="str">
            <v>57-01-01-2634</v>
          </cell>
          <cell r="B10174">
            <v>0</v>
          </cell>
          <cell r="C10174" t="str">
            <v xml:space="preserve">  SHARBAT KHAN C.T. CARDING MILL</v>
          </cell>
          <cell r="D10174">
            <v>5000</v>
          </cell>
          <cell r="E10174">
            <v>0</v>
          </cell>
          <cell r="F10174">
            <v>0</v>
          </cell>
          <cell r="G10174">
            <v>0</v>
          </cell>
        </row>
        <row r="10175">
          <cell r="A10175" t="str">
            <v>57-01-01-2635</v>
          </cell>
          <cell r="B10175">
            <v>0</v>
          </cell>
          <cell r="C10175" t="str">
            <v xml:space="preserve">  MUHAMMAD SADDIQUE D.S.T.D/S MILL</v>
          </cell>
          <cell r="D10175">
            <v>4000</v>
          </cell>
          <cell r="E10175">
            <v>0</v>
          </cell>
          <cell r="F10175">
            <v>0</v>
          </cell>
          <cell r="G10175">
            <v>0</v>
          </cell>
        </row>
        <row r="10176">
          <cell r="A10176" t="str">
            <v>57-01-01-2636</v>
          </cell>
          <cell r="B10176">
            <v>0</v>
          </cell>
          <cell r="C10176" t="str">
            <v xml:space="preserve">  AMAN ULLAH OPT  A/CONE MILL # 4</v>
          </cell>
          <cell r="D10176">
            <v>4000</v>
          </cell>
          <cell r="E10176">
            <v>0</v>
          </cell>
          <cell r="F10176">
            <v>0</v>
          </cell>
          <cell r="G10176">
            <v>0</v>
          </cell>
        </row>
        <row r="10177">
          <cell r="A10177" t="str">
            <v>57-01-01-2637</v>
          </cell>
          <cell r="B10177">
            <v>0</v>
          </cell>
          <cell r="C10177" t="str">
            <v xml:space="preserve">  LAL NABI OPT CARD A/C MILL # 4</v>
          </cell>
          <cell r="D10177">
            <v>3300</v>
          </cell>
          <cell r="E10177">
            <v>0</v>
          </cell>
          <cell r="F10177">
            <v>0</v>
          </cell>
          <cell r="G10177">
            <v>0</v>
          </cell>
        </row>
        <row r="10178">
          <cell r="A10178" t="str">
            <v>57-01-01-2638</v>
          </cell>
          <cell r="B10178">
            <v>0</v>
          </cell>
          <cell r="C10178" t="str">
            <v xml:space="preserve">  KALEEM AZHAR H/FITT COMB MILL</v>
          </cell>
          <cell r="D10178">
            <v>8000</v>
          </cell>
          <cell r="E10178">
            <v>0</v>
          </cell>
          <cell r="F10178">
            <v>0</v>
          </cell>
          <cell r="G10178">
            <v>0</v>
          </cell>
        </row>
        <row r="10179">
          <cell r="A10179" t="str">
            <v>57-01-01-2639</v>
          </cell>
          <cell r="B10179">
            <v>0</v>
          </cell>
          <cell r="C10179" t="str">
            <v xml:space="preserve">  SAJJAD HUSSAIN OPT A/CONE M # 2</v>
          </cell>
          <cell r="D10179">
            <v>4000</v>
          </cell>
          <cell r="E10179">
            <v>0</v>
          </cell>
          <cell r="F10179">
            <v>0</v>
          </cell>
          <cell r="G10179">
            <v>0</v>
          </cell>
        </row>
        <row r="10180">
          <cell r="A10180" t="str">
            <v>57-01-01-2640</v>
          </cell>
          <cell r="B10180">
            <v>0</v>
          </cell>
          <cell r="C10180" t="str">
            <v xml:space="preserve">  MUHAMMAD SAJJAD 4/S R-8</v>
          </cell>
          <cell r="D10180">
            <v>5000</v>
          </cell>
          <cell r="E10180">
            <v>0</v>
          </cell>
          <cell r="F10180">
            <v>0</v>
          </cell>
          <cell r="G10180">
            <v>0</v>
          </cell>
        </row>
        <row r="10181">
          <cell r="A10181" t="str">
            <v>57-01-01-2641</v>
          </cell>
          <cell r="B10181">
            <v>0</v>
          </cell>
          <cell r="C10181" t="str">
            <v xml:space="preserve">  MUHAMMAD SABIR L/OPT R- 8</v>
          </cell>
          <cell r="D10181">
            <v>4000</v>
          </cell>
          <cell r="E10181">
            <v>0</v>
          </cell>
          <cell r="F10181">
            <v>0</v>
          </cell>
          <cell r="G10181">
            <v>0</v>
          </cell>
        </row>
        <row r="10182">
          <cell r="A10182" t="str">
            <v>57-01-01-2642</v>
          </cell>
          <cell r="B10182">
            <v>0</v>
          </cell>
          <cell r="C10182" t="str">
            <v xml:space="preserve">  FARMAN ALI 4/S R-7 MILL # 3</v>
          </cell>
          <cell r="D10182">
            <v>5000</v>
          </cell>
          <cell r="E10182">
            <v>0</v>
          </cell>
          <cell r="F10182">
            <v>0</v>
          </cell>
          <cell r="G10182">
            <v>0</v>
          </cell>
        </row>
        <row r="10183">
          <cell r="A10183" t="str">
            <v>57-01-01-2643</v>
          </cell>
          <cell r="B10183">
            <v>0</v>
          </cell>
          <cell r="C10183" t="str">
            <v xml:space="preserve">  ZAFAR HUSSAIN 6/S RING 7</v>
          </cell>
          <cell r="D10183">
            <v>6000</v>
          </cell>
          <cell r="E10183">
            <v>0</v>
          </cell>
          <cell r="F10183">
            <v>0</v>
          </cell>
          <cell r="G10183">
            <v>0</v>
          </cell>
        </row>
        <row r="10184">
          <cell r="A10184" t="str">
            <v>57-01-01-2644</v>
          </cell>
          <cell r="B10184">
            <v>0</v>
          </cell>
          <cell r="C10184" t="str">
            <v xml:space="preserve">  MAJID HUSSAIN FITT R-6 MILL</v>
          </cell>
          <cell r="D10184">
            <v>4000</v>
          </cell>
          <cell r="E10184">
            <v>0</v>
          </cell>
          <cell r="F10184">
            <v>0</v>
          </cell>
          <cell r="G10184">
            <v>0</v>
          </cell>
        </row>
        <row r="10185">
          <cell r="A10185" t="str">
            <v>57-01-01-2645</v>
          </cell>
          <cell r="B10185">
            <v>0</v>
          </cell>
          <cell r="C10185" t="str">
            <v xml:space="preserve">  MUHAMMAD JEHANGIR 4/S R-3 MILL # 3</v>
          </cell>
          <cell r="D10185">
            <v>4000</v>
          </cell>
          <cell r="E10185">
            <v>0</v>
          </cell>
          <cell r="F10185">
            <v>0</v>
          </cell>
          <cell r="G10185">
            <v>0</v>
          </cell>
        </row>
        <row r="10186">
          <cell r="A10186" t="str">
            <v>57-01-01-2646</v>
          </cell>
          <cell r="B10186">
            <v>0</v>
          </cell>
          <cell r="C10186" t="str">
            <v xml:space="preserve">  MUSHTAQ AHMED OPT A/CONE M # 4</v>
          </cell>
          <cell r="D10186">
            <v>4000</v>
          </cell>
          <cell r="E10186">
            <v>0</v>
          </cell>
          <cell r="F10186">
            <v>0</v>
          </cell>
          <cell r="G10186">
            <v>0</v>
          </cell>
        </row>
        <row r="10187">
          <cell r="A10187" t="str">
            <v>57-01-01-2647</v>
          </cell>
          <cell r="B10187">
            <v>0</v>
          </cell>
          <cell r="C10187" t="str">
            <v xml:space="preserve">  GUL AMIN OPT A/CONE MILL # 3</v>
          </cell>
          <cell r="D10187">
            <v>4000</v>
          </cell>
          <cell r="E10187">
            <v>0</v>
          </cell>
          <cell r="F10187">
            <v>0</v>
          </cell>
          <cell r="G10187">
            <v>0</v>
          </cell>
        </row>
        <row r="10188">
          <cell r="A10188" t="str">
            <v>57-01-01-2648</v>
          </cell>
          <cell r="B10188">
            <v>0</v>
          </cell>
          <cell r="C10188" t="str">
            <v xml:space="preserve">  FIDA HUSSAIN C.T COMBER MILL</v>
          </cell>
          <cell r="D10188">
            <v>4000</v>
          </cell>
          <cell r="E10188">
            <v>0</v>
          </cell>
          <cell r="F10188">
            <v>0</v>
          </cell>
          <cell r="G10188">
            <v>0</v>
          </cell>
        </row>
        <row r="10189">
          <cell r="A10189" t="str">
            <v>57-01-01-2649</v>
          </cell>
          <cell r="B10189">
            <v>0</v>
          </cell>
          <cell r="C10189" t="str">
            <v xml:space="preserve">  MUHAMMAD AZAM D.S.T. D/S MILL</v>
          </cell>
          <cell r="D10189">
            <v>4000</v>
          </cell>
          <cell r="E10189">
            <v>0</v>
          </cell>
          <cell r="F10189">
            <v>0</v>
          </cell>
          <cell r="G10189">
            <v>0</v>
          </cell>
        </row>
        <row r="10190">
          <cell r="A10190" t="str">
            <v>57-01-01-2650</v>
          </cell>
          <cell r="B10190">
            <v>0</v>
          </cell>
          <cell r="C10190" t="str">
            <v xml:space="preserve">  ZAHID MEHMOOD 6/S R-7 MILL # 3</v>
          </cell>
          <cell r="D10190">
            <v>6000</v>
          </cell>
          <cell r="E10190">
            <v>0</v>
          </cell>
          <cell r="F10190">
            <v>0</v>
          </cell>
          <cell r="G10190">
            <v>0</v>
          </cell>
        </row>
        <row r="10191">
          <cell r="A10191" t="str">
            <v>57-01-01-2651</v>
          </cell>
          <cell r="B10191">
            <v>0</v>
          </cell>
          <cell r="C10191" t="str">
            <v xml:space="preserve">  MUHAMMAD NAWAZ R-8 MILL # 4</v>
          </cell>
          <cell r="D10191">
            <v>4000</v>
          </cell>
          <cell r="E10191">
            <v>0</v>
          </cell>
          <cell r="F10191">
            <v>0</v>
          </cell>
          <cell r="G10191">
            <v>0</v>
          </cell>
        </row>
        <row r="10192">
          <cell r="A10192" t="str">
            <v>57-01-01-2652</v>
          </cell>
          <cell r="B10192">
            <v>0</v>
          </cell>
          <cell r="C10192" t="str">
            <v xml:space="preserve">  AAMIR SOHAIL D/F R- 7 MILL # 3</v>
          </cell>
          <cell r="D10192">
            <v>3000</v>
          </cell>
          <cell r="E10192">
            <v>0</v>
          </cell>
          <cell r="F10192">
            <v>0</v>
          </cell>
          <cell r="G10192">
            <v>0</v>
          </cell>
        </row>
        <row r="10193">
          <cell r="A10193" t="str">
            <v>57-01-01-2653</v>
          </cell>
          <cell r="B10193">
            <v>0</v>
          </cell>
          <cell r="C10193" t="str">
            <v xml:space="preserve">  LIAQAT ALI 4/S RING # 4 MILL # 2</v>
          </cell>
          <cell r="D10193">
            <v>4000</v>
          </cell>
          <cell r="E10193">
            <v>0</v>
          </cell>
          <cell r="F10193">
            <v>0</v>
          </cell>
          <cell r="G10193">
            <v>0</v>
          </cell>
        </row>
        <row r="10194">
          <cell r="A10194" t="str">
            <v>57-01-01-2654</v>
          </cell>
          <cell r="B10194">
            <v>0</v>
          </cell>
          <cell r="C10194" t="str">
            <v xml:space="preserve">  ZULFIQAR ALI RING 1 MILL # 3</v>
          </cell>
          <cell r="D10194">
            <v>4000</v>
          </cell>
          <cell r="E10194">
            <v>0</v>
          </cell>
          <cell r="F10194">
            <v>0</v>
          </cell>
          <cell r="G10194">
            <v>0</v>
          </cell>
        </row>
        <row r="10195">
          <cell r="A10195" t="str">
            <v>57-01-01-2655</v>
          </cell>
          <cell r="B10195">
            <v>0</v>
          </cell>
          <cell r="C10195" t="str">
            <v xml:space="preserve">  MUHAMMAD MUDASIR DDT D/S MILL</v>
          </cell>
          <cell r="D10195">
            <v>4000</v>
          </cell>
          <cell r="E10195">
            <v>0</v>
          </cell>
          <cell r="F10195">
            <v>0</v>
          </cell>
          <cell r="G10195">
            <v>0</v>
          </cell>
        </row>
        <row r="10196">
          <cell r="A10196" t="str">
            <v>57-01-01-2657</v>
          </cell>
          <cell r="B10196">
            <v>0</v>
          </cell>
          <cell r="C10196" t="str">
            <v xml:space="preserve">  IZHAR ABBAS OPT A/CONE MILL</v>
          </cell>
          <cell r="D10196">
            <v>5000</v>
          </cell>
          <cell r="E10196">
            <v>0</v>
          </cell>
          <cell r="F10196">
            <v>0</v>
          </cell>
          <cell r="G10196">
            <v>0</v>
          </cell>
        </row>
        <row r="10197">
          <cell r="A10197" t="str">
            <v>57-01-01-2658</v>
          </cell>
          <cell r="B10197">
            <v>0</v>
          </cell>
          <cell r="C10197" t="str">
            <v xml:space="preserve">  MUHAMMAD FAROOQ DST D/S MILL # 4</v>
          </cell>
          <cell r="D10197">
            <v>4000</v>
          </cell>
          <cell r="E10197">
            <v>0</v>
          </cell>
          <cell r="F10197">
            <v>0</v>
          </cell>
          <cell r="G10197">
            <v>0</v>
          </cell>
        </row>
        <row r="10198">
          <cell r="A10198" t="str">
            <v>57-01-01-2659</v>
          </cell>
          <cell r="B10198">
            <v>0</v>
          </cell>
          <cell r="C10198" t="str">
            <v xml:space="preserve">  ZIA AHMED DDT D/S MILL # 2</v>
          </cell>
          <cell r="D10198">
            <v>4000</v>
          </cell>
          <cell r="E10198">
            <v>0</v>
          </cell>
          <cell r="F10198">
            <v>0</v>
          </cell>
          <cell r="G10198">
            <v>0</v>
          </cell>
        </row>
        <row r="10199">
          <cell r="A10199" t="str">
            <v>57-01-01-2660</v>
          </cell>
          <cell r="B10199">
            <v>0</v>
          </cell>
          <cell r="C10199" t="str">
            <v xml:space="preserve">  SAJJAD HUSSAIN D/F B/ROOM MILL # 3</v>
          </cell>
          <cell r="D10199">
            <v>4000</v>
          </cell>
          <cell r="E10199">
            <v>0</v>
          </cell>
          <cell r="F10199">
            <v>0</v>
          </cell>
          <cell r="G10199">
            <v>0</v>
          </cell>
        </row>
        <row r="10200">
          <cell r="A10200" t="str">
            <v>57-01-01-2661</v>
          </cell>
          <cell r="B10200">
            <v>0</v>
          </cell>
          <cell r="C10200" t="str">
            <v xml:space="preserve">  KHALIL AHMED 4/S R-7 MILL # 3</v>
          </cell>
          <cell r="D10200">
            <v>4000</v>
          </cell>
          <cell r="E10200">
            <v>0</v>
          </cell>
          <cell r="F10200">
            <v>0</v>
          </cell>
          <cell r="G10200">
            <v>0</v>
          </cell>
        </row>
        <row r="10201">
          <cell r="A10201" t="str">
            <v>57-01-01-2662</v>
          </cell>
          <cell r="B10201">
            <v>0</v>
          </cell>
          <cell r="C10201" t="str">
            <v xml:space="preserve">  MUHAMMAD ABDULLAH 4/S R-8 MILL # 4</v>
          </cell>
          <cell r="D10201">
            <v>4000</v>
          </cell>
          <cell r="E10201">
            <v>0</v>
          </cell>
          <cell r="F10201">
            <v>0</v>
          </cell>
          <cell r="G10201">
            <v>0</v>
          </cell>
        </row>
        <row r="10202">
          <cell r="A10202" t="str">
            <v>57-01-01-2663</v>
          </cell>
          <cell r="B10202">
            <v>0</v>
          </cell>
          <cell r="C10202" t="str">
            <v xml:space="preserve">  ABDUL QAYUM A/JOB COMB MILL # 3</v>
          </cell>
          <cell r="D10202">
            <v>8000</v>
          </cell>
          <cell r="E10202">
            <v>0</v>
          </cell>
          <cell r="F10202">
            <v>0</v>
          </cell>
          <cell r="G10202">
            <v>0</v>
          </cell>
        </row>
        <row r="10203">
          <cell r="A10203" t="str">
            <v>57-01-01-2664</v>
          </cell>
          <cell r="B10203">
            <v>0</v>
          </cell>
          <cell r="C10203" t="str">
            <v xml:space="preserve">  SHAUKAT ALI OPT A/CONE MILL # 1</v>
          </cell>
          <cell r="D10203">
            <v>5000</v>
          </cell>
          <cell r="E10203">
            <v>0</v>
          </cell>
          <cell r="F10203">
            <v>0</v>
          </cell>
          <cell r="G10203">
            <v>0</v>
          </cell>
        </row>
        <row r="10204">
          <cell r="A10204" t="str">
            <v>57-01-01-2665</v>
          </cell>
          <cell r="B10204">
            <v>0</v>
          </cell>
          <cell r="C10204" t="str">
            <v xml:space="preserve">  MUNIR ABBAS OPT A/CONE MILL</v>
          </cell>
          <cell r="D10204">
            <v>5000</v>
          </cell>
          <cell r="E10204">
            <v>0</v>
          </cell>
          <cell r="F10204">
            <v>0</v>
          </cell>
          <cell r="G10204">
            <v>0</v>
          </cell>
        </row>
        <row r="10205">
          <cell r="A10205" t="str">
            <v>57-01-01-2666</v>
          </cell>
          <cell r="B10205">
            <v>0</v>
          </cell>
          <cell r="C10205" t="str">
            <v xml:space="preserve">  NISAR AHMED 4/S R-8 MILL # 4</v>
          </cell>
          <cell r="D10205">
            <v>3000</v>
          </cell>
          <cell r="E10205">
            <v>0</v>
          </cell>
          <cell r="F10205">
            <v>0</v>
          </cell>
          <cell r="G10205">
            <v>0</v>
          </cell>
        </row>
        <row r="10206">
          <cell r="A10206" t="str">
            <v>57-01-01-2667</v>
          </cell>
          <cell r="B10206">
            <v>0</v>
          </cell>
          <cell r="C10206" t="str">
            <v xml:space="preserve">  MUHAMMAD SIDDIQUE  D/F B/ROOM MILL</v>
          </cell>
          <cell r="D10206">
            <v>3000</v>
          </cell>
          <cell r="E10206">
            <v>0</v>
          </cell>
          <cell r="F10206">
            <v>0</v>
          </cell>
          <cell r="G10206">
            <v>0</v>
          </cell>
        </row>
        <row r="10207">
          <cell r="A10207" t="str">
            <v>57-01-01-2668</v>
          </cell>
          <cell r="B10207">
            <v>0</v>
          </cell>
          <cell r="C10207" t="str">
            <v xml:space="preserve">  GHULAM SARWAR SUP A/CONE M # 4</v>
          </cell>
          <cell r="D10207">
            <v>10000</v>
          </cell>
          <cell r="E10207">
            <v>0</v>
          </cell>
          <cell r="F10207">
            <v>0</v>
          </cell>
          <cell r="G10207">
            <v>0</v>
          </cell>
        </row>
        <row r="10208">
          <cell r="A10208" t="str">
            <v>57-01-01-2669</v>
          </cell>
          <cell r="B10208">
            <v>0</v>
          </cell>
          <cell r="C10208" t="str">
            <v xml:space="preserve">  FAYAZ AHMED DDT D/S MILL # 2</v>
          </cell>
          <cell r="D10208">
            <v>4000</v>
          </cell>
          <cell r="E10208">
            <v>0</v>
          </cell>
          <cell r="F10208">
            <v>0</v>
          </cell>
          <cell r="G10208">
            <v>0</v>
          </cell>
        </row>
        <row r="10209">
          <cell r="A10209" t="str">
            <v>57-01-01-2670</v>
          </cell>
          <cell r="B10209">
            <v>0</v>
          </cell>
          <cell r="C10209" t="str">
            <v xml:space="preserve">  ZAHIR AHMED SHAD QLTY OBS M # 2</v>
          </cell>
          <cell r="D10209">
            <v>4000</v>
          </cell>
          <cell r="E10209">
            <v>0</v>
          </cell>
          <cell r="F10209">
            <v>0</v>
          </cell>
          <cell r="G10209">
            <v>0</v>
          </cell>
        </row>
        <row r="10210">
          <cell r="A10210" t="str">
            <v>57-01-01-2671</v>
          </cell>
          <cell r="B10210">
            <v>0</v>
          </cell>
          <cell r="C10210" t="str">
            <v xml:space="preserve">  NAZAKAT ALI D/F R-1 MILL # 7</v>
          </cell>
          <cell r="D10210">
            <v>4000</v>
          </cell>
          <cell r="E10210">
            <v>0</v>
          </cell>
          <cell r="F10210">
            <v>0</v>
          </cell>
          <cell r="G10210">
            <v>0</v>
          </cell>
        </row>
        <row r="10211">
          <cell r="A10211" t="str">
            <v>57-01-01-2672</v>
          </cell>
          <cell r="B10211">
            <v>0</v>
          </cell>
          <cell r="C10211" t="str">
            <v xml:space="preserve">  DILBAR HUSSAIN S.OPT A/CONE M #</v>
          </cell>
          <cell r="D10211">
            <v>5000</v>
          </cell>
          <cell r="E10211">
            <v>0</v>
          </cell>
          <cell r="F10211">
            <v>0</v>
          </cell>
          <cell r="G10211">
            <v>0</v>
          </cell>
        </row>
        <row r="10212">
          <cell r="A10212" t="str">
            <v>57-01-01-2673</v>
          </cell>
          <cell r="B10212">
            <v>0</v>
          </cell>
          <cell r="C10212" t="str">
            <v xml:space="preserve">  MUHAMMAD IQBAL P.T B/ROOM M #</v>
          </cell>
          <cell r="D10212">
            <v>4000</v>
          </cell>
          <cell r="E10212">
            <v>0</v>
          </cell>
          <cell r="F10212">
            <v>0</v>
          </cell>
          <cell r="G10212">
            <v>0</v>
          </cell>
        </row>
        <row r="10213">
          <cell r="A10213" t="str">
            <v>57-01-01-2674</v>
          </cell>
          <cell r="B10213">
            <v>0</v>
          </cell>
          <cell r="C10213" t="str">
            <v xml:space="preserve">  TANVIR AHMED C.T COMBER MILL</v>
          </cell>
          <cell r="D10213">
            <v>4000</v>
          </cell>
          <cell r="E10213">
            <v>0</v>
          </cell>
          <cell r="F10213">
            <v>0</v>
          </cell>
          <cell r="G10213">
            <v>0</v>
          </cell>
        </row>
        <row r="10214">
          <cell r="A10214" t="str">
            <v>57-01-01-2675</v>
          </cell>
          <cell r="B10214">
            <v>0</v>
          </cell>
          <cell r="C10214" t="str">
            <v xml:space="preserve">  MUHMAMMAD JAMAL DDT D/S MILL # 1</v>
          </cell>
          <cell r="D10214">
            <v>4000</v>
          </cell>
          <cell r="E10214">
            <v>0</v>
          </cell>
          <cell r="F10214">
            <v>0</v>
          </cell>
          <cell r="G10214">
            <v>0</v>
          </cell>
        </row>
        <row r="10215">
          <cell r="A10215" t="str">
            <v>57-01-01-2676</v>
          </cell>
          <cell r="B10215">
            <v>0</v>
          </cell>
          <cell r="C10215" t="str">
            <v xml:space="preserve">  MUHAMMAD YASIN OPT A/CONE MILL # 3</v>
          </cell>
          <cell r="D10215">
            <v>4000</v>
          </cell>
          <cell r="E10215">
            <v>0</v>
          </cell>
          <cell r="F10215">
            <v>0</v>
          </cell>
          <cell r="G10215">
            <v>0</v>
          </cell>
        </row>
        <row r="10216">
          <cell r="A10216" t="str">
            <v>57-01-01-2678</v>
          </cell>
          <cell r="B10216">
            <v>0</v>
          </cell>
          <cell r="C10216" t="str">
            <v xml:space="preserve">  MUHAMMAD ZAHID D/F B/ROOM MILL # 2</v>
          </cell>
          <cell r="D10216">
            <v>4000</v>
          </cell>
          <cell r="E10216">
            <v>0</v>
          </cell>
          <cell r="F10216">
            <v>0</v>
          </cell>
          <cell r="G10216">
            <v>0</v>
          </cell>
        </row>
        <row r="10217">
          <cell r="A10217" t="str">
            <v>57-01-01-2679</v>
          </cell>
          <cell r="B10217">
            <v>0</v>
          </cell>
          <cell r="C10217" t="str">
            <v xml:space="preserve">  AZIM KHAN OPT A/CONE MILL # 3</v>
          </cell>
          <cell r="D10217">
            <v>4000</v>
          </cell>
          <cell r="E10217">
            <v>0</v>
          </cell>
          <cell r="F10217">
            <v>0</v>
          </cell>
          <cell r="G10217">
            <v>0</v>
          </cell>
        </row>
        <row r="10218">
          <cell r="A10218" t="str">
            <v>57-01-01-2680</v>
          </cell>
          <cell r="B10218">
            <v>0</v>
          </cell>
          <cell r="C10218" t="str">
            <v xml:space="preserve">  SHAH NAWAZ OPT A/CONE MILL # 2</v>
          </cell>
          <cell r="D10218">
            <v>5000</v>
          </cell>
          <cell r="E10218">
            <v>0</v>
          </cell>
          <cell r="F10218">
            <v>0</v>
          </cell>
          <cell r="G10218">
            <v>0</v>
          </cell>
        </row>
        <row r="10219">
          <cell r="A10219" t="str">
            <v>57-01-01-2681</v>
          </cell>
          <cell r="B10219">
            <v>0</v>
          </cell>
          <cell r="C10219" t="str">
            <v xml:space="preserve">  AAMIR ABBAS S.A.FORMAN CARD</v>
          </cell>
          <cell r="D10219">
            <v>6000</v>
          </cell>
          <cell r="E10219">
            <v>0</v>
          </cell>
          <cell r="F10219">
            <v>0</v>
          </cell>
          <cell r="G10219">
            <v>0</v>
          </cell>
        </row>
        <row r="10220">
          <cell r="A10220" t="str">
            <v>57-01-01-2682</v>
          </cell>
          <cell r="B10220">
            <v>0</v>
          </cell>
          <cell r="C10220" t="str">
            <v xml:space="preserve">  MUHAMMAD SAEED 4/S C/SP MILL # 5</v>
          </cell>
          <cell r="D10220">
            <v>4000</v>
          </cell>
          <cell r="E10220">
            <v>0</v>
          </cell>
          <cell r="F10220">
            <v>0</v>
          </cell>
          <cell r="G10220">
            <v>0</v>
          </cell>
        </row>
        <row r="10221">
          <cell r="A10221" t="str">
            <v>57-01-01-2683</v>
          </cell>
          <cell r="B10221">
            <v>0</v>
          </cell>
          <cell r="C10221" t="str">
            <v xml:space="preserve">  MUHAMMAD ZAHIR OPT A/CONE MILL</v>
          </cell>
          <cell r="D10221">
            <v>5000</v>
          </cell>
          <cell r="E10221">
            <v>0</v>
          </cell>
          <cell r="F10221">
            <v>0</v>
          </cell>
          <cell r="G10221">
            <v>0</v>
          </cell>
        </row>
        <row r="10222">
          <cell r="A10222" t="str">
            <v>57-01-01-2684</v>
          </cell>
          <cell r="B10222">
            <v>0</v>
          </cell>
          <cell r="C10222" t="str">
            <v xml:space="preserve">  ABDUL REHMAN 4/S R-2 MILL # 2</v>
          </cell>
          <cell r="D10222">
            <v>3000</v>
          </cell>
          <cell r="E10222">
            <v>0</v>
          </cell>
          <cell r="F10222">
            <v>0</v>
          </cell>
          <cell r="G10222">
            <v>0</v>
          </cell>
        </row>
        <row r="10223">
          <cell r="A10223" t="str">
            <v>57-01-01-2685</v>
          </cell>
          <cell r="B10223">
            <v>0</v>
          </cell>
          <cell r="C10223" t="str">
            <v xml:space="preserve">  ZIA AHMED STORE ASSISTANT</v>
          </cell>
          <cell r="D10223">
            <v>14000</v>
          </cell>
          <cell r="E10223">
            <v>0</v>
          </cell>
          <cell r="F10223">
            <v>0</v>
          </cell>
          <cell r="G10223">
            <v>0</v>
          </cell>
        </row>
        <row r="10224">
          <cell r="A10224" t="str">
            <v>57-01-01-2686</v>
          </cell>
          <cell r="B10224">
            <v>0</v>
          </cell>
          <cell r="C10224" t="str">
            <v xml:space="preserve">  JAWED ZIA MANAGER INTERNAL AUDITOR</v>
          </cell>
          <cell r="D10224">
            <v>250000</v>
          </cell>
          <cell r="E10224">
            <v>0</v>
          </cell>
          <cell r="F10224">
            <v>0</v>
          </cell>
          <cell r="G10224">
            <v>0</v>
          </cell>
        </row>
        <row r="10225">
          <cell r="A10225" t="str">
            <v>57-01-01-2687</v>
          </cell>
          <cell r="B10225">
            <v>0</v>
          </cell>
          <cell r="C10225" t="str">
            <v xml:space="preserve">  MUHAMMAD NADEEM OPT A/CONE MILL # 2</v>
          </cell>
          <cell r="D10225">
            <v>5000</v>
          </cell>
          <cell r="E10225">
            <v>0</v>
          </cell>
          <cell r="F10225">
            <v>0</v>
          </cell>
          <cell r="G10225">
            <v>0</v>
          </cell>
        </row>
        <row r="10226">
          <cell r="A10226" t="str">
            <v>57-01-01-2688</v>
          </cell>
          <cell r="B10226">
            <v>0</v>
          </cell>
          <cell r="C10226" t="str">
            <v xml:space="preserve">  MOHSIN KHAN MESS INCHARGE</v>
          </cell>
          <cell r="D10226">
            <v>100000</v>
          </cell>
          <cell r="E10226">
            <v>0</v>
          </cell>
          <cell r="F10226">
            <v>0</v>
          </cell>
          <cell r="G10226">
            <v>0</v>
          </cell>
        </row>
        <row r="10227">
          <cell r="A10227" t="str">
            <v>57-01-01-2689</v>
          </cell>
          <cell r="B10227">
            <v>0</v>
          </cell>
          <cell r="C10227" t="str">
            <v xml:space="preserve">  RAHMAT KHAN 4/S RING 2 MILL</v>
          </cell>
          <cell r="D10227">
            <v>0</v>
          </cell>
          <cell r="E10227">
            <v>0</v>
          </cell>
          <cell r="F10227">
            <v>0</v>
          </cell>
          <cell r="G10227">
            <v>0</v>
          </cell>
        </row>
        <row r="10228">
          <cell r="A10228" t="str">
            <v>57-01-01-2690</v>
          </cell>
          <cell r="B10228">
            <v>0</v>
          </cell>
          <cell r="C10228" t="str">
            <v xml:space="preserve">  MUHAMMAD IMRAN OPT A/CONE MILL # 3</v>
          </cell>
          <cell r="D10228">
            <v>0</v>
          </cell>
          <cell r="E10228">
            <v>0</v>
          </cell>
          <cell r="F10228">
            <v>0</v>
          </cell>
          <cell r="G10228">
            <v>0</v>
          </cell>
        </row>
        <row r="10229">
          <cell r="A10229" t="str">
            <v>57-01-01-2693</v>
          </cell>
          <cell r="B10229">
            <v>0</v>
          </cell>
          <cell r="C10229" t="str">
            <v xml:space="preserve">  IJAZ HUSSAIN GODOWN CLERK</v>
          </cell>
          <cell r="D10229">
            <v>0</v>
          </cell>
          <cell r="E10229">
            <v>0</v>
          </cell>
          <cell r="F10229">
            <v>0</v>
          </cell>
          <cell r="G10229">
            <v>0</v>
          </cell>
        </row>
        <row r="10230">
          <cell r="A10230" t="str">
            <v>57-01-01-2694</v>
          </cell>
          <cell r="B10230">
            <v>0</v>
          </cell>
          <cell r="C10230" t="str">
            <v xml:space="preserve">  MUJIBUR REHMAN A/FITT R/C</v>
          </cell>
          <cell r="D10230">
            <v>0</v>
          </cell>
          <cell r="E10230">
            <v>0</v>
          </cell>
          <cell r="F10230">
            <v>0</v>
          </cell>
          <cell r="G10230">
            <v>0</v>
          </cell>
        </row>
        <row r="10231">
          <cell r="A10231" t="str">
            <v>57-01-01-2695</v>
          </cell>
          <cell r="B10231">
            <v>0</v>
          </cell>
          <cell r="C10231" t="str">
            <v xml:space="preserve">  WAZIR HUSSAIN JOB CARDING</v>
          </cell>
          <cell r="D10231">
            <v>0</v>
          </cell>
          <cell r="E10231">
            <v>0</v>
          </cell>
          <cell r="F10231">
            <v>0</v>
          </cell>
          <cell r="G10231">
            <v>0</v>
          </cell>
        </row>
        <row r="10232">
          <cell r="A10232" t="str">
            <v>57-01-01-2696</v>
          </cell>
          <cell r="B10232">
            <v>0</v>
          </cell>
          <cell r="C10232" t="str">
            <v xml:space="preserve">  AMJAD ALI FITT B/ROOM MILL # 2</v>
          </cell>
          <cell r="D10232">
            <v>0</v>
          </cell>
          <cell r="E10232">
            <v>0</v>
          </cell>
          <cell r="F10232">
            <v>0</v>
          </cell>
          <cell r="G10232">
            <v>0</v>
          </cell>
        </row>
        <row r="10233">
          <cell r="A10233" t="str">
            <v>57-01-01-2697</v>
          </cell>
          <cell r="B10233">
            <v>0</v>
          </cell>
          <cell r="C10233" t="str">
            <v xml:space="preserve">  ISHAQUE AHMED DDT D/S MILL # 3</v>
          </cell>
          <cell r="D10233">
            <v>0</v>
          </cell>
          <cell r="E10233">
            <v>0</v>
          </cell>
          <cell r="F10233">
            <v>0</v>
          </cell>
          <cell r="G10233">
            <v>0</v>
          </cell>
        </row>
        <row r="10234">
          <cell r="A10234" t="str">
            <v>57-01-01-2698</v>
          </cell>
          <cell r="B10234">
            <v>0</v>
          </cell>
          <cell r="C10234" t="str">
            <v xml:space="preserve">  FAIZ BAKHSH JOB B/ROOM M # 1</v>
          </cell>
          <cell r="D10234">
            <v>0</v>
          </cell>
          <cell r="E10234">
            <v>0</v>
          </cell>
          <cell r="F10234">
            <v>0</v>
          </cell>
          <cell r="G10234">
            <v>0</v>
          </cell>
        </row>
        <row r="10235">
          <cell r="A10235" t="str">
            <v>57-01-01-2699</v>
          </cell>
          <cell r="B10235">
            <v>0</v>
          </cell>
          <cell r="C10235" t="str">
            <v xml:space="preserve">  MUHAMMAD RAMZAN H/FITT MJS MILL</v>
          </cell>
          <cell r="D10235">
            <v>0</v>
          </cell>
          <cell r="E10235">
            <v>0</v>
          </cell>
          <cell r="F10235">
            <v>0</v>
          </cell>
          <cell r="G10235">
            <v>0</v>
          </cell>
        </row>
        <row r="10236">
          <cell r="A10236" t="str">
            <v>57-01-01-2700</v>
          </cell>
          <cell r="B10236">
            <v>0</v>
          </cell>
          <cell r="C10236" t="str">
            <v xml:space="preserve">  MUHAMMAD HAKEEM C.T.CARD MILL # 1</v>
          </cell>
          <cell r="D10236">
            <v>0</v>
          </cell>
          <cell r="E10236">
            <v>0</v>
          </cell>
          <cell r="F10236">
            <v>0</v>
          </cell>
          <cell r="G10236">
            <v>0</v>
          </cell>
        </row>
        <row r="10237">
          <cell r="A10237" t="str">
            <v>57-01-01-2701</v>
          </cell>
          <cell r="B10237">
            <v>0</v>
          </cell>
          <cell r="C10237" t="str">
            <v xml:space="preserve">  ZULFIQAR ALI D/F B/ROOM MILL # 3</v>
          </cell>
          <cell r="D10237">
            <v>0</v>
          </cell>
          <cell r="E10237">
            <v>0</v>
          </cell>
          <cell r="F10237">
            <v>0</v>
          </cell>
          <cell r="G10237">
            <v>0</v>
          </cell>
        </row>
        <row r="10238">
          <cell r="A10238" t="str">
            <v>57-01-01-2702</v>
          </cell>
          <cell r="B10238">
            <v>0</v>
          </cell>
          <cell r="C10238" t="str">
            <v xml:space="preserve">  ASAD ALI D/F RING 8</v>
          </cell>
          <cell r="D10238">
            <v>0</v>
          </cell>
          <cell r="E10238">
            <v>0</v>
          </cell>
          <cell r="F10238">
            <v>0</v>
          </cell>
          <cell r="G10238">
            <v>0</v>
          </cell>
        </row>
        <row r="10239">
          <cell r="A10239" t="str">
            <v>57-01-01-2703</v>
          </cell>
          <cell r="B10239">
            <v>0</v>
          </cell>
          <cell r="C10239" t="str">
            <v xml:space="preserve">  MUHAMMAD ZEESHAN C.T B/ROOM  M # 3</v>
          </cell>
          <cell r="D10239">
            <v>0</v>
          </cell>
          <cell r="E10239">
            <v>0</v>
          </cell>
          <cell r="F10239">
            <v>0</v>
          </cell>
          <cell r="G10239">
            <v>0</v>
          </cell>
        </row>
        <row r="10240">
          <cell r="A10240" t="str">
            <v>57-01-01-2704</v>
          </cell>
          <cell r="B10240">
            <v>0</v>
          </cell>
          <cell r="C10240" t="str">
            <v xml:space="preserve">  MUHAMMAD TARIQ OPT A/CONE</v>
          </cell>
          <cell r="D10240">
            <v>0</v>
          </cell>
          <cell r="E10240">
            <v>0</v>
          </cell>
          <cell r="F10240">
            <v>0</v>
          </cell>
          <cell r="G10240">
            <v>0</v>
          </cell>
        </row>
        <row r="10241">
          <cell r="A10241" t="str">
            <v>57-01-01-2705</v>
          </cell>
          <cell r="B10241">
            <v>0</v>
          </cell>
          <cell r="C10241" t="str">
            <v xml:space="preserve">  MUHAMMAD ALI SHAH 4/S R-6 MILL # 1</v>
          </cell>
          <cell r="D10241">
            <v>0</v>
          </cell>
          <cell r="E10241">
            <v>0</v>
          </cell>
          <cell r="F10241">
            <v>0</v>
          </cell>
          <cell r="G10241">
            <v>0</v>
          </cell>
        </row>
        <row r="10242">
          <cell r="A10242" t="str">
            <v>57-01-01-2707</v>
          </cell>
          <cell r="B10242">
            <v>0</v>
          </cell>
          <cell r="C10242" t="str">
            <v xml:space="preserve">  BADRI ZAMAN WELDER P.PLANT</v>
          </cell>
          <cell r="D10242">
            <v>0</v>
          </cell>
          <cell r="E10242">
            <v>0</v>
          </cell>
          <cell r="F10242">
            <v>0</v>
          </cell>
          <cell r="G10242">
            <v>0</v>
          </cell>
        </row>
        <row r="10243">
          <cell r="A10243" t="str">
            <v>57-01-01-2708</v>
          </cell>
          <cell r="B10243">
            <v>0</v>
          </cell>
          <cell r="C10243" t="str">
            <v xml:space="preserve">  MUHAMMAD ASHFAQ 4/S RING 7</v>
          </cell>
          <cell r="D10243">
            <v>0</v>
          </cell>
          <cell r="E10243">
            <v>0</v>
          </cell>
          <cell r="F10243">
            <v>0</v>
          </cell>
          <cell r="G10243">
            <v>0</v>
          </cell>
        </row>
        <row r="10244">
          <cell r="A10244" t="str">
            <v>57-01-01-2709</v>
          </cell>
          <cell r="B10244">
            <v>0</v>
          </cell>
          <cell r="C10244" t="str">
            <v xml:space="preserve">  MUHAMMAD NADEEM OPT A/CONE</v>
          </cell>
          <cell r="D10244">
            <v>0</v>
          </cell>
          <cell r="E10244">
            <v>0</v>
          </cell>
          <cell r="F10244">
            <v>0</v>
          </cell>
          <cell r="G10244">
            <v>0</v>
          </cell>
        </row>
        <row r="10245">
          <cell r="A10245" t="str">
            <v>57-01-01-2710</v>
          </cell>
          <cell r="B10245">
            <v>0</v>
          </cell>
          <cell r="C10245" t="str">
            <v xml:space="preserve">  MUHAMMAD ASHRAF D/F RING 1</v>
          </cell>
          <cell r="D10245">
            <v>0</v>
          </cell>
          <cell r="E10245">
            <v>0</v>
          </cell>
          <cell r="F10245">
            <v>0</v>
          </cell>
          <cell r="G10245">
            <v>0</v>
          </cell>
        </row>
        <row r="10246">
          <cell r="A10246" t="str">
            <v>57-01-01-2711</v>
          </cell>
          <cell r="B10246">
            <v>0</v>
          </cell>
          <cell r="C10246" t="str">
            <v xml:space="preserve">  MUHAMMAD NUSRAT FITT R-8 MILL # 4</v>
          </cell>
          <cell r="D10246">
            <v>0</v>
          </cell>
          <cell r="E10246">
            <v>0</v>
          </cell>
          <cell r="F10246">
            <v>0</v>
          </cell>
          <cell r="G10246">
            <v>0</v>
          </cell>
        </row>
        <row r="10247">
          <cell r="A10247" t="str">
            <v>57-01-01-2712</v>
          </cell>
          <cell r="B10247">
            <v>0</v>
          </cell>
          <cell r="C10247" t="str">
            <v xml:space="preserve">  MUHAMMAD SHEHZAD 4/S RING 1</v>
          </cell>
          <cell r="D10247">
            <v>0</v>
          </cell>
          <cell r="E10247">
            <v>0</v>
          </cell>
          <cell r="F10247">
            <v>0</v>
          </cell>
          <cell r="G10247">
            <v>0</v>
          </cell>
        </row>
        <row r="10248">
          <cell r="A10248" t="str">
            <v>57-01-01-2713</v>
          </cell>
          <cell r="B10248">
            <v>0</v>
          </cell>
          <cell r="C10248" t="str">
            <v xml:space="preserve">  MUHAMMAD FAROOQ 4/S M # 1</v>
          </cell>
          <cell r="D10248">
            <v>0</v>
          </cell>
          <cell r="E10248">
            <v>0</v>
          </cell>
          <cell r="F10248">
            <v>0</v>
          </cell>
          <cell r="G10248">
            <v>0</v>
          </cell>
        </row>
        <row r="10249">
          <cell r="A10249" t="str">
            <v>57-01-01-2714</v>
          </cell>
          <cell r="B10249">
            <v>0</v>
          </cell>
          <cell r="C10249" t="str">
            <v xml:space="preserve">  MAZHAR IQBAL OPT A/CONE M # 2</v>
          </cell>
          <cell r="D10249">
            <v>0</v>
          </cell>
          <cell r="E10249">
            <v>0</v>
          </cell>
          <cell r="F10249">
            <v>0</v>
          </cell>
          <cell r="G10249">
            <v>0</v>
          </cell>
        </row>
        <row r="10250">
          <cell r="A10250" t="str">
            <v>57-01-01-2715</v>
          </cell>
          <cell r="B10250">
            <v>0</v>
          </cell>
          <cell r="C10250" t="str">
            <v xml:space="preserve">  GHULAM ABBAS OPT A/CONE MILL # 07</v>
          </cell>
          <cell r="D10250">
            <v>0</v>
          </cell>
          <cell r="E10250">
            <v>0</v>
          </cell>
          <cell r="F10250">
            <v>0</v>
          </cell>
          <cell r="G10250">
            <v>0</v>
          </cell>
        </row>
        <row r="10251">
          <cell r="A10251" t="str">
            <v>57-01-01-2716</v>
          </cell>
          <cell r="B10251">
            <v>0</v>
          </cell>
          <cell r="C10251" t="str">
            <v xml:space="preserve">  MUHAMMAD IQBAL 4/S R-1</v>
          </cell>
          <cell r="D10251">
            <v>0</v>
          </cell>
          <cell r="E10251">
            <v>0</v>
          </cell>
          <cell r="F10251">
            <v>0</v>
          </cell>
          <cell r="G10251">
            <v>0</v>
          </cell>
        </row>
        <row r="10252">
          <cell r="A10252" t="str">
            <v>57-01-01-2717</v>
          </cell>
          <cell r="B10252">
            <v>0</v>
          </cell>
          <cell r="C10252" t="str">
            <v xml:space="preserve">  SAJID HUSSAIN SH/ENGINEER P.P</v>
          </cell>
          <cell r="D10252">
            <v>0</v>
          </cell>
          <cell r="E10252">
            <v>0</v>
          </cell>
          <cell r="F10252">
            <v>0</v>
          </cell>
          <cell r="G10252">
            <v>0</v>
          </cell>
        </row>
        <row r="10253">
          <cell r="A10253" t="str">
            <v>57-01-01-2718</v>
          </cell>
          <cell r="B10253">
            <v>0</v>
          </cell>
          <cell r="C10253" t="str">
            <v xml:space="preserve">  TANVIR AHMED OPT A/CONE MILL # 7</v>
          </cell>
          <cell r="D10253">
            <v>0</v>
          </cell>
          <cell r="E10253">
            <v>0</v>
          </cell>
          <cell r="F10253">
            <v>0</v>
          </cell>
          <cell r="G10253">
            <v>0</v>
          </cell>
        </row>
        <row r="10254">
          <cell r="A10254" t="str">
            <v>57-01-01-2719</v>
          </cell>
          <cell r="B10254">
            <v>0</v>
          </cell>
          <cell r="C10254" t="str">
            <v xml:space="preserve">  FATEH SHER OPT A/CONE</v>
          </cell>
          <cell r="D10254">
            <v>0</v>
          </cell>
          <cell r="E10254">
            <v>0</v>
          </cell>
          <cell r="F10254">
            <v>0</v>
          </cell>
          <cell r="G10254">
            <v>0</v>
          </cell>
        </row>
        <row r="10255">
          <cell r="A10255" t="str">
            <v>57-01-01-2720</v>
          </cell>
          <cell r="B10255">
            <v>0</v>
          </cell>
          <cell r="C10255" t="str">
            <v xml:space="preserve">  AZHAR IQBAL 4/S RING-1 MILL</v>
          </cell>
          <cell r="D10255">
            <v>0</v>
          </cell>
          <cell r="E10255">
            <v>0</v>
          </cell>
          <cell r="F10255">
            <v>0</v>
          </cell>
          <cell r="G10255">
            <v>0</v>
          </cell>
        </row>
        <row r="10256">
          <cell r="A10256" t="str">
            <v>57-01-01-2721</v>
          </cell>
          <cell r="B10256">
            <v>0</v>
          </cell>
          <cell r="C10256" t="str">
            <v xml:space="preserve">  MAZHAR HUSSAIN 4/S R- 1 MILL</v>
          </cell>
          <cell r="D10256">
            <v>0</v>
          </cell>
          <cell r="E10256">
            <v>0</v>
          </cell>
          <cell r="F10256">
            <v>0</v>
          </cell>
          <cell r="G10256">
            <v>0</v>
          </cell>
        </row>
        <row r="10257">
          <cell r="A10257" t="str">
            <v>57-01-01-2722</v>
          </cell>
          <cell r="B10257">
            <v>0</v>
          </cell>
          <cell r="C10257" t="str">
            <v xml:space="preserve">  SAJJAD AHMED 4/S RING-1</v>
          </cell>
          <cell r="D10257">
            <v>0</v>
          </cell>
          <cell r="E10257">
            <v>0</v>
          </cell>
          <cell r="F10257">
            <v>0</v>
          </cell>
          <cell r="G10257">
            <v>0</v>
          </cell>
        </row>
        <row r="10258">
          <cell r="A10258" t="str">
            <v>57-01-01-2723</v>
          </cell>
          <cell r="B10258">
            <v>0</v>
          </cell>
          <cell r="C10258" t="str">
            <v xml:space="preserve">  SHER ZAMAN 6/S C.SP MILL</v>
          </cell>
          <cell r="D10258">
            <v>0</v>
          </cell>
          <cell r="E10258">
            <v>0</v>
          </cell>
          <cell r="F10258">
            <v>0</v>
          </cell>
          <cell r="G10258">
            <v>0</v>
          </cell>
        </row>
        <row r="10259">
          <cell r="A10259" t="str">
            <v>57-01-01-2724</v>
          </cell>
          <cell r="B10259">
            <v>0</v>
          </cell>
          <cell r="C10259" t="str">
            <v xml:space="preserve">  JEHAN GUL WAITER</v>
          </cell>
          <cell r="D10259">
            <v>0</v>
          </cell>
          <cell r="E10259">
            <v>0</v>
          </cell>
          <cell r="F10259">
            <v>0</v>
          </cell>
          <cell r="G10259">
            <v>0</v>
          </cell>
        </row>
        <row r="10260">
          <cell r="A10260" t="str">
            <v>57-01-01-2725</v>
          </cell>
          <cell r="B10260">
            <v>0</v>
          </cell>
          <cell r="C10260" t="str">
            <v xml:space="preserve">  MUHAMMAD RAMZAN OPT A/CONE MILL # 2</v>
          </cell>
          <cell r="D10260">
            <v>0</v>
          </cell>
          <cell r="E10260">
            <v>0</v>
          </cell>
          <cell r="F10260">
            <v>0</v>
          </cell>
          <cell r="G10260">
            <v>0</v>
          </cell>
        </row>
        <row r="10261">
          <cell r="A10261" t="str">
            <v>57-01-01-2727</v>
          </cell>
          <cell r="B10261">
            <v>0</v>
          </cell>
          <cell r="C10261" t="str">
            <v xml:space="preserve">  MUHAMMAD IQBAL 6/S RING-7 MILL #</v>
          </cell>
          <cell r="D10261">
            <v>0</v>
          </cell>
          <cell r="E10261">
            <v>0</v>
          </cell>
          <cell r="F10261">
            <v>0</v>
          </cell>
          <cell r="G10261">
            <v>0</v>
          </cell>
        </row>
        <row r="10262">
          <cell r="A10262" t="str">
            <v>57-01-01-2728</v>
          </cell>
          <cell r="B10262">
            <v>0</v>
          </cell>
          <cell r="C10262" t="str">
            <v xml:space="preserve">  ,UHAMMAD MOHSIN D/F R-2</v>
          </cell>
          <cell r="D10262">
            <v>0</v>
          </cell>
          <cell r="E10262">
            <v>0</v>
          </cell>
          <cell r="F10262">
            <v>0</v>
          </cell>
          <cell r="G10262">
            <v>0</v>
          </cell>
        </row>
        <row r="10263">
          <cell r="A10263" t="str">
            <v>57-01-01-2729</v>
          </cell>
          <cell r="B10263">
            <v>0</v>
          </cell>
          <cell r="C10263" t="str">
            <v xml:space="preserve">  RIZWAN AHMED 4/S RING -4</v>
          </cell>
          <cell r="D10263">
            <v>0</v>
          </cell>
          <cell r="E10263">
            <v>0</v>
          </cell>
          <cell r="F10263">
            <v>0</v>
          </cell>
          <cell r="G10263">
            <v>0</v>
          </cell>
        </row>
        <row r="10264">
          <cell r="A10264" t="str">
            <v>57-01-01-2730</v>
          </cell>
          <cell r="B10264">
            <v>0</v>
          </cell>
          <cell r="C10264" t="str">
            <v xml:space="preserve">  FAYAZ MUHAMMAD DDT D/S MILL # 1</v>
          </cell>
          <cell r="D10264">
            <v>0</v>
          </cell>
          <cell r="E10264">
            <v>0</v>
          </cell>
          <cell r="F10264">
            <v>0</v>
          </cell>
          <cell r="G10264">
            <v>0</v>
          </cell>
        </row>
        <row r="10265">
          <cell r="A10265" t="str">
            <v>57-01-01-2731</v>
          </cell>
          <cell r="B10265">
            <v>0</v>
          </cell>
          <cell r="C10265" t="str">
            <v xml:space="preserve">  NOOR MUHAMMAD OPT A/CONE MILL # 1</v>
          </cell>
          <cell r="D10265">
            <v>0</v>
          </cell>
          <cell r="E10265">
            <v>0</v>
          </cell>
          <cell r="F10265">
            <v>0</v>
          </cell>
          <cell r="G10265">
            <v>0</v>
          </cell>
        </row>
        <row r="10266">
          <cell r="A10266" t="str">
            <v>57-01-01-2732</v>
          </cell>
          <cell r="B10266">
            <v>0</v>
          </cell>
          <cell r="C10266" t="str">
            <v xml:space="preserve">  MUHAMMAD YOUSAF 4/S RING-8 MILL</v>
          </cell>
          <cell r="D10266">
            <v>0</v>
          </cell>
          <cell r="E10266">
            <v>0</v>
          </cell>
          <cell r="F10266">
            <v>0</v>
          </cell>
          <cell r="G10266">
            <v>0</v>
          </cell>
        </row>
        <row r="10267">
          <cell r="A10267" t="str">
            <v>57-01-01-2733</v>
          </cell>
          <cell r="B10267">
            <v>0</v>
          </cell>
          <cell r="C10267" t="str">
            <v xml:space="preserve">  IQRAR HUSSAIN D.S.T.D/S MILL</v>
          </cell>
          <cell r="D10267">
            <v>0</v>
          </cell>
          <cell r="E10267">
            <v>0</v>
          </cell>
          <cell r="F10267">
            <v>0</v>
          </cell>
          <cell r="G10267">
            <v>0</v>
          </cell>
        </row>
        <row r="10268">
          <cell r="A10268" t="str">
            <v>57-01-01-2734</v>
          </cell>
          <cell r="B10268">
            <v>0</v>
          </cell>
          <cell r="C10268" t="str">
            <v xml:space="preserve">  ASHFAQ AHMED SABIR OPT A/CONE</v>
          </cell>
          <cell r="D10268">
            <v>0</v>
          </cell>
          <cell r="E10268">
            <v>0</v>
          </cell>
          <cell r="F10268">
            <v>0</v>
          </cell>
          <cell r="G10268">
            <v>0</v>
          </cell>
        </row>
        <row r="10269">
          <cell r="A10269" t="str">
            <v>57-01-01-2735</v>
          </cell>
          <cell r="B10269">
            <v>0</v>
          </cell>
          <cell r="C10269" t="str">
            <v xml:space="preserve">  MUHAMMAD AZAM MOTOR WINDER M # 2</v>
          </cell>
          <cell r="D10269">
            <v>0</v>
          </cell>
          <cell r="E10269">
            <v>0</v>
          </cell>
          <cell r="F10269">
            <v>0</v>
          </cell>
          <cell r="G10269">
            <v>0</v>
          </cell>
        </row>
        <row r="10270">
          <cell r="A10270" t="str">
            <v>57-01-01-2736</v>
          </cell>
          <cell r="B10270">
            <v>0</v>
          </cell>
          <cell r="C10270" t="str">
            <v xml:space="preserve">  MAZHAR ABBAS ELECTRICIAN MILL</v>
          </cell>
          <cell r="D10270">
            <v>0</v>
          </cell>
          <cell r="E10270">
            <v>0</v>
          </cell>
          <cell r="F10270">
            <v>0</v>
          </cell>
          <cell r="G10270">
            <v>0</v>
          </cell>
        </row>
        <row r="10271">
          <cell r="A10271" t="str">
            <v>57-01-01-2737</v>
          </cell>
          <cell r="B10271">
            <v>0</v>
          </cell>
          <cell r="C10271" t="str">
            <v xml:space="preserve">  MUHAMMAD NASIR SR.ELECTRIC</v>
          </cell>
          <cell r="D10271">
            <v>0</v>
          </cell>
          <cell r="E10271">
            <v>0</v>
          </cell>
          <cell r="F10271">
            <v>0</v>
          </cell>
          <cell r="G10271">
            <v>0</v>
          </cell>
        </row>
        <row r="10272">
          <cell r="A10272" t="str">
            <v>57-01-01-2738</v>
          </cell>
          <cell r="B10272">
            <v>0</v>
          </cell>
          <cell r="C10272" t="str">
            <v xml:space="preserve">  MUHAMMAD SHEBAZ 4/S C/SP MILL # 5</v>
          </cell>
          <cell r="D10272">
            <v>0</v>
          </cell>
          <cell r="E10272">
            <v>0</v>
          </cell>
          <cell r="F10272">
            <v>0</v>
          </cell>
          <cell r="G10272">
            <v>0</v>
          </cell>
        </row>
        <row r="10273">
          <cell r="A10273" t="str">
            <v>57-01-01-2739</v>
          </cell>
          <cell r="B10273">
            <v>0</v>
          </cell>
          <cell r="C10273" t="str">
            <v xml:space="preserve">  SHEHZAD HUSSAIN D/F B/ROOM</v>
          </cell>
          <cell r="D10273">
            <v>0</v>
          </cell>
          <cell r="E10273">
            <v>0</v>
          </cell>
          <cell r="F10273">
            <v>0</v>
          </cell>
          <cell r="G10273">
            <v>0</v>
          </cell>
        </row>
        <row r="10274">
          <cell r="A10274" t="str">
            <v>57-01-01-2740</v>
          </cell>
          <cell r="B10274">
            <v>0</v>
          </cell>
          <cell r="C10274" t="str">
            <v xml:space="preserve">  AHMAD YASIR A/FITT RING 6</v>
          </cell>
          <cell r="D10274">
            <v>0</v>
          </cell>
          <cell r="E10274">
            <v>0</v>
          </cell>
          <cell r="F10274">
            <v>0</v>
          </cell>
          <cell r="G10274">
            <v>0</v>
          </cell>
        </row>
        <row r="10275">
          <cell r="A10275" t="str">
            <v>57-01-01-2741</v>
          </cell>
          <cell r="B10275">
            <v>0</v>
          </cell>
          <cell r="C10275" t="str">
            <v xml:space="preserve">  GHULSM SARWAR D/F RING MILL</v>
          </cell>
          <cell r="D10275">
            <v>0</v>
          </cell>
          <cell r="E10275">
            <v>0</v>
          </cell>
          <cell r="F10275">
            <v>0</v>
          </cell>
          <cell r="G10275">
            <v>0</v>
          </cell>
        </row>
        <row r="10276">
          <cell r="A10276" t="str">
            <v>57-01-01-2742</v>
          </cell>
          <cell r="B10276">
            <v>0</v>
          </cell>
          <cell r="C10276" t="str">
            <v xml:space="preserve">  TAWAR JAN 4/S RING-6</v>
          </cell>
          <cell r="D10276">
            <v>0</v>
          </cell>
          <cell r="E10276">
            <v>0</v>
          </cell>
          <cell r="F10276">
            <v>0</v>
          </cell>
          <cell r="G10276">
            <v>0</v>
          </cell>
        </row>
        <row r="10277">
          <cell r="A10277" t="str">
            <v>57-01-01-2743</v>
          </cell>
          <cell r="B10277">
            <v>0</v>
          </cell>
          <cell r="C10277" t="str">
            <v xml:space="preserve">  ABDUL WAHEED SHAH 4/S RING</v>
          </cell>
          <cell r="D10277">
            <v>0</v>
          </cell>
          <cell r="E10277">
            <v>0</v>
          </cell>
          <cell r="F10277">
            <v>0</v>
          </cell>
          <cell r="G10277">
            <v>0</v>
          </cell>
        </row>
        <row r="10278">
          <cell r="A10278" t="str">
            <v>57-01-02</v>
          </cell>
          <cell r="B10278">
            <v>0</v>
          </cell>
          <cell r="C10278" t="str">
            <v>***LOAN TO EMPLOYEES ( KARACHI OFFICE )</v>
          </cell>
          <cell r="D10278">
            <v>2456051</v>
          </cell>
          <cell r="E10278">
            <v>0</v>
          </cell>
          <cell r="F10278">
            <v>2626051</v>
          </cell>
          <cell r="G10278">
            <v>170000</v>
          </cell>
        </row>
        <row r="10279">
          <cell r="A10279" t="str">
            <v>57-01-02-0001</v>
          </cell>
          <cell r="B10279">
            <v>170000</v>
          </cell>
          <cell r="C10279" t="str">
            <v xml:space="preserve">  ABDUL SATTAR JUMANI MANAGER ACCOUNTS</v>
          </cell>
          <cell r="D10279">
            <v>0</v>
          </cell>
          <cell r="E10279">
            <v>0</v>
          </cell>
          <cell r="F10279">
            <v>0</v>
          </cell>
          <cell r="G10279">
            <v>0</v>
          </cell>
        </row>
        <row r="10280">
          <cell r="A10280" t="str">
            <v>57-01-02-0002</v>
          </cell>
          <cell r="B10280">
            <v>0</v>
          </cell>
          <cell r="C10280" t="str">
            <v xml:space="preserve">  GHAYASUDDIN SHAIKH</v>
          </cell>
          <cell r="D10280">
            <v>0</v>
          </cell>
          <cell r="E10280">
            <v>0</v>
          </cell>
          <cell r="F10280">
            <v>0</v>
          </cell>
          <cell r="G10280">
            <v>0</v>
          </cell>
        </row>
        <row r="10281">
          <cell r="A10281" t="str">
            <v>57-01-02-0003</v>
          </cell>
          <cell r="B10281">
            <v>0</v>
          </cell>
          <cell r="C10281" t="str">
            <v xml:space="preserve">  SARWAR</v>
          </cell>
          <cell r="D10281">
            <v>0</v>
          </cell>
          <cell r="E10281">
            <v>0</v>
          </cell>
          <cell r="F10281">
            <v>0</v>
          </cell>
          <cell r="G10281">
            <v>0</v>
          </cell>
        </row>
        <row r="10282">
          <cell r="A10282" t="str">
            <v>57-01-02-0004</v>
          </cell>
          <cell r="B10282">
            <v>0</v>
          </cell>
          <cell r="C10282" t="str">
            <v xml:space="preserve">  SYED ASGHAR ALAM (ACCOUNTS OFFICER)</v>
          </cell>
          <cell r="D10282">
            <v>0</v>
          </cell>
          <cell r="E10282">
            <v>0</v>
          </cell>
          <cell r="F10282">
            <v>0</v>
          </cell>
          <cell r="G10282">
            <v>0</v>
          </cell>
        </row>
        <row r="10283">
          <cell r="A10283" t="str">
            <v>57-01-02-0005</v>
          </cell>
          <cell r="B10283">
            <v>0</v>
          </cell>
          <cell r="C10283" t="str">
            <v xml:space="preserve">  AHMED USMAN ESSANI.</v>
          </cell>
          <cell r="D10283">
            <v>10000</v>
          </cell>
          <cell r="E10283">
            <v>0</v>
          </cell>
          <cell r="F10283">
            <v>0</v>
          </cell>
          <cell r="G10283">
            <v>0</v>
          </cell>
        </row>
        <row r="10284">
          <cell r="A10284" t="str">
            <v>57-01-02-0006</v>
          </cell>
          <cell r="B10284">
            <v>0</v>
          </cell>
          <cell r="C10284" t="str">
            <v xml:space="preserve">  MUHAMMAD SALEEM.</v>
          </cell>
          <cell r="D10284">
            <v>0</v>
          </cell>
          <cell r="E10284">
            <v>0</v>
          </cell>
          <cell r="F10284">
            <v>0</v>
          </cell>
          <cell r="G10284">
            <v>0</v>
          </cell>
        </row>
        <row r="10285">
          <cell r="A10285" t="str">
            <v>57-01-02-0007</v>
          </cell>
          <cell r="B10285">
            <v>0</v>
          </cell>
          <cell r="C10285" t="str">
            <v xml:space="preserve">  HAJI MUHAMMAD MUNDIA</v>
          </cell>
          <cell r="D10285">
            <v>0</v>
          </cell>
          <cell r="E10285">
            <v>0</v>
          </cell>
          <cell r="F10285">
            <v>0</v>
          </cell>
          <cell r="G10285">
            <v>0</v>
          </cell>
        </row>
        <row r="10286">
          <cell r="A10286" t="str">
            <v>57-01-02-0008</v>
          </cell>
          <cell r="B10286">
            <v>0</v>
          </cell>
          <cell r="C10286" t="str">
            <v xml:space="preserve">  ASIF RAFIQUE</v>
          </cell>
          <cell r="D10286">
            <v>85000</v>
          </cell>
          <cell r="E10286">
            <v>0</v>
          </cell>
          <cell r="F10286">
            <v>0</v>
          </cell>
          <cell r="G10286">
            <v>0</v>
          </cell>
        </row>
        <row r="10287">
          <cell r="A10287" t="str">
            <v>57-01-02-0009</v>
          </cell>
          <cell r="B10287">
            <v>0</v>
          </cell>
          <cell r="C10287" t="str">
            <v xml:space="preserve">  MUHAMMED AFTAB.</v>
          </cell>
          <cell r="D10287">
            <v>7000</v>
          </cell>
          <cell r="E10287">
            <v>0</v>
          </cell>
          <cell r="F10287">
            <v>0</v>
          </cell>
          <cell r="G10287">
            <v>0</v>
          </cell>
        </row>
        <row r="10288">
          <cell r="A10288" t="str">
            <v>57-01-02-0010</v>
          </cell>
          <cell r="B10288">
            <v>0</v>
          </cell>
          <cell r="C10288" t="str">
            <v xml:space="preserve">  MUHAMMAD JUNAID.</v>
          </cell>
          <cell r="D10288">
            <v>0</v>
          </cell>
          <cell r="E10288">
            <v>0</v>
          </cell>
          <cell r="F10288">
            <v>0</v>
          </cell>
          <cell r="G10288">
            <v>0</v>
          </cell>
        </row>
        <row r="10289">
          <cell r="A10289" t="str">
            <v>57-01-02-0011</v>
          </cell>
          <cell r="B10289">
            <v>0</v>
          </cell>
          <cell r="C10289" t="str">
            <v xml:space="preserve">  I.S.HAQI.</v>
          </cell>
          <cell r="D10289">
            <v>0</v>
          </cell>
          <cell r="E10289">
            <v>0</v>
          </cell>
          <cell r="F10289">
            <v>0</v>
          </cell>
          <cell r="G10289">
            <v>0</v>
          </cell>
        </row>
        <row r="10290">
          <cell r="A10290" t="str">
            <v>57-01-02-0012</v>
          </cell>
          <cell r="B10290">
            <v>0</v>
          </cell>
          <cell r="C10290" t="str">
            <v xml:space="preserve">  MOHAMMAD SIDDIQUE YOUSAF</v>
          </cell>
          <cell r="D10290">
            <v>0</v>
          </cell>
          <cell r="E10290">
            <v>0</v>
          </cell>
          <cell r="F10290">
            <v>0</v>
          </cell>
          <cell r="G10290">
            <v>0</v>
          </cell>
        </row>
        <row r="10291">
          <cell r="A10291" t="str">
            <v>57-01-02-0013</v>
          </cell>
          <cell r="B10291">
            <v>0</v>
          </cell>
          <cell r="C10291" t="str">
            <v xml:space="preserve">  ASIF AMANULLAH</v>
          </cell>
          <cell r="D10291">
            <v>0</v>
          </cell>
          <cell r="E10291">
            <v>170000</v>
          </cell>
          <cell r="F10291">
            <v>0</v>
          </cell>
          <cell r="G10291">
            <v>0</v>
          </cell>
        </row>
        <row r="10292">
          <cell r="A10292" t="str">
            <v>57-01-02-0014</v>
          </cell>
          <cell r="B10292">
            <v>0</v>
          </cell>
          <cell r="C10292" t="str">
            <v xml:space="preserve">  MUHAMMAD JAMIL</v>
          </cell>
          <cell r="D10292">
            <v>352000</v>
          </cell>
          <cell r="E10292">
            <v>0</v>
          </cell>
          <cell r="F10292">
            <v>0</v>
          </cell>
          <cell r="G10292">
            <v>0</v>
          </cell>
        </row>
        <row r="10293">
          <cell r="A10293" t="str">
            <v>57-01-02-0015</v>
          </cell>
          <cell r="B10293">
            <v>0</v>
          </cell>
          <cell r="C10293" t="str">
            <v xml:space="preserve">  MUHAMMAD ZAHOOR CHARRA LOAN ACCOUNT</v>
          </cell>
          <cell r="D10293">
            <v>0</v>
          </cell>
          <cell r="E10293">
            <v>0</v>
          </cell>
          <cell r="F10293">
            <v>0</v>
          </cell>
          <cell r="G10293">
            <v>0</v>
          </cell>
        </row>
        <row r="10294">
          <cell r="A10294" t="str">
            <v>57-01-02-0016</v>
          </cell>
          <cell r="B10294">
            <v>0</v>
          </cell>
          <cell r="C10294" t="str">
            <v xml:space="preserve">  MUHAMMAD AMIN (PURCHASER)</v>
          </cell>
          <cell r="D10294">
            <v>375351</v>
          </cell>
          <cell r="E10294">
            <v>0</v>
          </cell>
          <cell r="F10294">
            <v>0</v>
          </cell>
          <cell r="G10294">
            <v>0</v>
          </cell>
        </row>
        <row r="10295">
          <cell r="A10295" t="str">
            <v>57-01-02-0017</v>
          </cell>
          <cell r="B10295">
            <v>0</v>
          </cell>
          <cell r="C10295" t="str">
            <v xml:space="preserve">  ABDUL KARIM JAMAL</v>
          </cell>
          <cell r="D10295">
            <v>0</v>
          </cell>
          <cell r="E10295">
            <v>0</v>
          </cell>
          <cell r="F10295">
            <v>0</v>
          </cell>
          <cell r="G10295">
            <v>0</v>
          </cell>
        </row>
        <row r="10296">
          <cell r="A10296" t="str">
            <v>57-01-02-0018</v>
          </cell>
          <cell r="B10296">
            <v>0</v>
          </cell>
          <cell r="C10296" t="str">
            <v xml:space="preserve">  HUSSAIN PINGER</v>
          </cell>
          <cell r="D10296">
            <v>98000</v>
          </cell>
          <cell r="E10296">
            <v>0</v>
          </cell>
          <cell r="F10296">
            <v>0</v>
          </cell>
          <cell r="G10296">
            <v>0</v>
          </cell>
        </row>
        <row r="10297">
          <cell r="A10297" t="str">
            <v>57-01-02-0019</v>
          </cell>
          <cell r="B10297">
            <v>0</v>
          </cell>
          <cell r="C10297" t="str">
            <v xml:space="preserve">  ABDUL RASHEED (RAJA)</v>
          </cell>
          <cell r="D10297">
            <v>0</v>
          </cell>
          <cell r="E10297">
            <v>0</v>
          </cell>
          <cell r="F10297">
            <v>0</v>
          </cell>
          <cell r="G10297">
            <v>0</v>
          </cell>
        </row>
        <row r="10298">
          <cell r="A10298" t="str">
            <v>57-01-02-0020</v>
          </cell>
          <cell r="B10298">
            <v>0</v>
          </cell>
          <cell r="C10298" t="str">
            <v xml:space="preserve">  ZAHOOR DRIVER</v>
          </cell>
          <cell r="D10298">
            <v>0</v>
          </cell>
          <cell r="E10298">
            <v>0</v>
          </cell>
          <cell r="F10298">
            <v>0</v>
          </cell>
          <cell r="G10298">
            <v>0</v>
          </cell>
        </row>
        <row r="10299">
          <cell r="A10299" t="str">
            <v>57-01-02-0021</v>
          </cell>
          <cell r="B10299">
            <v>0</v>
          </cell>
          <cell r="C10299" t="str">
            <v xml:space="preserve">  MOBIN ADAM</v>
          </cell>
          <cell r="D10299">
            <v>0</v>
          </cell>
          <cell r="E10299">
            <v>0</v>
          </cell>
          <cell r="F10299">
            <v>0</v>
          </cell>
          <cell r="G10299">
            <v>0</v>
          </cell>
        </row>
        <row r="10300">
          <cell r="A10300" t="str">
            <v>57-01-02-0022</v>
          </cell>
          <cell r="B10300">
            <v>0</v>
          </cell>
          <cell r="C10300" t="str">
            <v xml:space="preserve">  MUHAMMAD SHAHID (ACCOUNTS OFFICER)</v>
          </cell>
          <cell r="D10300">
            <v>0</v>
          </cell>
          <cell r="E10300">
            <v>0</v>
          </cell>
          <cell r="F10300">
            <v>0</v>
          </cell>
          <cell r="G10300">
            <v>0</v>
          </cell>
        </row>
        <row r="10301">
          <cell r="A10301" t="str">
            <v>57-01-02-0023</v>
          </cell>
          <cell r="B10301">
            <v>0</v>
          </cell>
          <cell r="C10301" t="str">
            <v xml:space="preserve">  MUHAMMAD ARSHAD</v>
          </cell>
          <cell r="D10301">
            <v>5000</v>
          </cell>
          <cell r="E10301">
            <v>0</v>
          </cell>
          <cell r="F10301">
            <v>0</v>
          </cell>
          <cell r="G10301">
            <v>0</v>
          </cell>
        </row>
        <row r="10302">
          <cell r="A10302" t="str">
            <v>57-01-02-0024</v>
          </cell>
          <cell r="B10302">
            <v>0</v>
          </cell>
          <cell r="C10302" t="str">
            <v xml:space="preserve">  FAISAL SHAKOOR (ACCOUNT OFFICER)</v>
          </cell>
          <cell r="D10302">
            <v>0</v>
          </cell>
          <cell r="E10302">
            <v>0</v>
          </cell>
          <cell r="F10302">
            <v>0</v>
          </cell>
          <cell r="G10302">
            <v>0</v>
          </cell>
        </row>
        <row r="10303">
          <cell r="A10303" t="str">
            <v>57-01-02-0025</v>
          </cell>
          <cell r="B10303">
            <v>0</v>
          </cell>
          <cell r="C10303" t="str">
            <v xml:space="preserve">  BABOO LAL (SWEEPER)</v>
          </cell>
          <cell r="D10303">
            <v>0</v>
          </cell>
          <cell r="E10303">
            <v>0</v>
          </cell>
          <cell r="F10303">
            <v>0</v>
          </cell>
          <cell r="G10303">
            <v>0</v>
          </cell>
        </row>
        <row r="10304">
          <cell r="A10304" t="str">
            <v>57-01-02-0026</v>
          </cell>
          <cell r="B10304">
            <v>0</v>
          </cell>
          <cell r="C10304" t="str">
            <v xml:space="preserve">  RAFIQ KHIMANI</v>
          </cell>
          <cell r="D10304">
            <v>456000</v>
          </cell>
          <cell r="E10304">
            <v>0</v>
          </cell>
          <cell r="F10304">
            <v>0</v>
          </cell>
          <cell r="G10304">
            <v>0</v>
          </cell>
        </row>
        <row r="10305">
          <cell r="A10305" t="str">
            <v>57-01-02-0027</v>
          </cell>
          <cell r="B10305">
            <v>0</v>
          </cell>
          <cell r="C10305" t="str">
            <v xml:space="preserve">  SHAHID HANIF ASSISTANT MANAGER IT</v>
          </cell>
          <cell r="D10305">
            <v>24000</v>
          </cell>
          <cell r="E10305">
            <v>0</v>
          </cell>
          <cell r="F10305">
            <v>0</v>
          </cell>
          <cell r="G10305">
            <v>0</v>
          </cell>
        </row>
        <row r="10306">
          <cell r="A10306" t="str">
            <v>57-01-02-0028</v>
          </cell>
          <cell r="B10306">
            <v>0</v>
          </cell>
          <cell r="C10306" t="str">
            <v xml:space="preserve">  SHAUKAT SECURITY GUARD</v>
          </cell>
          <cell r="D10306">
            <v>0</v>
          </cell>
          <cell r="E10306">
            <v>0</v>
          </cell>
          <cell r="F10306">
            <v>0</v>
          </cell>
          <cell r="G10306">
            <v>0</v>
          </cell>
        </row>
        <row r="10307">
          <cell r="A10307" t="str">
            <v>57-01-02-0029</v>
          </cell>
          <cell r="B10307">
            <v>0</v>
          </cell>
          <cell r="C10307" t="str">
            <v xml:space="preserve">  IFTIKHAR AHMED G.M MILL # 4.</v>
          </cell>
          <cell r="D10307">
            <v>550000</v>
          </cell>
          <cell r="E10307">
            <v>0</v>
          </cell>
          <cell r="F10307">
            <v>0</v>
          </cell>
          <cell r="G10307">
            <v>0</v>
          </cell>
        </row>
        <row r="10308">
          <cell r="A10308" t="str">
            <v>57-01-02-0030</v>
          </cell>
          <cell r="B10308">
            <v>0</v>
          </cell>
          <cell r="C10308" t="str">
            <v xml:space="preserve">  MUHAMMAD ILYAS (OUT DOOR CLERK)</v>
          </cell>
          <cell r="D10308">
            <v>4000</v>
          </cell>
          <cell r="E10308">
            <v>0</v>
          </cell>
          <cell r="F10308">
            <v>0</v>
          </cell>
          <cell r="G10308">
            <v>0</v>
          </cell>
        </row>
        <row r="10309">
          <cell r="A10309" t="str">
            <v>57-01-02-0031</v>
          </cell>
          <cell r="B10309">
            <v>0</v>
          </cell>
          <cell r="C10309" t="str">
            <v xml:space="preserve">  ASIF MEHMOOD SATTI (FILLING CLERK)</v>
          </cell>
          <cell r="D10309">
            <v>5000</v>
          </cell>
          <cell r="E10309">
            <v>0</v>
          </cell>
          <cell r="F10309">
            <v>0</v>
          </cell>
          <cell r="G10309">
            <v>0</v>
          </cell>
        </row>
        <row r="10310">
          <cell r="A10310" t="str">
            <v>57-01-02-0032</v>
          </cell>
          <cell r="B10310">
            <v>0</v>
          </cell>
          <cell r="C10310" t="str">
            <v xml:space="preserve">  TAHIR BAWANY</v>
          </cell>
          <cell r="D10310">
            <v>3200</v>
          </cell>
          <cell r="E10310">
            <v>0</v>
          </cell>
          <cell r="F10310">
            <v>0</v>
          </cell>
          <cell r="G10310">
            <v>0</v>
          </cell>
        </row>
        <row r="10311">
          <cell r="A10311" t="str">
            <v>57-01-02-0033</v>
          </cell>
          <cell r="B10311">
            <v>0</v>
          </cell>
          <cell r="C10311" t="str">
            <v xml:space="preserve">  FAIZ ALAM (COTTON MANAGER) LOAN</v>
          </cell>
          <cell r="D10311">
            <v>145000</v>
          </cell>
          <cell r="E10311">
            <v>0</v>
          </cell>
          <cell r="F10311">
            <v>0</v>
          </cell>
          <cell r="G10311">
            <v>0</v>
          </cell>
        </row>
        <row r="10312">
          <cell r="A10312" t="str">
            <v>57-01-02-0034</v>
          </cell>
          <cell r="B10312">
            <v>0</v>
          </cell>
          <cell r="C10312" t="str">
            <v xml:space="preserve">  MUHAMMAD FAISAL ACCOUNTS OFFICER-EXPOR</v>
          </cell>
          <cell r="D10312">
            <v>236500</v>
          </cell>
          <cell r="E10312">
            <v>0</v>
          </cell>
          <cell r="F10312">
            <v>0</v>
          </cell>
          <cell r="G10312">
            <v>0</v>
          </cell>
        </row>
        <row r="10313">
          <cell r="A10313" t="str">
            <v>57-01-02-0035</v>
          </cell>
          <cell r="B10313">
            <v>0</v>
          </cell>
          <cell r="C10313" t="str">
            <v xml:space="preserve">  SALMAN LAKHANI PURCHASE MANAGER LOAN</v>
          </cell>
          <cell r="D10313">
            <v>270000</v>
          </cell>
          <cell r="E10313">
            <v>0</v>
          </cell>
          <cell r="F10313">
            <v>0</v>
          </cell>
          <cell r="G10313">
            <v>0</v>
          </cell>
        </row>
        <row r="10314">
          <cell r="A10314" t="str">
            <v>57-01-03</v>
          </cell>
          <cell r="B10314">
            <v>0</v>
          </cell>
          <cell r="C10314" t="str">
            <v>***LOAN TO EMPLOYEES ( PESHAWAR OFFICE )</v>
          </cell>
          <cell r="D10314">
            <v>41500</v>
          </cell>
          <cell r="E10314">
            <v>0</v>
          </cell>
          <cell r="F10314">
            <v>41500</v>
          </cell>
          <cell r="G10314">
            <v>0</v>
          </cell>
        </row>
        <row r="10315">
          <cell r="A10315" t="str">
            <v>57-01-03-0001</v>
          </cell>
          <cell r="B10315">
            <v>0</v>
          </cell>
          <cell r="C10315" t="str">
            <v xml:space="preserve">  HAMEED-UR-REHMAN</v>
          </cell>
          <cell r="D10315">
            <v>0</v>
          </cell>
          <cell r="E10315">
            <v>0</v>
          </cell>
          <cell r="F10315">
            <v>0</v>
          </cell>
          <cell r="G10315">
            <v>0</v>
          </cell>
        </row>
        <row r="10316">
          <cell r="A10316" t="str">
            <v>57-01-03-0002</v>
          </cell>
          <cell r="B10316">
            <v>0</v>
          </cell>
          <cell r="C10316" t="str">
            <v xml:space="preserve">  WISAL MUHAMMAD (PESHAWAR OFFICE)</v>
          </cell>
          <cell r="D10316">
            <v>6500</v>
          </cell>
          <cell r="E10316">
            <v>0</v>
          </cell>
          <cell r="F10316">
            <v>0</v>
          </cell>
          <cell r="G10316">
            <v>0</v>
          </cell>
        </row>
        <row r="10317">
          <cell r="A10317" t="str">
            <v>57-01-03-0003</v>
          </cell>
          <cell r="B10317">
            <v>0</v>
          </cell>
          <cell r="C10317" t="str">
            <v xml:space="preserve">  MUHMMAD AYUB</v>
          </cell>
          <cell r="D10317">
            <v>35000</v>
          </cell>
          <cell r="E10317">
            <v>0</v>
          </cell>
          <cell r="F10317">
            <v>0</v>
          </cell>
          <cell r="G10317">
            <v>0</v>
          </cell>
        </row>
        <row r="10318">
          <cell r="A10318" t="str">
            <v>57-01-04</v>
          </cell>
          <cell r="B10318">
            <v>0</v>
          </cell>
          <cell r="C10318" t="str">
            <v>***LOAN TO EMPLOYEES (PINDI OFFICE)</v>
          </cell>
          <cell r="D10318">
            <v>0</v>
          </cell>
          <cell r="E10318">
            <v>0</v>
          </cell>
          <cell r="F10318">
            <v>0</v>
          </cell>
          <cell r="G10318">
            <v>0</v>
          </cell>
        </row>
        <row r="10319">
          <cell r="A10319" t="str">
            <v>57-01-04-0001</v>
          </cell>
          <cell r="B10319">
            <v>0</v>
          </cell>
          <cell r="C10319" t="str">
            <v xml:space="preserve">  RIASAT DRIVER BADGE # 81362</v>
          </cell>
          <cell r="D10319">
            <v>0</v>
          </cell>
          <cell r="E10319">
            <v>0</v>
          </cell>
          <cell r="F10319">
            <v>0</v>
          </cell>
          <cell r="G10319">
            <v>0</v>
          </cell>
        </row>
        <row r="10320">
          <cell r="A10320" t="str">
            <v>57-02</v>
          </cell>
          <cell r="B10320">
            <v>0</v>
          </cell>
          <cell r="C10320" t="str">
            <v>**ADVANCE AGAINST SALARY</v>
          </cell>
          <cell r="D10320">
            <v>297952</v>
          </cell>
          <cell r="E10320">
            <v>0</v>
          </cell>
          <cell r="F10320">
            <v>297952</v>
          </cell>
          <cell r="G10320">
            <v>0</v>
          </cell>
        </row>
        <row r="10321">
          <cell r="A10321" t="str">
            <v>57-02-01</v>
          </cell>
          <cell r="B10321">
            <v>0</v>
          </cell>
          <cell r="C10321" t="str">
            <v>***ADVANCE AGAINST SALARY ( FACTORY )</v>
          </cell>
          <cell r="D10321">
            <v>236005</v>
          </cell>
          <cell r="E10321">
            <v>0</v>
          </cell>
          <cell r="F10321">
            <v>236005</v>
          </cell>
          <cell r="G10321">
            <v>0</v>
          </cell>
        </row>
        <row r="10322">
          <cell r="A10322" t="str">
            <v>57-02-01-0001</v>
          </cell>
          <cell r="B10322">
            <v>0</v>
          </cell>
          <cell r="C10322" t="str">
            <v xml:space="preserve">  ADVANCE AGAINST SALARY ( FACTORY )</v>
          </cell>
          <cell r="D10322">
            <v>236005</v>
          </cell>
          <cell r="E10322">
            <v>0</v>
          </cell>
          <cell r="F10322">
            <v>0</v>
          </cell>
          <cell r="G10322">
            <v>0</v>
          </cell>
        </row>
        <row r="10323">
          <cell r="A10323" t="str">
            <v>57-02-02</v>
          </cell>
          <cell r="B10323">
            <v>0</v>
          </cell>
          <cell r="C10323" t="str">
            <v>***ADVANCE AGAINST SALARY (HEAD OFFICE)</v>
          </cell>
          <cell r="D10323">
            <v>61947</v>
          </cell>
          <cell r="E10323">
            <v>0</v>
          </cell>
          <cell r="F10323">
            <v>61947</v>
          </cell>
          <cell r="G10323">
            <v>0</v>
          </cell>
        </row>
        <row r="10324">
          <cell r="A10324" t="str">
            <v>57-02-02-0001</v>
          </cell>
          <cell r="B10324">
            <v>0</v>
          </cell>
          <cell r="C10324" t="str">
            <v xml:space="preserve">  ADVANCE AGAINST SALARY (HEAD OFFICE)</v>
          </cell>
          <cell r="D10324">
            <v>61947</v>
          </cell>
          <cell r="E10324">
            <v>0</v>
          </cell>
          <cell r="F10324">
            <v>0</v>
          </cell>
          <cell r="G10324">
            <v>0</v>
          </cell>
        </row>
        <row r="10325">
          <cell r="A10325" t="str">
            <v>57-02-03</v>
          </cell>
          <cell r="B10325">
            <v>0</v>
          </cell>
          <cell r="C10325" t="str">
            <v>***ADVANCE AGAINST SALARY (PESHAWAR OFFI</v>
          </cell>
          <cell r="D10325">
            <v>0</v>
          </cell>
          <cell r="E10325">
            <v>0</v>
          </cell>
          <cell r="F10325">
            <v>0</v>
          </cell>
          <cell r="G10325">
            <v>0</v>
          </cell>
        </row>
        <row r="10326">
          <cell r="A10326" t="str">
            <v>57-02-03-0001</v>
          </cell>
          <cell r="B10326">
            <v>0</v>
          </cell>
          <cell r="C10326" t="str">
            <v xml:space="preserve">  ADVANCE AGAINST SALARY (PESHAWAR OFFIC</v>
          </cell>
          <cell r="D10326">
            <v>0</v>
          </cell>
          <cell r="E10326">
            <v>0</v>
          </cell>
          <cell r="F10326">
            <v>0</v>
          </cell>
          <cell r="G10326">
            <v>0</v>
          </cell>
        </row>
        <row r="10327">
          <cell r="A10327" t="str">
            <v>58</v>
          </cell>
          <cell r="B10327">
            <v>0</v>
          </cell>
          <cell r="C10327" t="str">
            <v>*OTHER RECIEVABLES</v>
          </cell>
          <cell r="D10327">
            <v>21319864.399999999</v>
          </cell>
          <cell r="E10327">
            <v>0</v>
          </cell>
          <cell r="F10327">
            <v>21319864.399999999</v>
          </cell>
          <cell r="G10327">
            <v>0</v>
          </cell>
        </row>
        <row r="10328">
          <cell r="A10328" t="str">
            <v>58-01</v>
          </cell>
          <cell r="B10328">
            <v>0</v>
          </cell>
          <cell r="C10328" t="str">
            <v>**FROM BANK</v>
          </cell>
          <cell r="D10328">
            <v>1013173.83</v>
          </cell>
          <cell r="E10328">
            <v>0</v>
          </cell>
          <cell r="F10328">
            <v>1013173.83</v>
          </cell>
          <cell r="G10328">
            <v>0</v>
          </cell>
        </row>
        <row r="10329">
          <cell r="A10329" t="str">
            <v>58-01-01</v>
          </cell>
          <cell r="B10329">
            <v>0</v>
          </cell>
          <cell r="C10329" t="str">
            <v>***HBL</v>
          </cell>
          <cell r="D10329">
            <v>0</v>
          </cell>
          <cell r="E10329">
            <v>0</v>
          </cell>
          <cell r="F10329">
            <v>0</v>
          </cell>
          <cell r="G10329">
            <v>0</v>
          </cell>
        </row>
        <row r="10330">
          <cell r="A10330" t="str">
            <v>58-01-01-0001</v>
          </cell>
          <cell r="B10330">
            <v>0</v>
          </cell>
          <cell r="C10330" t="str">
            <v xml:space="preserve">  INCOME ON SNTD HBL RECEIVABLE</v>
          </cell>
          <cell r="D10330">
            <v>0</v>
          </cell>
          <cell r="E10330">
            <v>0</v>
          </cell>
          <cell r="F10330">
            <v>0</v>
          </cell>
          <cell r="G10330">
            <v>0</v>
          </cell>
        </row>
        <row r="10331">
          <cell r="A10331" t="str">
            <v>58-01-01-0002</v>
          </cell>
          <cell r="B10331">
            <v>0</v>
          </cell>
          <cell r="C10331" t="str">
            <v xml:space="preserve">  RECEIVABLE FROM HBL CORPORATE ON L/C'S</v>
          </cell>
          <cell r="D10331">
            <v>0</v>
          </cell>
          <cell r="E10331">
            <v>0</v>
          </cell>
          <cell r="F10331">
            <v>0</v>
          </cell>
          <cell r="G10331">
            <v>0</v>
          </cell>
        </row>
        <row r="10332">
          <cell r="A10332" t="str">
            <v>58-01-01-0003</v>
          </cell>
          <cell r="B10332">
            <v>0</v>
          </cell>
          <cell r="C10332" t="str">
            <v xml:space="preserve">  INCOME RECEIVABLE ON MARGIN HBL</v>
          </cell>
          <cell r="D10332">
            <v>0</v>
          </cell>
          <cell r="E10332">
            <v>0</v>
          </cell>
          <cell r="F10332">
            <v>0</v>
          </cell>
          <cell r="G10332">
            <v>0</v>
          </cell>
        </row>
        <row r="10333">
          <cell r="A10333" t="str">
            <v>58-01-01-0004</v>
          </cell>
          <cell r="B10333">
            <v>0</v>
          </cell>
          <cell r="C10333" t="str">
            <v xml:space="preserve">  MARK UP RECEIVABLE FROM HABIB BANK.</v>
          </cell>
          <cell r="D10333">
            <v>0</v>
          </cell>
          <cell r="E10333">
            <v>0</v>
          </cell>
          <cell r="F10333">
            <v>0</v>
          </cell>
          <cell r="G10333">
            <v>0</v>
          </cell>
        </row>
        <row r="10334">
          <cell r="A10334" t="str">
            <v>58-01-02</v>
          </cell>
          <cell r="B10334">
            <v>0</v>
          </cell>
          <cell r="C10334" t="str">
            <v>***MCB</v>
          </cell>
          <cell r="D10334">
            <v>0</v>
          </cell>
          <cell r="E10334">
            <v>0</v>
          </cell>
          <cell r="F10334">
            <v>0</v>
          </cell>
          <cell r="G10334">
            <v>0</v>
          </cell>
        </row>
        <row r="10335">
          <cell r="A10335" t="str">
            <v>58-01-02-0001</v>
          </cell>
          <cell r="B10335">
            <v>0</v>
          </cell>
          <cell r="C10335" t="str">
            <v xml:space="preserve">  INCOME RECEIVABLE ON MCB PLS A/C PSH</v>
          </cell>
          <cell r="D10335">
            <v>0</v>
          </cell>
          <cell r="E10335">
            <v>0</v>
          </cell>
          <cell r="F10335">
            <v>0</v>
          </cell>
          <cell r="G10335">
            <v>0</v>
          </cell>
        </row>
        <row r="10336">
          <cell r="A10336" t="str">
            <v>58-01-02-0002</v>
          </cell>
          <cell r="B10336">
            <v>0</v>
          </cell>
          <cell r="C10336" t="str">
            <v xml:space="preserve">  RECEIVABLE FROM MCB ( L/C OPENING CHGS</v>
          </cell>
          <cell r="D10336">
            <v>0</v>
          </cell>
          <cell r="E10336">
            <v>0</v>
          </cell>
          <cell r="F10336">
            <v>0</v>
          </cell>
          <cell r="G10336">
            <v>0</v>
          </cell>
        </row>
        <row r="10337">
          <cell r="A10337" t="str">
            <v>58-01-03</v>
          </cell>
          <cell r="B10337">
            <v>0</v>
          </cell>
          <cell r="C10337" t="str">
            <v>***SBL</v>
          </cell>
          <cell r="D10337">
            <v>0</v>
          </cell>
          <cell r="E10337">
            <v>0</v>
          </cell>
          <cell r="F10337">
            <v>0</v>
          </cell>
          <cell r="G10337">
            <v>0</v>
          </cell>
        </row>
        <row r="10338">
          <cell r="A10338" t="str">
            <v>58-01-03-0001</v>
          </cell>
          <cell r="B10338">
            <v>0</v>
          </cell>
          <cell r="C10338" t="str">
            <v xml:space="preserve">  INCOME ON SNTD SBL-PESHAWAR RECEIVABLE</v>
          </cell>
          <cell r="D10338">
            <v>0</v>
          </cell>
          <cell r="E10338">
            <v>0</v>
          </cell>
          <cell r="F10338">
            <v>0</v>
          </cell>
          <cell r="G10338">
            <v>0</v>
          </cell>
        </row>
        <row r="10339">
          <cell r="A10339" t="str">
            <v>58-01-03-0002</v>
          </cell>
          <cell r="B10339">
            <v>0</v>
          </cell>
          <cell r="C10339" t="str">
            <v xml:space="preserve">  RECEIVABLE FROM SBL (L/C OPENING CHARG</v>
          </cell>
          <cell r="D10339">
            <v>0</v>
          </cell>
          <cell r="E10339">
            <v>0</v>
          </cell>
          <cell r="F10339">
            <v>0</v>
          </cell>
          <cell r="G10339">
            <v>0</v>
          </cell>
        </row>
        <row r="10340">
          <cell r="A10340" t="str">
            <v>58-01-04</v>
          </cell>
          <cell r="B10340">
            <v>0</v>
          </cell>
          <cell r="C10340" t="str">
            <v>***CITI</v>
          </cell>
          <cell r="D10340">
            <v>0</v>
          </cell>
          <cell r="E10340">
            <v>0</v>
          </cell>
          <cell r="F10340">
            <v>0</v>
          </cell>
          <cell r="G10340">
            <v>0</v>
          </cell>
        </row>
        <row r="10341">
          <cell r="A10341" t="str">
            <v>58-01-04-0001</v>
          </cell>
          <cell r="B10341">
            <v>0</v>
          </cell>
          <cell r="C10341" t="str">
            <v xml:space="preserve">  MARK-UP RECEIVALE FROM CITI BANK</v>
          </cell>
          <cell r="D10341">
            <v>0</v>
          </cell>
          <cell r="E10341">
            <v>0</v>
          </cell>
          <cell r="F10341">
            <v>0</v>
          </cell>
          <cell r="G10341">
            <v>0</v>
          </cell>
        </row>
        <row r="10342">
          <cell r="A10342" t="str">
            <v>58-01-05</v>
          </cell>
          <cell r="B10342">
            <v>0</v>
          </cell>
          <cell r="C10342" t="str">
            <v>***MPBL</v>
          </cell>
          <cell r="D10342">
            <v>255603.7</v>
          </cell>
          <cell r="E10342">
            <v>0</v>
          </cell>
          <cell r="F10342">
            <v>255603.7</v>
          </cell>
          <cell r="G10342">
            <v>0</v>
          </cell>
        </row>
        <row r="10343">
          <cell r="A10343" t="str">
            <v>58-01-05-0001</v>
          </cell>
          <cell r="B10343">
            <v>0</v>
          </cell>
          <cell r="C10343" t="str">
            <v xml:space="preserve">  RECEIVABLE FROM M.P.B- L/C/L/G CHARGES</v>
          </cell>
          <cell r="D10343">
            <v>10607</v>
          </cell>
          <cell r="E10343">
            <v>0</v>
          </cell>
          <cell r="F10343">
            <v>0</v>
          </cell>
          <cell r="G10343">
            <v>0</v>
          </cell>
        </row>
        <row r="10344">
          <cell r="A10344" t="str">
            <v>58-01-05-0002</v>
          </cell>
          <cell r="B10344">
            <v>0</v>
          </cell>
          <cell r="C10344" t="str">
            <v xml:space="preserve">  MARK UP RECEIVABLE FROM METROPOLIATAN</v>
          </cell>
          <cell r="D10344">
            <v>10365.52</v>
          </cell>
          <cell r="E10344">
            <v>0</v>
          </cell>
          <cell r="F10344">
            <v>0</v>
          </cell>
          <cell r="G10344">
            <v>0</v>
          </cell>
        </row>
        <row r="10345">
          <cell r="A10345" t="str">
            <v>58-01-05-0003</v>
          </cell>
          <cell r="B10345">
            <v>0</v>
          </cell>
          <cell r="C10345" t="str">
            <v xml:space="preserve">  F.D.R INCOME RECEIVABLE-METROPOLITAN</v>
          </cell>
          <cell r="D10345">
            <v>234631.18</v>
          </cell>
          <cell r="E10345">
            <v>0</v>
          </cell>
          <cell r="F10345">
            <v>0</v>
          </cell>
          <cell r="G10345">
            <v>0</v>
          </cell>
        </row>
        <row r="10346">
          <cell r="A10346" t="str">
            <v>58-01-06</v>
          </cell>
          <cell r="B10346">
            <v>0</v>
          </cell>
          <cell r="C10346" t="str">
            <v>***AG ZURICH</v>
          </cell>
          <cell r="D10346">
            <v>86225.66</v>
          </cell>
          <cell r="E10346">
            <v>0</v>
          </cell>
          <cell r="F10346">
            <v>86225.66</v>
          </cell>
          <cell r="G10346">
            <v>0</v>
          </cell>
        </row>
        <row r="10347">
          <cell r="A10347" t="str">
            <v>58-01-06-0001</v>
          </cell>
          <cell r="B10347">
            <v>0</v>
          </cell>
          <cell r="C10347" t="str">
            <v xml:space="preserve">  F.D.R. INCOME RECEIVABLE HB AG ZURICH</v>
          </cell>
          <cell r="D10347">
            <v>153.66</v>
          </cell>
          <cell r="E10347">
            <v>0</v>
          </cell>
          <cell r="F10347">
            <v>0</v>
          </cell>
          <cell r="G10347">
            <v>0</v>
          </cell>
        </row>
        <row r="10348">
          <cell r="A10348" t="str">
            <v>58-01-06-0002</v>
          </cell>
          <cell r="B10348">
            <v>0</v>
          </cell>
          <cell r="C10348" t="str">
            <v xml:space="preserve">  RECEIVALBE FROM HBZ (L/C OPENING CHARG</v>
          </cell>
          <cell r="D10348">
            <v>2577</v>
          </cell>
          <cell r="E10348">
            <v>0</v>
          </cell>
          <cell r="F10348">
            <v>0</v>
          </cell>
          <cell r="G10348">
            <v>0</v>
          </cell>
        </row>
        <row r="10349">
          <cell r="A10349" t="str">
            <v>58-01-06-0003</v>
          </cell>
          <cell r="B10349">
            <v>0</v>
          </cell>
          <cell r="C10349" t="str">
            <v xml:space="preserve">  RECEIVABLE FROM HB AGZ(LG COMMISSION)</v>
          </cell>
          <cell r="D10349">
            <v>0</v>
          </cell>
          <cell r="E10349">
            <v>0</v>
          </cell>
          <cell r="F10349">
            <v>0</v>
          </cell>
          <cell r="G10349">
            <v>0</v>
          </cell>
        </row>
        <row r="10350">
          <cell r="A10350" t="str">
            <v>58-01-06-0004</v>
          </cell>
          <cell r="B10350">
            <v>0</v>
          </cell>
          <cell r="C10350" t="str">
            <v xml:space="preserve">  MARKUP RECEIVBLE ON OVER DRAFT AG ZURI</v>
          </cell>
          <cell r="D10350">
            <v>83495</v>
          </cell>
          <cell r="E10350">
            <v>0</v>
          </cell>
          <cell r="F10350">
            <v>0</v>
          </cell>
          <cell r="G10350">
            <v>0</v>
          </cell>
        </row>
        <row r="10351">
          <cell r="A10351" t="str">
            <v>58-01-07</v>
          </cell>
          <cell r="B10351">
            <v>0</v>
          </cell>
          <cell r="C10351" t="str">
            <v>***ABN- AMRO</v>
          </cell>
          <cell r="D10351">
            <v>124703.38</v>
          </cell>
          <cell r="E10351">
            <v>0</v>
          </cell>
          <cell r="F10351">
            <v>124703.38</v>
          </cell>
          <cell r="G10351">
            <v>0</v>
          </cell>
        </row>
        <row r="10352">
          <cell r="A10352" t="str">
            <v>58-01-07-0001</v>
          </cell>
          <cell r="B10352">
            <v>0</v>
          </cell>
          <cell r="C10352" t="str">
            <v xml:space="preserve">  MARK UP RECEIVABLE FROM ABN- AMRO.</v>
          </cell>
          <cell r="D10352">
            <v>0</v>
          </cell>
          <cell r="E10352">
            <v>0</v>
          </cell>
          <cell r="F10352">
            <v>0</v>
          </cell>
          <cell r="G10352">
            <v>0</v>
          </cell>
        </row>
        <row r="10353">
          <cell r="A10353" t="str">
            <v>58-01-07-0002</v>
          </cell>
          <cell r="B10353">
            <v>0</v>
          </cell>
          <cell r="C10353" t="str">
            <v xml:space="preserve">  RECEIVABLE FROM ABN-AMRO (L.C CHARGES)</v>
          </cell>
          <cell r="D10353">
            <v>124703.38</v>
          </cell>
          <cell r="E10353">
            <v>0</v>
          </cell>
          <cell r="F10353">
            <v>0</v>
          </cell>
          <cell r="G10353">
            <v>0</v>
          </cell>
        </row>
        <row r="10354">
          <cell r="A10354" t="str">
            <v>58-01-08</v>
          </cell>
          <cell r="B10354">
            <v>0</v>
          </cell>
          <cell r="C10354" t="str">
            <v>***BANK AL-HABIB</v>
          </cell>
          <cell r="D10354">
            <v>193</v>
          </cell>
          <cell r="E10354">
            <v>0</v>
          </cell>
          <cell r="F10354">
            <v>193</v>
          </cell>
          <cell r="G10354">
            <v>0</v>
          </cell>
        </row>
        <row r="10355">
          <cell r="A10355" t="str">
            <v>58-01-08-0001</v>
          </cell>
          <cell r="B10355">
            <v>0</v>
          </cell>
          <cell r="C10355" t="str">
            <v xml:space="preserve">  MARK UP RECEIVABLE BANK AL-HABIB.</v>
          </cell>
          <cell r="D10355">
            <v>0</v>
          </cell>
          <cell r="E10355">
            <v>0</v>
          </cell>
          <cell r="F10355">
            <v>0</v>
          </cell>
          <cell r="G10355">
            <v>0</v>
          </cell>
        </row>
        <row r="10356">
          <cell r="A10356" t="str">
            <v>58-01-08-0002</v>
          </cell>
          <cell r="B10356">
            <v>0</v>
          </cell>
          <cell r="C10356" t="str">
            <v xml:space="preserve">  RECEIVABLE FROM BANK AL-HABIB (L/C CHR</v>
          </cell>
          <cell r="D10356">
            <v>193</v>
          </cell>
          <cell r="E10356">
            <v>0</v>
          </cell>
          <cell r="F10356">
            <v>0</v>
          </cell>
          <cell r="G10356">
            <v>0</v>
          </cell>
        </row>
        <row r="10357">
          <cell r="A10357" t="str">
            <v>58-01-08-0003</v>
          </cell>
          <cell r="B10357">
            <v>0</v>
          </cell>
          <cell r="C10357" t="str">
            <v xml:space="preserve">  F.D.R.INCOME RECEIVABLE- BANK AL-HABIB</v>
          </cell>
          <cell r="D10357">
            <v>0</v>
          </cell>
          <cell r="E10357">
            <v>0</v>
          </cell>
          <cell r="F10357">
            <v>0</v>
          </cell>
          <cell r="G10357">
            <v>0</v>
          </cell>
        </row>
        <row r="10358">
          <cell r="A10358" t="str">
            <v>58-01-09</v>
          </cell>
          <cell r="B10358">
            <v>0</v>
          </cell>
          <cell r="C10358" t="str">
            <v>***UNION BANK</v>
          </cell>
          <cell r="D10358">
            <v>0</v>
          </cell>
          <cell r="E10358">
            <v>0</v>
          </cell>
          <cell r="F10358">
            <v>0</v>
          </cell>
          <cell r="G10358">
            <v>0</v>
          </cell>
        </row>
        <row r="10359">
          <cell r="A10359" t="str">
            <v>58-01-09-0001</v>
          </cell>
          <cell r="B10359">
            <v>0</v>
          </cell>
          <cell r="C10359" t="str">
            <v xml:space="preserve">  MARK UP RECEIVABLE FROM UNION BANK</v>
          </cell>
          <cell r="D10359">
            <v>0</v>
          </cell>
          <cell r="E10359">
            <v>0</v>
          </cell>
          <cell r="F10359">
            <v>0</v>
          </cell>
          <cell r="G10359">
            <v>0</v>
          </cell>
        </row>
        <row r="10360">
          <cell r="A10360" t="str">
            <v>58-01-10</v>
          </cell>
          <cell r="B10360">
            <v>0</v>
          </cell>
          <cell r="C10360" t="str">
            <v>***RECEIVABLE FROM U.B.L.</v>
          </cell>
          <cell r="D10360">
            <v>0</v>
          </cell>
          <cell r="E10360">
            <v>0</v>
          </cell>
          <cell r="F10360">
            <v>0</v>
          </cell>
          <cell r="G10360">
            <v>0</v>
          </cell>
        </row>
        <row r="10361">
          <cell r="A10361" t="str">
            <v>58-01-10-0001</v>
          </cell>
          <cell r="B10361">
            <v>0</v>
          </cell>
          <cell r="C10361" t="str">
            <v xml:space="preserve">  MARK UP RECEIVABLE FROM U.B.L.</v>
          </cell>
          <cell r="D10361">
            <v>0</v>
          </cell>
          <cell r="E10361">
            <v>0</v>
          </cell>
          <cell r="F10361">
            <v>0</v>
          </cell>
          <cell r="G10361">
            <v>0</v>
          </cell>
        </row>
        <row r="10362">
          <cell r="A10362" t="str">
            <v>58-01-10-0002</v>
          </cell>
          <cell r="B10362">
            <v>0</v>
          </cell>
          <cell r="C10362" t="str">
            <v xml:space="preserve">  RECEIVABLE FROM U.B.L. (L/C CHARGES)</v>
          </cell>
          <cell r="D10362">
            <v>0</v>
          </cell>
          <cell r="E10362">
            <v>0</v>
          </cell>
          <cell r="F10362">
            <v>0</v>
          </cell>
          <cell r="G10362">
            <v>0</v>
          </cell>
        </row>
        <row r="10363">
          <cell r="A10363" t="str">
            <v>58-01-11</v>
          </cell>
          <cell r="B10363">
            <v>0</v>
          </cell>
          <cell r="C10363" t="str">
            <v>***NDLC/IFIC</v>
          </cell>
          <cell r="D10363">
            <v>546448.09</v>
          </cell>
          <cell r="E10363">
            <v>0</v>
          </cell>
          <cell r="F10363">
            <v>546448.09</v>
          </cell>
          <cell r="G10363">
            <v>0</v>
          </cell>
        </row>
        <row r="10364">
          <cell r="A10364" t="str">
            <v>58-01-11-0001</v>
          </cell>
          <cell r="B10364">
            <v>0</v>
          </cell>
          <cell r="C10364" t="str">
            <v xml:space="preserve">  F.D.R INCOME RECEIVABLE FROM NDLC/IFIC</v>
          </cell>
          <cell r="D10364">
            <v>546448.09</v>
          </cell>
          <cell r="E10364">
            <v>0</v>
          </cell>
          <cell r="F10364">
            <v>0</v>
          </cell>
          <cell r="G10364">
            <v>0</v>
          </cell>
        </row>
        <row r="10365">
          <cell r="A10365" t="str">
            <v>58-02</v>
          </cell>
          <cell r="B10365">
            <v>0</v>
          </cell>
          <cell r="C10365" t="str">
            <v>**FROM GOVERMENT</v>
          </cell>
          <cell r="D10365">
            <v>20247860</v>
          </cell>
          <cell r="E10365">
            <v>0</v>
          </cell>
          <cell r="F10365">
            <v>20247860</v>
          </cell>
          <cell r="G10365">
            <v>0</v>
          </cell>
        </row>
        <row r="10366">
          <cell r="A10366" t="str">
            <v>58-02-01</v>
          </cell>
          <cell r="B10366">
            <v>0</v>
          </cell>
          <cell r="C10366" t="str">
            <v>***CUSTOM DEPARTMENT</v>
          </cell>
          <cell r="D10366">
            <v>0</v>
          </cell>
          <cell r="E10366">
            <v>0</v>
          </cell>
          <cell r="F10366">
            <v>0</v>
          </cell>
          <cell r="G10366">
            <v>0</v>
          </cell>
        </row>
        <row r="10367">
          <cell r="A10367" t="str">
            <v>58-02-01-0001</v>
          </cell>
          <cell r="B10367">
            <v>0</v>
          </cell>
          <cell r="C10367" t="str">
            <v xml:space="preserve">  REBATE ON EXPORT RECEIVABLE</v>
          </cell>
          <cell r="D10367">
            <v>0</v>
          </cell>
          <cell r="E10367">
            <v>0</v>
          </cell>
          <cell r="F10367">
            <v>0</v>
          </cell>
          <cell r="G10367">
            <v>0</v>
          </cell>
        </row>
        <row r="10368">
          <cell r="A10368" t="str">
            <v>58-02-01-0002</v>
          </cell>
          <cell r="B10368">
            <v>0</v>
          </cell>
          <cell r="C10368" t="str">
            <v xml:space="preserve">  REGULATORY DUTY RECIEVABLE ON RAW MATE</v>
          </cell>
          <cell r="D10368">
            <v>0</v>
          </cell>
          <cell r="E10368">
            <v>0</v>
          </cell>
          <cell r="F10368">
            <v>0</v>
          </cell>
          <cell r="G10368">
            <v>0</v>
          </cell>
        </row>
        <row r="10369">
          <cell r="A10369" t="str">
            <v>58-02-01-0003</v>
          </cell>
          <cell r="B10369">
            <v>0</v>
          </cell>
          <cell r="C10369" t="str">
            <v xml:space="preserve">  REGULATORY DUTY RECEIVALBE ON MACHINER</v>
          </cell>
          <cell r="D10369">
            <v>0</v>
          </cell>
          <cell r="E10369">
            <v>0</v>
          </cell>
          <cell r="F10369">
            <v>0</v>
          </cell>
          <cell r="G10369">
            <v>0</v>
          </cell>
        </row>
        <row r="10370">
          <cell r="A10370" t="str">
            <v>58-02-01-0004</v>
          </cell>
          <cell r="B10370">
            <v>0</v>
          </cell>
          <cell r="C10370" t="str">
            <v xml:space="preserve">  RECEIVABLE FROM COLLECTOR OF CUSTOM</v>
          </cell>
          <cell r="D10370">
            <v>0</v>
          </cell>
          <cell r="E10370">
            <v>0</v>
          </cell>
          <cell r="F10370">
            <v>0</v>
          </cell>
          <cell r="G10370">
            <v>0</v>
          </cell>
        </row>
        <row r="10371">
          <cell r="A10371" t="str">
            <v>58-02-01-0005</v>
          </cell>
          <cell r="B10371">
            <v>0</v>
          </cell>
          <cell r="C10371" t="str">
            <v xml:space="preserve">  RECEIVABLE FROM COLLECTOR OF CUSTOM</v>
          </cell>
          <cell r="D10371">
            <v>0</v>
          </cell>
          <cell r="E10371">
            <v>0</v>
          </cell>
          <cell r="F10371">
            <v>0</v>
          </cell>
          <cell r="G10371">
            <v>0</v>
          </cell>
        </row>
        <row r="10372">
          <cell r="A10372" t="str">
            <v>58-02-02</v>
          </cell>
          <cell r="B10372">
            <v>0</v>
          </cell>
          <cell r="C10372" t="str">
            <v>***SALES TAX DEPARTMENT</v>
          </cell>
          <cell r="D10372">
            <v>400000</v>
          </cell>
          <cell r="E10372">
            <v>0</v>
          </cell>
          <cell r="F10372">
            <v>400000</v>
          </cell>
          <cell r="G10372">
            <v>0</v>
          </cell>
        </row>
        <row r="10373">
          <cell r="A10373" t="str">
            <v>58-02-02-0001</v>
          </cell>
          <cell r="B10373">
            <v>0</v>
          </cell>
          <cell r="C10373" t="str">
            <v xml:space="preserve">  SALES TAX RECEIVABLE</v>
          </cell>
          <cell r="D10373">
            <v>0</v>
          </cell>
          <cell r="E10373">
            <v>0</v>
          </cell>
          <cell r="F10373">
            <v>0</v>
          </cell>
          <cell r="G10373">
            <v>0</v>
          </cell>
        </row>
        <row r="10374">
          <cell r="A10374" t="str">
            <v>58-02-02-0002</v>
          </cell>
          <cell r="B10374">
            <v>0</v>
          </cell>
          <cell r="C10374" t="str">
            <v xml:space="preserve">  SALES TAX PAID UNDER PROTEST</v>
          </cell>
          <cell r="D10374">
            <v>400000</v>
          </cell>
          <cell r="E10374">
            <v>0</v>
          </cell>
          <cell r="F10374">
            <v>0</v>
          </cell>
          <cell r="G10374">
            <v>0</v>
          </cell>
        </row>
        <row r="10375">
          <cell r="A10375" t="str">
            <v>58-02-03</v>
          </cell>
          <cell r="B10375">
            <v>0</v>
          </cell>
          <cell r="C10375" t="str">
            <v>***WAPDA</v>
          </cell>
          <cell r="D10375">
            <v>0</v>
          </cell>
          <cell r="E10375">
            <v>0</v>
          </cell>
          <cell r="F10375">
            <v>0</v>
          </cell>
          <cell r="G10375">
            <v>0</v>
          </cell>
        </row>
        <row r="10376">
          <cell r="A10376" t="str">
            <v>58-02-03-0001</v>
          </cell>
          <cell r="B10376">
            <v>0</v>
          </cell>
          <cell r="C10376" t="str">
            <v xml:space="preserve">  SURCHARGE RECEIVABLE FROM WAPDA</v>
          </cell>
          <cell r="D10376">
            <v>0</v>
          </cell>
          <cell r="E10376">
            <v>0</v>
          </cell>
          <cell r="F10376">
            <v>0</v>
          </cell>
          <cell r="G10376">
            <v>0</v>
          </cell>
        </row>
        <row r="10377">
          <cell r="A10377" t="str">
            <v>58-02-05</v>
          </cell>
          <cell r="B10377">
            <v>0</v>
          </cell>
          <cell r="C10377" t="str">
            <v>***TAX DEPARTMENT</v>
          </cell>
          <cell r="D10377">
            <v>19847860</v>
          </cell>
          <cell r="E10377">
            <v>0</v>
          </cell>
          <cell r="F10377">
            <v>19847860</v>
          </cell>
          <cell r="G10377">
            <v>0</v>
          </cell>
        </row>
        <row r="10378">
          <cell r="A10378" t="str">
            <v>58-02-05-0001</v>
          </cell>
          <cell r="B10378">
            <v>0</v>
          </cell>
          <cell r="C10378" t="str">
            <v xml:space="preserve">  TAX REFUNDABLE ASST.YEAR 2000-2001</v>
          </cell>
          <cell r="D10378">
            <v>0</v>
          </cell>
          <cell r="E10378">
            <v>0</v>
          </cell>
          <cell r="F10378">
            <v>0</v>
          </cell>
          <cell r="G10378">
            <v>0</v>
          </cell>
        </row>
        <row r="10379">
          <cell r="A10379" t="str">
            <v>58-02-05-0002</v>
          </cell>
          <cell r="B10379">
            <v>0</v>
          </cell>
          <cell r="C10379" t="str">
            <v xml:space="preserve">  TAX REFUNDABLE ASST.YEAR 2001-2002</v>
          </cell>
          <cell r="D10379">
            <v>0</v>
          </cell>
          <cell r="E10379">
            <v>0</v>
          </cell>
          <cell r="F10379">
            <v>0</v>
          </cell>
          <cell r="G10379">
            <v>0</v>
          </cell>
        </row>
        <row r="10380">
          <cell r="A10380" t="str">
            <v>58-02-05-0003</v>
          </cell>
          <cell r="B10380">
            <v>0</v>
          </cell>
          <cell r="C10380" t="str">
            <v xml:space="preserve">  TAX REFUNDABLE ASST.YEAR 2003-2004</v>
          </cell>
          <cell r="D10380">
            <v>19847860</v>
          </cell>
          <cell r="E10380">
            <v>0</v>
          </cell>
          <cell r="F10380">
            <v>0</v>
          </cell>
          <cell r="G10380">
            <v>0</v>
          </cell>
        </row>
        <row r="10381">
          <cell r="A10381" t="str">
            <v>58-03</v>
          </cell>
          <cell r="B10381">
            <v>0</v>
          </cell>
          <cell r="C10381" t="str">
            <v>**FOREIGN PARTIES</v>
          </cell>
          <cell r="D10381">
            <v>10000</v>
          </cell>
          <cell r="E10381">
            <v>0</v>
          </cell>
          <cell r="F10381">
            <v>10000</v>
          </cell>
          <cell r="G10381">
            <v>0</v>
          </cell>
        </row>
        <row r="10382">
          <cell r="A10382" t="str">
            <v>58-03-02</v>
          </cell>
          <cell r="B10382">
            <v>0</v>
          </cell>
          <cell r="C10382" t="str">
            <v>***FOREIGN PARTIES IMPORT</v>
          </cell>
          <cell r="D10382">
            <v>10000</v>
          </cell>
          <cell r="E10382">
            <v>0</v>
          </cell>
          <cell r="F10382">
            <v>10000</v>
          </cell>
          <cell r="G10382">
            <v>0</v>
          </cell>
        </row>
        <row r="10383">
          <cell r="A10383" t="str">
            <v>58-03-02-0001</v>
          </cell>
          <cell r="B10383">
            <v>0</v>
          </cell>
          <cell r="C10383" t="str">
            <v xml:space="preserve">  SUMITOMO CORPORATION, JAPAN L/C 20089/</v>
          </cell>
          <cell r="D10383">
            <v>0</v>
          </cell>
          <cell r="E10383">
            <v>0</v>
          </cell>
          <cell r="F10383">
            <v>0</v>
          </cell>
          <cell r="G10383">
            <v>0</v>
          </cell>
        </row>
        <row r="10384">
          <cell r="A10384" t="str">
            <v>58-03-02-0002</v>
          </cell>
          <cell r="B10384">
            <v>0</v>
          </cell>
          <cell r="C10384" t="str">
            <v xml:space="preserve">  TOYOTA TSUSHO CORPORATION</v>
          </cell>
          <cell r="D10384">
            <v>0</v>
          </cell>
          <cell r="E10384">
            <v>0</v>
          </cell>
          <cell r="F10384">
            <v>0</v>
          </cell>
          <cell r="G10384">
            <v>0</v>
          </cell>
        </row>
        <row r="10385">
          <cell r="A10385" t="str">
            <v>58-03-02-0003</v>
          </cell>
          <cell r="B10385">
            <v>0</v>
          </cell>
          <cell r="C10385" t="str">
            <v xml:space="preserve">  RECEIVABLE FROM MONTEFIBRE-ITALY</v>
          </cell>
          <cell r="D10385">
            <v>0</v>
          </cell>
          <cell r="E10385">
            <v>0</v>
          </cell>
          <cell r="F10385">
            <v>0</v>
          </cell>
          <cell r="G10385">
            <v>0</v>
          </cell>
        </row>
        <row r="10386">
          <cell r="A10386" t="str">
            <v>58-03-02-0004</v>
          </cell>
          <cell r="B10386">
            <v>0</v>
          </cell>
          <cell r="C10386" t="str">
            <v xml:space="preserve">  RECEIVABLE FROM QUEENSLAND COTTON U.S.</v>
          </cell>
          <cell r="D10386">
            <v>0</v>
          </cell>
          <cell r="E10386">
            <v>0</v>
          </cell>
          <cell r="F10386">
            <v>0</v>
          </cell>
          <cell r="G10386">
            <v>0</v>
          </cell>
        </row>
        <row r="10387">
          <cell r="A10387" t="str">
            <v>58-03-02-0005</v>
          </cell>
          <cell r="B10387">
            <v>0</v>
          </cell>
          <cell r="C10387" t="str">
            <v xml:space="preserve">  RECEIVABLE FROM SSANG YONG HEAVY INDUS</v>
          </cell>
          <cell r="D10387">
            <v>0</v>
          </cell>
          <cell r="E10387">
            <v>0</v>
          </cell>
          <cell r="F10387">
            <v>0</v>
          </cell>
          <cell r="G10387">
            <v>0</v>
          </cell>
        </row>
        <row r="10388">
          <cell r="A10388" t="str">
            <v>58-03-02-0006</v>
          </cell>
          <cell r="B10388">
            <v>0</v>
          </cell>
          <cell r="C10388" t="str">
            <v xml:space="preserve">  RECEIVABLE FROM SAVIO MACCHINE TESSILI</v>
          </cell>
          <cell r="D10388">
            <v>0</v>
          </cell>
          <cell r="E10388">
            <v>0</v>
          </cell>
          <cell r="F10388">
            <v>0</v>
          </cell>
          <cell r="G10388">
            <v>0</v>
          </cell>
        </row>
        <row r="10389">
          <cell r="A10389" t="str">
            <v>58-03-02-0007</v>
          </cell>
          <cell r="B10389">
            <v>0</v>
          </cell>
          <cell r="C10389" t="str">
            <v xml:space="preserve">  CLAIM RECEIVABLE FROM TRUTZSCHLER-MONO</v>
          </cell>
          <cell r="D10389">
            <v>0</v>
          </cell>
          <cell r="E10389">
            <v>0</v>
          </cell>
          <cell r="F10389">
            <v>0</v>
          </cell>
          <cell r="G10389">
            <v>0</v>
          </cell>
        </row>
        <row r="10390">
          <cell r="A10390" t="str">
            <v>58-03-02-0008</v>
          </cell>
          <cell r="B10390">
            <v>0</v>
          </cell>
          <cell r="C10390" t="str">
            <v xml:space="preserve">  CLAIM RECEIVABLE FROM TENDAHO AGRICULT</v>
          </cell>
          <cell r="D10390">
            <v>0</v>
          </cell>
          <cell r="E10390">
            <v>0</v>
          </cell>
          <cell r="F10390">
            <v>0</v>
          </cell>
          <cell r="G10390">
            <v>0</v>
          </cell>
        </row>
        <row r="10391">
          <cell r="A10391" t="str">
            <v>58-03-02-0009</v>
          </cell>
          <cell r="B10391">
            <v>0</v>
          </cell>
          <cell r="C10391" t="str">
            <v xml:space="preserve">  CLAIM RECEIVABLE FROM ZELLWEGER LUWA A</v>
          </cell>
          <cell r="D10391">
            <v>0</v>
          </cell>
          <cell r="E10391">
            <v>0</v>
          </cell>
          <cell r="F10391">
            <v>0</v>
          </cell>
          <cell r="G10391">
            <v>0</v>
          </cell>
        </row>
        <row r="10392">
          <cell r="A10392" t="str">
            <v>58-03-02-0010</v>
          </cell>
          <cell r="B10392">
            <v>0</v>
          </cell>
          <cell r="C10392" t="str">
            <v xml:space="preserve">  CLAIM RECEIVABLE FROM GOENKA IMPEX S.A</v>
          </cell>
          <cell r="D10392">
            <v>10000</v>
          </cell>
          <cell r="E10392">
            <v>0</v>
          </cell>
          <cell r="F10392">
            <v>0</v>
          </cell>
          <cell r="G10392">
            <v>0</v>
          </cell>
        </row>
        <row r="10393">
          <cell r="A10393" t="str">
            <v>58-03-02-0011</v>
          </cell>
          <cell r="B10393">
            <v>0</v>
          </cell>
          <cell r="C10393" t="str">
            <v xml:space="preserve">  CLAIM RECEIVABLE FORMOSA CHEMICLS &amp; FI</v>
          </cell>
          <cell r="D10393">
            <v>0</v>
          </cell>
          <cell r="E10393">
            <v>0</v>
          </cell>
          <cell r="F10393">
            <v>0</v>
          </cell>
          <cell r="G10393">
            <v>0</v>
          </cell>
        </row>
        <row r="10394">
          <cell r="A10394" t="str">
            <v>58-03-02-0012</v>
          </cell>
          <cell r="B10394">
            <v>0</v>
          </cell>
          <cell r="C10394" t="str">
            <v xml:space="preserve">  COTEXCO OVERSEAS CORPORATION LIMITED</v>
          </cell>
          <cell r="D10394">
            <v>0</v>
          </cell>
          <cell r="E10394">
            <v>0</v>
          </cell>
          <cell r="F10394">
            <v>0</v>
          </cell>
          <cell r="G10394">
            <v>0</v>
          </cell>
        </row>
        <row r="10395">
          <cell r="A10395" t="str">
            <v>58-03-02-0013</v>
          </cell>
          <cell r="B10395">
            <v>0</v>
          </cell>
          <cell r="C10395" t="str">
            <v xml:space="preserve">  CLAIM RECEIVABLE FROM CHINA TEXTILE MA</v>
          </cell>
          <cell r="D10395">
            <v>0</v>
          </cell>
          <cell r="E10395">
            <v>0</v>
          </cell>
          <cell r="F10395">
            <v>0</v>
          </cell>
          <cell r="G10395">
            <v>0</v>
          </cell>
        </row>
        <row r="10396">
          <cell r="A10396" t="str">
            <v>58-03-02-0014</v>
          </cell>
          <cell r="B10396">
            <v>0</v>
          </cell>
          <cell r="C10396" t="str">
            <v xml:space="preserve">  CLAIM RECEIVABLE SCHLAFHORST AG &amp; CO.</v>
          </cell>
          <cell r="D10396">
            <v>0</v>
          </cell>
          <cell r="E10396">
            <v>0</v>
          </cell>
          <cell r="F10396">
            <v>0</v>
          </cell>
          <cell r="G10396">
            <v>0</v>
          </cell>
        </row>
        <row r="10397">
          <cell r="A10397" t="str">
            <v>58-03-02-0015</v>
          </cell>
          <cell r="B10397">
            <v>0</v>
          </cell>
          <cell r="C10397" t="str">
            <v xml:space="preserve">  MAERSK SEA LAND KARACHI.</v>
          </cell>
          <cell r="D10397">
            <v>0</v>
          </cell>
          <cell r="E10397">
            <v>0</v>
          </cell>
          <cell r="F10397">
            <v>0</v>
          </cell>
          <cell r="G10397">
            <v>0</v>
          </cell>
        </row>
        <row r="10398">
          <cell r="A10398" t="str">
            <v>58-03-02-0016</v>
          </cell>
          <cell r="B10398">
            <v>0</v>
          </cell>
          <cell r="C10398" t="str">
            <v xml:space="preserve">  CLAIM RECEIVABLE FROM L:AIGLON S.A</v>
          </cell>
          <cell r="D10398">
            <v>0</v>
          </cell>
          <cell r="E10398">
            <v>0</v>
          </cell>
          <cell r="F10398">
            <v>0</v>
          </cell>
          <cell r="G10398">
            <v>0</v>
          </cell>
        </row>
        <row r="10399">
          <cell r="A10399" t="str">
            <v>58-03-02-0017</v>
          </cell>
          <cell r="B10399">
            <v>0</v>
          </cell>
          <cell r="C10399" t="str">
            <v xml:space="preserve">  CLAIM RECEIVABLE FROM DRACHENBERG TRDI</v>
          </cell>
          <cell r="D10399">
            <v>0</v>
          </cell>
          <cell r="E10399">
            <v>0</v>
          </cell>
          <cell r="F10399">
            <v>0</v>
          </cell>
          <cell r="G10399">
            <v>0</v>
          </cell>
        </row>
        <row r="10400">
          <cell r="A10400" t="str">
            <v>58-03-02-0018</v>
          </cell>
          <cell r="B10400">
            <v>0</v>
          </cell>
          <cell r="C10400" t="str">
            <v xml:space="preserve">  CLAIM RECEIVABLE MACQUARIE INC U.S.A</v>
          </cell>
          <cell r="D10400">
            <v>0</v>
          </cell>
          <cell r="E10400">
            <v>0</v>
          </cell>
          <cell r="F10400">
            <v>0</v>
          </cell>
          <cell r="G10400">
            <v>0</v>
          </cell>
        </row>
        <row r="10401">
          <cell r="A10401" t="str">
            <v>58-03-02-0019</v>
          </cell>
          <cell r="B10401">
            <v>0</v>
          </cell>
          <cell r="C10401" t="str">
            <v xml:space="preserve">  RECEIVABLE FROM OLAM INTERNATIONAL LTD</v>
          </cell>
          <cell r="D10401">
            <v>0</v>
          </cell>
          <cell r="E10401">
            <v>0</v>
          </cell>
          <cell r="F10401">
            <v>0</v>
          </cell>
          <cell r="G10401">
            <v>0</v>
          </cell>
        </row>
        <row r="10402">
          <cell r="A10402" t="str">
            <v>58-03-02-0020</v>
          </cell>
          <cell r="B10402">
            <v>0</v>
          </cell>
          <cell r="C10402" t="str">
            <v xml:space="preserve">  CLAIM RECEIVABLE FROM CARGILL GLOBAL</v>
          </cell>
          <cell r="D10402">
            <v>0</v>
          </cell>
          <cell r="E10402">
            <v>0</v>
          </cell>
          <cell r="F10402">
            <v>0</v>
          </cell>
          <cell r="G10402">
            <v>0</v>
          </cell>
        </row>
        <row r="10403">
          <cell r="A10403" t="str">
            <v>58-03-02-0021</v>
          </cell>
          <cell r="B10403">
            <v>0</v>
          </cell>
          <cell r="C10403" t="str">
            <v xml:space="preserve">  CLAIM RECEIVABLE QC (US) MARKETING INC</v>
          </cell>
          <cell r="D10403">
            <v>0</v>
          </cell>
          <cell r="E10403">
            <v>0</v>
          </cell>
          <cell r="F10403">
            <v>0</v>
          </cell>
          <cell r="G10403">
            <v>0</v>
          </cell>
        </row>
        <row r="10404">
          <cell r="A10404" t="str">
            <v>58-03-02-0022</v>
          </cell>
          <cell r="B10404">
            <v>0</v>
          </cell>
          <cell r="C10404" t="str">
            <v xml:space="preserve">  CLAIM RECEIVABLE FROM JESS SMITH &amp; SON</v>
          </cell>
          <cell r="D10404">
            <v>0</v>
          </cell>
          <cell r="E10404">
            <v>0</v>
          </cell>
          <cell r="F10404">
            <v>0</v>
          </cell>
          <cell r="G10404">
            <v>0</v>
          </cell>
        </row>
        <row r="10405">
          <cell r="A10405" t="str">
            <v>58-03-02-0023</v>
          </cell>
          <cell r="B10405">
            <v>0</v>
          </cell>
          <cell r="C10405" t="str">
            <v xml:space="preserve">  SHRIGOPAL RAMESHKUMAR SALES P.LTD INDI</v>
          </cell>
          <cell r="D10405">
            <v>0</v>
          </cell>
          <cell r="E10405">
            <v>0</v>
          </cell>
          <cell r="F10405">
            <v>0</v>
          </cell>
          <cell r="G10405">
            <v>0</v>
          </cell>
        </row>
        <row r="10406">
          <cell r="A10406" t="str">
            <v>58-03-02-0024</v>
          </cell>
          <cell r="B10406">
            <v>0</v>
          </cell>
          <cell r="C10406" t="str">
            <v xml:space="preserve">  CLAIM RECEIVABLE FROM MAN B &amp; W</v>
          </cell>
          <cell r="D10406">
            <v>0</v>
          </cell>
          <cell r="E10406">
            <v>0</v>
          </cell>
          <cell r="F10406">
            <v>0</v>
          </cell>
          <cell r="G10406">
            <v>0</v>
          </cell>
        </row>
        <row r="10407">
          <cell r="A10407" t="str">
            <v>58-04</v>
          </cell>
          <cell r="B10407">
            <v>0</v>
          </cell>
          <cell r="C10407" t="str">
            <v>**FROM OTHER PARTIES</v>
          </cell>
          <cell r="D10407">
            <v>48830.57</v>
          </cell>
          <cell r="E10407">
            <v>0</v>
          </cell>
          <cell r="F10407">
            <v>48830.57</v>
          </cell>
          <cell r="G10407">
            <v>0</v>
          </cell>
        </row>
        <row r="10408">
          <cell r="A10408" t="str">
            <v>58-04-01</v>
          </cell>
          <cell r="B10408">
            <v>0</v>
          </cell>
          <cell r="C10408" t="str">
            <v>***INSURANCE COMPANIES</v>
          </cell>
          <cell r="D10408">
            <v>21703</v>
          </cell>
          <cell r="E10408">
            <v>0</v>
          </cell>
          <cell r="F10408">
            <v>21703</v>
          </cell>
          <cell r="G10408">
            <v>0</v>
          </cell>
        </row>
        <row r="10409">
          <cell r="A10409" t="str">
            <v>58-04-01-0001</v>
          </cell>
          <cell r="B10409">
            <v>0</v>
          </cell>
          <cell r="C10409" t="str">
            <v xml:space="preserve">  CLAIM RECEIVABLE FROM UNIVERSAL.</v>
          </cell>
          <cell r="D10409">
            <v>0</v>
          </cell>
          <cell r="E10409">
            <v>0</v>
          </cell>
          <cell r="F10409">
            <v>0</v>
          </cell>
          <cell r="G10409">
            <v>0</v>
          </cell>
        </row>
        <row r="10410">
          <cell r="A10410" t="str">
            <v>58-04-01-0002</v>
          </cell>
          <cell r="B10410">
            <v>0</v>
          </cell>
          <cell r="C10410" t="str">
            <v xml:space="preserve">  CLAIM RECEIVABLE FROM ADAMJEE INSURANC</v>
          </cell>
          <cell r="D10410">
            <v>21703</v>
          </cell>
          <cell r="E10410">
            <v>0</v>
          </cell>
          <cell r="F10410">
            <v>0</v>
          </cell>
          <cell r="G10410">
            <v>0</v>
          </cell>
        </row>
        <row r="10411">
          <cell r="A10411" t="str">
            <v>58-04-01-0003</v>
          </cell>
          <cell r="B10411">
            <v>0</v>
          </cell>
          <cell r="C10411" t="str">
            <v xml:space="preserve">  CLAIM RECEIVABLE FROM EFU LIFE ASSURAN</v>
          </cell>
          <cell r="D10411">
            <v>0</v>
          </cell>
          <cell r="E10411">
            <v>0</v>
          </cell>
          <cell r="F10411">
            <v>0</v>
          </cell>
          <cell r="G10411">
            <v>0</v>
          </cell>
        </row>
        <row r="10412">
          <cell r="A10412" t="str">
            <v>58-04-02</v>
          </cell>
          <cell r="B10412">
            <v>0</v>
          </cell>
          <cell r="C10412" t="str">
            <v>***LEASING COMPANIES</v>
          </cell>
          <cell r="D10412">
            <v>0</v>
          </cell>
          <cell r="E10412">
            <v>0</v>
          </cell>
          <cell r="F10412">
            <v>0</v>
          </cell>
          <cell r="G10412">
            <v>0</v>
          </cell>
        </row>
        <row r="10413">
          <cell r="A10413" t="str">
            <v>58-04-02-0001</v>
          </cell>
          <cell r="B10413">
            <v>0</v>
          </cell>
          <cell r="C10413" t="str">
            <v xml:space="preserve">  INCOME RECEIVABLE ON N.D.L.C DEPOSIT</v>
          </cell>
          <cell r="D10413">
            <v>0</v>
          </cell>
          <cell r="E10413">
            <v>0</v>
          </cell>
          <cell r="F10413">
            <v>0</v>
          </cell>
          <cell r="G10413">
            <v>0</v>
          </cell>
        </row>
        <row r="10414">
          <cell r="A10414" t="str">
            <v>58-04-03</v>
          </cell>
          <cell r="B10414">
            <v>0</v>
          </cell>
          <cell r="C10414" t="str">
            <v>***OTHER RECEIVABLE</v>
          </cell>
          <cell r="D10414">
            <v>27127.57</v>
          </cell>
          <cell r="E10414">
            <v>0</v>
          </cell>
          <cell r="F10414">
            <v>27127.57</v>
          </cell>
          <cell r="G10414">
            <v>0</v>
          </cell>
        </row>
        <row r="10415">
          <cell r="A10415" t="str">
            <v>58-04-03-0001</v>
          </cell>
          <cell r="B10415">
            <v>0</v>
          </cell>
          <cell r="C10415" t="str">
            <v xml:space="preserve">  RECIEVABLE AGAINST FRACTIONAL SHARES</v>
          </cell>
          <cell r="D10415">
            <v>0</v>
          </cell>
          <cell r="E10415">
            <v>0</v>
          </cell>
          <cell r="F10415">
            <v>0</v>
          </cell>
          <cell r="G10415">
            <v>0</v>
          </cell>
        </row>
        <row r="10416">
          <cell r="A10416" t="str">
            <v>58-04-03-0002</v>
          </cell>
          <cell r="B10416">
            <v>0</v>
          </cell>
          <cell r="C10416" t="str">
            <v xml:space="preserve">  CLAIM RECEIVABLE FROM SHELL PAKISTAN.</v>
          </cell>
          <cell r="D10416">
            <v>27127.57</v>
          </cell>
          <cell r="E10416">
            <v>0</v>
          </cell>
          <cell r="F10416">
            <v>0</v>
          </cell>
          <cell r="G10416">
            <v>0</v>
          </cell>
        </row>
        <row r="10417">
          <cell r="A10417" t="str">
            <v>58-04-03-0003</v>
          </cell>
          <cell r="B10417">
            <v>0</v>
          </cell>
          <cell r="C10417" t="str">
            <v xml:space="preserve">  DIVIDEND RECEIVABLE</v>
          </cell>
          <cell r="D10417">
            <v>0</v>
          </cell>
          <cell r="E10417">
            <v>0</v>
          </cell>
          <cell r="F10417">
            <v>0</v>
          </cell>
          <cell r="G10417">
            <v>0</v>
          </cell>
        </row>
        <row r="10418">
          <cell r="A10418" t="str">
            <v>58-04-03-0004</v>
          </cell>
          <cell r="B10418">
            <v>0</v>
          </cell>
          <cell r="C10418" t="str">
            <v xml:space="preserve">  CLAIM RECEIVABLE FROM PAKISTAN STATE O</v>
          </cell>
          <cell r="D10418">
            <v>0</v>
          </cell>
          <cell r="E10418">
            <v>0</v>
          </cell>
          <cell r="F10418">
            <v>0</v>
          </cell>
          <cell r="G10418">
            <v>0</v>
          </cell>
        </row>
        <row r="10419">
          <cell r="A10419" t="str">
            <v>58-04-03-0005</v>
          </cell>
          <cell r="B10419">
            <v>0</v>
          </cell>
          <cell r="C10419" t="str">
            <v xml:space="preserve">  CLAIM RECEIVABLE FROM INSERVEY PAKISTA</v>
          </cell>
          <cell r="D10419">
            <v>0</v>
          </cell>
          <cell r="E10419">
            <v>0</v>
          </cell>
          <cell r="F10419">
            <v>0</v>
          </cell>
          <cell r="G10419">
            <v>0</v>
          </cell>
        </row>
        <row r="10420">
          <cell r="A10420" t="str">
            <v>58-04-03-0006</v>
          </cell>
          <cell r="B10420">
            <v>0</v>
          </cell>
          <cell r="C10420" t="str">
            <v xml:space="preserve">  RECEIVABLE FROM THE MARINE INSTITUTE</v>
          </cell>
          <cell r="D10420">
            <v>0</v>
          </cell>
          <cell r="E10420">
            <v>0</v>
          </cell>
          <cell r="F10420">
            <v>0</v>
          </cell>
          <cell r="G10420">
            <v>0</v>
          </cell>
        </row>
        <row r="10421">
          <cell r="A10421" t="str">
            <v>58-04-04</v>
          </cell>
          <cell r="B10421">
            <v>0</v>
          </cell>
          <cell r="C10421" t="str">
            <v>***CLAIM RECEIVABLE FROM LOCAL PARTIES</v>
          </cell>
          <cell r="D10421">
            <v>0</v>
          </cell>
          <cell r="E10421">
            <v>0</v>
          </cell>
          <cell r="F10421">
            <v>0</v>
          </cell>
          <cell r="G10421">
            <v>0</v>
          </cell>
        </row>
        <row r="10422">
          <cell r="A10422" t="str">
            <v>58-04-04-0001</v>
          </cell>
          <cell r="B10422">
            <v>0</v>
          </cell>
          <cell r="C10422" t="str">
            <v xml:space="preserve">  CLAIM RECEIVABLE FROM AKHTAR SONS</v>
          </cell>
          <cell r="D10422">
            <v>0</v>
          </cell>
          <cell r="E10422">
            <v>0</v>
          </cell>
          <cell r="F10422">
            <v>0</v>
          </cell>
          <cell r="G10422">
            <v>0</v>
          </cell>
        </row>
        <row r="10423">
          <cell r="A10423" t="str">
            <v>58-04-04-0002</v>
          </cell>
          <cell r="B10423">
            <v>0</v>
          </cell>
          <cell r="C10423" t="str">
            <v xml:space="preserve">  RECEIVEABLE FROM UNI PAK</v>
          </cell>
          <cell r="D10423">
            <v>0</v>
          </cell>
          <cell r="E10423">
            <v>0</v>
          </cell>
          <cell r="F10423">
            <v>0</v>
          </cell>
          <cell r="G10423">
            <v>0</v>
          </cell>
        </row>
        <row r="10424">
          <cell r="A10424" t="str">
            <v>58-05</v>
          </cell>
          <cell r="B10424">
            <v>0</v>
          </cell>
          <cell r="C10424" t="str">
            <v>**RECEIVABLES FROM SHIPPING COMPANIES</v>
          </cell>
          <cell r="D10424">
            <v>0</v>
          </cell>
          <cell r="E10424">
            <v>0</v>
          </cell>
          <cell r="F10424">
            <v>0</v>
          </cell>
          <cell r="G10424">
            <v>0</v>
          </cell>
        </row>
        <row r="10425">
          <cell r="A10425" t="str">
            <v>58-05-01</v>
          </cell>
          <cell r="B10425">
            <v>0</v>
          </cell>
          <cell r="C10425" t="str">
            <v>***RECEIVABLES FROM SHIPPING COMPANIES</v>
          </cell>
          <cell r="D10425">
            <v>0</v>
          </cell>
          <cell r="E10425">
            <v>0</v>
          </cell>
          <cell r="F10425">
            <v>0</v>
          </cell>
          <cell r="G10425">
            <v>0</v>
          </cell>
        </row>
        <row r="10426">
          <cell r="A10426" t="str">
            <v>58-05-01-0001</v>
          </cell>
          <cell r="B10426">
            <v>0</v>
          </cell>
          <cell r="C10426" t="str">
            <v xml:space="preserve">  MEARSK PAKISTAN (PVT) LIMITED</v>
          </cell>
          <cell r="D10426">
            <v>0</v>
          </cell>
          <cell r="E10426">
            <v>0</v>
          </cell>
          <cell r="F10426">
            <v>0</v>
          </cell>
          <cell r="G10426">
            <v>0</v>
          </cell>
        </row>
        <row r="10427">
          <cell r="A10427" t="str">
            <v>58-05-01-0002</v>
          </cell>
          <cell r="B10427">
            <v>0</v>
          </cell>
          <cell r="C10427" t="str">
            <v xml:space="preserve">  CLAIM RECEIVABLE CIM SHIPPING INC</v>
          </cell>
          <cell r="D10427">
            <v>0</v>
          </cell>
          <cell r="E10427">
            <v>0</v>
          </cell>
          <cell r="F10427">
            <v>0</v>
          </cell>
          <cell r="G10427">
            <v>0</v>
          </cell>
        </row>
        <row r="10428">
          <cell r="A10428" t="str">
            <v>59</v>
          </cell>
          <cell r="B10428">
            <v>0</v>
          </cell>
          <cell r="C10428" t="str">
            <v>*CASH AND BANK BALANCES</v>
          </cell>
          <cell r="D10428">
            <v>168946054.22</v>
          </cell>
          <cell r="E10428">
            <v>0</v>
          </cell>
          <cell r="F10428">
            <v>205974736.03999999</v>
          </cell>
          <cell r="G10428">
            <v>37028681.82</v>
          </cell>
        </row>
        <row r="10429">
          <cell r="A10429" t="str">
            <v>59-01</v>
          </cell>
          <cell r="B10429">
            <v>37028672</v>
          </cell>
          <cell r="C10429" t="str">
            <v>**BANK BALANCES IN CURRENT A/C</v>
          </cell>
          <cell r="D10429">
            <v>168275901.81999999</v>
          </cell>
          <cell r="E10429">
            <v>0</v>
          </cell>
          <cell r="F10429">
            <v>205304583.63999999</v>
          </cell>
          <cell r="G10429">
            <v>37028681.82</v>
          </cell>
        </row>
        <row r="10430">
          <cell r="A10430" t="str">
            <v>59-01-01</v>
          </cell>
          <cell r="B10430">
            <v>37028672</v>
          </cell>
          <cell r="C10430" t="str">
            <v>***HABIB BANK LIMITED</v>
          </cell>
          <cell r="D10430">
            <v>1701496.75</v>
          </cell>
          <cell r="E10430">
            <v>0</v>
          </cell>
          <cell r="F10430">
            <v>1701496.75</v>
          </cell>
          <cell r="G10430">
            <v>0</v>
          </cell>
        </row>
        <row r="10431">
          <cell r="A10431" t="str">
            <v>59-01-01-0001</v>
          </cell>
          <cell r="B10431">
            <v>0</v>
          </cell>
          <cell r="C10431" t="str">
            <v xml:space="preserve">  HBL A/C # 1061-63 CORPORATE CENTRE PES</v>
          </cell>
          <cell r="D10431">
            <v>9793.1200000000008</v>
          </cell>
          <cell r="E10431">
            <v>0</v>
          </cell>
          <cell r="F10431">
            <v>0</v>
          </cell>
          <cell r="G10431">
            <v>0</v>
          </cell>
        </row>
        <row r="10432">
          <cell r="A10432" t="str">
            <v>59-01-01-0002</v>
          </cell>
          <cell r="B10432">
            <v>0</v>
          </cell>
          <cell r="C10432" t="str">
            <v xml:space="preserve">  HBL ARBAB ROAD PESHAWAR A/C 1351-74</v>
          </cell>
          <cell r="D10432">
            <v>0</v>
          </cell>
          <cell r="E10432">
            <v>0</v>
          </cell>
          <cell r="F10432">
            <v>0</v>
          </cell>
          <cell r="G10432">
            <v>0</v>
          </cell>
        </row>
        <row r="10433">
          <cell r="A10433" t="str">
            <v>59-01-01-0003</v>
          </cell>
          <cell r="B10433">
            <v>0</v>
          </cell>
          <cell r="C10433" t="str">
            <v xml:space="preserve">  HBL CASH FINANCE 500011-19 CORP.BR.PSH</v>
          </cell>
          <cell r="D10433">
            <v>0</v>
          </cell>
          <cell r="E10433">
            <v>0</v>
          </cell>
          <cell r="F10433">
            <v>0</v>
          </cell>
          <cell r="G10433">
            <v>0</v>
          </cell>
        </row>
        <row r="10434">
          <cell r="A10434" t="str">
            <v>59-01-01-0004</v>
          </cell>
          <cell r="B10434">
            <v>0</v>
          </cell>
          <cell r="C10434" t="str">
            <v xml:space="preserve">  HBL CLOTH MARKET A/C NO.16551-99 KHI</v>
          </cell>
          <cell r="D10434">
            <v>85935.19</v>
          </cell>
          <cell r="E10434">
            <v>0</v>
          </cell>
          <cell r="F10434">
            <v>0</v>
          </cell>
          <cell r="G10434">
            <v>0</v>
          </cell>
        </row>
        <row r="10435">
          <cell r="A10435" t="str">
            <v>59-01-01-0005</v>
          </cell>
          <cell r="B10435">
            <v>0</v>
          </cell>
          <cell r="C10435" t="str">
            <v xml:space="preserve">  HBL GADOON A/C # 38-61</v>
          </cell>
          <cell r="D10435">
            <v>1383401</v>
          </cell>
          <cell r="E10435">
            <v>0</v>
          </cell>
          <cell r="F10435">
            <v>0</v>
          </cell>
          <cell r="G10435">
            <v>0</v>
          </cell>
        </row>
        <row r="10436">
          <cell r="A10436" t="str">
            <v>59-01-01-0006</v>
          </cell>
          <cell r="B10436">
            <v>0</v>
          </cell>
          <cell r="C10436" t="str">
            <v xml:space="preserve">  HBL MUHAMMAD ALI SOCIETY CURRENT A/C13</v>
          </cell>
          <cell r="D10436">
            <v>0</v>
          </cell>
          <cell r="E10436">
            <v>0</v>
          </cell>
          <cell r="F10436">
            <v>0</v>
          </cell>
          <cell r="G10436">
            <v>0</v>
          </cell>
        </row>
        <row r="10437">
          <cell r="A10437" t="str">
            <v>59-01-01-0007</v>
          </cell>
          <cell r="B10437">
            <v>0</v>
          </cell>
          <cell r="C10437" t="str">
            <v xml:space="preserve">  HBL KARSAZ BRANCH A/C # 5335-38 KHI.</v>
          </cell>
          <cell r="D10437">
            <v>0</v>
          </cell>
          <cell r="E10437">
            <v>0</v>
          </cell>
          <cell r="F10437">
            <v>0</v>
          </cell>
          <cell r="G10437">
            <v>0</v>
          </cell>
        </row>
        <row r="10438">
          <cell r="A10438" t="str">
            <v>59-01-01-0008</v>
          </cell>
          <cell r="B10438">
            <v>0</v>
          </cell>
          <cell r="C10438" t="str">
            <v xml:space="preserve">  HBL YARN MARKET FAISALABAD A/C # 4690-</v>
          </cell>
          <cell r="D10438">
            <v>8850</v>
          </cell>
          <cell r="E10438">
            <v>0</v>
          </cell>
          <cell r="F10438">
            <v>0</v>
          </cell>
          <cell r="G10438">
            <v>0</v>
          </cell>
        </row>
        <row r="10439">
          <cell r="A10439" t="str">
            <v>59-01-01-0009</v>
          </cell>
          <cell r="B10439">
            <v>0</v>
          </cell>
          <cell r="C10439" t="str">
            <v xml:space="preserve">  HBL CORPORATE CENTRE A/C# 300037-07</v>
          </cell>
          <cell r="D10439">
            <v>0</v>
          </cell>
          <cell r="E10439">
            <v>0</v>
          </cell>
          <cell r="F10439">
            <v>0</v>
          </cell>
          <cell r="G10439">
            <v>0</v>
          </cell>
        </row>
        <row r="10440">
          <cell r="A10440" t="str">
            <v>59-01-01-0010</v>
          </cell>
          <cell r="B10440">
            <v>0</v>
          </cell>
          <cell r="C10440" t="str">
            <v xml:space="preserve">  HBL CORPORATE  A/C # 0786-00319420-03</v>
          </cell>
          <cell r="D10440">
            <v>54465.760000000002</v>
          </cell>
          <cell r="E10440">
            <v>0</v>
          </cell>
          <cell r="F10440">
            <v>0</v>
          </cell>
          <cell r="G10440">
            <v>0</v>
          </cell>
        </row>
        <row r="10441">
          <cell r="A10441" t="str">
            <v>59-01-01-0011</v>
          </cell>
          <cell r="B10441">
            <v>0</v>
          </cell>
          <cell r="C10441" t="str">
            <v xml:space="preserve">  HBL CORPORATE R.F A/C # 0786-70005537-</v>
          </cell>
          <cell r="D10441">
            <v>159051.68</v>
          </cell>
          <cell r="E10441">
            <v>0</v>
          </cell>
          <cell r="F10441">
            <v>0</v>
          </cell>
          <cell r="G10441">
            <v>0</v>
          </cell>
        </row>
        <row r="10442">
          <cell r="A10442" t="str">
            <v>59-01-02</v>
          </cell>
          <cell r="B10442">
            <v>0</v>
          </cell>
          <cell r="C10442" t="str">
            <v>***BANK BALANCES IN MCB</v>
          </cell>
          <cell r="D10442">
            <v>0</v>
          </cell>
          <cell r="E10442">
            <v>4844808.05</v>
          </cell>
          <cell r="F10442">
            <v>35030.949999999997</v>
          </cell>
          <cell r="G10442">
            <v>4879839</v>
          </cell>
        </row>
        <row r="10443">
          <cell r="A10443" t="str">
            <v>59-01-02-0001</v>
          </cell>
          <cell r="B10443">
            <v>4879836</v>
          </cell>
          <cell r="C10443" t="str">
            <v xml:space="preserve">  MCB CANTT BRANCH PESHAWAR A/C 21498</v>
          </cell>
          <cell r="D10443">
            <v>251.7</v>
          </cell>
          <cell r="E10443">
            <v>0</v>
          </cell>
          <cell r="F10443">
            <v>0</v>
          </cell>
          <cell r="G10443">
            <v>0</v>
          </cell>
        </row>
        <row r="10444">
          <cell r="A10444" t="str">
            <v>59-01-02-0002</v>
          </cell>
          <cell r="B10444">
            <v>0</v>
          </cell>
          <cell r="C10444" t="str">
            <v xml:space="preserve">  MCB KARACHI A/C NO.11488-1</v>
          </cell>
          <cell r="D10444">
            <v>8010</v>
          </cell>
          <cell r="E10444">
            <v>0</v>
          </cell>
          <cell r="F10444">
            <v>0</v>
          </cell>
          <cell r="G10444">
            <v>0</v>
          </cell>
        </row>
        <row r="10445">
          <cell r="A10445" t="str">
            <v>59-01-02-0003</v>
          </cell>
          <cell r="B10445">
            <v>0</v>
          </cell>
          <cell r="C10445" t="str">
            <v xml:space="preserve">  MCB ISLAMABAD A/C # 651-2</v>
          </cell>
          <cell r="D10445">
            <v>7279.25</v>
          </cell>
          <cell r="E10445">
            <v>0</v>
          </cell>
          <cell r="F10445">
            <v>0</v>
          </cell>
          <cell r="G10445">
            <v>0</v>
          </cell>
        </row>
        <row r="10446">
          <cell r="A10446" t="str">
            <v>59-01-02-0004</v>
          </cell>
          <cell r="B10446">
            <v>0</v>
          </cell>
          <cell r="C10446" t="str">
            <v xml:space="preserve">  MCB AZAM CLOTH MKT. LAHORE A/C 2780</v>
          </cell>
          <cell r="D10446">
            <v>0</v>
          </cell>
          <cell r="E10446">
            <v>0</v>
          </cell>
          <cell r="F10446">
            <v>0</v>
          </cell>
          <cell r="G10446">
            <v>0</v>
          </cell>
        </row>
        <row r="10447">
          <cell r="A10447" t="str">
            <v>59-01-02-0005</v>
          </cell>
          <cell r="B10447">
            <v>0</v>
          </cell>
          <cell r="C10447" t="str">
            <v xml:space="preserve">  MCB GADOON A/C # 0301 01 01 0901735</v>
          </cell>
          <cell r="D10447">
            <v>0</v>
          </cell>
          <cell r="E10447">
            <v>4879839</v>
          </cell>
          <cell r="F10447">
            <v>0</v>
          </cell>
          <cell r="G10447">
            <v>0</v>
          </cell>
        </row>
        <row r="10448">
          <cell r="A10448" t="str">
            <v>59-01-02-0006</v>
          </cell>
          <cell r="B10448">
            <v>0</v>
          </cell>
          <cell r="C10448" t="str">
            <v xml:space="preserve">  MCB YARN MARKET FAISALABAD A/C 3357-8</v>
          </cell>
          <cell r="D10448">
            <v>10090</v>
          </cell>
          <cell r="E10448">
            <v>0</v>
          </cell>
          <cell r="F10448">
            <v>0</v>
          </cell>
          <cell r="G10448">
            <v>0</v>
          </cell>
        </row>
        <row r="10449">
          <cell r="A10449" t="str">
            <v>59-01-02-0007</v>
          </cell>
          <cell r="B10449">
            <v>0</v>
          </cell>
          <cell r="C10449" t="str">
            <v xml:space="preserve">  MCB A/C# 365-22-7 PESHAWAR PLS  365 DA</v>
          </cell>
          <cell r="D10449">
            <v>0</v>
          </cell>
          <cell r="E10449">
            <v>0</v>
          </cell>
          <cell r="F10449">
            <v>0</v>
          </cell>
          <cell r="G10449">
            <v>0</v>
          </cell>
        </row>
        <row r="10450">
          <cell r="A10450" t="str">
            <v>59-01-02-0008</v>
          </cell>
          <cell r="B10450">
            <v>0</v>
          </cell>
          <cell r="C10450" t="str">
            <v xml:space="preserve">  MCB CORPORATE SHAHEEN COMPLEX BR.6856-</v>
          </cell>
          <cell r="D10450">
            <v>9400</v>
          </cell>
          <cell r="E10450">
            <v>0</v>
          </cell>
          <cell r="F10450">
            <v>0</v>
          </cell>
          <cell r="G10450">
            <v>0</v>
          </cell>
        </row>
        <row r="10451">
          <cell r="A10451" t="str">
            <v>59-01-03</v>
          </cell>
          <cell r="B10451">
            <v>0</v>
          </cell>
          <cell r="C10451" t="str">
            <v>***BANK BALANCES IN SBL</v>
          </cell>
          <cell r="D10451">
            <v>19136.939999999999</v>
          </cell>
          <cell r="E10451">
            <v>0</v>
          </cell>
          <cell r="F10451">
            <v>19136.939999999999</v>
          </cell>
          <cell r="G10451">
            <v>0</v>
          </cell>
        </row>
        <row r="10452">
          <cell r="A10452" t="str">
            <v>59-01-03-0001</v>
          </cell>
          <cell r="B10452">
            <v>0</v>
          </cell>
          <cell r="C10452" t="str">
            <v xml:space="preserve">  SONARI BANK LTD. PESHAWAR CANTT 412-01</v>
          </cell>
          <cell r="D10452">
            <v>94</v>
          </cell>
          <cell r="E10452">
            <v>0</v>
          </cell>
          <cell r="F10452">
            <v>0</v>
          </cell>
          <cell r="G10452">
            <v>0</v>
          </cell>
        </row>
        <row r="10453">
          <cell r="A10453" t="str">
            <v>59-01-03-0002</v>
          </cell>
          <cell r="B10453">
            <v>0</v>
          </cell>
          <cell r="C10453" t="str">
            <v xml:space="preserve">  SONERI BANK KARACHI A/C# 12510-01</v>
          </cell>
          <cell r="D10453">
            <v>19042.939999999999</v>
          </cell>
          <cell r="E10453">
            <v>0</v>
          </cell>
          <cell r="F10453">
            <v>0</v>
          </cell>
          <cell r="G10453">
            <v>0</v>
          </cell>
        </row>
        <row r="10454">
          <cell r="A10454" t="str">
            <v>59-01-04</v>
          </cell>
          <cell r="B10454">
            <v>0</v>
          </cell>
          <cell r="C10454" t="str">
            <v>***BANK BALANCES IN CITI BANK</v>
          </cell>
          <cell r="D10454">
            <v>126432.91</v>
          </cell>
          <cell r="E10454">
            <v>0</v>
          </cell>
          <cell r="F10454">
            <v>126432.91</v>
          </cell>
          <cell r="G10454">
            <v>0</v>
          </cell>
        </row>
        <row r="10455">
          <cell r="A10455" t="str">
            <v>59-01-04-0001</v>
          </cell>
          <cell r="B10455">
            <v>0</v>
          </cell>
          <cell r="C10455" t="str">
            <v xml:space="preserve">  CITI BANK N.A. KARACHI  A/C 201111</v>
          </cell>
          <cell r="D10455">
            <v>0</v>
          </cell>
          <cell r="E10455">
            <v>0</v>
          </cell>
          <cell r="F10455">
            <v>0</v>
          </cell>
          <cell r="G10455">
            <v>0</v>
          </cell>
        </row>
        <row r="10456">
          <cell r="A10456" t="str">
            <v>59-01-04-0002</v>
          </cell>
          <cell r="B10456">
            <v>0</v>
          </cell>
          <cell r="C10456" t="str">
            <v xml:space="preserve">  CITI BANK N.A A/C # 201202 019</v>
          </cell>
          <cell r="D10456">
            <v>125425.24</v>
          </cell>
          <cell r="E10456">
            <v>0</v>
          </cell>
          <cell r="F10456">
            <v>0</v>
          </cell>
          <cell r="G10456">
            <v>0</v>
          </cell>
        </row>
        <row r="10457">
          <cell r="A10457" t="str">
            <v>59-01-04-0003</v>
          </cell>
          <cell r="B10457">
            <v>0</v>
          </cell>
          <cell r="C10457" t="str">
            <v xml:space="preserve">  CITI BANK N.A A/C # 201202051 $</v>
          </cell>
          <cell r="D10457">
            <v>1007.67</v>
          </cell>
          <cell r="E10457">
            <v>0</v>
          </cell>
          <cell r="F10457">
            <v>0</v>
          </cell>
          <cell r="G10457">
            <v>0</v>
          </cell>
        </row>
        <row r="10458">
          <cell r="A10458" t="str">
            <v>59-01-05</v>
          </cell>
          <cell r="B10458">
            <v>0</v>
          </cell>
          <cell r="C10458" t="str">
            <v>***BANK BALANCES IN MPBL</v>
          </cell>
          <cell r="D10458">
            <v>0</v>
          </cell>
          <cell r="E10458">
            <v>32144420.920000002</v>
          </cell>
          <cell r="F10458">
            <v>4421.8999999999996</v>
          </cell>
          <cell r="G10458">
            <v>32148842.82</v>
          </cell>
        </row>
        <row r="10459">
          <cell r="A10459" t="str">
            <v>59-01-05-0001</v>
          </cell>
          <cell r="B10459">
            <v>32148832</v>
          </cell>
          <cell r="C10459" t="str">
            <v xml:space="preserve">  MPB PESHAWAR  A/C # 20311-714-100392</v>
          </cell>
          <cell r="D10459">
            <v>0</v>
          </cell>
          <cell r="E10459">
            <v>233007.06</v>
          </cell>
          <cell r="F10459">
            <v>0</v>
          </cell>
          <cell r="G10459">
            <v>0</v>
          </cell>
        </row>
        <row r="10460">
          <cell r="A10460" t="str">
            <v>59-01-05-0002</v>
          </cell>
          <cell r="B10460">
            <v>0</v>
          </cell>
          <cell r="C10460" t="str">
            <v xml:space="preserve">  MPB KARACHI   A/C # 202144</v>
          </cell>
          <cell r="D10460">
            <v>0</v>
          </cell>
          <cell r="E10460">
            <v>31915835.760000002</v>
          </cell>
          <cell r="F10460">
            <v>0</v>
          </cell>
          <cell r="G10460">
            <v>0</v>
          </cell>
        </row>
        <row r="10461">
          <cell r="A10461" t="str">
            <v>59-01-05-0003</v>
          </cell>
          <cell r="B10461">
            <v>0</v>
          </cell>
          <cell r="C10461" t="str">
            <v xml:space="preserve">  MPB 6TH DIVIDEND A/C #20311-714-209585</v>
          </cell>
          <cell r="D10461">
            <v>0</v>
          </cell>
          <cell r="E10461">
            <v>0</v>
          </cell>
          <cell r="F10461">
            <v>0</v>
          </cell>
          <cell r="G10461">
            <v>0</v>
          </cell>
        </row>
        <row r="10462">
          <cell r="A10462" t="str">
            <v>59-01-05-0004</v>
          </cell>
          <cell r="B10462">
            <v>0</v>
          </cell>
          <cell r="C10462" t="str">
            <v xml:space="preserve">  MPB 7TH DIVIDEND A/C # 217493</v>
          </cell>
          <cell r="D10462">
            <v>0</v>
          </cell>
          <cell r="E10462">
            <v>0</v>
          </cell>
          <cell r="F10462">
            <v>0</v>
          </cell>
          <cell r="G10462">
            <v>0</v>
          </cell>
        </row>
        <row r="10463">
          <cell r="A10463" t="str">
            <v>59-01-05-0005</v>
          </cell>
          <cell r="B10463">
            <v>0</v>
          </cell>
          <cell r="C10463" t="str">
            <v xml:space="preserve">  MPB 8TH DIVIDEND A/C.# 20311-714-22611</v>
          </cell>
          <cell r="D10463">
            <v>0</v>
          </cell>
          <cell r="E10463">
            <v>0</v>
          </cell>
          <cell r="F10463">
            <v>0</v>
          </cell>
          <cell r="G10463">
            <v>0</v>
          </cell>
        </row>
        <row r="10464">
          <cell r="A10464" t="str">
            <v>59-01-05-0006</v>
          </cell>
          <cell r="B10464">
            <v>0</v>
          </cell>
          <cell r="C10464" t="str">
            <v xml:space="preserve">  MPB GULSHAN IQBAL A/C#20311-714-115091</v>
          </cell>
          <cell r="D10464">
            <v>0</v>
          </cell>
          <cell r="E10464">
            <v>0</v>
          </cell>
          <cell r="F10464">
            <v>0</v>
          </cell>
          <cell r="G10464">
            <v>0</v>
          </cell>
        </row>
        <row r="10465">
          <cell r="A10465" t="str">
            <v>59-01-05-0007</v>
          </cell>
          <cell r="B10465">
            <v>0</v>
          </cell>
          <cell r="C10465" t="str">
            <v xml:space="preserve">  MPB 9TH DIVIDEND A/C # 20311-714-24563</v>
          </cell>
          <cell r="D10465">
            <v>0</v>
          </cell>
          <cell r="E10465">
            <v>0</v>
          </cell>
          <cell r="F10465">
            <v>0</v>
          </cell>
          <cell r="G10465">
            <v>0</v>
          </cell>
        </row>
        <row r="10466">
          <cell r="A10466" t="str">
            <v>59-01-05-0008</v>
          </cell>
          <cell r="B10466">
            <v>0</v>
          </cell>
          <cell r="C10466" t="str">
            <v xml:space="preserve">  MPB 10TH DIVIDEND A/C # 20311-714-2685</v>
          </cell>
          <cell r="D10466">
            <v>0</v>
          </cell>
          <cell r="E10466">
            <v>0</v>
          </cell>
          <cell r="F10466">
            <v>0</v>
          </cell>
          <cell r="G10466">
            <v>0</v>
          </cell>
        </row>
        <row r="10467">
          <cell r="A10467" t="str">
            <v>59-01-05-0009</v>
          </cell>
          <cell r="B10467">
            <v>0</v>
          </cell>
          <cell r="C10467" t="str">
            <v xml:space="preserve">  MPB ISLAMABAD A/C # 20311-714-116628</v>
          </cell>
          <cell r="D10467">
            <v>4421.8999999999996</v>
          </cell>
          <cell r="E10467">
            <v>0</v>
          </cell>
          <cell r="F10467">
            <v>0</v>
          </cell>
          <cell r="G10467">
            <v>0</v>
          </cell>
        </row>
        <row r="10468">
          <cell r="A10468" t="str">
            <v>59-01-05-0010</v>
          </cell>
          <cell r="B10468">
            <v>0</v>
          </cell>
          <cell r="C10468" t="str">
            <v xml:space="preserve">  MPB 11TH DIVIDEND A/C # 20311-714-2924</v>
          </cell>
          <cell r="D10468">
            <v>0</v>
          </cell>
          <cell r="E10468">
            <v>0</v>
          </cell>
          <cell r="F10468">
            <v>0</v>
          </cell>
          <cell r="G10468">
            <v>0</v>
          </cell>
        </row>
        <row r="10469">
          <cell r="A10469" t="str">
            <v>59-01-05-0011</v>
          </cell>
          <cell r="B10469">
            <v>0</v>
          </cell>
          <cell r="C10469" t="str">
            <v xml:space="preserve">  MPB 12TH DIVIDEND A/C # 307516</v>
          </cell>
          <cell r="D10469">
            <v>0</v>
          </cell>
          <cell r="E10469">
            <v>0</v>
          </cell>
          <cell r="F10469">
            <v>0</v>
          </cell>
          <cell r="G10469">
            <v>0</v>
          </cell>
        </row>
        <row r="10470">
          <cell r="A10470" t="str">
            <v>59-01-06</v>
          </cell>
          <cell r="B10470">
            <v>0</v>
          </cell>
          <cell r="C10470" t="str">
            <v>***BANK BALANCES IN AG ZURICH</v>
          </cell>
          <cell r="D10470">
            <v>2771896.33</v>
          </cell>
          <cell r="E10470">
            <v>0</v>
          </cell>
          <cell r="F10470">
            <v>2771896.33</v>
          </cell>
          <cell r="G10470">
            <v>0</v>
          </cell>
        </row>
        <row r="10471">
          <cell r="A10471" t="str">
            <v>59-01-06-0001</v>
          </cell>
          <cell r="B10471">
            <v>0</v>
          </cell>
          <cell r="C10471" t="str">
            <v xml:space="preserve">  HB AG ZURICH FOREIGN CURRENCY A/C-1845</v>
          </cell>
          <cell r="D10471">
            <v>0</v>
          </cell>
          <cell r="E10471">
            <v>0</v>
          </cell>
          <cell r="F10471">
            <v>0</v>
          </cell>
          <cell r="G10471">
            <v>0</v>
          </cell>
        </row>
        <row r="10472">
          <cell r="A10472" t="str">
            <v>59-01-06-0002</v>
          </cell>
          <cell r="B10472">
            <v>0</v>
          </cell>
          <cell r="C10472" t="str">
            <v xml:space="preserve">  HB AG ZURICH, KARACHI 01116-124313</v>
          </cell>
          <cell r="D10472">
            <v>0</v>
          </cell>
          <cell r="E10472">
            <v>0</v>
          </cell>
          <cell r="F10472">
            <v>0</v>
          </cell>
          <cell r="G10472">
            <v>0</v>
          </cell>
        </row>
        <row r="10473">
          <cell r="A10473" t="str">
            <v>59-01-06-0003</v>
          </cell>
          <cell r="B10473">
            <v>0</v>
          </cell>
          <cell r="C10473" t="str">
            <v xml:space="preserve">  HB AGZ 1ST DIVIDEND A/C # 224741.</v>
          </cell>
          <cell r="D10473">
            <v>0</v>
          </cell>
          <cell r="E10473">
            <v>0</v>
          </cell>
          <cell r="F10473">
            <v>0</v>
          </cell>
          <cell r="G10473">
            <v>0</v>
          </cell>
        </row>
        <row r="10474">
          <cell r="A10474" t="str">
            <v>59-01-06-0004</v>
          </cell>
          <cell r="B10474">
            <v>0</v>
          </cell>
          <cell r="C10474" t="str">
            <v xml:space="preserve">  HB AGZ 2ND DIVIDEND A/C # 239905.</v>
          </cell>
          <cell r="D10474">
            <v>0</v>
          </cell>
          <cell r="E10474">
            <v>0</v>
          </cell>
          <cell r="F10474">
            <v>0</v>
          </cell>
          <cell r="G10474">
            <v>0</v>
          </cell>
        </row>
        <row r="10475">
          <cell r="A10475" t="str">
            <v>59-01-06-0005</v>
          </cell>
          <cell r="B10475">
            <v>0</v>
          </cell>
          <cell r="C10475" t="str">
            <v xml:space="preserve">  HB AGZ 3RD DIVIDEND A/C # 258440.</v>
          </cell>
          <cell r="D10475">
            <v>0</v>
          </cell>
          <cell r="E10475">
            <v>0</v>
          </cell>
          <cell r="F10475">
            <v>0</v>
          </cell>
          <cell r="G10475">
            <v>0</v>
          </cell>
        </row>
        <row r="10476">
          <cell r="A10476" t="str">
            <v>59-01-06-0006</v>
          </cell>
          <cell r="B10476">
            <v>0</v>
          </cell>
          <cell r="C10476" t="str">
            <v xml:space="preserve">  HB AGZ 4TH DIVIDEND A/C # 258457.</v>
          </cell>
          <cell r="D10476">
            <v>0</v>
          </cell>
          <cell r="E10476">
            <v>0</v>
          </cell>
          <cell r="F10476">
            <v>0</v>
          </cell>
          <cell r="G10476">
            <v>0</v>
          </cell>
        </row>
        <row r="10477">
          <cell r="A10477" t="str">
            <v>59-01-06-0007</v>
          </cell>
          <cell r="B10477">
            <v>0</v>
          </cell>
          <cell r="C10477" t="str">
            <v xml:space="preserve">  HB AGZ 5TH DIVIDEND A/C # 109141.</v>
          </cell>
          <cell r="D10477">
            <v>0</v>
          </cell>
          <cell r="E10477">
            <v>0</v>
          </cell>
          <cell r="F10477">
            <v>0</v>
          </cell>
          <cell r="G10477">
            <v>0</v>
          </cell>
        </row>
        <row r="10478">
          <cell r="A10478" t="str">
            <v>59-01-06-0008</v>
          </cell>
          <cell r="B10478">
            <v>0</v>
          </cell>
          <cell r="C10478" t="str">
            <v xml:space="preserve">  HB AG ZURICH MEREWETHER A/C #714-10207</v>
          </cell>
          <cell r="D10478">
            <v>79356.23</v>
          </cell>
          <cell r="E10478">
            <v>0</v>
          </cell>
          <cell r="F10478">
            <v>0</v>
          </cell>
          <cell r="G10478">
            <v>0</v>
          </cell>
        </row>
        <row r="10479">
          <cell r="A10479" t="str">
            <v>59-01-06-0009</v>
          </cell>
          <cell r="B10479">
            <v>0</v>
          </cell>
          <cell r="C10479" t="str">
            <v xml:space="preserve">  HB AG ZURICH A/C NO: 20313-333-111899</v>
          </cell>
          <cell r="D10479">
            <v>2586127.21</v>
          </cell>
          <cell r="E10479">
            <v>0</v>
          </cell>
          <cell r="F10479">
            <v>0</v>
          </cell>
          <cell r="G10479">
            <v>0</v>
          </cell>
        </row>
        <row r="10480">
          <cell r="A10480" t="str">
            <v>59-01-06-0010</v>
          </cell>
          <cell r="B10480">
            <v>0</v>
          </cell>
          <cell r="C10480" t="str">
            <v xml:space="preserve">  HB AG ZURICH A/C NO: 20313-47-111899 D</v>
          </cell>
          <cell r="D10480">
            <v>0</v>
          </cell>
          <cell r="E10480">
            <v>0</v>
          </cell>
          <cell r="F10480">
            <v>0</v>
          </cell>
          <cell r="G10480">
            <v>0</v>
          </cell>
        </row>
        <row r="10481">
          <cell r="A10481" t="str">
            <v>59-01-06-0011</v>
          </cell>
          <cell r="B10481">
            <v>0</v>
          </cell>
          <cell r="C10481" t="str">
            <v xml:space="preserve">  HB AG ZURICH A/C # 20316-974-111899 EU</v>
          </cell>
          <cell r="D10481">
            <v>106412.89</v>
          </cell>
          <cell r="E10481">
            <v>0</v>
          </cell>
          <cell r="F10481">
            <v>0</v>
          </cell>
          <cell r="G10481">
            <v>0</v>
          </cell>
        </row>
        <row r="10482">
          <cell r="A10482" t="str">
            <v>59-01-07</v>
          </cell>
          <cell r="B10482">
            <v>0</v>
          </cell>
          <cell r="C10482" t="str">
            <v>***NATIONAL BANK OF PAKISTAN</v>
          </cell>
          <cell r="D10482">
            <v>50616</v>
          </cell>
          <cell r="E10482">
            <v>0</v>
          </cell>
          <cell r="F10482">
            <v>50616</v>
          </cell>
          <cell r="G10482">
            <v>0</v>
          </cell>
        </row>
        <row r="10483">
          <cell r="A10483" t="str">
            <v>59-01-07-0001</v>
          </cell>
          <cell r="B10483">
            <v>0</v>
          </cell>
          <cell r="C10483" t="str">
            <v xml:space="preserve">  N.B.P. GADOON 226-5</v>
          </cell>
          <cell r="D10483">
            <v>26190</v>
          </cell>
          <cell r="E10483">
            <v>0</v>
          </cell>
          <cell r="F10483">
            <v>0</v>
          </cell>
          <cell r="G10483">
            <v>0</v>
          </cell>
        </row>
        <row r="10484">
          <cell r="A10484" t="str">
            <v>59-01-07-0002</v>
          </cell>
          <cell r="B10484">
            <v>0</v>
          </cell>
          <cell r="C10484" t="str">
            <v xml:space="preserve">  N.B.P. CANT BRNCH PSH A/C # 12738-2</v>
          </cell>
          <cell r="D10484">
            <v>23237</v>
          </cell>
          <cell r="E10484">
            <v>0</v>
          </cell>
          <cell r="F10484">
            <v>0</v>
          </cell>
          <cell r="G10484">
            <v>0</v>
          </cell>
        </row>
        <row r="10485">
          <cell r="A10485" t="str">
            <v>59-01-07-0003</v>
          </cell>
          <cell r="B10485">
            <v>0</v>
          </cell>
          <cell r="C10485" t="str">
            <v xml:space="preserve">  N.B.P. CORPORATE BRANCH KHI A/C 4136-8</v>
          </cell>
          <cell r="D10485">
            <v>0</v>
          </cell>
          <cell r="E10485">
            <v>0</v>
          </cell>
          <cell r="F10485">
            <v>0</v>
          </cell>
          <cell r="G10485">
            <v>0</v>
          </cell>
        </row>
        <row r="10486">
          <cell r="A10486" t="str">
            <v>59-01-07-0004</v>
          </cell>
          <cell r="B10486">
            <v>0</v>
          </cell>
          <cell r="C10486" t="str">
            <v xml:space="preserve">  N.B.P. MAIN BRANCH KHI- A/C 55205-9</v>
          </cell>
          <cell r="D10486">
            <v>1189</v>
          </cell>
          <cell r="E10486">
            <v>0</v>
          </cell>
          <cell r="F10486">
            <v>0</v>
          </cell>
          <cell r="G10486">
            <v>0</v>
          </cell>
        </row>
        <row r="10487">
          <cell r="A10487" t="str">
            <v>59-01-08</v>
          </cell>
          <cell r="B10487">
            <v>0</v>
          </cell>
          <cell r="C10487" t="str">
            <v>***UNITED BANK LIMITED</v>
          </cell>
          <cell r="D10487">
            <v>202077.84</v>
          </cell>
          <cell r="E10487">
            <v>0</v>
          </cell>
          <cell r="F10487">
            <v>202077.84</v>
          </cell>
          <cell r="G10487">
            <v>0</v>
          </cell>
        </row>
        <row r="10488">
          <cell r="A10488" t="str">
            <v>59-01-08-0001</v>
          </cell>
          <cell r="B10488">
            <v>0</v>
          </cell>
          <cell r="C10488" t="str">
            <v xml:space="preserve">  UBL ARBAB ROAD, PESHAWAR A/C 8651</v>
          </cell>
          <cell r="D10488">
            <v>1895.46</v>
          </cell>
          <cell r="E10488">
            <v>0</v>
          </cell>
          <cell r="F10488">
            <v>0</v>
          </cell>
          <cell r="G10488">
            <v>0</v>
          </cell>
        </row>
        <row r="10489">
          <cell r="A10489" t="str">
            <v>59-01-08-0002</v>
          </cell>
          <cell r="B10489">
            <v>0</v>
          </cell>
          <cell r="C10489" t="str">
            <v xml:space="preserve">  UBL GADOON A/C NO.2130-3</v>
          </cell>
          <cell r="D10489">
            <v>29723</v>
          </cell>
          <cell r="E10489">
            <v>0</v>
          </cell>
          <cell r="F10489">
            <v>0</v>
          </cell>
          <cell r="G10489">
            <v>0</v>
          </cell>
        </row>
        <row r="10490">
          <cell r="A10490" t="str">
            <v>59-01-08-0003</v>
          </cell>
          <cell r="B10490">
            <v>0</v>
          </cell>
          <cell r="C10490" t="str">
            <v xml:space="preserve">  UBL CORPORATE BRANCH A/C# 010-3093-2</v>
          </cell>
          <cell r="D10490">
            <v>170459.38</v>
          </cell>
          <cell r="E10490">
            <v>0</v>
          </cell>
          <cell r="F10490">
            <v>0</v>
          </cell>
          <cell r="G10490">
            <v>0</v>
          </cell>
        </row>
        <row r="10491">
          <cell r="A10491" t="str">
            <v>59-01-09</v>
          </cell>
          <cell r="B10491">
            <v>0</v>
          </cell>
          <cell r="C10491" t="str">
            <v>***ABN AMRO BANK</v>
          </cell>
          <cell r="D10491">
            <v>101634.63</v>
          </cell>
          <cell r="E10491">
            <v>0</v>
          </cell>
          <cell r="F10491">
            <v>101634.63</v>
          </cell>
          <cell r="G10491">
            <v>0</v>
          </cell>
        </row>
        <row r="10492">
          <cell r="A10492" t="str">
            <v>59-01-09-0001</v>
          </cell>
          <cell r="B10492">
            <v>0</v>
          </cell>
          <cell r="C10492" t="str">
            <v xml:space="preserve">  ABN AMRO BANK A/C # 21621004.</v>
          </cell>
          <cell r="D10492">
            <v>100997.37</v>
          </cell>
          <cell r="E10492">
            <v>0</v>
          </cell>
          <cell r="F10492">
            <v>0</v>
          </cell>
          <cell r="G10492">
            <v>0</v>
          </cell>
        </row>
        <row r="10493">
          <cell r="A10493" t="str">
            <v>59-01-09-0002</v>
          </cell>
          <cell r="B10493">
            <v>0</v>
          </cell>
          <cell r="C10493" t="str">
            <v xml:space="preserve">  ABN AMRO BANK A/C # 21621187 $</v>
          </cell>
          <cell r="D10493">
            <v>637.26</v>
          </cell>
          <cell r="E10493">
            <v>0</v>
          </cell>
          <cell r="F10493">
            <v>0</v>
          </cell>
          <cell r="G10493">
            <v>0</v>
          </cell>
        </row>
        <row r="10494">
          <cell r="A10494" t="str">
            <v>59-01-10</v>
          </cell>
          <cell r="B10494">
            <v>0</v>
          </cell>
          <cell r="C10494" t="str">
            <v>***ALLIED BANK LIMITED</v>
          </cell>
          <cell r="D10494">
            <v>46327.55</v>
          </cell>
          <cell r="E10494">
            <v>0</v>
          </cell>
          <cell r="F10494">
            <v>46327.55</v>
          </cell>
          <cell r="G10494">
            <v>0</v>
          </cell>
        </row>
        <row r="10495">
          <cell r="A10495" t="str">
            <v>59-01-10-0001</v>
          </cell>
          <cell r="B10495">
            <v>0</v>
          </cell>
          <cell r="C10495" t="str">
            <v xml:space="preserve">  A.B.L MUHAMMED ALI SOCIETY A/C # 1855-</v>
          </cell>
          <cell r="D10495">
            <v>46327.55</v>
          </cell>
          <cell r="E10495">
            <v>0</v>
          </cell>
          <cell r="F10495">
            <v>0</v>
          </cell>
          <cell r="G10495">
            <v>0</v>
          </cell>
        </row>
        <row r="10496">
          <cell r="A10496" t="str">
            <v>59-01-11</v>
          </cell>
          <cell r="B10496">
            <v>0</v>
          </cell>
          <cell r="C10496" t="str">
            <v>***UNION BANK</v>
          </cell>
          <cell r="D10496">
            <v>49323.519999999997</v>
          </cell>
          <cell r="E10496">
            <v>0</v>
          </cell>
          <cell r="F10496">
            <v>49323.519999999997</v>
          </cell>
          <cell r="G10496">
            <v>0</v>
          </cell>
        </row>
        <row r="10497">
          <cell r="A10497" t="str">
            <v>59-01-11-0001</v>
          </cell>
          <cell r="B10497">
            <v>0</v>
          </cell>
          <cell r="C10497" t="str">
            <v xml:space="preserve">  UNION BANK KHI A/C 6208-451883-050</v>
          </cell>
          <cell r="D10497">
            <v>49323.519999999997</v>
          </cell>
          <cell r="E10497">
            <v>0</v>
          </cell>
          <cell r="F10497">
            <v>0</v>
          </cell>
          <cell r="G10497">
            <v>0</v>
          </cell>
        </row>
        <row r="10498">
          <cell r="A10498" t="str">
            <v>59-01-12</v>
          </cell>
          <cell r="B10498">
            <v>0</v>
          </cell>
          <cell r="C10498" t="str">
            <v>***BANK AL-HABIB LTD</v>
          </cell>
          <cell r="D10498">
            <v>193986.67</v>
          </cell>
          <cell r="E10498">
            <v>0</v>
          </cell>
          <cell r="F10498">
            <v>193986.67</v>
          </cell>
          <cell r="G10498">
            <v>0</v>
          </cell>
        </row>
        <row r="10499">
          <cell r="A10499" t="str">
            <v>59-01-12-0001</v>
          </cell>
          <cell r="B10499">
            <v>0</v>
          </cell>
          <cell r="C10499" t="str">
            <v xml:space="preserve">  BANK AL-HABIB LTD A/C # 081-149840-01-</v>
          </cell>
          <cell r="D10499">
            <v>162732.48000000001</v>
          </cell>
          <cell r="E10499">
            <v>0</v>
          </cell>
          <cell r="F10499">
            <v>0</v>
          </cell>
          <cell r="G10499">
            <v>0</v>
          </cell>
        </row>
        <row r="10500">
          <cell r="A10500" t="str">
            <v>59-01-12-0002</v>
          </cell>
          <cell r="B10500">
            <v>0</v>
          </cell>
          <cell r="C10500" t="str">
            <v xml:space="preserve">  BANK AL-HABIB $ A/C 1001-331-149840-01</v>
          </cell>
          <cell r="D10500">
            <v>15784.19</v>
          </cell>
          <cell r="E10500">
            <v>0</v>
          </cell>
          <cell r="F10500">
            <v>0</v>
          </cell>
          <cell r="G10500">
            <v>0</v>
          </cell>
        </row>
        <row r="10501">
          <cell r="A10501" t="str">
            <v>59-01-12-0003</v>
          </cell>
          <cell r="B10501">
            <v>0</v>
          </cell>
          <cell r="C10501" t="str">
            <v xml:space="preserve">  BANK AL-HABIB MAHS A/C # 081-000555-01</v>
          </cell>
          <cell r="D10501">
            <v>15470</v>
          </cell>
          <cell r="E10501">
            <v>0</v>
          </cell>
          <cell r="F10501">
            <v>0</v>
          </cell>
          <cell r="G10501">
            <v>0</v>
          </cell>
        </row>
        <row r="10502">
          <cell r="A10502" t="str">
            <v>59-01-13</v>
          </cell>
          <cell r="B10502">
            <v>0</v>
          </cell>
          <cell r="C10502" t="str">
            <v>***NDLC IFIC</v>
          </cell>
          <cell r="D10502">
            <v>200000000</v>
          </cell>
          <cell r="E10502">
            <v>0</v>
          </cell>
          <cell r="F10502">
            <v>200000000</v>
          </cell>
          <cell r="G10502">
            <v>0</v>
          </cell>
        </row>
        <row r="10503">
          <cell r="A10503" t="str">
            <v>59-01-13-0001</v>
          </cell>
          <cell r="B10503">
            <v>0</v>
          </cell>
          <cell r="C10503" t="str">
            <v xml:space="preserve">  NDLC IFIC A/C #</v>
          </cell>
          <cell r="D10503">
            <v>200000000</v>
          </cell>
          <cell r="E10503">
            <v>0</v>
          </cell>
          <cell r="F10503">
            <v>0</v>
          </cell>
          <cell r="G10503">
            <v>0</v>
          </cell>
        </row>
        <row r="10504">
          <cell r="A10504" t="str">
            <v>59-01-14</v>
          </cell>
          <cell r="B10504">
            <v>0</v>
          </cell>
          <cell r="C10504" t="str">
            <v>***STANDARD CHARTERED</v>
          </cell>
          <cell r="D10504">
            <v>2201.65</v>
          </cell>
          <cell r="E10504">
            <v>0</v>
          </cell>
          <cell r="F10504">
            <v>2201.65</v>
          </cell>
          <cell r="G10504">
            <v>0</v>
          </cell>
        </row>
        <row r="10505">
          <cell r="A10505" t="str">
            <v>59-01-14-0001</v>
          </cell>
          <cell r="B10505">
            <v>0</v>
          </cell>
          <cell r="C10505" t="str">
            <v xml:space="preserve">  STANDARD CHARTERED A/C # 6181368-01 KH</v>
          </cell>
          <cell r="D10505">
            <v>2201.65</v>
          </cell>
          <cell r="E10505">
            <v>0</v>
          </cell>
          <cell r="F10505">
            <v>0</v>
          </cell>
          <cell r="G10505">
            <v>0</v>
          </cell>
        </row>
        <row r="10506">
          <cell r="A10506" t="str">
            <v>59-02</v>
          </cell>
          <cell r="B10506">
            <v>0</v>
          </cell>
          <cell r="C10506" t="str">
            <v>**BANK'S IN DEPOSIT A/C</v>
          </cell>
          <cell r="D10506">
            <v>0</v>
          </cell>
          <cell r="E10506">
            <v>0</v>
          </cell>
          <cell r="F10506">
            <v>0</v>
          </cell>
          <cell r="G10506">
            <v>0</v>
          </cell>
        </row>
        <row r="10507">
          <cell r="A10507" t="str">
            <v>59-02-02</v>
          </cell>
          <cell r="B10507">
            <v>0</v>
          </cell>
          <cell r="C10507" t="str">
            <v>***DEPOSIT IN MCB</v>
          </cell>
          <cell r="D10507">
            <v>0</v>
          </cell>
          <cell r="E10507">
            <v>0</v>
          </cell>
          <cell r="F10507">
            <v>0</v>
          </cell>
          <cell r="G10507">
            <v>0</v>
          </cell>
        </row>
        <row r="10508">
          <cell r="A10508" t="str">
            <v>59-02-02-0001</v>
          </cell>
          <cell r="B10508">
            <v>0</v>
          </cell>
          <cell r="C10508" t="str">
            <v xml:space="preserve">  MCB 7531-1 PESHAWAR PLS A/C 365 DAYS</v>
          </cell>
          <cell r="D10508">
            <v>0</v>
          </cell>
          <cell r="E10508">
            <v>0</v>
          </cell>
          <cell r="F10508">
            <v>0</v>
          </cell>
          <cell r="G10508">
            <v>0</v>
          </cell>
        </row>
        <row r="10509">
          <cell r="A10509" t="str">
            <v>59-03</v>
          </cell>
          <cell r="B10509">
            <v>0</v>
          </cell>
          <cell r="C10509" t="str">
            <v>**CASH BALANCES</v>
          </cell>
          <cell r="D10509">
            <v>670152.4</v>
          </cell>
          <cell r="E10509">
            <v>0</v>
          </cell>
          <cell r="F10509">
            <v>670152.4</v>
          </cell>
          <cell r="G10509">
            <v>0</v>
          </cell>
        </row>
        <row r="10510">
          <cell r="A10510" t="str">
            <v>59-03-01</v>
          </cell>
          <cell r="B10510">
            <v>0</v>
          </cell>
          <cell r="C10510" t="str">
            <v>***CASH IN HAND ( PESHAWAR OFFICE )</v>
          </cell>
          <cell r="D10510">
            <v>2294</v>
          </cell>
          <cell r="E10510">
            <v>0</v>
          </cell>
          <cell r="F10510">
            <v>2294</v>
          </cell>
          <cell r="G10510">
            <v>0</v>
          </cell>
        </row>
        <row r="10511">
          <cell r="A10511" t="str">
            <v>59-03-01-0001</v>
          </cell>
          <cell r="B10511">
            <v>0</v>
          </cell>
          <cell r="C10511" t="str">
            <v xml:space="preserve">  CASH IN HAND ( PESHAWAR OFFICE )</v>
          </cell>
          <cell r="D10511">
            <v>2294</v>
          </cell>
          <cell r="E10511">
            <v>0</v>
          </cell>
          <cell r="F10511">
            <v>0</v>
          </cell>
          <cell r="G10511">
            <v>0</v>
          </cell>
        </row>
        <row r="10512">
          <cell r="A10512" t="str">
            <v>59-03-02</v>
          </cell>
          <cell r="B10512">
            <v>0</v>
          </cell>
          <cell r="C10512" t="str">
            <v>***CASH IN HAND</v>
          </cell>
          <cell r="D10512">
            <v>612314.4</v>
          </cell>
          <cell r="E10512">
            <v>0</v>
          </cell>
          <cell r="F10512">
            <v>612314.4</v>
          </cell>
          <cell r="G10512">
            <v>0</v>
          </cell>
        </row>
        <row r="10513">
          <cell r="A10513" t="str">
            <v>59-03-02-0001</v>
          </cell>
          <cell r="B10513">
            <v>0</v>
          </cell>
          <cell r="C10513" t="str">
            <v xml:space="preserve">  CASH IN HAND ( FACTORY)</v>
          </cell>
          <cell r="D10513">
            <v>612314.4</v>
          </cell>
          <cell r="E10513">
            <v>0</v>
          </cell>
          <cell r="F10513">
            <v>0</v>
          </cell>
          <cell r="G10513">
            <v>0</v>
          </cell>
        </row>
        <row r="10514">
          <cell r="A10514" t="str">
            <v>59-03-03</v>
          </cell>
          <cell r="B10514">
            <v>0</v>
          </cell>
          <cell r="C10514" t="str">
            <v>***CASH IN HAND ( KARACHI OFFICE )</v>
          </cell>
          <cell r="D10514">
            <v>55544</v>
          </cell>
          <cell r="E10514">
            <v>0</v>
          </cell>
          <cell r="F10514">
            <v>55544</v>
          </cell>
          <cell r="G10514">
            <v>0</v>
          </cell>
        </row>
        <row r="10515">
          <cell r="A10515" t="str">
            <v>59-03-03-0001</v>
          </cell>
          <cell r="B10515">
            <v>0</v>
          </cell>
          <cell r="C10515" t="str">
            <v xml:space="preserve">  CASH IN HAND ( KARACHI OFFICE )</v>
          </cell>
          <cell r="D10515">
            <v>55544</v>
          </cell>
          <cell r="E10515">
            <v>0</v>
          </cell>
          <cell r="F10515">
            <v>0</v>
          </cell>
          <cell r="G10515">
            <v>0</v>
          </cell>
        </row>
        <row r="10516">
          <cell r="A10516" t="str">
            <v>60</v>
          </cell>
          <cell r="B10516">
            <v>0</v>
          </cell>
          <cell r="C10516" t="str">
            <v>*C O N T R A</v>
          </cell>
          <cell r="D10516">
            <v>0</v>
          </cell>
          <cell r="E10516">
            <v>0</v>
          </cell>
          <cell r="F10516">
            <v>0</v>
          </cell>
          <cell r="G10516">
            <v>0</v>
          </cell>
        </row>
        <row r="10517">
          <cell r="A10517" t="str">
            <v>60-01</v>
          </cell>
          <cell r="B10517">
            <v>0</v>
          </cell>
          <cell r="C10517" t="str">
            <v>**KARACHI VS GADOON</v>
          </cell>
          <cell r="D10517">
            <v>0</v>
          </cell>
          <cell r="E10517">
            <v>0</v>
          </cell>
          <cell r="F10517">
            <v>0</v>
          </cell>
          <cell r="G10517">
            <v>0</v>
          </cell>
        </row>
        <row r="10518">
          <cell r="A10518" t="str">
            <v>60-01-01</v>
          </cell>
          <cell r="B10518">
            <v>0</v>
          </cell>
          <cell r="C10518" t="str">
            <v>***AMOUNT SENT TO GADOON FROM KARACHI</v>
          </cell>
          <cell r="D10518">
            <v>0</v>
          </cell>
          <cell r="E10518">
            <v>0</v>
          </cell>
          <cell r="F10518">
            <v>0</v>
          </cell>
          <cell r="G10518">
            <v>0</v>
          </cell>
        </row>
        <row r="10519">
          <cell r="A10519" t="str">
            <v>60-01-01-0001</v>
          </cell>
          <cell r="B10519">
            <v>0</v>
          </cell>
          <cell r="C10519" t="str">
            <v xml:space="preserve">  FUND IN TRANSIT GADOON/KARACHI.</v>
          </cell>
          <cell r="D10519">
            <v>0</v>
          </cell>
          <cell r="E10519">
            <v>0</v>
          </cell>
          <cell r="F10519">
            <v>0</v>
          </cell>
          <cell r="G10519">
            <v>0</v>
          </cell>
        </row>
        <row r="10520">
          <cell r="A10520" t="str">
            <v>60-01-02</v>
          </cell>
          <cell r="B10520">
            <v>0</v>
          </cell>
          <cell r="C10520" t="str">
            <v>***AMOUNT RECEIVED AT GADOON FROM KARACH</v>
          </cell>
          <cell r="D10520">
            <v>0</v>
          </cell>
          <cell r="E10520">
            <v>0</v>
          </cell>
          <cell r="F10520">
            <v>0</v>
          </cell>
          <cell r="G10520">
            <v>0</v>
          </cell>
        </row>
        <row r="10521">
          <cell r="A10521" t="str">
            <v>60-01-02-0001</v>
          </cell>
          <cell r="B10521">
            <v>0</v>
          </cell>
          <cell r="C10521" t="str">
            <v xml:space="preserve">  AMOUNT RECEIVED AT GADOON FROM KARACHI</v>
          </cell>
          <cell r="D10521">
            <v>0</v>
          </cell>
          <cell r="E10521">
            <v>0</v>
          </cell>
          <cell r="F10521">
            <v>0</v>
          </cell>
          <cell r="G10521">
            <v>0</v>
          </cell>
        </row>
        <row r="10522">
          <cell r="A10522" t="str">
            <v>60-02</v>
          </cell>
          <cell r="B10522">
            <v>0</v>
          </cell>
          <cell r="C10522" t="str">
            <v>**KARACHI VS PESHAWAR</v>
          </cell>
          <cell r="D10522">
            <v>0</v>
          </cell>
          <cell r="E10522">
            <v>0</v>
          </cell>
          <cell r="F10522">
            <v>0</v>
          </cell>
          <cell r="G10522">
            <v>0</v>
          </cell>
        </row>
        <row r="10523">
          <cell r="A10523" t="str">
            <v>60-02-01</v>
          </cell>
          <cell r="B10523">
            <v>0</v>
          </cell>
          <cell r="C10523" t="str">
            <v>***AMOUNT SENT TO PESHWAR FROM KARACHI</v>
          </cell>
          <cell r="D10523">
            <v>0</v>
          </cell>
          <cell r="E10523">
            <v>0</v>
          </cell>
          <cell r="F10523">
            <v>0</v>
          </cell>
          <cell r="G10523">
            <v>0</v>
          </cell>
        </row>
        <row r="10524">
          <cell r="A10524" t="str">
            <v>60-02-01-0001</v>
          </cell>
          <cell r="B10524">
            <v>0</v>
          </cell>
          <cell r="C10524" t="str">
            <v xml:space="preserve">  FUND IN TRANSIT.</v>
          </cell>
          <cell r="D10524">
            <v>0</v>
          </cell>
          <cell r="E10524">
            <v>0</v>
          </cell>
          <cell r="F10524">
            <v>0</v>
          </cell>
          <cell r="G10524">
            <v>0</v>
          </cell>
        </row>
        <row r="10525">
          <cell r="A10525" t="str">
            <v>60-02-02</v>
          </cell>
          <cell r="B10525">
            <v>0</v>
          </cell>
          <cell r="C10525" t="str">
            <v>***AMOUNT RECEIVED AT PESHAWAR FROM KARA</v>
          </cell>
          <cell r="D10525">
            <v>0</v>
          </cell>
          <cell r="E10525">
            <v>0</v>
          </cell>
          <cell r="F10525">
            <v>0</v>
          </cell>
          <cell r="G10525">
            <v>0</v>
          </cell>
        </row>
        <row r="10526">
          <cell r="A10526" t="str">
            <v>60-02-02-0001</v>
          </cell>
          <cell r="B10526">
            <v>0</v>
          </cell>
          <cell r="C10526" t="str">
            <v xml:space="preserve">  AMOUNT RECEIVED AT PESHAWAR FROM KARAC</v>
          </cell>
          <cell r="D10526">
            <v>0</v>
          </cell>
          <cell r="E10526">
            <v>0</v>
          </cell>
          <cell r="F10526">
            <v>0</v>
          </cell>
          <cell r="G10526">
            <v>0</v>
          </cell>
        </row>
        <row r="10527">
          <cell r="A10527" t="str">
            <v>60-03</v>
          </cell>
          <cell r="B10527">
            <v>0</v>
          </cell>
          <cell r="C10527" t="str">
            <v>**PESHAWAR VS GADOON</v>
          </cell>
          <cell r="D10527">
            <v>0</v>
          </cell>
          <cell r="E10527">
            <v>0</v>
          </cell>
          <cell r="F10527">
            <v>0</v>
          </cell>
          <cell r="G10527">
            <v>0</v>
          </cell>
        </row>
        <row r="10528">
          <cell r="A10528" t="str">
            <v>60-03-01</v>
          </cell>
          <cell r="B10528">
            <v>0</v>
          </cell>
          <cell r="C10528" t="str">
            <v>***AMOUNT SENT TO GADOON FROM PESHAWAR</v>
          </cell>
          <cell r="D10528">
            <v>0</v>
          </cell>
          <cell r="E10528">
            <v>0</v>
          </cell>
          <cell r="F10528">
            <v>0</v>
          </cell>
          <cell r="G10528">
            <v>0</v>
          </cell>
        </row>
        <row r="10529">
          <cell r="A10529" t="str">
            <v>60-03-01-0001</v>
          </cell>
          <cell r="B10529">
            <v>0</v>
          </cell>
          <cell r="C10529" t="str">
            <v xml:space="preserve">  AMOUNT SENT TO GADOON FROM PESHAWAR</v>
          </cell>
          <cell r="D10529">
            <v>0</v>
          </cell>
          <cell r="E10529">
            <v>0</v>
          </cell>
          <cell r="F10529">
            <v>0</v>
          </cell>
          <cell r="G10529">
            <v>0</v>
          </cell>
        </row>
        <row r="10530">
          <cell r="A10530" t="str">
            <v>60-03-02</v>
          </cell>
          <cell r="B10530">
            <v>0</v>
          </cell>
          <cell r="C10530" t="str">
            <v>***AMOUNT RECEIVED AT GADOON FROM PESHAW</v>
          </cell>
          <cell r="D10530">
            <v>0</v>
          </cell>
          <cell r="E10530">
            <v>0</v>
          </cell>
          <cell r="F10530">
            <v>0</v>
          </cell>
          <cell r="G10530">
            <v>0</v>
          </cell>
        </row>
        <row r="10531">
          <cell r="A10531" t="str">
            <v>60-03-02-0001</v>
          </cell>
          <cell r="B10531">
            <v>0</v>
          </cell>
          <cell r="C10531" t="str">
            <v xml:space="preserve">  AMOUNT RECEIVED AT GADOON FROM PESHAWA</v>
          </cell>
          <cell r="D10531">
            <v>0</v>
          </cell>
          <cell r="E10531">
            <v>0</v>
          </cell>
          <cell r="F10531">
            <v>0</v>
          </cell>
          <cell r="G10531">
            <v>0</v>
          </cell>
        </row>
        <row r="10532">
          <cell r="A10532" t="str">
            <v>60-04</v>
          </cell>
          <cell r="B10532">
            <v>0</v>
          </cell>
          <cell r="C10532" t="str">
            <v>**PESHAWAR VS KARACHI</v>
          </cell>
          <cell r="D10532">
            <v>0</v>
          </cell>
          <cell r="E10532">
            <v>0</v>
          </cell>
          <cell r="F10532">
            <v>0</v>
          </cell>
          <cell r="G10532">
            <v>0</v>
          </cell>
        </row>
        <row r="10533">
          <cell r="A10533" t="str">
            <v>60-04-01</v>
          </cell>
          <cell r="B10533">
            <v>0</v>
          </cell>
          <cell r="C10533" t="str">
            <v>***AMOUNT SENT TO KARACHI FROM PESHAWAR</v>
          </cell>
          <cell r="D10533">
            <v>0</v>
          </cell>
          <cell r="E10533">
            <v>0</v>
          </cell>
          <cell r="F10533">
            <v>0</v>
          </cell>
          <cell r="G10533">
            <v>0</v>
          </cell>
        </row>
        <row r="10534">
          <cell r="A10534" t="str">
            <v>60-04-01-0001</v>
          </cell>
          <cell r="B10534">
            <v>0</v>
          </cell>
          <cell r="C10534" t="str">
            <v xml:space="preserve">  AMOUNT SENT TO KARACHI FROM PESHAWAR</v>
          </cell>
          <cell r="D10534">
            <v>0</v>
          </cell>
          <cell r="E10534">
            <v>0</v>
          </cell>
          <cell r="F10534">
            <v>0</v>
          </cell>
          <cell r="G10534">
            <v>0</v>
          </cell>
        </row>
        <row r="10535">
          <cell r="A10535" t="str">
            <v>60-04-02</v>
          </cell>
          <cell r="B10535">
            <v>0</v>
          </cell>
          <cell r="C10535" t="str">
            <v>***AMOUNT RECEIVED AT KARACHI FROM PESHA</v>
          </cell>
          <cell r="D10535">
            <v>0</v>
          </cell>
          <cell r="E10535">
            <v>0</v>
          </cell>
          <cell r="F10535">
            <v>0</v>
          </cell>
          <cell r="G10535">
            <v>0</v>
          </cell>
        </row>
        <row r="10536">
          <cell r="A10536" t="str">
            <v>60-04-02-0001</v>
          </cell>
          <cell r="B10536">
            <v>0</v>
          </cell>
          <cell r="C10536" t="str">
            <v xml:space="preserve">  AMOUNT RECEIVED AT KARACHI FROM PESHAW</v>
          </cell>
          <cell r="D10536">
            <v>0</v>
          </cell>
          <cell r="E10536">
            <v>0</v>
          </cell>
          <cell r="F10536">
            <v>0</v>
          </cell>
          <cell r="G10536">
            <v>0</v>
          </cell>
        </row>
        <row r="10537">
          <cell r="A10537" t="str">
            <v>60-05</v>
          </cell>
          <cell r="B10537">
            <v>0</v>
          </cell>
          <cell r="C10537" t="str">
            <v>**GADOON VS KARACHI</v>
          </cell>
          <cell r="D10537">
            <v>0</v>
          </cell>
          <cell r="E10537">
            <v>0</v>
          </cell>
          <cell r="F10537">
            <v>0</v>
          </cell>
          <cell r="G10537">
            <v>0</v>
          </cell>
        </row>
        <row r="10538">
          <cell r="A10538" t="str">
            <v>60-05-01</v>
          </cell>
          <cell r="B10538">
            <v>0</v>
          </cell>
          <cell r="C10538" t="str">
            <v>***AMOUNT SENT TO KARACH FROM GADOON</v>
          </cell>
          <cell r="D10538">
            <v>0</v>
          </cell>
          <cell r="E10538">
            <v>0</v>
          </cell>
          <cell r="F10538">
            <v>0</v>
          </cell>
          <cell r="G10538">
            <v>0</v>
          </cell>
        </row>
        <row r="10539">
          <cell r="A10539" t="str">
            <v>60-05-01-0001</v>
          </cell>
          <cell r="B10539">
            <v>0</v>
          </cell>
          <cell r="C10539" t="str">
            <v xml:space="preserve">  AMOUNT SENT TO KARACHI FROM GADOON</v>
          </cell>
          <cell r="D10539">
            <v>0</v>
          </cell>
          <cell r="E10539">
            <v>0</v>
          </cell>
          <cell r="F10539">
            <v>0</v>
          </cell>
          <cell r="G10539">
            <v>0</v>
          </cell>
        </row>
        <row r="10540">
          <cell r="A10540" t="str">
            <v>60-05-02</v>
          </cell>
          <cell r="B10540">
            <v>0</v>
          </cell>
          <cell r="C10540" t="str">
            <v>***AMOUNT RECEIVED AT KARACHI FROM GADOO</v>
          </cell>
          <cell r="D10540">
            <v>0</v>
          </cell>
          <cell r="E10540">
            <v>0</v>
          </cell>
          <cell r="F10540">
            <v>0</v>
          </cell>
          <cell r="G10540">
            <v>0</v>
          </cell>
        </row>
        <row r="10541">
          <cell r="A10541" t="str">
            <v>60-05-02-0001</v>
          </cell>
          <cell r="B10541">
            <v>0</v>
          </cell>
          <cell r="C10541" t="str">
            <v xml:space="preserve">  AMOUNT RECEIVED AT KARACHI FROM GADOON</v>
          </cell>
          <cell r="D10541">
            <v>0</v>
          </cell>
          <cell r="E10541">
            <v>0</v>
          </cell>
          <cell r="F10541">
            <v>0</v>
          </cell>
          <cell r="G10541">
            <v>0</v>
          </cell>
        </row>
        <row r="10542">
          <cell r="A10542" t="str">
            <v>60-06</v>
          </cell>
          <cell r="B10542">
            <v>0</v>
          </cell>
          <cell r="C10542" t="str">
            <v>**GADOON VS PESHAWAR</v>
          </cell>
          <cell r="D10542">
            <v>0</v>
          </cell>
          <cell r="E10542">
            <v>0</v>
          </cell>
          <cell r="F10542">
            <v>0</v>
          </cell>
          <cell r="G10542">
            <v>0</v>
          </cell>
        </row>
        <row r="10543">
          <cell r="A10543" t="str">
            <v>60-06-01</v>
          </cell>
          <cell r="B10543">
            <v>0</v>
          </cell>
          <cell r="C10543" t="str">
            <v>***AMOUNT SENT TO PESHAWAR FROM GADOON</v>
          </cell>
          <cell r="D10543">
            <v>0</v>
          </cell>
          <cell r="E10543">
            <v>0</v>
          </cell>
          <cell r="F10543">
            <v>0</v>
          </cell>
          <cell r="G10543">
            <v>0</v>
          </cell>
        </row>
        <row r="10544">
          <cell r="A10544" t="str">
            <v>60-06-01-0001</v>
          </cell>
          <cell r="B10544">
            <v>0</v>
          </cell>
          <cell r="C10544" t="str">
            <v xml:space="preserve">  AMOUNT SENT TO PESHAWAR FROM GADOON</v>
          </cell>
          <cell r="D10544">
            <v>0</v>
          </cell>
          <cell r="E10544">
            <v>0</v>
          </cell>
          <cell r="F10544">
            <v>0</v>
          </cell>
          <cell r="G10544">
            <v>0</v>
          </cell>
        </row>
        <row r="10545">
          <cell r="A10545" t="str">
            <v>60-06-02</v>
          </cell>
          <cell r="B10545">
            <v>0</v>
          </cell>
          <cell r="C10545" t="str">
            <v>***AMOUNT RECEIVED AT PESHAWAR FROM GADO</v>
          </cell>
          <cell r="D10545">
            <v>0</v>
          </cell>
          <cell r="E10545">
            <v>0</v>
          </cell>
          <cell r="F10545">
            <v>0</v>
          </cell>
          <cell r="G10545">
            <v>0</v>
          </cell>
        </row>
        <row r="10546">
          <cell r="A10546" t="str">
            <v>60-06-02-0001</v>
          </cell>
          <cell r="B10546">
            <v>0</v>
          </cell>
          <cell r="C10546" t="str">
            <v xml:space="preserve">  AMOUNT RECEIVED AT PESHAWAR FROM GADOO</v>
          </cell>
          <cell r="D10546">
            <v>0</v>
          </cell>
          <cell r="E10546">
            <v>0</v>
          </cell>
          <cell r="F10546">
            <v>0</v>
          </cell>
          <cell r="G10546">
            <v>0</v>
          </cell>
        </row>
        <row r="10547">
          <cell r="A10547" t="str">
            <v>66</v>
          </cell>
          <cell r="B10547">
            <v>0</v>
          </cell>
          <cell r="C10547" t="str">
            <v>*YARN SALES</v>
          </cell>
          <cell r="D10547">
            <v>0</v>
          </cell>
          <cell r="E10547">
            <v>5947405440.5</v>
          </cell>
          <cell r="F10547">
            <v>0</v>
          </cell>
          <cell r="G10547">
            <v>5947405440.5</v>
          </cell>
        </row>
        <row r="10548">
          <cell r="A10548" t="str">
            <v>66-01</v>
          </cell>
          <cell r="B10548">
            <v>5947404288</v>
          </cell>
          <cell r="C10548" t="str">
            <v>**L O C A L</v>
          </cell>
          <cell r="D10548">
            <v>0</v>
          </cell>
          <cell r="E10548">
            <v>3463596957</v>
          </cell>
          <cell r="F10548">
            <v>0</v>
          </cell>
          <cell r="G10548">
            <v>3463596957</v>
          </cell>
        </row>
        <row r="10549">
          <cell r="A10549" t="str">
            <v>66-01-01</v>
          </cell>
          <cell r="B10549">
            <v>3463596032</v>
          </cell>
          <cell r="C10549" t="str">
            <v>***L O C A L YARN SALES</v>
          </cell>
          <cell r="D10549">
            <v>0</v>
          </cell>
          <cell r="E10549">
            <v>3463596957</v>
          </cell>
          <cell r="F10549">
            <v>0</v>
          </cell>
          <cell r="G10549">
            <v>3463596957</v>
          </cell>
        </row>
        <row r="10550">
          <cell r="A10550" t="str">
            <v>66-01-01-0001</v>
          </cell>
          <cell r="B10550">
            <v>3463596032</v>
          </cell>
          <cell r="C10550" t="str">
            <v xml:space="preserve">  SALES OF 30/S CP</v>
          </cell>
          <cell r="D10550">
            <v>0</v>
          </cell>
          <cell r="E10550">
            <v>0</v>
          </cell>
          <cell r="F10550">
            <v>0</v>
          </cell>
          <cell r="G10550">
            <v>0</v>
          </cell>
        </row>
        <row r="10551">
          <cell r="A10551" t="str">
            <v>66-01-01-0002</v>
          </cell>
          <cell r="B10551">
            <v>0</v>
          </cell>
          <cell r="C10551" t="str">
            <v xml:space="preserve">  SALES OF 30/S AC</v>
          </cell>
          <cell r="D10551">
            <v>0</v>
          </cell>
          <cell r="E10551">
            <v>44549410</v>
          </cell>
          <cell r="F10551">
            <v>0</v>
          </cell>
          <cell r="G10551">
            <v>0</v>
          </cell>
        </row>
        <row r="10552">
          <cell r="A10552" t="str">
            <v>66-01-01-0003</v>
          </cell>
          <cell r="B10552">
            <v>0</v>
          </cell>
          <cell r="C10552" t="str">
            <v xml:space="preserve">  SALES OF 40/S AC</v>
          </cell>
          <cell r="D10552">
            <v>0</v>
          </cell>
          <cell r="E10552">
            <v>74931916</v>
          </cell>
          <cell r="F10552">
            <v>0</v>
          </cell>
          <cell r="G10552">
            <v>0</v>
          </cell>
        </row>
        <row r="10553">
          <cell r="A10553" t="str">
            <v>66-01-01-0004</v>
          </cell>
          <cell r="B10553">
            <v>0</v>
          </cell>
          <cell r="C10553" t="str">
            <v xml:space="preserve">  SALES OF 30/S AT</v>
          </cell>
          <cell r="D10553">
            <v>0</v>
          </cell>
          <cell r="E10553">
            <v>0</v>
          </cell>
          <cell r="F10553">
            <v>0</v>
          </cell>
          <cell r="G10553">
            <v>0</v>
          </cell>
        </row>
        <row r="10554">
          <cell r="A10554" t="str">
            <v>66-01-01-0005</v>
          </cell>
          <cell r="B10554">
            <v>0</v>
          </cell>
          <cell r="C10554" t="str">
            <v xml:space="preserve">  SALES OF 40/S AV</v>
          </cell>
          <cell r="D10554">
            <v>0</v>
          </cell>
          <cell r="E10554">
            <v>150680683</v>
          </cell>
          <cell r="F10554">
            <v>0</v>
          </cell>
          <cell r="G10554">
            <v>0</v>
          </cell>
        </row>
        <row r="10555">
          <cell r="A10555" t="str">
            <v>66-01-01-0006</v>
          </cell>
          <cell r="B10555">
            <v>0</v>
          </cell>
          <cell r="C10555" t="str">
            <v xml:space="preserve">  SALES OF 80/S COTTON</v>
          </cell>
          <cell r="D10555">
            <v>0</v>
          </cell>
          <cell r="E10555">
            <v>0</v>
          </cell>
          <cell r="F10555">
            <v>0</v>
          </cell>
          <cell r="G10555">
            <v>0</v>
          </cell>
        </row>
        <row r="10556">
          <cell r="A10556" t="str">
            <v>66-01-01-0007</v>
          </cell>
          <cell r="B10556">
            <v>0</v>
          </cell>
          <cell r="C10556" t="str">
            <v xml:space="preserve">  SALES OF 52/S COMBED WEAVING.</v>
          </cell>
          <cell r="D10556">
            <v>0</v>
          </cell>
          <cell r="E10556">
            <v>0</v>
          </cell>
          <cell r="F10556">
            <v>0</v>
          </cell>
          <cell r="G10556">
            <v>0</v>
          </cell>
        </row>
        <row r="10557">
          <cell r="A10557" t="str">
            <v>66-01-01-0008</v>
          </cell>
          <cell r="B10557">
            <v>0</v>
          </cell>
          <cell r="C10557" t="str">
            <v xml:space="preserve">  SALES OF 30/S PA</v>
          </cell>
          <cell r="D10557">
            <v>0</v>
          </cell>
          <cell r="E10557">
            <v>0</v>
          </cell>
          <cell r="F10557">
            <v>0</v>
          </cell>
          <cell r="G10557">
            <v>0</v>
          </cell>
        </row>
        <row r="10558">
          <cell r="A10558" t="str">
            <v>66-01-01-0009</v>
          </cell>
          <cell r="B10558">
            <v>0</v>
          </cell>
          <cell r="C10558" t="str">
            <v xml:space="preserve">  SALES OF 30/S PC 52%48%</v>
          </cell>
          <cell r="D10558">
            <v>0</v>
          </cell>
          <cell r="E10558">
            <v>60608568</v>
          </cell>
          <cell r="F10558">
            <v>0</v>
          </cell>
          <cell r="G10558">
            <v>0</v>
          </cell>
        </row>
        <row r="10559">
          <cell r="A10559" t="str">
            <v>66-01-01-0010</v>
          </cell>
          <cell r="B10559">
            <v>0</v>
          </cell>
          <cell r="C10559" t="str">
            <v xml:space="preserve">  SALES OF 40/S PC</v>
          </cell>
          <cell r="D10559">
            <v>0</v>
          </cell>
          <cell r="E10559">
            <v>209849812</v>
          </cell>
          <cell r="F10559">
            <v>0</v>
          </cell>
          <cell r="G10559">
            <v>0</v>
          </cell>
        </row>
        <row r="10560">
          <cell r="A10560" t="str">
            <v>66-01-01-0011</v>
          </cell>
          <cell r="B10560">
            <v>0</v>
          </cell>
          <cell r="C10560" t="str">
            <v xml:space="preserve">  SALES OF 36/S PC</v>
          </cell>
          <cell r="D10560">
            <v>0</v>
          </cell>
          <cell r="E10560">
            <v>0</v>
          </cell>
          <cell r="F10560">
            <v>0</v>
          </cell>
          <cell r="G10560">
            <v>0</v>
          </cell>
        </row>
        <row r="10561">
          <cell r="A10561" t="str">
            <v>66-01-01-0012</v>
          </cell>
          <cell r="B10561">
            <v>0</v>
          </cell>
          <cell r="C10561" t="str">
            <v xml:space="preserve">  SALES OF 44/S WEFT</v>
          </cell>
          <cell r="D10561">
            <v>0</v>
          </cell>
          <cell r="E10561">
            <v>0</v>
          </cell>
          <cell r="F10561">
            <v>0</v>
          </cell>
          <cell r="G10561">
            <v>0</v>
          </cell>
        </row>
        <row r="10562">
          <cell r="A10562" t="str">
            <v>66-01-01-0013</v>
          </cell>
          <cell r="B10562">
            <v>0</v>
          </cell>
          <cell r="C10562" t="str">
            <v xml:space="preserve">  SALES OF 36/S PV</v>
          </cell>
          <cell r="D10562">
            <v>0</v>
          </cell>
          <cell r="E10562">
            <v>0</v>
          </cell>
          <cell r="F10562">
            <v>0</v>
          </cell>
          <cell r="G10562">
            <v>0</v>
          </cell>
        </row>
        <row r="10563">
          <cell r="A10563" t="str">
            <v>66-01-01-0014</v>
          </cell>
          <cell r="B10563">
            <v>0</v>
          </cell>
          <cell r="C10563" t="str">
            <v xml:space="preserve">  SALES OF 44/S PV</v>
          </cell>
          <cell r="D10563">
            <v>0</v>
          </cell>
          <cell r="E10563">
            <v>0</v>
          </cell>
          <cell r="F10563">
            <v>0</v>
          </cell>
          <cell r="G10563">
            <v>0</v>
          </cell>
        </row>
        <row r="10564">
          <cell r="A10564" t="str">
            <v>66-01-01-0015</v>
          </cell>
          <cell r="B10564">
            <v>0</v>
          </cell>
          <cell r="C10564" t="str">
            <v xml:space="preserve">  SALES OF 65/S PV</v>
          </cell>
          <cell r="D10564">
            <v>0</v>
          </cell>
          <cell r="E10564">
            <v>0</v>
          </cell>
          <cell r="F10564">
            <v>0</v>
          </cell>
          <cell r="G10564">
            <v>0</v>
          </cell>
        </row>
        <row r="10565">
          <cell r="A10565" t="str">
            <v>66-01-01-0016</v>
          </cell>
          <cell r="B10565">
            <v>0</v>
          </cell>
          <cell r="C10565" t="str">
            <v xml:space="preserve">  SALES OF 40/S PVT</v>
          </cell>
          <cell r="D10565">
            <v>0</v>
          </cell>
          <cell r="E10565">
            <v>0</v>
          </cell>
          <cell r="F10565">
            <v>0</v>
          </cell>
          <cell r="G10565">
            <v>0</v>
          </cell>
        </row>
        <row r="10566">
          <cell r="A10566" t="str">
            <v>66-01-01-0017</v>
          </cell>
          <cell r="B10566">
            <v>0</v>
          </cell>
          <cell r="C10566" t="str">
            <v xml:space="preserve">  SALES OF 60/S PVT</v>
          </cell>
          <cell r="D10566">
            <v>0</v>
          </cell>
          <cell r="E10566">
            <v>0</v>
          </cell>
          <cell r="F10566">
            <v>0</v>
          </cell>
          <cell r="G10566">
            <v>0</v>
          </cell>
        </row>
        <row r="10567">
          <cell r="A10567" t="str">
            <v>66-01-01-0018</v>
          </cell>
          <cell r="B10567">
            <v>0</v>
          </cell>
          <cell r="C10567" t="str">
            <v xml:space="preserve">  SALES OF 30/S PVT SLUBBE</v>
          </cell>
          <cell r="D10567">
            <v>0</v>
          </cell>
          <cell r="E10567">
            <v>0</v>
          </cell>
          <cell r="F10567">
            <v>0</v>
          </cell>
          <cell r="G10567">
            <v>0</v>
          </cell>
        </row>
        <row r="10568">
          <cell r="A10568" t="str">
            <v>66-01-01-0019</v>
          </cell>
          <cell r="B10568">
            <v>0</v>
          </cell>
          <cell r="C10568" t="str">
            <v xml:space="preserve">  SALES OF 80/S PVT</v>
          </cell>
          <cell r="D10568">
            <v>0</v>
          </cell>
          <cell r="E10568">
            <v>0</v>
          </cell>
          <cell r="F10568">
            <v>0</v>
          </cell>
          <cell r="G10568">
            <v>0</v>
          </cell>
        </row>
        <row r="10569">
          <cell r="A10569" t="str">
            <v>66-01-01-0020</v>
          </cell>
          <cell r="B10569">
            <v>0</v>
          </cell>
          <cell r="C10569" t="str">
            <v xml:space="preserve">  SALES OF 30/S PVT</v>
          </cell>
          <cell r="D10569">
            <v>0</v>
          </cell>
          <cell r="E10569">
            <v>0</v>
          </cell>
          <cell r="F10569">
            <v>0</v>
          </cell>
          <cell r="G10569">
            <v>0</v>
          </cell>
        </row>
        <row r="10570">
          <cell r="A10570" t="str">
            <v>66-01-01-0021</v>
          </cell>
          <cell r="B10570">
            <v>0</v>
          </cell>
          <cell r="C10570" t="str">
            <v xml:space="preserve">  SALES OF 30/S TA</v>
          </cell>
          <cell r="D10570">
            <v>0</v>
          </cell>
          <cell r="E10570">
            <v>0</v>
          </cell>
          <cell r="F10570">
            <v>0</v>
          </cell>
          <cell r="G10570">
            <v>0</v>
          </cell>
        </row>
        <row r="10571">
          <cell r="A10571" t="str">
            <v>66-01-01-0022</v>
          </cell>
          <cell r="B10571">
            <v>0</v>
          </cell>
          <cell r="C10571" t="str">
            <v xml:space="preserve">  SALES OF 32/S VISCOS</v>
          </cell>
          <cell r="D10571">
            <v>0</v>
          </cell>
          <cell r="E10571">
            <v>64207142</v>
          </cell>
          <cell r="F10571">
            <v>0</v>
          </cell>
          <cell r="G10571">
            <v>0</v>
          </cell>
        </row>
        <row r="10572">
          <cell r="A10572" t="str">
            <v>66-01-01-0023</v>
          </cell>
          <cell r="B10572">
            <v>0</v>
          </cell>
          <cell r="C10572" t="str">
            <v xml:space="preserve">  SALES OF 20/S VISCOSE</v>
          </cell>
          <cell r="D10572">
            <v>0</v>
          </cell>
          <cell r="E10572">
            <v>0</v>
          </cell>
          <cell r="F10572">
            <v>0</v>
          </cell>
          <cell r="G10572">
            <v>0</v>
          </cell>
        </row>
        <row r="10573">
          <cell r="A10573" t="str">
            <v>66-01-01-0024</v>
          </cell>
          <cell r="B10573">
            <v>0</v>
          </cell>
          <cell r="C10573" t="str">
            <v xml:space="preserve">  SALES OF 40/S AP</v>
          </cell>
          <cell r="D10573">
            <v>0</v>
          </cell>
          <cell r="E10573">
            <v>0</v>
          </cell>
          <cell r="F10573">
            <v>0</v>
          </cell>
          <cell r="G10573">
            <v>0</v>
          </cell>
        </row>
        <row r="10574">
          <cell r="A10574" t="str">
            <v>66-01-01-0025</v>
          </cell>
          <cell r="B10574">
            <v>0</v>
          </cell>
          <cell r="C10574" t="str">
            <v xml:space="preserve">  SALES OF 80/S COMBED</v>
          </cell>
          <cell r="D10574">
            <v>0</v>
          </cell>
          <cell r="E10574">
            <v>0</v>
          </cell>
          <cell r="F10574">
            <v>0</v>
          </cell>
          <cell r="G10574">
            <v>0</v>
          </cell>
        </row>
        <row r="10575">
          <cell r="A10575" t="str">
            <v>66-01-01-0026</v>
          </cell>
          <cell r="B10575">
            <v>0</v>
          </cell>
          <cell r="C10575" t="str">
            <v xml:space="preserve">  SALES OF 14/S POLYESTER</v>
          </cell>
          <cell r="D10575">
            <v>0</v>
          </cell>
          <cell r="E10575">
            <v>2043473</v>
          </cell>
          <cell r="F10575">
            <v>0</v>
          </cell>
          <cell r="G10575">
            <v>0</v>
          </cell>
        </row>
        <row r="10576">
          <cell r="A10576" t="str">
            <v>66-01-01-0027</v>
          </cell>
          <cell r="B10576">
            <v>0</v>
          </cell>
          <cell r="C10576" t="str">
            <v xml:space="preserve">  SALES OF 45/S PC</v>
          </cell>
          <cell r="D10576">
            <v>0</v>
          </cell>
          <cell r="E10576">
            <v>0</v>
          </cell>
          <cell r="F10576">
            <v>0</v>
          </cell>
          <cell r="G10576">
            <v>0</v>
          </cell>
        </row>
        <row r="10577">
          <cell r="A10577" t="str">
            <v>66-01-01-0028</v>
          </cell>
          <cell r="B10577">
            <v>0</v>
          </cell>
          <cell r="C10577" t="str">
            <v xml:space="preserve">  SALES OF 34/S PV</v>
          </cell>
          <cell r="D10577">
            <v>0</v>
          </cell>
          <cell r="E10577">
            <v>0</v>
          </cell>
          <cell r="F10577">
            <v>0</v>
          </cell>
          <cell r="G10577">
            <v>0</v>
          </cell>
        </row>
        <row r="10578">
          <cell r="A10578" t="str">
            <v>66-01-01-0029</v>
          </cell>
          <cell r="B10578">
            <v>0</v>
          </cell>
          <cell r="C10578" t="str">
            <v xml:space="preserve">  SALES OF 32/S CARDED</v>
          </cell>
          <cell r="D10578">
            <v>0</v>
          </cell>
          <cell r="E10578">
            <v>0</v>
          </cell>
          <cell r="F10578">
            <v>0</v>
          </cell>
          <cell r="G10578">
            <v>0</v>
          </cell>
        </row>
        <row r="10579">
          <cell r="A10579" t="str">
            <v>66-01-01-0030</v>
          </cell>
          <cell r="B10579">
            <v>0</v>
          </cell>
          <cell r="C10579" t="str">
            <v xml:space="preserve">  SALES OF 22/S PC</v>
          </cell>
          <cell r="D10579">
            <v>0</v>
          </cell>
          <cell r="E10579">
            <v>0</v>
          </cell>
          <cell r="F10579">
            <v>0</v>
          </cell>
          <cell r="G10579">
            <v>0</v>
          </cell>
        </row>
        <row r="10580">
          <cell r="A10580" t="str">
            <v>66-01-01-0031</v>
          </cell>
          <cell r="B10580">
            <v>0</v>
          </cell>
          <cell r="C10580" t="str">
            <v xml:space="preserve">  SALES OF 26/S COTTON</v>
          </cell>
          <cell r="D10580">
            <v>0</v>
          </cell>
          <cell r="E10580">
            <v>0</v>
          </cell>
          <cell r="F10580">
            <v>0</v>
          </cell>
          <cell r="G10580">
            <v>0</v>
          </cell>
        </row>
        <row r="10581">
          <cell r="A10581" t="str">
            <v>66-01-01-0032</v>
          </cell>
          <cell r="B10581">
            <v>0</v>
          </cell>
          <cell r="C10581" t="str">
            <v xml:space="preserve">  SALES OF 30/S COMBED COTTON</v>
          </cell>
          <cell r="D10581">
            <v>0</v>
          </cell>
          <cell r="E10581">
            <v>16092045</v>
          </cell>
          <cell r="F10581">
            <v>0</v>
          </cell>
          <cell r="G10581">
            <v>0</v>
          </cell>
        </row>
        <row r="10582">
          <cell r="A10582" t="str">
            <v>66-01-01-0033</v>
          </cell>
          <cell r="B10582">
            <v>0</v>
          </cell>
          <cell r="C10582" t="str">
            <v xml:space="preserve">  SALES OF 20/S COMBED COTTON</v>
          </cell>
          <cell r="D10582">
            <v>0</v>
          </cell>
          <cell r="E10582">
            <v>0</v>
          </cell>
          <cell r="F10582">
            <v>0</v>
          </cell>
          <cell r="G10582">
            <v>0</v>
          </cell>
        </row>
        <row r="10583">
          <cell r="A10583" t="str">
            <v>66-01-01-0034</v>
          </cell>
          <cell r="B10583">
            <v>0</v>
          </cell>
          <cell r="C10583" t="str">
            <v xml:space="preserve">  SALES OF 40/S PV BRIGHT</v>
          </cell>
          <cell r="D10583">
            <v>0</v>
          </cell>
          <cell r="E10583">
            <v>0</v>
          </cell>
          <cell r="F10583">
            <v>0</v>
          </cell>
          <cell r="G10583">
            <v>0</v>
          </cell>
        </row>
        <row r="10584">
          <cell r="A10584" t="str">
            <v>66-01-01-0035</v>
          </cell>
          <cell r="B10584">
            <v>0</v>
          </cell>
          <cell r="C10584" t="str">
            <v xml:space="preserve">  SALES OF 22/S AC</v>
          </cell>
          <cell r="D10584">
            <v>0</v>
          </cell>
          <cell r="E10584">
            <v>0</v>
          </cell>
          <cell r="F10584">
            <v>0</v>
          </cell>
          <cell r="G10584">
            <v>0</v>
          </cell>
        </row>
        <row r="10585">
          <cell r="A10585" t="str">
            <v>66-01-01-0036</v>
          </cell>
          <cell r="B10585">
            <v>0</v>
          </cell>
          <cell r="C10585" t="str">
            <v xml:space="preserve">  SALES OF 34/S AC</v>
          </cell>
          <cell r="D10585">
            <v>0</v>
          </cell>
          <cell r="E10585">
            <v>0</v>
          </cell>
          <cell r="F10585">
            <v>0</v>
          </cell>
          <cell r="G10585">
            <v>0</v>
          </cell>
        </row>
        <row r="10586">
          <cell r="A10586" t="str">
            <v>66-01-01-0037</v>
          </cell>
          <cell r="B10586">
            <v>0</v>
          </cell>
          <cell r="C10586" t="str">
            <v xml:space="preserve">  SALES OF 65/S AC</v>
          </cell>
          <cell r="D10586">
            <v>0</v>
          </cell>
          <cell r="E10586">
            <v>0</v>
          </cell>
          <cell r="F10586">
            <v>0</v>
          </cell>
          <cell r="G10586">
            <v>0</v>
          </cell>
        </row>
        <row r="10587">
          <cell r="A10587" t="str">
            <v>66-01-01-0038</v>
          </cell>
          <cell r="B10587">
            <v>0</v>
          </cell>
          <cell r="C10587" t="str">
            <v xml:space="preserve">  SALES OF 40/S VSF</v>
          </cell>
          <cell r="D10587">
            <v>0</v>
          </cell>
          <cell r="E10587">
            <v>0</v>
          </cell>
          <cell r="F10587">
            <v>0</v>
          </cell>
          <cell r="G10587">
            <v>0</v>
          </cell>
        </row>
        <row r="10588">
          <cell r="A10588" t="str">
            <v>66-01-01-0039</v>
          </cell>
          <cell r="B10588">
            <v>0</v>
          </cell>
          <cell r="C10588" t="str">
            <v xml:space="preserve">  SALES OF 22/S COTTON</v>
          </cell>
          <cell r="D10588">
            <v>0</v>
          </cell>
          <cell r="E10588">
            <v>0</v>
          </cell>
          <cell r="F10588">
            <v>0</v>
          </cell>
          <cell r="G10588">
            <v>0</v>
          </cell>
        </row>
        <row r="10589">
          <cell r="A10589" t="str">
            <v>66-01-01-0040</v>
          </cell>
          <cell r="B10589">
            <v>0</v>
          </cell>
          <cell r="C10589" t="str">
            <v xml:space="preserve">  SALES OF 32/S PC</v>
          </cell>
          <cell r="D10589">
            <v>0</v>
          </cell>
          <cell r="E10589">
            <v>0</v>
          </cell>
          <cell r="F10589">
            <v>0</v>
          </cell>
          <cell r="G10589">
            <v>0</v>
          </cell>
        </row>
        <row r="10590">
          <cell r="A10590" t="str">
            <v>66-01-01-0041</v>
          </cell>
          <cell r="B10590">
            <v>0</v>
          </cell>
          <cell r="C10590" t="str">
            <v xml:space="preserve">  SALES OF 20/S POLYESTER</v>
          </cell>
          <cell r="D10590">
            <v>0</v>
          </cell>
          <cell r="E10590">
            <v>2134693</v>
          </cell>
          <cell r="F10590">
            <v>0</v>
          </cell>
          <cell r="G10590">
            <v>0</v>
          </cell>
        </row>
        <row r="10591">
          <cell r="A10591" t="str">
            <v>66-01-01-0042</v>
          </cell>
          <cell r="B10591">
            <v>0</v>
          </cell>
          <cell r="C10591" t="str">
            <v xml:space="preserve">  SALES OF 40/S PA</v>
          </cell>
          <cell r="D10591">
            <v>0</v>
          </cell>
          <cell r="E10591">
            <v>0</v>
          </cell>
          <cell r="F10591">
            <v>0</v>
          </cell>
          <cell r="G10591">
            <v>0</v>
          </cell>
        </row>
        <row r="10592">
          <cell r="A10592" t="str">
            <v>66-01-01-0043</v>
          </cell>
          <cell r="B10592">
            <v>0</v>
          </cell>
          <cell r="C10592" t="str">
            <v xml:space="preserve">  SALES OF 30/S PA BLACK</v>
          </cell>
          <cell r="D10592">
            <v>0</v>
          </cell>
          <cell r="E10592">
            <v>0</v>
          </cell>
          <cell r="F10592">
            <v>0</v>
          </cell>
          <cell r="G10592">
            <v>0</v>
          </cell>
        </row>
        <row r="10593">
          <cell r="A10593" t="str">
            <v>66-01-01-0044</v>
          </cell>
          <cell r="B10593">
            <v>0</v>
          </cell>
          <cell r="C10593" t="str">
            <v xml:space="preserve">  SALES OF 20/S TA</v>
          </cell>
          <cell r="D10593">
            <v>0</v>
          </cell>
          <cell r="E10593">
            <v>0</v>
          </cell>
          <cell r="F10593">
            <v>0</v>
          </cell>
          <cell r="G10593">
            <v>0</v>
          </cell>
        </row>
        <row r="10594">
          <cell r="A10594" t="str">
            <v>66-01-01-0045</v>
          </cell>
          <cell r="B10594">
            <v>0</v>
          </cell>
          <cell r="C10594" t="str">
            <v xml:space="preserve">  SALES OF 30/S TBL</v>
          </cell>
          <cell r="D10594">
            <v>0</v>
          </cell>
          <cell r="E10594">
            <v>0</v>
          </cell>
          <cell r="F10594">
            <v>0</v>
          </cell>
          <cell r="G10594">
            <v>0</v>
          </cell>
        </row>
        <row r="10595">
          <cell r="A10595" t="str">
            <v>66-01-01-0046</v>
          </cell>
          <cell r="B10595">
            <v>0</v>
          </cell>
          <cell r="C10595" t="str">
            <v xml:space="preserve">  SALES OF 15/S AP</v>
          </cell>
          <cell r="D10595">
            <v>0</v>
          </cell>
          <cell r="E10595">
            <v>0</v>
          </cell>
          <cell r="F10595">
            <v>0</v>
          </cell>
          <cell r="G10595">
            <v>0</v>
          </cell>
        </row>
        <row r="10596">
          <cell r="A10596" t="str">
            <v>66-01-01-0047</v>
          </cell>
          <cell r="B10596">
            <v>0</v>
          </cell>
          <cell r="C10596" t="str">
            <v xml:space="preserve">  SALES OF 20/S AP</v>
          </cell>
          <cell r="D10596">
            <v>0</v>
          </cell>
          <cell r="E10596">
            <v>0</v>
          </cell>
          <cell r="F10596">
            <v>0</v>
          </cell>
          <cell r="G10596">
            <v>0</v>
          </cell>
        </row>
        <row r="10597">
          <cell r="A10597" t="str">
            <v>66-01-01-0048</v>
          </cell>
          <cell r="B10597">
            <v>0</v>
          </cell>
          <cell r="C10597" t="str">
            <v xml:space="preserve">  SALES OF 15/S AT</v>
          </cell>
          <cell r="D10597">
            <v>0</v>
          </cell>
          <cell r="E10597">
            <v>0</v>
          </cell>
          <cell r="F10597">
            <v>0</v>
          </cell>
          <cell r="G10597">
            <v>0</v>
          </cell>
        </row>
        <row r="10598">
          <cell r="A10598" t="str">
            <v>66-01-01-0049</v>
          </cell>
          <cell r="B10598">
            <v>0</v>
          </cell>
          <cell r="C10598" t="str">
            <v xml:space="preserve">  SALES OF 20/S AT</v>
          </cell>
          <cell r="D10598">
            <v>0</v>
          </cell>
          <cell r="E10598">
            <v>0</v>
          </cell>
          <cell r="F10598">
            <v>0</v>
          </cell>
          <cell r="G10598">
            <v>0</v>
          </cell>
        </row>
        <row r="10599">
          <cell r="A10599" t="str">
            <v>66-01-01-0050</v>
          </cell>
          <cell r="B10599">
            <v>0</v>
          </cell>
          <cell r="C10599" t="str">
            <v xml:space="preserve">  SALES OF 20/S AC</v>
          </cell>
          <cell r="D10599">
            <v>0</v>
          </cell>
          <cell r="E10599">
            <v>0</v>
          </cell>
          <cell r="F10599">
            <v>0</v>
          </cell>
          <cell r="G10599">
            <v>0</v>
          </cell>
        </row>
        <row r="10600">
          <cell r="A10600" t="str">
            <v>66-01-01-0051</v>
          </cell>
          <cell r="B10600">
            <v>0</v>
          </cell>
          <cell r="C10600" t="str">
            <v xml:space="preserve">  SALES OF 40/S AT</v>
          </cell>
          <cell r="D10600">
            <v>0</v>
          </cell>
          <cell r="E10600">
            <v>0</v>
          </cell>
          <cell r="F10600">
            <v>0</v>
          </cell>
          <cell r="G10600">
            <v>0</v>
          </cell>
        </row>
        <row r="10601">
          <cell r="A10601" t="str">
            <v>66-01-01-0052</v>
          </cell>
          <cell r="B10601">
            <v>0</v>
          </cell>
          <cell r="C10601" t="str">
            <v xml:space="preserve">  SALES OF 50/S TBL</v>
          </cell>
          <cell r="D10601">
            <v>0</v>
          </cell>
          <cell r="E10601">
            <v>0</v>
          </cell>
          <cell r="F10601">
            <v>0</v>
          </cell>
          <cell r="G10601">
            <v>0</v>
          </cell>
        </row>
        <row r="10602">
          <cell r="A10602" t="str">
            <v>66-01-01-0053</v>
          </cell>
          <cell r="B10602">
            <v>0</v>
          </cell>
          <cell r="C10602" t="str">
            <v xml:space="preserve">  SALES OF 26/S PV</v>
          </cell>
          <cell r="D10602">
            <v>0</v>
          </cell>
          <cell r="E10602">
            <v>0</v>
          </cell>
          <cell r="F10602">
            <v>0</v>
          </cell>
          <cell r="G10602">
            <v>0</v>
          </cell>
        </row>
        <row r="10603">
          <cell r="A10603" t="str">
            <v>66-01-01-0054</v>
          </cell>
          <cell r="B10603">
            <v>0</v>
          </cell>
          <cell r="C10603" t="str">
            <v xml:space="preserve">  SALES OF 35/S PV</v>
          </cell>
          <cell r="D10603">
            <v>0</v>
          </cell>
          <cell r="E10603">
            <v>0</v>
          </cell>
          <cell r="F10603">
            <v>0</v>
          </cell>
          <cell r="G10603">
            <v>0</v>
          </cell>
        </row>
        <row r="10604">
          <cell r="A10604" t="str">
            <v>66-01-01-0055</v>
          </cell>
          <cell r="B10604">
            <v>0</v>
          </cell>
          <cell r="C10604" t="str">
            <v xml:space="preserve">  SALES OF 17/S PC</v>
          </cell>
          <cell r="D10604">
            <v>0</v>
          </cell>
          <cell r="E10604">
            <v>28540567</v>
          </cell>
          <cell r="F10604">
            <v>0</v>
          </cell>
          <cell r="G10604">
            <v>0</v>
          </cell>
        </row>
        <row r="10605">
          <cell r="A10605" t="str">
            <v>66-01-01-0056</v>
          </cell>
          <cell r="B10605">
            <v>0</v>
          </cell>
          <cell r="C10605" t="str">
            <v xml:space="preserve">  SALES OF 18/S PVT</v>
          </cell>
          <cell r="D10605">
            <v>0</v>
          </cell>
          <cell r="E10605">
            <v>0</v>
          </cell>
          <cell r="F10605">
            <v>0</v>
          </cell>
          <cell r="G10605">
            <v>0</v>
          </cell>
        </row>
        <row r="10606">
          <cell r="A10606" t="str">
            <v>66-01-01-0057</v>
          </cell>
          <cell r="B10606">
            <v>0</v>
          </cell>
          <cell r="C10606" t="str">
            <v xml:space="preserve">  SALES OF 40/S POLYESTER YARN</v>
          </cell>
          <cell r="D10606">
            <v>0</v>
          </cell>
          <cell r="E10606">
            <v>5535641</v>
          </cell>
          <cell r="F10606">
            <v>0</v>
          </cell>
          <cell r="G10606">
            <v>0</v>
          </cell>
        </row>
        <row r="10607">
          <cell r="A10607" t="str">
            <v>66-01-01-0058</v>
          </cell>
          <cell r="B10607">
            <v>0</v>
          </cell>
          <cell r="C10607" t="str">
            <v xml:space="preserve">  SALES OF 60/S AC</v>
          </cell>
          <cell r="D10607">
            <v>0</v>
          </cell>
          <cell r="E10607">
            <v>0</v>
          </cell>
          <cell r="F10607">
            <v>0</v>
          </cell>
          <cell r="G10607">
            <v>0</v>
          </cell>
        </row>
        <row r="10608">
          <cell r="A10608" t="str">
            <v>66-01-01-0059</v>
          </cell>
          <cell r="B10608">
            <v>0</v>
          </cell>
          <cell r="C10608" t="str">
            <v xml:space="preserve">  SALES OF 40/S TA</v>
          </cell>
          <cell r="D10608">
            <v>0</v>
          </cell>
          <cell r="E10608">
            <v>0</v>
          </cell>
          <cell r="F10608">
            <v>0</v>
          </cell>
          <cell r="G10608">
            <v>0</v>
          </cell>
        </row>
        <row r="10609">
          <cell r="A10609" t="str">
            <v>66-01-01-0060</v>
          </cell>
          <cell r="B10609">
            <v>0</v>
          </cell>
          <cell r="C10609" t="str">
            <v xml:space="preserve">  SALES OF 26/S TA</v>
          </cell>
          <cell r="D10609">
            <v>0</v>
          </cell>
          <cell r="E10609">
            <v>0</v>
          </cell>
          <cell r="F10609">
            <v>0</v>
          </cell>
          <cell r="G10609">
            <v>0</v>
          </cell>
        </row>
        <row r="10610">
          <cell r="A10610" t="str">
            <v>66-01-01-0061</v>
          </cell>
          <cell r="B10610">
            <v>0</v>
          </cell>
          <cell r="C10610" t="str">
            <v xml:space="preserve">  SALES OF 15/S TA</v>
          </cell>
          <cell r="D10610">
            <v>0</v>
          </cell>
          <cell r="E10610">
            <v>0</v>
          </cell>
          <cell r="F10610">
            <v>0</v>
          </cell>
          <cell r="G10610">
            <v>0</v>
          </cell>
        </row>
        <row r="10611">
          <cell r="A10611" t="str">
            <v>66-01-01-0062</v>
          </cell>
          <cell r="B10611">
            <v>0</v>
          </cell>
          <cell r="C10611" t="str">
            <v xml:space="preserve">  SALES OF 27/S TA</v>
          </cell>
          <cell r="D10611">
            <v>0</v>
          </cell>
          <cell r="E10611">
            <v>0</v>
          </cell>
          <cell r="F10611">
            <v>0</v>
          </cell>
          <cell r="G10611">
            <v>0</v>
          </cell>
        </row>
        <row r="10612">
          <cell r="A10612" t="str">
            <v>66-01-01-0063</v>
          </cell>
          <cell r="B10612">
            <v>0</v>
          </cell>
          <cell r="C10612" t="str">
            <v xml:space="preserve">  SALES OF 18/S TA</v>
          </cell>
          <cell r="D10612">
            <v>0</v>
          </cell>
          <cell r="E10612">
            <v>0</v>
          </cell>
          <cell r="F10612">
            <v>0</v>
          </cell>
          <cell r="G10612">
            <v>0</v>
          </cell>
        </row>
        <row r="10613">
          <cell r="A10613" t="str">
            <v>66-01-01-0064</v>
          </cell>
          <cell r="B10613">
            <v>0</v>
          </cell>
          <cell r="C10613" t="str">
            <v xml:space="preserve">  SALES OF 20/S PVT</v>
          </cell>
          <cell r="D10613">
            <v>0</v>
          </cell>
          <cell r="E10613">
            <v>9265642</v>
          </cell>
          <cell r="F10613">
            <v>0</v>
          </cell>
          <cell r="G10613">
            <v>0</v>
          </cell>
        </row>
        <row r="10614">
          <cell r="A10614" t="str">
            <v>66-01-01-0065</v>
          </cell>
          <cell r="B10614">
            <v>0</v>
          </cell>
          <cell r="C10614" t="str">
            <v xml:space="preserve">  SALES OF 40/S COTTON</v>
          </cell>
          <cell r="D10614">
            <v>0</v>
          </cell>
          <cell r="E10614">
            <v>0</v>
          </cell>
          <cell r="F10614">
            <v>0</v>
          </cell>
          <cell r="G10614">
            <v>0</v>
          </cell>
        </row>
        <row r="10615">
          <cell r="A10615" t="str">
            <v>66-01-01-0066</v>
          </cell>
          <cell r="B10615">
            <v>0</v>
          </cell>
          <cell r="C10615" t="str">
            <v xml:space="preserve">  SALES OF 20 APT</v>
          </cell>
          <cell r="D10615">
            <v>0</v>
          </cell>
          <cell r="E10615">
            <v>0</v>
          </cell>
          <cell r="F10615">
            <v>0</v>
          </cell>
          <cell r="G10615">
            <v>0</v>
          </cell>
        </row>
        <row r="10616">
          <cell r="A10616" t="str">
            <v>66-01-01-0067</v>
          </cell>
          <cell r="B10616">
            <v>0</v>
          </cell>
          <cell r="C10616" t="str">
            <v xml:space="preserve">  SALES OF 30 APT</v>
          </cell>
          <cell r="D10616">
            <v>0</v>
          </cell>
          <cell r="E10616">
            <v>1558260</v>
          </cell>
          <cell r="F10616">
            <v>0</v>
          </cell>
          <cell r="G10616">
            <v>0</v>
          </cell>
        </row>
        <row r="10617">
          <cell r="A10617" t="str">
            <v>66-01-01-0068</v>
          </cell>
          <cell r="B10617">
            <v>0</v>
          </cell>
          <cell r="C10617" t="str">
            <v xml:space="preserve">  SALES OF 15/S PAT</v>
          </cell>
          <cell r="D10617">
            <v>0</v>
          </cell>
          <cell r="E10617">
            <v>0</v>
          </cell>
          <cell r="F10617">
            <v>0</v>
          </cell>
          <cell r="G10617">
            <v>0</v>
          </cell>
        </row>
        <row r="10618">
          <cell r="A10618" t="str">
            <v>66-01-01-0069</v>
          </cell>
          <cell r="B10618">
            <v>0</v>
          </cell>
          <cell r="C10618" t="str">
            <v xml:space="preserve">  SALES OF 30/S PAT</v>
          </cell>
          <cell r="D10618">
            <v>0</v>
          </cell>
          <cell r="E10618">
            <v>0</v>
          </cell>
          <cell r="F10618">
            <v>0</v>
          </cell>
          <cell r="G10618">
            <v>0</v>
          </cell>
        </row>
        <row r="10619">
          <cell r="A10619" t="str">
            <v>66-01-01-0070</v>
          </cell>
          <cell r="B10619">
            <v>0</v>
          </cell>
          <cell r="C10619" t="str">
            <v xml:space="preserve">  SALES OF 18/S APT</v>
          </cell>
          <cell r="D10619">
            <v>0</v>
          </cell>
          <cell r="E10619">
            <v>0</v>
          </cell>
          <cell r="F10619">
            <v>0</v>
          </cell>
          <cell r="G10619">
            <v>0</v>
          </cell>
        </row>
        <row r="10620">
          <cell r="A10620" t="str">
            <v>66-01-01-0071</v>
          </cell>
          <cell r="B10620">
            <v>0</v>
          </cell>
          <cell r="C10620" t="str">
            <v xml:space="preserve">  SALES OF 18/S PAT</v>
          </cell>
          <cell r="D10620">
            <v>0</v>
          </cell>
          <cell r="E10620">
            <v>0</v>
          </cell>
          <cell r="F10620">
            <v>0</v>
          </cell>
          <cell r="G10620">
            <v>0</v>
          </cell>
        </row>
        <row r="10621">
          <cell r="A10621" t="str">
            <v>66-01-01-0072</v>
          </cell>
          <cell r="B10621">
            <v>0</v>
          </cell>
          <cell r="C10621" t="str">
            <v xml:space="preserve">  SALES OF 40/S PAT</v>
          </cell>
          <cell r="D10621">
            <v>0</v>
          </cell>
          <cell r="E10621">
            <v>0</v>
          </cell>
          <cell r="F10621">
            <v>0</v>
          </cell>
          <cell r="G10621">
            <v>0</v>
          </cell>
        </row>
        <row r="10622">
          <cell r="A10622" t="str">
            <v>66-01-01-0073</v>
          </cell>
          <cell r="B10622">
            <v>0</v>
          </cell>
          <cell r="C10622" t="str">
            <v xml:space="preserve">  SALES OF 40/S APT</v>
          </cell>
          <cell r="D10622">
            <v>0</v>
          </cell>
          <cell r="E10622">
            <v>0</v>
          </cell>
          <cell r="F10622">
            <v>0</v>
          </cell>
          <cell r="G10622">
            <v>0</v>
          </cell>
        </row>
        <row r="10623">
          <cell r="A10623" t="str">
            <v>66-01-01-0074</v>
          </cell>
          <cell r="B10623">
            <v>0</v>
          </cell>
          <cell r="C10623" t="str">
            <v xml:space="preserve">  SALES OF 35/S PC 65%35%</v>
          </cell>
          <cell r="D10623">
            <v>0</v>
          </cell>
          <cell r="E10623">
            <v>0</v>
          </cell>
          <cell r="F10623">
            <v>0</v>
          </cell>
          <cell r="G10623">
            <v>0</v>
          </cell>
        </row>
        <row r="10624">
          <cell r="A10624" t="str">
            <v>66-01-01-0075</v>
          </cell>
          <cell r="B10624">
            <v>0</v>
          </cell>
          <cell r="C10624" t="str">
            <v xml:space="preserve">  SALES OF 30/S PVT S/TWIST</v>
          </cell>
          <cell r="D10624">
            <v>0</v>
          </cell>
          <cell r="E10624">
            <v>0</v>
          </cell>
          <cell r="F10624">
            <v>0</v>
          </cell>
          <cell r="G10624">
            <v>0</v>
          </cell>
        </row>
        <row r="10625">
          <cell r="A10625" t="str">
            <v>66-01-01-0076</v>
          </cell>
          <cell r="B10625">
            <v>0</v>
          </cell>
          <cell r="C10625" t="str">
            <v xml:space="preserve">  SALES OF MIX COUNTS</v>
          </cell>
          <cell r="D10625">
            <v>0</v>
          </cell>
          <cell r="E10625">
            <v>268965</v>
          </cell>
          <cell r="F10625">
            <v>0</v>
          </cell>
          <cell r="G10625">
            <v>0</v>
          </cell>
        </row>
        <row r="10626">
          <cell r="A10626" t="str">
            <v>66-01-01-0077</v>
          </cell>
          <cell r="B10626">
            <v>0</v>
          </cell>
          <cell r="C10626" t="str">
            <v xml:space="preserve">  SALES OF 14/S COTTON (SOFT)</v>
          </cell>
          <cell r="D10626">
            <v>0</v>
          </cell>
          <cell r="E10626">
            <v>0</v>
          </cell>
          <cell r="F10626">
            <v>0</v>
          </cell>
          <cell r="G10626">
            <v>0</v>
          </cell>
        </row>
        <row r="10627">
          <cell r="A10627" t="str">
            <v>66-01-01-0078</v>
          </cell>
          <cell r="B10627">
            <v>0</v>
          </cell>
          <cell r="C10627" t="str">
            <v xml:space="preserve">  SALES OF 16/S COTTON CARDED</v>
          </cell>
          <cell r="D10627">
            <v>0</v>
          </cell>
          <cell r="E10627">
            <v>1325500</v>
          </cell>
          <cell r="F10627">
            <v>0</v>
          </cell>
          <cell r="G10627">
            <v>0</v>
          </cell>
        </row>
        <row r="10628">
          <cell r="A10628" t="str">
            <v>66-01-01-0079</v>
          </cell>
          <cell r="B10628">
            <v>0</v>
          </cell>
          <cell r="C10628" t="str">
            <v xml:space="preserve">  SALES OF 20/S COTTON</v>
          </cell>
          <cell r="D10628">
            <v>0</v>
          </cell>
          <cell r="E10628">
            <v>0</v>
          </cell>
          <cell r="F10628">
            <v>0</v>
          </cell>
          <cell r="G10628">
            <v>0</v>
          </cell>
        </row>
        <row r="10629">
          <cell r="A10629" t="str">
            <v>66-01-01-0080</v>
          </cell>
          <cell r="B10629">
            <v>0</v>
          </cell>
          <cell r="C10629" t="str">
            <v xml:space="preserve">  SALES OF 30/S PVB "Z" TWIST</v>
          </cell>
          <cell r="D10629">
            <v>0</v>
          </cell>
          <cell r="E10629">
            <v>67978178</v>
          </cell>
          <cell r="F10629">
            <v>0</v>
          </cell>
          <cell r="G10629">
            <v>0</v>
          </cell>
        </row>
        <row r="10630">
          <cell r="A10630" t="str">
            <v>66-01-01-0081</v>
          </cell>
          <cell r="B10630">
            <v>0</v>
          </cell>
          <cell r="C10630" t="str">
            <v xml:space="preserve">  SALES OF 31/S COTTON</v>
          </cell>
          <cell r="D10630">
            <v>0</v>
          </cell>
          <cell r="E10630">
            <v>0</v>
          </cell>
          <cell r="F10630">
            <v>0</v>
          </cell>
          <cell r="G10630">
            <v>0</v>
          </cell>
        </row>
        <row r="10631">
          <cell r="A10631" t="str">
            <v>66-01-01-0082</v>
          </cell>
          <cell r="B10631">
            <v>0</v>
          </cell>
          <cell r="C10631" t="str">
            <v xml:space="preserve">  SALES OF 30/S COTTON CARDED YARN</v>
          </cell>
          <cell r="D10631">
            <v>0</v>
          </cell>
          <cell r="E10631">
            <v>0</v>
          </cell>
          <cell r="F10631">
            <v>0</v>
          </cell>
          <cell r="G10631">
            <v>0</v>
          </cell>
        </row>
        <row r="10632">
          <cell r="A10632" t="str">
            <v>66-01-01-0083</v>
          </cell>
          <cell r="B10632">
            <v>0</v>
          </cell>
          <cell r="C10632" t="str">
            <v xml:space="preserve">  SALES OF 24/S COTTON YARN.</v>
          </cell>
          <cell r="D10632">
            <v>0</v>
          </cell>
          <cell r="E10632">
            <v>0</v>
          </cell>
          <cell r="F10632">
            <v>0</v>
          </cell>
          <cell r="G10632">
            <v>0</v>
          </cell>
        </row>
        <row r="10633">
          <cell r="A10633" t="str">
            <v>66-01-01-0084</v>
          </cell>
          <cell r="B10633">
            <v>0</v>
          </cell>
          <cell r="C10633" t="str">
            <v xml:space="preserve">  SALES OF 30/S PVB "S" TWIST.</v>
          </cell>
          <cell r="D10633">
            <v>0</v>
          </cell>
          <cell r="E10633">
            <v>0</v>
          </cell>
          <cell r="F10633">
            <v>0</v>
          </cell>
          <cell r="G10633">
            <v>0</v>
          </cell>
        </row>
        <row r="10634">
          <cell r="A10634" t="str">
            <v>66-01-01-0085</v>
          </cell>
          <cell r="B10634">
            <v>0</v>
          </cell>
          <cell r="C10634" t="str">
            <v xml:space="preserve">  SALES OF 26/S COTTON CARDED.</v>
          </cell>
          <cell r="D10634">
            <v>0</v>
          </cell>
          <cell r="E10634">
            <v>0</v>
          </cell>
          <cell r="F10634">
            <v>0</v>
          </cell>
          <cell r="G10634">
            <v>0</v>
          </cell>
        </row>
        <row r="10635">
          <cell r="A10635" t="str">
            <v>66-01-01-0086</v>
          </cell>
          <cell r="B10635">
            <v>0</v>
          </cell>
          <cell r="C10635" t="str">
            <v xml:space="preserve">  SALES OF 25/S PC</v>
          </cell>
          <cell r="D10635">
            <v>0</v>
          </cell>
          <cell r="E10635">
            <v>0</v>
          </cell>
          <cell r="F10635">
            <v>0</v>
          </cell>
          <cell r="G10635">
            <v>0</v>
          </cell>
        </row>
        <row r="10636">
          <cell r="A10636" t="str">
            <v>66-01-01-0087</v>
          </cell>
          <cell r="B10636">
            <v>0</v>
          </cell>
          <cell r="C10636" t="str">
            <v xml:space="preserve">  SALES OF 65/S PC</v>
          </cell>
          <cell r="D10636">
            <v>0</v>
          </cell>
          <cell r="E10636">
            <v>0</v>
          </cell>
          <cell r="F10636">
            <v>0</v>
          </cell>
          <cell r="G10636">
            <v>0</v>
          </cell>
        </row>
        <row r="10637">
          <cell r="A10637" t="str">
            <v>66-01-01-0088</v>
          </cell>
          <cell r="B10637">
            <v>0</v>
          </cell>
          <cell r="C10637" t="str">
            <v xml:space="preserve">  SALES OF 16/S COTTON WEFT</v>
          </cell>
          <cell r="D10637">
            <v>0</v>
          </cell>
          <cell r="E10637">
            <v>323165367</v>
          </cell>
          <cell r="F10637">
            <v>0</v>
          </cell>
          <cell r="G10637">
            <v>0</v>
          </cell>
        </row>
        <row r="10638">
          <cell r="A10638" t="str">
            <v>66-01-01-0089</v>
          </cell>
          <cell r="B10638">
            <v>0</v>
          </cell>
          <cell r="C10638" t="str">
            <v xml:space="preserve">  SALES OF 30/S POLYSTER</v>
          </cell>
          <cell r="D10638">
            <v>0</v>
          </cell>
          <cell r="E10638">
            <v>9417376</v>
          </cell>
          <cell r="F10638">
            <v>0</v>
          </cell>
          <cell r="G10638">
            <v>0</v>
          </cell>
        </row>
        <row r="10639">
          <cell r="A10639" t="str">
            <v>66-01-01-0090</v>
          </cell>
          <cell r="B10639">
            <v>0</v>
          </cell>
          <cell r="C10639" t="str">
            <v xml:space="preserve">  SALES OF 60/S COTTON COMBED</v>
          </cell>
          <cell r="D10639">
            <v>0</v>
          </cell>
          <cell r="E10639">
            <v>0</v>
          </cell>
          <cell r="F10639">
            <v>0</v>
          </cell>
          <cell r="G10639">
            <v>0</v>
          </cell>
        </row>
        <row r="10640">
          <cell r="A10640" t="str">
            <v>66-01-01-0091</v>
          </cell>
          <cell r="B10640">
            <v>0</v>
          </cell>
          <cell r="C10640" t="str">
            <v xml:space="preserve">  SALES OF 40/S COMBED WEAVING</v>
          </cell>
          <cell r="D10640">
            <v>0</v>
          </cell>
          <cell r="E10640">
            <v>54028622</v>
          </cell>
          <cell r="F10640">
            <v>0</v>
          </cell>
          <cell r="G10640">
            <v>0</v>
          </cell>
        </row>
        <row r="10641">
          <cell r="A10641" t="str">
            <v>66-01-01-0092</v>
          </cell>
          <cell r="B10641">
            <v>0</v>
          </cell>
          <cell r="C10641" t="str">
            <v xml:space="preserve">  SALES OF 17/S CP 55%45%</v>
          </cell>
          <cell r="D10641">
            <v>0</v>
          </cell>
          <cell r="E10641">
            <v>0</v>
          </cell>
          <cell r="F10641">
            <v>0</v>
          </cell>
          <cell r="G10641">
            <v>0</v>
          </cell>
        </row>
        <row r="10642">
          <cell r="A10642" t="str">
            <v>66-01-01-0093</v>
          </cell>
          <cell r="B10642">
            <v>0</v>
          </cell>
          <cell r="C10642" t="str">
            <v xml:space="preserve">  SALES OF 16/S PC 65%35%</v>
          </cell>
          <cell r="D10642">
            <v>0</v>
          </cell>
          <cell r="E10642">
            <v>0</v>
          </cell>
          <cell r="F10642">
            <v>0</v>
          </cell>
          <cell r="G10642">
            <v>0</v>
          </cell>
        </row>
        <row r="10643">
          <cell r="A10643" t="str">
            <v>66-01-01-0094</v>
          </cell>
          <cell r="B10643">
            <v>0</v>
          </cell>
          <cell r="C10643" t="str">
            <v xml:space="preserve">  SALES OF 20/S PC 65%35%</v>
          </cell>
          <cell r="D10643">
            <v>0</v>
          </cell>
          <cell r="E10643">
            <v>0</v>
          </cell>
          <cell r="F10643">
            <v>0</v>
          </cell>
          <cell r="G10643">
            <v>0</v>
          </cell>
        </row>
        <row r="10644">
          <cell r="A10644" t="str">
            <v>66-01-01-0095</v>
          </cell>
          <cell r="B10644">
            <v>0</v>
          </cell>
          <cell r="C10644" t="str">
            <v xml:space="preserve">  SALES OF 40/S PVB "Z" TWIST.</v>
          </cell>
          <cell r="D10644">
            <v>0</v>
          </cell>
          <cell r="E10644">
            <v>11201730</v>
          </cell>
          <cell r="F10644">
            <v>0</v>
          </cell>
          <cell r="G10644">
            <v>0</v>
          </cell>
        </row>
        <row r="10645">
          <cell r="A10645" t="str">
            <v>66-01-01-0096</v>
          </cell>
          <cell r="B10645">
            <v>0</v>
          </cell>
          <cell r="C10645" t="str">
            <v xml:space="preserve">  SALES OF 20/S CARDED WARP.</v>
          </cell>
          <cell r="D10645">
            <v>0</v>
          </cell>
          <cell r="E10645">
            <v>0</v>
          </cell>
          <cell r="F10645">
            <v>0</v>
          </cell>
          <cell r="G10645">
            <v>0</v>
          </cell>
        </row>
        <row r="10646">
          <cell r="A10646" t="str">
            <v>66-01-01-0097</v>
          </cell>
          <cell r="B10646">
            <v>0</v>
          </cell>
          <cell r="C10646" t="str">
            <v xml:space="preserve">  SALES OF 10/S CP 55%45%</v>
          </cell>
          <cell r="D10646">
            <v>0</v>
          </cell>
          <cell r="E10646">
            <v>3478</v>
          </cell>
          <cell r="F10646">
            <v>0</v>
          </cell>
          <cell r="G10646">
            <v>0</v>
          </cell>
        </row>
        <row r="10647">
          <cell r="A10647" t="str">
            <v>66-01-01-0098</v>
          </cell>
          <cell r="B10647">
            <v>0</v>
          </cell>
          <cell r="C10647" t="str">
            <v xml:space="preserve">  SALES OF 30/S COTTON WEFT</v>
          </cell>
          <cell r="D10647">
            <v>0</v>
          </cell>
          <cell r="E10647">
            <v>0</v>
          </cell>
          <cell r="F10647">
            <v>0</v>
          </cell>
          <cell r="G10647">
            <v>0</v>
          </cell>
        </row>
        <row r="10648">
          <cell r="A10648" t="str">
            <v>66-01-01-0099</v>
          </cell>
          <cell r="B10648">
            <v>0</v>
          </cell>
          <cell r="C10648" t="str">
            <v xml:space="preserve">  SALES OF 14/S CP 55%45%</v>
          </cell>
          <cell r="D10648">
            <v>0</v>
          </cell>
          <cell r="E10648">
            <v>0</v>
          </cell>
          <cell r="F10648">
            <v>0</v>
          </cell>
          <cell r="G10648">
            <v>0</v>
          </cell>
        </row>
        <row r="10649">
          <cell r="A10649" t="str">
            <v>66-01-01-0100</v>
          </cell>
          <cell r="B10649">
            <v>0</v>
          </cell>
          <cell r="C10649" t="str">
            <v xml:space="preserve">  SALES OF 20/S COTTON WFT</v>
          </cell>
          <cell r="D10649">
            <v>0</v>
          </cell>
          <cell r="E10649">
            <v>0</v>
          </cell>
          <cell r="F10649">
            <v>0</v>
          </cell>
          <cell r="G10649">
            <v>0</v>
          </cell>
        </row>
        <row r="10650">
          <cell r="A10650" t="str">
            <v>66-01-01-0101</v>
          </cell>
          <cell r="B10650">
            <v>0</v>
          </cell>
          <cell r="C10650" t="str">
            <v xml:space="preserve">  SALES OF 24/S CARDED WARP</v>
          </cell>
          <cell r="D10650">
            <v>0</v>
          </cell>
          <cell r="E10650">
            <v>8695</v>
          </cell>
          <cell r="F10650">
            <v>0</v>
          </cell>
          <cell r="G10650">
            <v>0</v>
          </cell>
        </row>
        <row r="10651">
          <cell r="A10651" t="str">
            <v>66-01-01-0102</v>
          </cell>
          <cell r="B10651">
            <v>0</v>
          </cell>
          <cell r="C10651" t="str">
            <v xml:space="preserve">  SALES OF 72/S COMBED</v>
          </cell>
          <cell r="D10651">
            <v>0</v>
          </cell>
          <cell r="E10651">
            <v>0</v>
          </cell>
          <cell r="F10651">
            <v>0</v>
          </cell>
          <cell r="G10651">
            <v>0</v>
          </cell>
        </row>
        <row r="10652">
          <cell r="A10652" t="str">
            <v>66-01-01-0103</v>
          </cell>
          <cell r="B10652">
            <v>0</v>
          </cell>
          <cell r="C10652" t="str">
            <v xml:space="preserve">  SALES OF 32/S COMBED</v>
          </cell>
          <cell r="D10652">
            <v>0</v>
          </cell>
          <cell r="E10652">
            <v>0</v>
          </cell>
          <cell r="F10652">
            <v>0</v>
          </cell>
          <cell r="G10652">
            <v>0</v>
          </cell>
        </row>
        <row r="10653">
          <cell r="A10653" t="str">
            <v>66-01-01-0104</v>
          </cell>
          <cell r="B10653">
            <v>0</v>
          </cell>
          <cell r="C10653" t="str">
            <v xml:space="preserve">  SALES OF 51/S AC.</v>
          </cell>
          <cell r="D10653">
            <v>0</v>
          </cell>
          <cell r="E10653">
            <v>0</v>
          </cell>
          <cell r="F10653">
            <v>0</v>
          </cell>
          <cell r="G10653">
            <v>0</v>
          </cell>
        </row>
        <row r="10654">
          <cell r="A10654" t="str">
            <v>66-01-01-0105</v>
          </cell>
          <cell r="B10654">
            <v>0</v>
          </cell>
          <cell r="C10654" t="str">
            <v xml:space="preserve">  SALES OF 50/S AC</v>
          </cell>
          <cell r="D10654">
            <v>0</v>
          </cell>
          <cell r="E10654">
            <v>0</v>
          </cell>
          <cell r="F10654">
            <v>0</v>
          </cell>
          <cell r="G10654">
            <v>0</v>
          </cell>
        </row>
        <row r="10655">
          <cell r="A10655" t="str">
            <v>66-01-01-0106</v>
          </cell>
          <cell r="B10655">
            <v>0</v>
          </cell>
          <cell r="C10655" t="str">
            <v xml:space="preserve">  SALES OF 12/S CARDED</v>
          </cell>
          <cell r="D10655">
            <v>0</v>
          </cell>
          <cell r="E10655">
            <v>0</v>
          </cell>
          <cell r="F10655">
            <v>0</v>
          </cell>
          <cell r="G10655">
            <v>0</v>
          </cell>
        </row>
        <row r="10656">
          <cell r="A10656" t="str">
            <v>66-01-01-0107</v>
          </cell>
          <cell r="B10656">
            <v>0</v>
          </cell>
          <cell r="C10656" t="str">
            <v xml:space="preserve">  SALES OF 35/S CP 55%45%</v>
          </cell>
          <cell r="D10656">
            <v>0</v>
          </cell>
          <cell r="E10656">
            <v>0</v>
          </cell>
          <cell r="F10656">
            <v>0</v>
          </cell>
          <cell r="G10656">
            <v>0</v>
          </cell>
        </row>
        <row r="10657">
          <cell r="A10657" t="str">
            <v>66-01-01-0108</v>
          </cell>
          <cell r="B10657">
            <v>0</v>
          </cell>
          <cell r="C10657" t="str">
            <v xml:space="preserve">  SALES OF 22/S CP HOSIERY WAX.</v>
          </cell>
          <cell r="D10657">
            <v>0</v>
          </cell>
          <cell r="E10657">
            <v>0</v>
          </cell>
          <cell r="F10657">
            <v>0</v>
          </cell>
          <cell r="G10657">
            <v>0</v>
          </cell>
        </row>
        <row r="10658">
          <cell r="A10658" t="str">
            <v>66-01-01-0109</v>
          </cell>
          <cell r="B10658">
            <v>0</v>
          </cell>
          <cell r="C10658" t="str">
            <v xml:space="preserve">  SALES OF 24/S CP</v>
          </cell>
          <cell r="D10658">
            <v>0</v>
          </cell>
          <cell r="E10658">
            <v>0</v>
          </cell>
          <cell r="F10658">
            <v>0</v>
          </cell>
          <cell r="G10658">
            <v>0</v>
          </cell>
        </row>
        <row r="10659">
          <cell r="A10659" t="str">
            <v>66-01-01-0110</v>
          </cell>
          <cell r="B10659">
            <v>0</v>
          </cell>
          <cell r="C10659" t="str">
            <v xml:space="preserve">  SALES OF 36/S CP 55%45%</v>
          </cell>
          <cell r="D10659">
            <v>0</v>
          </cell>
          <cell r="E10659">
            <v>0</v>
          </cell>
          <cell r="F10659">
            <v>0</v>
          </cell>
          <cell r="G10659">
            <v>0</v>
          </cell>
        </row>
        <row r="10660">
          <cell r="A10660" t="str">
            <v>66-01-01-0111</v>
          </cell>
          <cell r="B10660">
            <v>0</v>
          </cell>
          <cell r="C10660" t="str">
            <v xml:space="preserve">  SALES OF 26/S COMBED HOSIERY WAXED</v>
          </cell>
          <cell r="D10660">
            <v>0</v>
          </cell>
          <cell r="E10660">
            <v>0</v>
          </cell>
          <cell r="F10660">
            <v>0</v>
          </cell>
          <cell r="G10660">
            <v>0</v>
          </cell>
        </row>
        <row r="10661">
          <cell r="A10661" t="str">
            <v>66-01-01-0112</v>
          </cell>
          <cell r="B10661">
            <v>0</v>
          </cell>
          <cell r="C10661" t="str">
            <v xml:space="preserve">  SALES OF 40/S CARDED</v>
          </cell>
          <cell r="D10661">
            <v>0</v>
          </cell>
          <cell r="E10661">
            <v>0</v>
          </cell>
          <cell r="F10661">
            <v>0</v>
          </cell>
          <cell r="G10661">
            <v>0</v>
          </cell>
        </row>
        <row r="10662">
          <cell r="A10662" t="str">
            <v>66-01-01-0113</v>
          </cell>
          <cell r="B10662">
            <v>0</v>
          </cell>
          <cell r="C10662" t="str">
            <v xml:space="preserve">  SALES OF 10/S CARDED</v>
          </cell>
          <cell r="D10662">
            <v>0</v>
          </cell>
          <cell r="E10662">
            <v>0</v>
          </cell>
          <cell r="F10662">
            <v>0</v>
          </cell>
          <cell r="G10662">
            <v>0</v>
          </cell>
        </row>
        <row r="10663">
          <cell r="A10663" t="str">
            <v>66-01-01-0114</v>
          </cell>
          <cell r="B10663">
            <v>0</v>
          </cell>
          <cell r="C10663" t="str">
            <v xml:space="preserve">  SALES OF 25/S CP</v>
          </cell>
          <cell r="D10663">
            <v>0</v>
          </cell>
          <cell r="E10663">
            <v>0</v>
          </cell>
          <cell r="F10663">
            <v>0</v>
          </cell>
          <cell r="G10663">
            <v>0</v>
          </cell>
        </row>
        <row r="10664">
          <cell r="A10664" t="str">
            <v>66-01-01-0115</v>
          </cell>
          <cell r="B10664">
            <v>0</v>
          </cell>
          <cell r="C10664" t="str">
            <v xml:space="preserve">  SALES OF 16/2 COTTON WFT</v>
          </cell>
          <cell r="D10664">
            <v>0</v>
          </cell>
          <cell r="E10664">
            <v>0</v>
          </cell>
          <cell r="F10664">
            <v>0</v>
          </cell>
          <cell r="G10664">
            <v>0</v>
          </cell>
        </row>
        <row r="10665">
          <cell r="A10665" t="str">
            <v>66-01-01-0116</v>
          </cell>
          <cell r="B10665">
            <v>0</v>
          </cell>
          <cell r="C10665" t="str">
            <v xml:space="preserve">  SALES OF 10/S COMBED WEAVING</v>
          </cell>
          <cell r="D10665">
            <v>0</v>
          </cell>
          <cell r="E10665">
            <v>0</v>
          </cell>
          <cell r="F10665">
            <v>0</v>
          </cell>
          <cell r="G10665">
            <v>0</v>
          </cell>
        </row>
        <row r="10666">
          <cell r="A10666" t="str">
            <v>66-01-01-0117</v>
          </cell>
          <cell r="B10666">
            <v>0</v>
          </cell>
          <cell r="C10666" t="str">
            <v xml:space="preserve">  SALES OF 40/S CP</v>
          </cell>
          <cell r="D10666">
            <v>0</v>
          </cell>
          <cell r="E10666">
            <v>63387829</v>
          </cell>
          <cell r="F10666">
            <v>0</v>
          </cell>
          <cell r="G10666">
            <v>0</v>
          </cell>
        </row>
        <row r="10667">
          <cell r="A10667" t="str">
            <v>66-01-01-0118</v>
          </cell>
          <cell r="B10667">
            <v>0</v>
          </cell>
          <cell r="C10667" t="str">
            <v xml:space="preserve">  SALES OF 17/2 CP</v>
          </cell>
          <cell r="D10667">
            <v>0</v>
          </cell>
          <cell r="E10667">
            <v>0</v>
          </cell>
          <cell r="F10667">
            <v>0</v>
          </cell>
          <cell r="G10667">
            <v>0</v>
          </cell>
        </row>
        <row r="10668">
          <cell r="A10668" t="str">
            <v>66-01-01-0119</v>
          </cell>
          <cell r="B10668">
            <v>0</v>
          </cell>
          <cell r="C10668" t="str">
            <v xml:space="preserve">  SALES OF 20/2 COTTON WFT</v>
          </cell>
          <cell r="D10668">
            <v>0</v>
          </cell>
          <cell r="E10668">
            <v>16271810</v>
          </cell>
          <cell r="F10668">
            <v>0</v>
          </cell>
          <cell r="G10668">
            <v>0</v>
          </cell>
        </row>
        <row r="10669">
          <cell r="A10669" t="str">
            <v>66-01-01-0120</v>
          </cell>
          <cell r="B10669">
            <v>0</v>
          </cell>
          <cell r="C10669" t="str">
            <v xml:space="preserve">  SALES OF 09/S CARDED</v>
          </cell>
          <cell r="D10669">
            <v>0</v>
          </cell>
          <cell r="E10669">
            <v>0</v>
          </cell>
          <cell r="F10669">
            <v>0</v>
          </cell>
          <cell r="G10669">
            <v>0</v>
          </cell>
        </row>
        <row r="10670">
          <cell r="A10670" t="str">
            <v>66-01-01-0121</v>
          </cell>
          <cell r="B10670">
            <v>0</v>
          </cell>
          <cell r="C10670" t="str">
            <v xml:space="preserve">  SALES OF 36/S COMBED</v>
          </cell>
          <cell r="D10670">
            <v>0</v>
          </cell>
          <cell r="E10670">
            <v>0</v>
          </cell>
          <cell r="F10670">
            <v>0</v>
          </cell>
          <cell r="G10670">
            <v>0</v>
          </cell>
        </row>
        <row r="10671">
          <cell r="A10671" t="str">
            <v>66-01-01-0122</v>
          </cell>
          <cell r="B10671">
            <v>0</v>
          </cell>
          <cell r="C10671" t="str">
            <v xml:space="preserve">  SALES OF 20/2 CARDED</v>
          </cell>
          <cell r="D10671">
            <v>0</v>
          </cell>
          <cell r="E10671">
            <v>0</v>
          </cell>
          <cell r="F10671">
            <v>0</v>
          </cell>
          <cell r="G10671">
            <v>0</v>
          </cell>
        </row>
        <row r="10672">
          <cell r="A10672" t="str">
            <v>66-01-01-0123</v>
          </cell>
          <cell r="B10672">
            <v>0</v>
          </cell>
          <cell r="C10672" t="str">
            <v xml:space="preserve">  SALES OF 16/S CARDED LYCRA</v>
          </cell>
          <cell r="D10672">
            <v>0</v>
          </cell>
          <cell r="E10672">
            <v>0</v>
          </cell>
          <cell r="F10672">
            <v>0</v>
          </cell>
          <cell r="G10672">
            <v>0</v>
          </cell>
        </row>
        <row r="10673">
          <cell r="A10673" t="str">
            <v>66-01-01-0124</v>
          </cell>
          <cell r="B10673">
            <v>0</v>
          </cell>
          <cell r="C10673" t="str">
            <v xml:space="preserve">  SALES OF 24/S PC</v>
          </cell>
          <cell r="D10673">
            <v>0</v>
          </cell>
          <cell r="E10673">
            <v>53979464</v>
          </cell>
          <cell r="F10673">
            <v>0</v>
          </cell>
          <cell r="G10673">
            <v>0</v>
          </cell>
        </row>
        <row r="10674">
          <cell r="A10674" t="str">
            <v>66-01-01-0125</v>
          </cell>
          <cell r="B10674">
            <v>0</v>
          </cell>
          <cell r="C10674" t="str">
            <v xml:space="preserve">  SALES OF 18/S POLYESTER</v>
          </cell>
          <cell r="D10674">
            <v>0</v>
          </cell>
          <cell r="E10674">
            <v>0</v>
          </cell>
          <cell r="F10674">
            <v>0</v>
          </cell>
          <cell r="G10674">
            <v>0</v>
          </cell>
        </row>
        <row r="10675">
          <cell r="A10675" t="str">
            <v>66-01-01-0126</v>
          </cell>
          <cell r="B10675">
            <v>0</v>
          </cell>
          <cell r="C10675" t="str">
            <v xml:space="preserve">  SALES OF 18/2 POLYESTER</v>
          </cell>
          <cell r="D10675">
            <v>0</v>
          </cell>
          <cell r="E10675">
            <v>0</v>
          </cell>
          <cell r="F10675">
            <v>0</v>
          </cell>
          <cell r="G10675">
            <v>0</v>
          </cell>
        </row>
        <row r="10676">
          <cell r="A10676" t="str">
            <v>66-01-01-0127</v>
          </cell>
          <cell r="B10676">
            <v>0</v>
          </cell>
          <cell r="C10676" t="str">
            <v xml:space="preserve">  SALES OF 38/S PC</v>
          </cell>
          <cell r="D10676">
            <v>0</v>
          </cell>
          <cell r="E10676">
            <v>67601361</v>
          </cell>
          <cell r="F10676">
            <v>0</v>
          </cell>
          <cell r="G10676">
            <v>0</v>
          </cell>
        </row>
        <row r="10677">
          <cell r="A10677" t="str">
            <v>66-01-01-0128</v>
          </cell>
          <cell r="B10677">
            <v>0</v>
          </cell>
          <cell r="C10677" t="str">
            <v xml:space="preserve">  SALES OF 16/S COMBED</v>
          </cell>
          <cell r="D10677">
            <v>0</v>
          </cell>
          <cell r="E10677">
            <v>0</v>
          </cell>
          <cell r="F10677">
            <v>0</v>
          </cell>
          <cell r="G10677">
            <v>0</v>
          </cell>
        </row>
        <row r="10678">
          <cell r="A10678" t="str">
            <v>66-01-01-0129</v>
          </cell>
          <cell r="B10678">
            <v>0</v>
          </cell>
          <cell r="C10678" t="str">
            <v xml:space="preserve">  SALES OF 30/S CARDED H/WAXED.</v>
          </cell>
          <cell r="D10678">
            <v>0</v>
          </cell>
          <cell r="E10678">
            <v>2114300</v>
          </cell>
          <cell r="F10678">
            <v>0</v>
          </cell>
          <cell r="G10678">
            <v>0</v>
          </cell>
        </row>
        <row r="10679">
          <cell r="A10679" t="str">
            <v>66-01-01-0130</v>
          </cell>
          <cell r="B10679">
            <v>0</v>
          </cell>
          <cell r="C10679" t="str">
            <v xml:space="preserve">  SALES OF 24/S PVB 'Z' TWIST</v>
          </cell>
          <cell r="D10679">
            <v>0</v>
          </cell>
          <cell r="E10679">
            <v>19864744</v>
          </cell>
          <cell r="F10679">
            <v>0</v>
          </cell>
          <cell r="G10679">
            <v>0</v>
          </cell>
        </row>
        <row r="10680">
          <cell r="A10680" t="str">
            <v>66-01-01-0131</v>
          </cell>
          <cell r="B10680">
            <v>0</v>
          </cell>
          <cell r="C10680" t="str">
            <v xml:space="preserve">  SALES OF 14/S CARDED</v>
          </cell>
          <cell r="D10680">
            <v>0</v>
          </cell>
          <cell r="E10680">
            <v>0</v>
          </cell>
          <cell r="F10680">
            <v>0</v>
          </cell>
          <cell r="G10680">
            <v>0</v>
          </cell>
        </row>
        <row r="10681">
          <cell r="A10681" t="str">
            <v>66-01-01-0132</v>
          </cell>
          <cell r="B10681">
            <v>0</v>
          </cell>
          <cell r="C10681" t="str">
            <v xml:space="preserve">  SALES OF 6/CARDED H.WAX</v>
          </cell>
          <cell r="D10681">
            <v>0</v>
          </cell>
          <cell r="E10681">
            <v>0</v>
          </cell>
          <cell r="F10681">
            <v>0</v>
          </cell>
          <cell r="G10681">
            <v>0</v>
          </cell>
        </row>
        <row r="10682">
          <cell r="A10682" t="str">
            <v>66-01-01-0133</v>
          </cell>
          <cell r="B10682">
            <v>0</v>
          </cell>
          <cell r="C10682" t="str">
            <v xml:space="preserve">  SALES OF 30/S CARDED WARP</v>
          </cell>
          <cell r="D10682">
            <v>0</v>
          </cell>
          <cell r="E10682">
            <v>34575540</v>
          </cell>
          <cell r="F10682">
            <v>0</v>
          </cell>
          <cell r="G10682">
            <v>0</v>
          </cell>
        </row>
        <row r="10683">
          <cell r="A10683" t="str">
            <v>66-01-01-0134</v>
          </cell>
          <cell r="B10683">
            <v>0</v>
          </cell>
          <cell r="C10683" t="str">
            <v xml:space="preserve">  SALES OF 50/S COMBED WEAVING</v>
          </cell>
          <cell r="D10683">
            <v>0</v>
          </cell>
          <cell r="E10683">
            <v>17851000</v>
          </cell>
          <cell r="F10683">
            <v>0</v>
          </cell>
          <cell r="G10683">
            <v>0</v>
          </cell>
        </row>
        <row r="10684">
          <cell r="A10684" t="str">
            <v>66-01-01-0135</v>
          </cell>
          <cell r="B10684">
            <v>0</v>
          </cell>
          <cell r="C10684" t="str">
            <v xml:space="preserve">  SALES OF 52/S CARDED WARP.</v>
          </cell>
          <cell r="D10684">
            <v>0</v>
          </cell>
          <cell r="E10684">
            <v>0</v>
          </cell>
          <cell r="F10684">
            <v>0</v>
          </cell>
          <cell r="G10684">
            <v>0</v>
          </cell>
        </row>
        <row r="10685">
          <cell r="A10685" t="str">
            <v>66-01-01-0136</v>
          </cell>
          <cell r="B10685">
            <v>0</v>
          </cell>
          <cell r="C10685" t="str">
            <v xml:space="preserve">  SALES OF 20/2 COMBED</v>
          </cell>
          <cell r="D10685">
            <v>0</v>
          </cell>
          <cell r="E10685">
            <v>0</v>
          </cell>
          <cell r="F10685">
            <v>0</v>
          </cell>
          <cell r="G10685">
            <v>0</v>
          </cell>
        </row>
        <row r="10686">
          <cell r="A10686" t="str">
            <v>66-01-01-0137</v>
          </cell>
          <cell r="B10686">
            <v>0</v>
          </cell>
          <cell r="C10686" t="str">
            <v xml:space="preserve">  SALES OF 26/2 COMBED.</v>
          </cell>
          <cell r="D10686">
            <v>0</v>
          </cell>
          <cell r="E10686">
            <v>0</v>
          </cell>
          <cell r="F10686">
            <v>0</v>
          </cell>
          <cell r="G10686">
            <v>0</v>
          </cell>
        </row>
        <row r="10687">
          <cell r="A10687" t="str">
            <v>66-01-01-0138</v>
          </cell>
          <cell r="B10687">
            <v>0</v>
          </cell>
          <cell r="C10687" t="str">
            <v xml:space="preserve">  SALES OF 24/S POLYESTER</v>
          </cell>
          <cell r="D10687">
            <v>0</v>
          </cell>
          <cell r="E10687">
            <v>0</v>
          </cell>
          <cell r="F10687">
            <v>0</v>
          </cell>
          <cell r="G10687">
            <v>0</v>
          </cell>
        </row>
        <row r="10688">
          <cell r="A10688" t="str">
            <v>66-01-01-0139</v>
          </cell>
          <cell r="B10688">
            <v>0</v>
          </cell>
          <cell r="C10688" t="str">
            <v xml:space="preserve">  SALES OF 40/S COMBED LYCRA</v>
          </cell>
          <cell r="D10688">
            <v>0</v>
          </cell>
          <cell r="E10688">
            <v>0</v>
          </cell>
          <cell r="F10688">
            <v>0</v>
          </cell>
          <cell r="G10688">
            <v>0</v>
          </cell>
        </row>
        <row r="10689">
          <cell r="A10689" t="str">
            <v>66-01-01-0140</v>
          </cell>
          <cell r="B10689">
            <v>0</v>
          </cell>
          <cell r="C10689" t="str">
            <v xml:space="preserve">  SALES OF 30/2 COMBED</v>
          </cell>
          <cell r="D10689">
            <v>0</v>
          </cell>
          <cell r="E10689">
            <v>0</v>
          </cell>
          <cell r="F10689">
            <v>0</v>
          </cell>
          <cell r="G10689">
            <v>0</v>
          </cell>
        </row>
        <row r="10690">
          <cell r="A10690" t="str">
            <v>66-01-01-0141</v>
          </cell>
          <cell r="B10690">
            <v>0</v>
          </cell>
          <cell r="C10690" t="str">
            <v xml:space="preserve">  SALES OF 30/S COMBED HOSIERY WAXED</v>
          </cell>
          <cell r="D10690">
            <v>0</v>
          </cell>
          <cell r="E10690">
            <v>33091999</v>
          </cell>
          <cell r="F10690">
            <v>0</v>
          </cell>
          <cell r="G10690">
            <v>0</v>
          </cell>
        </row>
        <row r="10691">
          <cell r="A10691" t="str">
            <v>66-01-01-0142</v>
          </cell>
          <cell r="B10691">
            <v>0</v>
          </cell>
          <cell r="C10691" t="str">
            <v xml:space="preserve">  SALES OF 40/S CP HOSIERY WAX.</v>
          </cell>
          <cell r="D10691">
            <v>0</v>
          </cell>
          <cell r="E10691">
            <v>0</v>
          </cell>
          <cell r="F10691">
            <v>0</v>
          </cell>
          <cell r="G10691">
            <v>0</v>
          </cell>
        </row>
        <row r="10692">
          <cell r="A10692" t="str">
            <v>66-01-01-0143</v>
          </cell>
          <cell r="B10692">
            <v>0</v>
          </cell>
          <cell r="C10692" t="str">
            <v xml:space="preserve">  SALES OF 10/S AC</v>
          </cell>
          <cell r="D10692">
            <v>0</v>
          </cell>
          <cell r="E10692">
            <v>0</v>
          </cell>
          <cell r="F10692">
            <v>0</v>
          </cell>
          <cell r="G10692">
            <v>0</v>
          </cell>
        </row>
        <row r="10693">
          <cell r="A10693" t="str">
            <v>66-01-01-0144</v>
          </cell>
          <cell r="B10693">
            <v>0</v>
          </cell>
          <cell r="C10693" t="str">
            <v xml:space="preserve">  30/S PVB 'Z' SPECIAL</v>
          </cell>
          <cell r="D10693">
            <v>0</v>
          </cell>
          <cell r="E10693">
            <v>0</v>
          </cell>
          <cell r="F10693">
            <v>0</v>
          </cell>
          <cell r="G10693">
            <v>0</v>
          </cell>
        </row>
        <row r="10694">
          <cell r="A10694" t="str">
            <v>66-01-01-0145</v>
          </cell>
          <cell r="B10694">
            <v>0</v>
          </cell>
          <cell r="C10694" t="str">
            <v xml:space="preserve">  SALES OF 20/S COMBED LYCRA</v>
          </cell>
          <cell r="D10694">
            <v>0</v>
          </cell>
          <cell r="E10694">
            <v>9273200</v>
          </cell>
          <cell r="F10694">
            <v>0</v>
          </cell>
          <cell r="G10694">
            <v>0</v>
          </cell>
        </row>
        <row r="10695">
          <cell r="A10695" t="str">
            <v>66-01-01-0146</v>
          </cell>
          <cell r="B10695">
            <v>0</v>
          </cell>
          <cell r="C10695" t="str">
            <v xml:space="preserve">  SALES OF 20/2 CARDED H/WAX.</v>
          </cell>
          <cell r="D10695">
            <v>0</v>
          </cell>
          <cell r="E10695">
            <v>0</v>
          </cell>
          <cell r="F10695">
            <v>0</v>
          </cell>
          <cell r="G10695">
            <v>0</v>
          </cell>
        </row>
        <row r="10696">
          <cell r="A10696" t="str">
            <v>66-01-01-0147</v>
          </cell>
          <cell r="B10696">
            <v>0</v>
          </cell>
          <cell r="C10696" t="str">
            <v xml:space="preserve">  SALES OF 20/S COMBED H/WAX</v>
          </cell>
          <cell r="D10696">
            <v>0</v>
          </cell>
          <cell r="E10696">
            <v>80500</v>
          </cell>
          <cell r="F10696">
            <v>0</v>
          </cell>
          <cell r="G10696">
            <v>0</v>
          </cell>
        </row>
        <row r="10697">
          <cell r="A10697" t="str">
            <v>66-01-01-0148</v>
          </cell>
          <cell r="B10697">
            <v>0</v>
          </cell>
          <cell r="C10697" t="str">
            <v xml:space="preserve">  SALES OF 30/S PVB S'SPECIAL.</v>
          </cell>
          <cell r="D10697">
            <v>0</v>
          </cell>
          <cell r="E10697">
            <v>0</v>
          </cell>
          <cell r="F10697">
            <v>0</v>
          </cell>
          <cell r="G10697">
            <v>0</v>
          </cell>
        </row>
        <row r="10698">
          <cell r="A10698" t="str">
            <v>66-01-01-0149</v>
          </cell>
          <cell r="B10698">
            <v>0</v>
          </cell>
          <cell r="C10698" t="str">
            <v xml:space="preserve">  SALES OF 40/S COMBED H/WAX</v>
          </cell>
          <cell r="D10698">
            <v>0</v>
          </cell>
          <cell r="E10698">
            <v>129200</v>
          </cell>
          <cell r="F10698">
            <v>0</v>
          </cell>
          <cell r="G10698">
            <v>0</v>
          </cell>
        </row>
        <row r="10699">
          <cell r="A10699" t="str">
            <v>66-01-01-0150</v>
          </cell>
          <cell r="B10699">
            <v>0</v>
          </cell>
          <cell r="C10699" t="str">
            <v xml:space="preserve">  SALES OF 30/2 CARDED WARP.</v>
          </cell>
          <cell r="D10699">
            <v>0</v>
          </cell>
          <cell r="E10699">
            <v>7670000</v>
          </cell>
          <cell r="F10699">
            <v>0</v>
          </cell>
          <cell r="G10699">
            <v>0</v>
          </cell>
        </row>
        <row r="10700">
          <cell r="A10700" t="str">
            <v>66-01-01-0151</v>
          </cell>
          <cell r="B10700">
            <v>0</v>
          </cell>
          <cell r="C10700" t="str">
            <v xml:space="preserve">  SALES OF 72/S COMBED WARP.</v>
          </cell>
          <cell r="D10700">
            <v>0</v>
          </cell>
          <cell r="E10700">
            <v>0</v>
          </cell>
          <cell r="F10700">
            <v>0</v>
          </cell>
          <cell r="G10700">
            <v>0</v>
          </cell>
        </row>
        <row r="10701">
          <cell r="A10701" t="str">
            <v>66-01-01-0152</v>
          </cell>
          <cell r="B10701">
            <v>0</v>
          </cell>
          <cell r="C10701" t="str">
            <v xml:space="preserve">  SALES OF 10/S CARDED SPENDEX.</v>
          </cell>
          <cell r="D10701">
            <v>0</v>
          </cell>
          <cell r="E10701">
            <v>0</v>
          </cell>
          <cell r="F10701">
            <v>0</v>
          </cell>
          <cell r="G10701">
            <v>0</v>
          </cell>
        </row>
        <row r="10702">
          <cell r="A10702" t="str">
            <v>66-01-01-0153</v>
          </cell>
          <cell r="B10702">
            <v>0</v>
          </cell>
          <cell r="C10702" t="str">
            <v xml:space="preserve">  SALES OF 14/S CARDED SPENDEX.</v>
          </cell>
          <cell r="D10702">
            <v>0</v>
          </cell>
          <cell r="E10702">
            <v>0</v>
          </cell>
          <cell r="F10702">
            <v>0</v>
          </cell>
          <cell r="G10702">
            <v>0</v>
          </cell>
        </row>
        <row r="10703">
          <cell r="A10703" t="str">
            <v>66-01-01-0154</v>
          </cell>
          <cell r="B10703">
            <v>0</v>
          </cell>
          <cell r="C10703" t="str">
            <v xml:space="preserve">  SALES OF 18/S CARDED SPENDEX.</v>
          </cell>
          <cell r="D10703">
            <v>0</v>
          </cell>
          <cell r="E10703">
            <v>0</v>
          </cell>
          <cell r="F10703">
            <v>0</v>
          </cell>
          <cell r="G10703">
            <v>0</v>
          </cell>
        </row>
        <row r="10704">
          <cell r="A10704" t="str">
            <v>66-01-01-0155</v>
          </cell>
          <cell r="B10704">
            <v>0</v>
          </cell>
          <cell r="C10704" t="str">
            <v xml:space="preserve">  SALES OF 16/S CP</v>
          </cell>
          <cell r="D10704">
            <v>0</v>
          </cell>
          <cell r="E10704">
            <v>7730076</v>
          </cell>
          <cell r="F10704">
            <v>0</v>
          </cell>
          <cell r="G10704">
            <v>0</v>
          </cell>
        </row>
        <row r="10705">
          <cell r="A10705" t="str">
            <v>66-01-01-0156</v>
          </cell>
          <cell r="B10705">
            <v>0</v>
          </cell>
          <cell r="C10705" t="str">
            <v xml:space="preserve">  SALES OF 24/S COMBED HOSIERY WAXED</v>
          </cell>
          <cell r="D10705">
            <v>0</v>
          </cell>
          <cell r="E10705">
            <v>0</v>
          </cell>
          <cell r="F10705">
            <v>0</v>
          </cell>
          <cell r="G10705">
            <v>0</v>
          </cell>
        </row>
        <row r="10706">
          <cell r="A10706" t="str">
            <v>66-01-01-0157</v>
          </cell>
          <cell r="B10706">
            <v>0</v>
          </cell>
          <cell r="C10706" t="str">
            <v xml:space="preserve">  SALES OF 18/S CARDED</v>
          </cell>
          <cell r="D10706">
            <v>0</v>
          </cell>
          <cell r="E10706">
            <v>0</v>
          </cell>
          <cell r="F10706">
            <v>0</v>
          </cell>
          <cell r="G10706">
            <v>0</v>
          </cell>
        </row>
        <row r="10707">
          <cell r="A10707" t="str">
            <v>66-01-01-0158</v>
          </cell>
          <cell r="B10707">
            <v>0</v>
          </cell>
          <cell r="C10707" t="str">
            <v xml:space="preserve">  SALES OF 20/S CVC HOSIERY WAX.</v>
          </cell>
          <cell r="D10707">
            <v>0</v>
          </cell>
          <cell r="E10707">
            <v>0</v>
          </cell>
          <cell r="F10707">
            <v>0</v>
          </cell>
          <cell r="G10707">
            <v>0</v>
          </cell>
        </row>
        <row r="10708">
          <cell r="A10708" t="str">
            <v>66-01-01-0159</v>
          </cell>
          <cell r="B10708">
            <v>0</v>
          </cell>
          <cell r="C10708" t="str">
            <v xml:space="preserve">  SALES OF 20/S CARDED LYCRA</v>
          </cell>
          <cell r="D10708">
            <v>0</v>
          </cell>
          <cell r="E10708">
            <v>18624400</v>
          </cell>
          <cell r="F10708">
            <v>0</v>
          </cell>
          <cell r="G10708">
            <v>0</v>
          </cell>
        </row>
        <row r="10709">
          <cell r="A10709" t="str">
            <v>66-01-01-0160</v>
          </cell>
          <cell r="B10709">
            <v>0</v>
          </cell>
          <cell r="C10709" t="str">
            <v xml:space="preserve">  SALES OF 30/S PC HOISERY WAXED</v>
          </cell>
          <cell r="D10709">
            <v>0</v>
          </cell>
          <cell r="E10709">
            <v>0</v>
          </cell>
          <cell r="F10709">
            <v>0</v>
          </cell>
          <cell r="G10709">
            <v>0</v>
          </cell>
        </row>
        <row r="10710">
          <cell r="A10710" t="str">
            <v>66-01-01-0161</v>
          </cell>
          <cell r="B10710">
            <v>0</v>
          </cell>
          <cell r="C10710" t="str">
            <v xml:space="preserve">  SALES OF 40/2 COMBED WEAVING</v>
          </cell>
          <cell r="D10710">
            <v>0</v>
          </cell>
          <cell r="E10710">
            <v>8972850</v>
          </cell>
          <cell r="F10710">
            <v>0</v>
          </cell>
          <cell r="G10710">
            <v>0</v>
          </cell>
        </row>
        <row r="10711">
          <cell r="A10711" t="str">
            <v>66-01-01-0162</v>
          </cell>
          <cell r="B10711">
            <v>0</v>
          </cell>
          <cell r="C10711" t="str">
            <v xml:space="preserve">  SALES OF 18/S CP HOSIERY WAX</v>
          </cell>
          <cell r="D10711">
            <v>0</v>
          </cell>
          <cell r="E10711">
            <v>17739400</v>
          </cell>
          <cell r="F10711">
            <v>0</v>
          </cell>
          <cell r="G10711">
            <v>0</v>
          </cell>
        </row>
        <row r="10712">
          <cell r="A10712" t="str">
            <v>66-01-01-0163</v>
          </cell>
          <cell r="B10712">
            <v>0</v>
          </cell>
          <cell r="C10712" t="str">
            <v xml:space="preserve">  SALES OF 16/S CARDED HOSIERY WAXED</v>
          </cell>
          <cell r="D10712">
            <v>0</v>
          </cell>
          <cell r="E10712">
            <v>0</v>
          </cell>
          <cell r="F10712">
            <v>0</v>
          </cell>
          <cell r="G10712">
            <v>0</v>
          </cell>
        </row>
        <row r="10713">
          <cell r="A10713" t="str">
            <v>66-01-01-0164</v>
          </cell>
          <cell r="B10713">
            <v>0</v>
          </cell>
          <cell r="C10713" t="str">
            <v xml:space="preserve">  SALES OF 10/S PC</v>
          </cell>
          <cell r="D10713">
            <v>0</v>
          </cell>
          <cell r="E10713">
            <v>0</v>
          </cell>
          <cell r="F10713">
            <v>0</v>
          </cell>
          <cell r="G10713">
            <v>0</v>
          </cell>
        </row>
        <row r="10714">
          <cell r="A10714" t="str">
            <v>66-01-01-0165</v>
          </cell>
          <cell r="B10714">
            <v>0</v>
          </cell>
          <cell r="C10714" t="str">
            <v xml:space="preserve">  SALES OF 20/S CARDED HOSIERY WAXED</v>
          </cell>
          <cell r="D10714">
            <v>0</v>
          </cell>
          <cell r="E10714">
            <v>0</v>
          </cell>
          <cell r="F10714">
            <v>0</v>
          </cell>
          <cell r="G10714">
            <v>0</v>
          </cell>
        </row>
        <row r="10715">
          <cell r="A10715" t="str">
            <v>66-01-01-0166</v>
          </cell>
          <cell r="B10715">
            <v>0</v>
          </cell>
          <cell r="C10715" t="str">
            <v xml:space="preserve">  SALES OF 15/S APT</v>
          </cell>
          <cell r="D10715">
            <v>0</v>
          </cell>
          <cell r="E10715">
            <v>0</v>
          </cell>
          <cell r="F10715">
            <v>0</v>
          </cell>
          <cell r="G10715">
            <v>0</v>
          </cell>
        </row>
        <row r="10716">
          <cell r="A10716" t="str">
            <v>66-01-01-0167</v>
          </cell>
          <cell r="B10716">
            <v>0</v>
          </cell>
          <cell r="C10716" t="str">
            <v xml:space="preserve">  SALES OF 30/S COMBED LYCRA</v>
          </cell>
          <cell r="D10716">
            <v>0</v>
          </cell>
          <cell r="E10716">
            <v>0</v>
          </cell>
          <cell r="F10716">
            <v>0</v>
          </cell>
          <cell r="G10716">
            <v>0</v>
          </cell>
        </row>
        <row r="10717">
          <cell r="A10717" t="str">
            <v>66-01-01-0168</v>
          </cell>
          <cell r="B10717">
            <v>0</v>
          </cell>
          <cell r="C10717" t="str">
            <v xml:space="preserve">  SALES OF 20/S COMBED WEAVING</v>
          </cell>
          <cell r="D10717">
            <v>0</v>
          </cell>
          <cell r="E10717">
            <v>0</v>
          </cell>
          <cell r="F10717">
            <v>0</v>
          </cell>
          <cell r="G10717">
            <v>0</v>
          </cell>
        </row>
        <row r="10718">
          <cell r="A10718" t="str">
            <v>66-01-01-0169</v>
          </cell>
          <cell r="B10718">
            <v>0</v>
          </cell>
          <cell r="C10718" t="str">
            <v xml:space="preserve">  SALES OF 24/S COMBED WEAVING</v>
          </cell>
          <cell r="D10718">
            <v>0</v>
          </cell>
          <cell r="E10718">
            <v>0</v>
          </cell>
          <cell r="F10718">
            <v>0</v>
          </cell>
          <cell r="G10718">
            <v>0</v>
          </cell>
        </row>
        <row r="10719">
          <cell r="A10719" t="str">
            <v>66-01-01-0170</v>
          </cell>
          <cell r="B10719">
            <v>0</v>
          </cell>
          <cell r="C10719" t="str">
            <v xml:space="preserve">  SALES OF 32/2 COMBED LYCRA</v>
          </cell>
          <cell r="D10719">
            <v>0</v>
          </cell>
          <cell r="E10719">
            <v>0</v>
          </cell>
          <cell r="F10719">
            <v>0</v>
          </cell>
          <cell r="G10719">
            <v>0</v>
          </cell>
        </row>
        <row r="10720">
          <cell r="A10720" t="str">
            <v>66-01-01-0171</v>
          </cell>
          <cell r="B10720">
            <v>0</v>
          </cell>
          <cell r="C10720" t="str">
            <v xml:space="preserve">  SALES OF 12/S CARDED WARP.</v>
          </cell>
          <cell r="D10720">
            <v>0</v>
          </cell>
          <cell r="E10720">
            <v>3539250</v>
          </cell>
          <cell r="F10720">
            <v>0</v>
          </cell>
          <cell r="G10720">
            <v>0</v>
          </cell>
        </row>
        <row r="10721">
          <cell r="A10721" t="str">
            <v>66-01-01-0172</v>
          </cell>
          <cell r="B10721">
            <v>0</v>
          </cell>
          <cell r="C10721" t="str">
            <v xml:space="preserve">  SALES OF 20/2 CARDED LYCRA</v>
          </cell>
          <cell r="D10721">
            <v>0</v>
          </cell>
          <cell r="E10721">
            <v>0</v>
          </cell>
          <cell r="F10721">
            <v>0</v>
          </cell>
          <cell r="G10721">
            <v>0</v>
          </cell>
        </row>
        <row r="10722">
          <cell r="A10722" t="str">
            <v>66-01-01-0173</v>
          </cell>
          <cell r="B10722">
            <v>0</v>
          </cell>
          <cell r="C10722" t="str">
            <v xml:space="preserve">  SALES OF 50/S COMBED LYCRA</v>
          </cell>
          <cell r="D10722">
            <v>0</v>
          </cell>
          <cell r="E10722">
            <v>0</v>
          </cell>
          <cell r="F10722">
            <v>0</v>
          </cell>
          <cell r="G10722">
            <v>0</v>
          </cell>
        </row>
        <row r="10723">
          <cell r="A10723" t="str">
            <v>66-01-01-0174</v>
          </cell>
          <cell r="B10723">
            <v>0</v>
          </cell>
          <cell r="C10723" t="str">
            <v xml:space="preserve">  SALES OF 60/S COMBED LYCRA.</v>
          </cell>
          <cell r="D10723">
            <v>0</v>
          </cell>
          <cell r="E10723">
            <v>0</v>
          </cell>
          <cell r="F10723">
            <v>0</v>
          </cell>
          <cell r="G10723">
            <v>0</v>
          </cell>
        </row>
        <row r="10724">
          <cell r="A10724" t="str">
            <v>66-01-01-0175</v>
          </cell>
          <cell r="B10724">
            <v>0</v>
          </cell>
          <cell r="C10724" t="str">
            <v xml:space="preserve">  SALES OF 60/S COMBED WEAVING</v>
          </cell>
          <cell r="D10724">
            <v>0</v>
          </cell>
          <cell r="E10724">
            <v>60608100</v>
          </cell>
          <cell r="F10724">
            <v>0</v>
          </cell>
          <cell r="G10724">
            <v>0</v>
          </cell>
        </row>
        <row r="10725">
          <cell r="A10725" t="str">
            <v>66-01-01-0176</v>
          </cell>
          <cell r="B10725">
            <v>0</v>
          </cell>
          <cell r="C10725" t="str">
            <v xml:space="preserve">  SALES OF 40/1 CP COMBED</v>
          </cell>
          <cell r="D10725">
            <v>0</v>
          </cell>
          <cell r="E10725">
            <v>0</v>
          </cell>
          <cell r="F10725">
            <v>0</v>
          </cell>
          <cell r="G10725">
            <v>0</v>
          </cell>
        </row>
        <row r="10726">
          <cell r="A10726" t="str">
            <v>66-01-01-0177</v>
          </cell>
          <cell r="B10726">
            <v>0</v>
          </cell>
          <cell r="C10726" t="str">
            <v xml:space="preserve">  SALES OF 40/1 VISCOS</v>
          </cell>
          <cell r="D10726">
            <v>0</v>
          </cell>
          <cell r="E10726">
            <v>2034452</v>
          </cell>
          <cell r="F10726">
            <v>0</v>
          </cell>
          <cell r="G10726">
            <v>0</v>
          </cell>
        </row>
        <row r="10727">
          <cell r="A10727" t="str">
            <v>66-01-01-0178</v>
          </cell>
          <cell r="B10727">
            <v>0</v>
          </cell>
          <cell r="C10727" t="str">
            <v xml:space="preserve">  SALES OF 20/2 CARDED WARP</v>
          </cell>
          <cell r="D10727">
            <v>0</v>
          </cell>
          <cell r="E10727">
            <v>719200</v>
          </cell>
          <cell r="F10727">
            <v>0</v>
          </cell>
          <cell r="G10727">
            <v>0</v>
          </cell>
        </row>
        <row r="10728">
          <cell r="A10728" t="str">
            <v>66-01-01-0179</v>
          </cell>
          <cell r="B10728">
            <v>0</v>
          </cell>
          <cell r="C10728" t="str">
            <v xml:space="preserve">  SALES OF 10/S CARDED H.W</v>
          </cell>
          <cell r="D10728">
            <v>0</v>
          </cell>
          <cell r="E10728">
            <v>0</v>
          </cell>
          <cell r="F10728">
            <v>0</v>
          </cell>
          <cell r="G10728">
            <v>0</v>
          </cell>
        </row>
        <row r="10729">
          <cell r="A10729" t="str">
            <v>66-01-01-0180</v>
          </cell>
          <cell r="B10729">
            <v>0</v>
          </cell>
          <cell r="C10729" t="str">
            <v xml:space="preserve">  SALES OF 40/S CM WNG (N)</v>
          </cell>
          <cell r="D10729">
            <v>0</v>
          </cell>
          <cell r="E10729">
            <v>331595173</v>
          </cell>
          <cell r="F10729">
            <v>0</v>
          </cell>
          <cell r="G10729">
            <v>0</v>
          </cell>
        </row>
        <row r="10730">
          <cell r="A10730" t="str">
            <v>66-01-01-0181</v>
          </cell>
          <cell r="B10730">
            <v>0</v>
          </cell>
          <cell r="C10730" t="str">
            <v xml:space="preserve">  SALES OF 40/S CP CARDED</v>
          </cell>
          <cell r="D10730">
            <v>0</v>
          </cell>
          <cell r="E10730">
            <v>129362331</v>
          </cell>
          <cell r="F10730">
            <v>0</v>
          </cell>
          <cell r="G10730">
            <v>0</v>
          </cell>
        </row>
        <row r="10731">
          <cell r="A10731" t="str">
            <v>66-01-01-0182</v>
          </cell>
          <cell r="B10731">
            <v>0</v>
          </cell>
          <cell r="C10731" t="str">
            <v xml:space="preserve">  SALES OF 40/S PVB Z SPEC</v>
          </cell>
          <cell r="D10731">
            <v>0</v>
          </cell>
          <cell r="E10731">
            <v>0</v>
          </cell>
          <cell r="F10731">
            <v>0</v>
          </cell>
          <cell r="G10731">
            <v>0</v>
          </cell>
        </row>
        <row r="10732">
          <cell r="A10732" t="str">
            <v>66-01-01-0183</v>
          </cell>
          <cell r="B10732">
            <v>0</v>
          </cell>
          <cell r="C10732" t="str">
            <v xml:space="preserve">  SALES OF 36/S PC COMBED</v>
          </cell>
          <cell r="D10732">
            <v>0</v>
          </cell>
          <cell r="E10732">
            <v>15484127</v>
          </cell>
          <cell r="F10732">
            <v>0</v>
          </cell>
          <cell r="G10732">
            <v>0</v>
          </cell>
        </row>
        <row r="10733">
          <cell r="A10733" t="str">
            <v>66-01-01-0184</v>
          </cell>
          <cell r="B10733">
            <v>0</v>
          </cell>
          <cell r="C10733" t="str">
            <v xml:space="preserve">  SALES OF 12/S CARDED H.W</v>
          </cell>
          <cell r="D10733">
            <v>0</v>
          </cell>
          <cell r="E10733">
            <v>3027200</v>
          </cell>
          <cell r="F10733">
            <v>0</v>
          </cell>
          <cell r="G10733">
            <v>0</v>
          </cell>
        </row>
        <row r="10734">
          <cell r="A10734" t="str">
            <v>66-01-01-0185</v>
          </cell>
          <cell r="B10734">
            <v>0</v>
          </cell>
          <cell r="C10734" t="str">
            <v xml:space="preserve">  SALES OF 30/S PVB</v>
          </cell>
          <cell r="D10734">
            <v>0</v>
          </cell>
          <cell r="E10734">
            <v>0</v>
          </cell>
          <cell r="F10734">
            <v>0</v>
          </cell>
          <cell r="G10734">
            <v>0</v>
          </cell>
        </row>
        <row r="10735">
          <cell r="A10735" t="str">
            <v>66-01-01-0186</v>
          </cell>
          <cell r="B10735">
            <v>0</v>
          </cell>
          <cell r="C10735" t="str">
            <v xml:space="preserve">  SALES OF 24/S PVB</v>
          </cell>
          <cell r="D10735">
            <v>0</v>
          </cell>
          <cell r="E10735">
            <v>0</v>
          </cell>
          <cell r="F10735">
            <v>0</v>
          </cell>
          <cell r="G10735">
            <v>0</v>
          </cell>
        </row>
        <row r="10736">
          <cell r="A10736" t="str">
            <v>66-01-01-0187</v>
          </cell>
          <cell r="B10736">
            <v>0</v>
          </cell>
          <cell r="C10736" t="str">
            <v xml:space="preserve">  SALES OF 10/S CARDED WARP</v>
          </cell>
          <cell r="D10736">
            <v>0</v>
          </cell>
          <cell r="E10736">
            <v>3571250</v>
          </cell>
          <cell r="F10736">
            <v>0</v>
          </cell>
          <cell r="G10736">
            <v>0</v>
          </cell>
        </row>
        <row r="10737">
          <cell r="A10737" t="str">
            <v>66-01-01-0188</v>
          </cell>
          <cell r="B10737">
            <v>0</v>
          </cell>
          <cell r="C10737" t="str">
            <v xml:space="preserve">  SALES OF 32/S CARDED H.W</v>
          </cell>
          <cell r="D10737">
            <v>0</v>
          </cell>
          <cell r="E10737">
            <v>0</v>
          </cell>
          <cell r="F10737">
            <v>0</v>
          </cell>
          <cell r="G10737">
            <v>0</v>
          </cell>
        </row>
        <row r="10738">
          <cell r="A10738" t="str">
            <v>66-01-01-0189</v>
          </cell>
          <cell r="B10738">
            <v>0</v>
          </cell>
          <cell r="C10738" t="str">
            <v xml:space="preserve">  SALES OF 24/2 CARDED WARP</v>
          </cell>
          <cell r="D10738">
            <v>0</v>
          </cell>
          <cell r="E10738">
            <v>0</v>
          </cell>
          <cell r="F10738">
            <v>0</v>
          </cell>
          <cell r="G10738">
            <v>0</v>
          </cell>
        </row>
        <row r="10739">
          <cell r="A10739" t="str">
            <v>66-01-01-0190</v>
          </cell>
          <cell r="B10739">
            <v>0</v>
          </cell>
          <cell r="C10739" t="str">
            <v xml:space="preserve">  SALES OF 60/S PVB</v>
          </cell>
          <cell r="D10739">
            <v>0</v>
          </cell>
          <cell r="E10739">
            <v>0</v>
          </cell>
          <cell r="F10739">
            <v>0</v>
          </cell>
          <cell r="G10739">
            <v>0</v>
          </cell>
        </row>
        <row r="10740">
          <cell r="A10740" t="str">
            <v>66-01-01-0191</v>
          </cell>
          <cell r="B10740">
            <v>0</v>
          </cell>
          <cell r="C10740" t="str">
            <v xml:space="preserve">  SALES OF 24/S CARDED HOSIERY WAXED</v>
          </cell>
          <cell r="D10740">
            <v>0</v>
          </cell>
          <cell r="E10740">
            <v>0</v>
          </cell>
          <cell r="F10740">
            <v>0</v>
          </cell>
          <cell r="G10740">
            <v>0</v>
          </cell>
        </row>
        <row r="10741">
          <cell r="A10741" t="str">
            <v>66-01-01-0192</v>
          </cell>
          <cell r="B10741">
            <v>0</v>
          </cell>
          <cell r="C10741" t="str">
            <v xml:space="preserve">  SALES OF 32/S COMBED WEAVING</v>
          </cell>
          <cell r="D10741">
            <v>0</v>
          </cell>
          <cell r="E10741">
            <v>0</v>
          </cell>
          <cell r="F10741">
            <v>0</v>
          </cell>
          <cell r="G10741">
            <v>0</v>
          </cell>
        </row>
        <row r="10742">
          <cell r="A10742" t="str">
            <v>66-01-01-0193</v>
          </cell>
          <cell r="B10742">
            <v>0</v>
          </cell>
          <cell r="C10742" t="str">
            <v xml:space="preserve">  SALES OF 80/S COMBED WEAVING</v>
          </cell>
          <cell r="D10742">
            <v>0</v>
          </cell>
          <cell r="E10742">
            <v>117399800</v>
          </cell>
          <cell r="F10742">
            <v>0</v>
          </cell>
          <cell r="G10742">
            <v>0</v>
          </cell>
        </row>
        <row r="10743">
          <cell r="A10743" t="str">
            <v>66-01-01-0194</v>
          </cell>
          <cell r="B10743">
            <v>0</v>
          </cell>
          <cell r="C10743" t="str">
            <v xml:space="preserve">  SALES OF 07/S CARDED WARP</v>
          </cell>
          <cell r="D10743">
            <v>0</v>
          </cell>
          <cell r="E10743">
            <v>0</v>
          </cell>
          <cell r="F10743">
            <v>0</v>
          </cell>
          <cell r="G10743">
            <v>0</v>
          </cell>
        </row>
        <row r="10744">
          <cell r="A10744" t="str">
            <v>66-01-01-0195</v>
          </cell>
          <cell r="B10744">
            <v>0</v>
          </cell>
          <cell r="C10744" t="str">
            <v xml:space="preserve">  SALES OF 16/S COMBED LYCRA</v>
          </cell>
          <cell r="D10744">
            <v>0</v>
          </cell>
          <cell r="E10744">
            <v>0</v>
          </cell>
          <cell r="F10744">
            <v>0</v>
          </cell>
          <cell r="G10744">
            <v>0</v>
          </cell>
        </row>
        <row r="10745">
          <cell r="A10745" t="str">
            <v>66-01-01-0196</v>
          </cell>
          <cell r="B10745">
            <v>0</v>
          </cell>
          <cell r="C10745" t="str">
            <v xml:space="preserve">  SALES OF 10/S COMBED LYCRA</v>
          </cell>
          <cell r="D10745">
            <v>0</v>
          </cell>
          <cell r="E10745">
            <v>0</v>
          </cell>
          <cell r="F10745">
            <v>0</v>
          </cell>
          <cell r="G10745">
            <v>0</v>
          </cell>
        </row>
        <row r="10746">
          <cell r="A10746" t="str">
            <v>66-01-01-0197</v>
          </cell>
          <cell r="B10746">
            <v>0</v>
          </cell>
          <cell r="C10746" t="str">
            <v xml:space="preserve">  SALES OF 30/S POLY S/TWIST</v>
          </cell>
          <cell r="D10746">
            <v>0</v>
          </cell>
          <cell r="E10746">
            <v>0</v>
          </cell>
          <cell r="F10746">
            <v>0</v>
          </cell>
          <cell r="G10746">
            <v>0</v>
          </cell>
        </row>
        <row r="10747">
          <cell r="A10747" t="str">
            <v>66-01-01-0198</v>
          </cell>
          <cell r="B10747">
            <v>0</v>
          </cell>
          <cell r="C10747" t="str">
            <v xml:space="preserve">  SALES OF 30/S POLY Z/TWIST</v>
          </cell>
          <cell r="D10747">
            <v>0</v>
          </cell>
          <cell r="E10747">
            <v>0</v>
          </cell>
          <cell r="F10747">
            <v>0</v>
          </cell>
          <cell r="G10747">
            <v>0</v>
          </cell>
        </row>
        <row r="10748">
          <cell r="A10748" t="str">
            <v>66-01-01-0199</v>
          </cell>
          <cell r="B10748">
            <v>0</v>
          </cell>
          <cell r="C10748" t="str">
            <v xml:space="preserve">  SALES OF 20/S CP</v>
          </cell>
          <cell r="D10748">
            <v>0</v>
          </cell>
          <cell r="E10748">
            <v>0</v>
          </cell>
          <cell r="F10748">
            <v>0</v>
          </cell>
          <cell r="G10748">
            <v>0</v>
          </cell>
        </row>
        <row r="10749">
          <cell r="A10749" t="str">
            <v>66-01-01-0200</v>
          </cell>
          <cell r="B10749">
            <v>0</v>
          </cell>
          <cell r="C10749" t="str">
            <v xml:space="preserve">  SALES OF 26/S PVB "Z" TWIST</v>
          </cell>
          <cell r="D10749">
            <v>0</v>
          </cell>
          <cell r="E10749">
            <v>0</v>
          </cell>
          <cell r="F10749">
            <v>0</v>
          </cell>
          <cell r="G10749">
            <v>0</v>
          </cell>
        </row>
        <row r="10750">
          <cell r="A10750" t="str">
            <v>66-01-01-0201</v>
          </cell>
          <cell r="B10750">
            <v>0</v>
          </cell>
          <cell r="C10750" t="str">
            <v xml:space="preserve">  SALES OF 36/S PVB "Z" TWIST</v>
          </cell>
          <cell r="D10750">
            <v>0</v>
          </cell>
          <cell r="E10750">
            <v>3383734</v>
          </cell>
          <cell r="F10750">
            <v>0</v>
          </cell>
          <cell r="G10750">
            <v>0</v>
          </cell>
        </row>
        <row r="10751">
          <cell r="A10751" t="str">
            <v>66-01-01-0202</v>
          </cell>
          <cell r="B10751">
            <v>0</v>
          </cell>
          <cell r="C10751" t="str">
            <v xml:space="preserve">  SALES OF 22/S CP 55%45%</v>
          </cell>
          <cell r="D10751">
            <v>0</v>
          </cell>
          <cell r="E10751">
            <v>0</v>
          </cell>
          <cell r="F10751">
            <v>0</v>
          </cell>
          <cell r="G10751">
            <v>0</v>
          </cell>
        </row>
        <row r="10752">
          <cell r="A10752" t="str">
            <v>66-01-01-0203</v>
          </cell>
          <cell r="B10752">
            <v>0</v>
          </cell>
          <cell r="C10752" t="str">
            <v xml:space="preserve">  SALES OF 32/S CP 55%45%</v>
          </cell>
          <cell r="D10752">
            <v>0</v>
          </cell>
          <cell r="E10752">
            <v>0</v>
          </cell>
          <cell r="F10752">
            <v>0</v>
          </cell>
          <cell r="G10752">
            <v>0</v>
          </cell>
        </row>
        <row r="10753">
          <cell r="A10753" t="str">
            <v>66-01-01-0204</v>
          </cell>
          <cell r="B10753">
            <v>0</v>
          </cell>
          <cell r="C10753" t="str">
            <v xml:space="preserve">  SALES OF 40/S CP 55%45%</v>
          </cell>
          <cell r="D10753">
            <v>0</v>
          </cell>
          <cell r="E10753">
            <v>18748068</v>
          </cell>
          <cell r="F10753">
            <v>0</v>
          </cell>
          <cell r="G10753">
            <v>0</v>
          </cell>
        </row>
        <row r="10754">
          <cell r="A10754" t="str">
            <v>66-01-01-0205</v>
          </cell>
          <cell r="B10754">
            <v>0</v>
          </cell>
          <cell r="C10754" t="str">
            <v xml:space="preserve">  SALES OF 40/S AV 50%/50%</v>
          </cell>
          <cell r="D10754">
            <v>0</v>
          </cell>
          <cell r="E10754">
            <v>0</v>
          </cell>
          <cell r="F10754">
            <v>0</v>
          </cell>
          <cell r="G10754">
            <v>0</v>
          </cell>
        </row>
        <row r="10755">
          <cell r="A10755" t="str">
            <v>66-01-01-0206</v>
          </cell>
          <cell r="B10755">
            <v>0</v>
          </cell>
          <cell r="C10755" t="str">
            <v xml:space="preserve">  SALES OF 60/S POLYESTER</v>
          </cell>
          <cell r="D10755">
            <v>0</v>
          </cell>
          <cell r="E10755">
            <v>0</v>
          </cell>
          <cell r="F10755">
            <v>0</v>
          </cell>
          <cell r="G10755">
            <v>0</v>
          </cell>
        </row>
        <row r="10756">
          <cell r="A10756" t="str">
            <v>66-01-01-0207</v>
          </cell>
          <cell r="B10756">
            <v>0</v>
          </cell>
          <cell r="C10756" t="str">
            <v xml:space="preserve">  SALES OF 8.5/S CARDED WAR</v>
          </cell>
          <cell r="D10756">
            <v>0</v>
          </cell>
          <cell r="E10756">
            <v>0</v>
          </cell>
          <cell r="F10756">
            <v>0</v>
          </cell>
          <cell r="G10756">
            <v>0</v>
          </cell>
        </row>
        <row r="10757">
          <cell r="A10757" t="str">
            <v>66-01-01-0208</v>
          </cell>
          <cell r="B10757">
            <v>0</v>
          </cell>
          <cell r="C10757" t="str">
            <v xml:space="preserve">  SALES OF 100/S COMBED WVG</v>
          </cell>
          <cell r="D10757">
            <v>0</v>
          </cell>
          <cell r="E10757">
            <v>45935900</v>
          </cell>
          <cell r="F10757">
            <v>0</v>
          </cell>
          <cell r="G10757">
            <v>0</v>
          </cell>
        </row>
        <row r="10758">
          <cell r="A10758" t="str">
            <v>66-01-01-0209</v>
          </cell>
          <cell r="B10758">
            <v>0</v>
          </cell>
          <cell r="C10758" t="str">
            <v xml:space="preserve">  SALES OF 40/S POLY S/T</v>
          </cell>
          <cell r="D10758">
            <v>0</v>
          </cell>
          <cell r="E10758">
            <v>0</v>
          </cell>
          <cell r="F10758">
            <v>0</v>
          </cell>
          <cell r="G10758">
            <v>0</v>
          </cell>
        </row>
        <row r="10759">
          <cell r="A10759" t="str">
            <v>66-01-01-0210</v>
          </cell>
          <cell r="B10759">
            <v>0</v>
          </cell>
          <cell r="C10759" t="str">
            <v xml:space="preserve">  SALES OF 30/S VISCOS</v>
          </cell>
          <cell r="D10759">
            <v>0</v>
          </cell>
          <cell r="E10759">
            <v>0</v>
          </cell>
          <cell r="F10759">
            <v>0</v>
          </cell>
          <cell r="G10759">
            <v>0</v>
          </cell>
        </row>
        <row r="10760">
          <cell r="A10760" t="str">
            <v>66-01-01-0211</v>
          </cell>
          <cell r="B10760">
            <v>0</v>
          </cell>
          <cell r="C10760" t="str">
            <v xml:space="preserve">  SALES OF 32/S COMBED H/W</v>
          </cell>
          <cell r="D10760">
            <v>0</v>
          </cell>
          <cell r="E10760">
            <v>1642800</v>
          </cell>
          <cell r="F10760">
            <v>0</v>
          </cell>
          <cell r="G10760">
            <v>0</v>
          </cell>
        </row>
        <row r="10761">
          <cell r="A10761" t="str">
            <v>66-01-01-0212</v>
          </cell>
          <cell r="B10761">
            <v>0</v>
          </cell>
          <cell r="C10761" t="str">
            <v xml:space="preserve">  SALES OF 30/S CP H/WAX</v>
          </cell>
          <cell r="D10761">
            <v>0</v>
          </cell>
          <cell r="E10761">
            <v>0</v>
          </cell>
          <cell r="F10761">
            <v>0</v>
          </cell>
          <cell r="G10761">
            <v>0</v>
          </cell>
        </row>
        <row r="10762">
          <cell r="A10762" t="str">
            <v>66-01-01-0213</v>
          </cell>
          <cell r="B10762">
            <v>0</v>
          </cell>
          <cell r="C10762" t="str">
            <v xml:space="preserve">  SALES OF 24/S COMBED LYCRA</v>
          </cell>
          <cell r="D10762">
            <v>0</v>
          </cell>
          <cell r="E10762">
            <v>11523800</v>
          </cell>
          <cell r="F10762">
            <v>0</v>
          </cell>
          <cell r="G10762">
            <v>0</v>
          </cell>
        </row>
        <row r="10763">
          <cell r="A10763" t="str">
            <v>66-01-01-0214</v>
          </cell>
          <cell r="B10763">
            <v>0</v>
          </cell>
          <cell r="C10763" t="str">
            <v xml:space="preserve">  SALES OF 32/S CP H.WAX</v>
          </cell>
          <cell r="D10763">
            <v>0</v>
          </cell>
          <cell r="E10763">
            <v>0</v>
          </cell>
          <cell r="F10763">
            <v>0</v>
          </cell>
          <cell r="G10763">
            <v>0</v>
          </cell>
        </row>
        <row r="10764">
          <cell r="A10764" t="str">
            <v>66-01-01-0215</v>
          </cell>
          <cell r="B10764">
            <v>0</v>
          </cell>
          <cell r="C10764" t="str">
            <v xml:space="preserve">  SALES OF 24/S PVB "S" TWIST</v>
          </cell>
          <cell r="D10764">
            <v>0</v>
          </cell>
          <cell r="E10764">
            <v>0</v>
          </cell>
          <cell r="F10764">
            <v>0</v>
          </cell>
          <cell r="G10764">
            <v>0</v>
          </cell>
        </row>
        <row r="10765">
          <cell r="A10765" t="str">
            <v>66-01-01-0216</v>
          </cell>
          <cell r="B10765">
            <v>0</v>
          </cell>
          <cell r="C10765" t="str">
            <v xml:space="preserve">  SALES OF 50/S COMBED LYCRA 40</v>
          </cell>
          <cell r="D10765">
            <v>0</v>
          </cell>
          <cell r="E10765">
            <v>6318800</v>
          </cell>
          <cell r="F10765">
            <v>0</v>
          </cell>
          <cell r="G10765">
            <v>0</v>
          </cell>
        </row>
        <row r="10766">
          <cell r="A10766" t="str">
            <v>66-01-01-0217</v>
          </cell>
          <cell r="B10766">
            <v>0</v>
          </cell>
          <cell r="C10766" t="str">
            <v xml:space="preserve">  SALES OF 24/S CARD LYC70</v>
          </cell>
          <cell r="D10766">
            <v>0</v>
          </cell>
          <cell r="E10766">
            <v>0</v>
          </cell>
          <cell r="F10766">
            <v>0</v>
          </cell>
          <cell r="G10766">
            <v>0</v>
          </cell>
        </row>
        <row r="10767">
          <cell r="A10767" t="str">
            <v>66-01-01-0218</v>
          </cell>
          <cell r="B10767">
            <v>0</v>
          </cell>
          <cell r="C10767" t="str">
            <v xml:space="preserve">  SALES OF 14/S CARD LYC70</v>
          </cell>
          <cell r="D10767">
            <v>0</v>
          </cell>
          <cell r="E10767">
            <v>2875500</v>
          </cell>
          <cell r="F10767">
            <v>0</v>
          </cell>
          <cell r="G10767">
            <v>0</v>
          </cell>
        </row>
        <row r="10768">
          <cell r="A10768" t="str">
            <v>66-01-01-0219</v>
          </cell>
          <cell r="B10768">
            <v>0</v>
          </cell>
          <cell r="C10768" t="str">
            <v xml:space="preserve">  SALES OF 16/S CARD SPN70</v>
          </cell>
          <cell r="D10768">
            <v>0</v>
          </cell>
          <cell r="E10768">
            <v>8990600</v>
          </cell>
          <cell r="F10768">
            <v>0</v>
          </cell>
          <cell r="G10768">
            <v>0</v>
          </cell>
        </row>
        <row r="10769">
          <cell r="A10769" t="str">
            <v>66-01-01-0220</v>
          </cell>
          <cell r="B10769">
            <v>0</v>
          </cell>
          <cell r="C10769" t="str">
            <v xml:space="preserve">  SALES OF 16/S CARD LYC70</v>
          </cell>
          <cell r="D10769">
            <v>0</v>
          </cell>
          <cell r="E10769">
            <v>27588293</v>
          </cell>
          <cell r="F10769">
            <v>0</v>
          </cell>
          <cell r="G10769">
            <v>0</v>
          </cell>
        </row>
        <row r="10770">
          <cell r="A10770" t="str">
            <v>66-01-01-0221</v>
          </cell>
          <cell r="B10770">
            <v>0</v>
          </cell>
          <cell r="C10770" t="str">
            <v xml:space="preserve">  SALES OF 35/S CP</v>
          </cell>
          <cell r="D10770">
            <v>0</v>
          </cell>
          <cell r="E10770">
            <v>0</v>
          </cell>
          <cell r="F10770">
            <v>0</v>
          </cell>
          <cell r="G10770">
            <v>0</v>
          </cell>
        </row>
        <row r="10771">
          <cell r="A10771" t="str">
            <v>66-01-01-0222</v>
          </cell>
          <cell r="B10771">
            <v>0</v>
          </cell>
          <cell r="C10771" t="str">
            <v xml:space="preserve">  SALES OF 20/S CARDED HUW</v>
          </cell>
          <cell r="D10771">
            <v>0</v>
          </cell>
          <cell r="E10771">
            <v>0</v>
          </cell>
          <cell r="F10771">
            <v>0</v>
          </cell>
          <cell r="G10771">
            <v>0</v>
          </cell>
        </row>
        <row r="10772">
          <cell r="A10772" t="str">
            <v>66-01-01-0223</v>
          </cell>
          <cell r="B10772">
            <v>0</v>
          </cell>
          <cell r="C10772" t="str">
            <v xml:space="preserve">  SALES OF 25/S COMBED HOSIERY WAXED</v>
          </cell>
          <cell r="D10772">
            <v>0</v>
          </cell>
          <cell r="E10772">
            <v>0</v>
          </cell>
          <cell r="F10772">
            <v>0</v>
          </cell>
          <cell r="G10772">
            <v>0</v>
          </cell>
        </row>
        <row r="10773">
          <cell r="A10773" t="str">
            <v>66-01-01-0224</v>
          </cell>
          <cell r="B10773">
            <v>0</v>
          </cell>
          <cell r="C10773" t="str">
            <v xml:space="preserve">  SALES OF 40/2 CM WNG (N)</v>
          </cell>
          <cell r="D10773">
            <v>0</v>
          </cell>
          <cell r="E10773">
            <v>0</v>
          </cell>
          <cell r="F10773">
            <v>0</v>
          </cell>
          <cell r="G10773">
            <v>0</v>
          </cell>
        </row>
        <row r="10774">
          <cell r="A10774" t="str">
            <v>66-01-01-0225</v>
          </cell>
          <cell r="B10774">
            <v>0</v>
          </cell>
          <cell r="C10774" t="str">
            <v xml:space="preserve">  SALES OF 20/S CP H.WAX</v>
          </cell>
          <cell r="D10774">
            <v>0</v>
          </cell>
          <cell r="E10774">
            <v>0</v>
          </cell>
          <cell r="F10774">
            <v>0</v>
          </cell>
          <cell r="G10774">
            <v>0</v>
          </cell>
        </row>
        <row r="10775">
          <cell r="A10775" t="str">
            <v>66-01-01-0226</v>
          </cell>
          <cell r="B10775">
            <v>0</v>
          </cell>
          <cell r="C10775" t="str">
            <v xml:space="preserve">  SALES OF 38/S CP</v>
          </cell>
          <cell r="D10775">
            <v>0</v>
          </cell>
          <cell r="E10775">
            <v>15438470</v>
          </cell>
          <cell r="F10775">
            <v>0</v>
          </cell>
          <cell r="G10775">
            <v>0</v>
          </cell>
        </row>
        <row r="10776">
          <cell r="A10776" t="str">
            <v>66-01-01-0227</v>
          </cell>
          <cell r="B10776">
            <v>0</v>
          </cell>
          <cell r="C10776" t="str">
            <v xml:space="preserve">  SALES OF 32/S COMBED HUW</v>
          </cell>
          <cell r="D10776">
            <v>0</v>
          </cell>
          <cell r="E10776">
            <v>0</v>
          </cell>
          <cell r="F10776">
            <v>0</v>
          </cell>
          <cell r="G10776">
            <v>0</v>
          </cell>
        </row>
        <row r="10777">
          <cell r="A10777" t="str">
            <v>66-01-01-0228</v>
          </cell>
          <cell r="B10777">
            <v>0</v>
          </cell>
          <cell r="C10777" t="str">
            <v xml:space="preserve">  SALES OF 10/S PC WEFT</v>
          </cell>
          <cell r="D10777">
            <v>0</v>
          </cell>
          <cell r="E10777">
            <v>0</v>
          </cell>
          <cell r="F10777">
            <v>0</v>
          </cell>
          <cell r="G10777">
            <v>0</v>
          </cell>
        </row>
        <row r="10778">
          <cell r="A10778" t="str">
            <v>66-01-01-0229</v>
          </cell>
          <cell r="B10778">
            <v>0</v>
          </cell>
          <cell r="C10778" t="str">
            <v xml:space="preserve">  SALES OF 26/S CP H.WAX</v>
          </cell>
          <cell r="D10778">
            <v>0</v>
          </cell>
          <cell r="E10778">
            <v>0</v>
          </cell>
          <cell r="F10778">
            <v>0</v>
          </cell>
          <cell r="G10778">
            <v>0</v>
          </cell>
        </row>
        <row r="10779">
          <cell r="A10779" t="str">
            <v>66-01-01-0230</v>
          </cell>
          <cell r="B10779">
            <v>0</v>
          </cell>
          <cell r="C10779" t="str">
            <v xml:space="preserve">  SALES OF 24/S CARDED LYC</v>
          </cell>
          <cell r="D10779">
            <v>0</v>
          </cell>
          <cell r="E10779">
            <v>0</v>
          </cell>
          <cell r="F10779">
            <v>0</v>
          </cell>
          <cell r="G10779">
            <v>0</v>
          </cell>
        </row>
        <row r="10780">
          <cell r="A10780" t="str">
            <v>66-01-01-0231</v>
          </cell>
          <cell r="B10780">
            <v>0</v>
          </cell>
          <cell r="C10780" t="str">
            <v xml:space="preserve">  SALES OF 20/S PC WEFT</v>
          </cell>
          <cell r="D10780">
            <v>0</v>
          </cell>
          <cell r="E10780">
            <v>0</v>
          </cell>
          <cell r="F10780">
            <v>0</v>
          </cell>
          <cell r="G10780">
            <v>0</v>
          </cell>
        </row>
        <row r="10781">
          <cell r="A10781" t="str">
            <v>66-01-01-0232</v>
          </cell>
          <cell r="B10781">
            <v>0</v>
          </cell>
          <cell r="C10781" t="str">
            <v xml:space="preserve">  SALES OF 30/S COMBED LYC40</v>
          </cell>
          <cell r="D10781">
            <v>0</v>
          </cell>
          <cell r="E10781">
            <v>29976100</v>
          </cell>
          <cell r="F10781">
            <v>0</v>
          </cell>
          <cell r="G10781">
            <v>0</v>
          </cell>
        </row>
        <row r="10782">
          <cell r="A10782" t="str">
            <v>66-01-01-0233</v>
          </cell>
          <cell r="B10782">
            <v>0</v>
          </cell>
          <cell r="C10782" t="str">
            <v xml:space="preserve">  SALES OF 23/S PC WEFT</v>
          </cell>
          <cell r="D10782">
            <v>0</v>
          </cell>
          <cell r="E10782">
            <v>0</v>
          </cell>
          <cell r="F10782">
            <v>0</v>
          </cell>
          <cell r="G10782">
            <v>0</v>
          </cell>
        </row>
        <row r="10783">
          <cell r="A10783" t="str">
            <v>66-01-01-0234</v>
          </cell>
          <cell r="B10783">
            <v>0</v>
          </cell>
          <cell r="C10783" t="str">
            <v xml:space="preserve">  SALES OF 30/S AV</v>
          </cell>
          <cell r="D10783">
            <v>0</v>
          </cell>
          <cell r="E10783">
            <v>0</v>
          </cell>
          <cell r="F10783">
            <v>0</v>
          </cell>
          <cell r="G10783">
            <v>0</v>
          </cell>
        </row>
        <row r="10784">
          <cell r="A10784" t="str">
            <v>66-01-01-0235</v>
          </cell>
          <cell r="B10784">
            <v>0</v>
          </cell>
          <cell r="C10784" t="str">
            <v xml:space="preserve">  SALES OF 20/S POLY Z/T</v>
          </cell>
          <cell r="D10784">
            <v>0</v>
          </cell>
          <cell r="E10784">
            <v>0</v>
          </cell>
          <cell r="F10784">
            <v>0</v>
          </cell>
          <cell r="G10784">
            <v>0</v>
          </cell>
        </row>
        <row r="10785">
          <cell r="A10785" t="str">
            <v>66-01-01-0236</v>
          </cell>
          <cell r="B10785">
            <v>0</v>
          </cell>
          <cell r="C10785" t="str">
            <v xml:space="preserve">  SALES OF 90/S COMBED WEAVING</v>
          </cell>
          <cell r="D10785">
            <v>0</v>
          </cell>
          <cell r="E10785">
            <v>0</v>
          </cell>
          <cell r="F10785">
            <v>0</v>
          </cell>
          <cell r="G10785">
            <v>0</v>
          </cell>
        </row>
        <row r="10786">
          <cell r="A10786" t="str">
            <v>66-01-01-0237</v>
          </cell>
          <cell r="B10786">
            <v>0</v>
          </cell>
          <cell r="C10786" t="str">
            <v xml:space="preserve">  SALES OF 40/S PC2</v>
          </cell>
          <cell r="D10786">
            <v>0</v>
          </cell>
          <cell r="E10786">
            <v>0</v>
          </cell>
          <cell r="F10786">
            <v>0</v>
          </cell>
          <cell r="G10786">
            <v>0</v>
          </cell>
        </row>
        <row r="10787">
          <cell r="A10787" t="str">
            <v>66-01-01-0238</v>
          </cell>
          <cell r="B10787">
            <v>0</v>
          </cell>
          <cell r="C10787" t="str">
            <v xml:space="preserve">  SALES OF 18/S PC</v>
          </cell>
          <cell r="D10787">
            <v>0</v>
          </cell>
          <cell r="E10787">
            <v>0</v>
          </cell>
          <cell r="F10787">
            <v>0</v>
          </cell>
          <cell r="G10787">
            <v>0</v>
          </cell>
        </row>
        <row r="10788">
          <cell r="A10788" t="str">
            <v>66-01-01-0239</v>
          </cell>
          <cell r="B10788">
            <v>0</v>
          </cell>
          <cell r="C10788" t="str">
            <v xml:space="preserve">  SALES OF 14/S COMBED LYC</v>
          </cell>
          <cell r="D10788">
            <v>0</v>
          </cell>
          <cell r="E10788">
            <v>0</v>
          </cell>
          <cell r="F10788">
            <v>0</v>
          </cell>
          <cell r="G10788">
            <v>0</v>
          </cell>
        </row>
        <row r="10789">
          <cell r="A10789" t="str">
            <v>66-01-01-0240</v>
          </cell>
          <cell r="B10789">
            <v>0</v>
          </cell>
          <cell r="C10789" t="str">
            <v xml:space="preserve">  SALES OF 14/S CARDED WARP</v>
          </cell>
          <cell r="D10789">
            <v>0</v>
          </cell>
          <cell r="E10789">
            <v>0</v>
          </cell>
          <cell r="F10789">
            <v>0</v>
          </cell>
          <cell r="G10789">
            <v>0</v>
          </cell>
        </row>
        <row r="10790">
          <cell r="A10790" t="str">
            <v>66-01-01-0241</v>
          </cell>
          <cell r="B10790">
            <v>0</v>
          </cell>
          <cell r="C10790" t="str">
            <v xml:space="preserve">  SALES OF 40/S COMBED LYC40</v>
          </cell>
          <cell r="D10790">
            <v>0</v>
          </cell>
          <cell r="E10790">
            <v>4879500</v>
          </cell>
          <cell r="F10790">
            <v>0</v>
          </cell>
          <cell r="G10790">
            <v>0</v>
          </cell>
        </row>
        <row r="10791">
          <cell r="A10791" t="str">
            <v>66-01-01-0242</v>
          </cell>
          <cell r="B10791">
            <v>0</v>
          </cell>
          <cell r="C10791" t="str">
            <v xml:space="preserve">  SALES OF 60/S COMBED W CHINA</v>
          </cell>
          <cell r="D10791">
            <v>0</v>
          </cell>
          <cell r="E10791">
            <v>0</v>
          </cell>
          <cell r="F10791">
            <v>0</v>
          </cell>
          <cell r="G10791">
            <v>0</v>
          </cell>
        </row>
        <row r="10792">
          <cell r="A10792" t="str">
            <v>66-01-01-0243</v>
          </cell>
          <cell r="B10792">
            <v>0</v>
          </cell>
          <cell r="C10792" t="str">
            <v xml:space="preserve">  SALES OF 20/S CP CARDED</v>
          </cell>
          <cell r="D10792">
            <v>0</v>
          </cell>
          <cell r="E10792">
            <v>2001000</v>
          </cell>
          <cell r="F10792">
            <v>0</v>
          </cell>
          <cell r="G10792">
            <v>0</v>
          </cell>
        </row>
        <row r="10793">
          <cell r="A10793" t="str">
            <v>66-01-01-0244</v>
          </cell>
          <cell r="B10793">
            <v>0</v>
          </cell>
          <cell r="C10793" t="str">
            <v xml:space="preserve">  SALES OF 20/S PC COMBED</v>
          </cell>
          <cell r="D10793">
            <v>0</v>
          </cell>
          <cell r="E10793">
            <v>0</v>
          </cell>
          <cell r="F10793">
            <v>0</v>
          </cell>
          <cell r="G10793">
            <v>0</v>
          </cell>
        </row>
        <row r="10794">
          <cell r="A10794" t="str">
            <v>66-01-01-0245</v>
          </cell>
          <cell r="B10794">
            <v>0</v>
          </cell>
          <cell r="C10794" t="str">
            <v xml:space="preserve">  SALES OF 16/S PC COMBED</v>
          </cell>
          <cell r="D10794">
            <v>0</v>
          </cell>
          <cell r="E10794">
            <v>0</v>
          </cell>
          <cell r="F10794">
            <v>0</v>
          </cell>
          <cell r="G10794">
            <v>0</v>
          </cell>
        </row>
        <row r="10795">
          <cell r="A10795" t="str">
            <v>66-01-01-0246</v>
          </cell>
          <cell r="B10795">
            <v>0</v>
          </cell>
          <cell r="C10795" t="str">
            <v xml:space="preserve">  SALES OF 50/S CP CARDED</v>
          </cell>
          <cell r="D10795">
            <v>0</v>
          </cell>
          <cell r="E10795">
            <v>0</v>
          </cell>
          <cell r="F10795">
            <v>0</v>
          </cell>
          <cell r="G10795">
            <v>0</v>
          </cell>
        </row>
        <row r="10796">
          <cell r="A10796" t="str">
            <v>66-01-01-0247</v>
          </cell>
          <cell r="B10796">
            <v>0</v>
          </cell>
          <cell r="C10796" t="str">
            <v xml:space="preserve">  SALES OF 14/S POYESTER MJS</v>
          </cell>
          <cell r="D10796">
            <v>0</v>
          </cell>
          <cell r="E10796">
            <v>3647934</v>
          </cell>
          <cell r="F10796">
            <v>0</v>
          </cell>
          <cell r="G10796">
            <v>0</v>
          </cell>
        </row>
        <row r="10797">
          <cell r="A10797" t="str">
            <v>66-01-01-0248</v>
          </cell>
          <cell r="B10797">
            <v>0</v>
          </cell>
          <cell r="C10797" t="str">
            <v xml:space="preserve">  SALES OF 20/S POLYESTER MJS</v>
          </cell>
          <cell r="D10797">
            <v>0</v>
          </cell>
          <cell r="E10797">
            <v>1590000</v>
          </cell>
          <cell r="F10797">
            <v>0</v>
          </cell>
          <cell r="G10797">
            <v>0</v>
          </cell>
        </row>
        <row r="10798">
          <cell r="A10798" t="str">
            <v>66-01-01-0249</v>
          </cell>
          <cell r="B10798">
            <v>0</v>
          </cell>
          <cell r="C10798" t="str">
            <v xml:space="preserve">  SALES OF 30/S POLYESTER MJS</v>
          </cell>
          <cell r="D10798">
            <v>0</v>
          </cell>
          <cell r="E10798">
            <v>13509839</v>
          </cell>
          <cell r="F10798">
            <v>0</v>
          </cell>
          <cell r="G10798">
            <v>0</v>
          </cell>
        </row>
        <row r="10799">
          <cell r="A10799" t="str">
            <v>66-01-01-0250</v>
          </cell>
          <cell r="B10799">
            <v>0</v>
          </cell>
          <cell r="C10799" t="str">
            <v xml:space="preserve">  SALES OF 40/S PC COMBED</v>
          </cell>
          <cell r="D10799">
            <v>0</v>
          </cell>
          <cell r="E10799">
            <v>0</v>
          </cell>
          <cell r="F10799">
            <v>0</v>
          </cell>
          <cell r="G10799">
            <v>0</v>
          </cell>
        </row>
        <row r="10800">
          <cell r="A10800" t="str">
            <v>66-01-01-0251</v>
          </cell>
          <cell r="B10800">
            <v>0</v>
          </cell>
          <cell r="C10800" t="str">
            <v xml:space="preserve">  SALES OF 10/S POLYESTER MJS</v>
          </cell>
          <cell r="D10800">
            <v>0</v>
          </cell>
          <cell r="E10800">
            <v>5573679</v>
          </cell>
          <cell r="F10800">
            <v>0</v>
          </cell>
          <cell r="G10800">
            <v>0</v>
          </cell>
        </row>
        <row r="10801">
          <cell r="A10801" t="str">
            <v>66-01-01-0252</v>
          </cell>
          <cell r="B10801">
            <v>0</v>
          </cell>
          <cell r="C10801" t="str">
            <v xml:space="preserve">  SALES OF 40/S PC COMBED 100%</v>
          </cell>
          <cell r="D10801">
            <v>0</v>
          </cell>
          <cell r="E10801">
            <v>0</v>
          </cell>
          <cell r="F10801">
            <v>0</v>
          </cell>
          <cell r="G10801">
            <v>0</v>
          </cell>
        </row>
        <row r="10802">
          <cell r="A10802" t="str">
            <v>66-01-01-0253</v>
          </cell>
          <cell r="B10802">
            <v>0</v>
          </cell>
          <cell r="C10802" t="str">
            <v xml:space="preserve">  SALES OF 30/S CARDED LYCRA</v>
          </cell>
          <cell r="D10802">
            <v>0</v>
          </cell>
          <cell r="E10802">
            <v>2086500</v>
          </cell>
          <cell r="F10802">
            <v>0</v>
          </cell>
          <cell r="G10802">
            <v>0</v>
          </cell>
        </row>
        <row r="10803">
          <cell r="A10803" t="str">
            <v>66-01-01-0254</v>
          </cell>
          <cell r="B10803">
            <v>0</v>
          </cell>
          <cell r="C10803" t="str">
            <v xml:space="preserve">  SALES OF 50/S COMBED H/WAX</v>
          </cell>
          <cell r="D10803">
            <v>0</v>
          </cell>
          <cell r="E10803">
            <v>0</v>
          </cell>
          <cell r="F10803">
            <v>0</v>
          </cell>
          <cell r="G10803">
            <v>0</v>
          </cell>
        </row>
        <row r="10804">
          <cell r="A10804" t="str">
            <v>66-01-01-0255</v>
          </cell>
          <cell r="B10804">
            <v>0</v>
          </cell>
          <cell r="C10804" t="str">
            <v xml:space="preserve">  SALES OF 70/S COMBED WVG</v>
          </cell>
          <cell r="D10804">
            <v>0</v>
          </cell>
          <cell r="E10804">
            <v>0</v>
          </cell>
          <cell r="F10804">
            <v>0</v>
          </cell>
          <cell r="G10804">
            <v>0</v>
          </cell>
        </row>
        <row r="10805">
          <cell r="A10805" t="str">
            <v>66-01-01-0256</v>
          </cell>
          <cell r="B10805">
            <v>0</v>
          </cell>
          <cell r="C10805" t="str">
            <v xml:space="preserve">  SALES OF 24/S POLYESTER MJS</v>
          </cell>
          <cell r="D10805">
            <v>0</v>
          </cell>
          <cell r="E10805">
            <v>32016</v>
          </cell>
          <cell r="F10805">
            <v>0</v>
          </cell>
          <cell r="G10805">
            <v>0</v>
          </cell>
        </row>
        <row r="10806">
          <cell r="A10806" t="str">
            <v>66-01-01-0257</v>
          </cell>
          <cell r="B10806">
            <v>0</v>
          </cell>
          <cell r="C10806" t="str">
            <v xml:space="preserve">  SALES OF 40/S POLY Z/T</v>
          </cell>
          <cell r="D10806">
            <v>0</v>
          </cell>
          <cell r="E10806">
            <v>0</v>
          </cell>
          <cell r="F10806">
            <v>0</v>
          </cell>
          <cell r="G10806">
            <v>0</v>
          </cell>
        </row>
        <row r="10807">
          <cell r="A10807" t="str">
            <v>66-01-01-0258</v>
          </cell>
          <cell r="B10807">
            <v>0</v>
          </cell>
          <cell r="C10807" t="str">
            <v xml:space="preserve">  SALES OF 12/S POLYESTER MJS</v>
          </cell>
          <cell r="D10807">
            <v>0</v>
          </cell>
          <cell r="E10807">
            <v>2948496</v>
          </cell>
          <cell r="F10807">
            <v>0</v>
          </cell>
          <cell r="G10807">
            <v>0</v>
          </cell>
        </row>
        <row r="10808">
          <cell r="A10808" t="str">
            <v>66-01-01-0259</v>
          </cell>
          <cell r="B10808">
            <v>0</v>
          </cell>
          <cell r="C10808" t="str">
            <v xml:space="preserve">  SALES OF 16/S POLYESTER MJS</v>
          </cell>
          <cell r="D10808">
            <v>0</v>
          </cell>
          <cell r="E10808">
            <v>0</v>
          </cell>
          <cell r="F10808">
            <v>0</v>
          </cell>
          <cell r="G10808">
            <v>0</v>
          </cell>
        </row>
        <row r="10809">
          <cell r="A10809" t="str">
            <v>66-01-01-0260</v>
          </cell>
          <cell r="B10809">
            <v>0</v>
          </cell>
          <cell r="C10809" t="str">
            <v xml:space="preserve">  SALES OF 17/S PC WEFT</v>
          </cell>
          <cell r="D10809">
            <v>0</v>
          </cell>
          <cell r="E10809">
            <v>0</v>
          </cell>
          <cell r="F10809">
            <v>0</v>
          </cell>
          <cell r="G10809">
            <v>0</v>
          </cell>
        </row>
        <row r="10810">
          <cell r="A10810" t="str">
            <v>66-01-01-0261</v>
          </cell>
          <cell r="B10810">
            <v>0</v>
          </cell>
          <cell r="C10810" t="str">
            <v xml:space="preserve">  SALES OF 12/S PC COMBED</v>
          </cell>
          <cell r="D10810">
            <v>0</v>
          </cell>
          <cell r="E10810">
            <v>0</v>
          </cell>
          <cell r="F10810">
            <v>0</v>
          </cell>
          <cell r="G10810">
            <v>0</v>
          </cell>
        </row>
        <row r="10811">
          <cell r="A10811" t="str">
            <v>66-01-01-0262</v>
          </cell>
          <cell r="B10811">
            <v>0</v>
          </cell>
          <cell r="C10811" t="str">
            <v xml:space="preserve">  SALES OF 45/S PC COMBED</v>
          </cell>
          <cell r="D10811">
            <v>0</v>
          </cell>
          <cell r="E10811">
            <v>2434775</v>
          </cell>
          <cell r="F10811">
            <v>0</v>
          </cell>
          <cell r="G10811">
            <v>0</v>
          </cell>
        </row>
        <row r="10812">
          <cell r="A10812" t="str">
            <v>66-01-01-0263</v>
          </cell>
          <cell r="B10812">
            <v>0</v>
          </cell>
          <cell r="C10812" t="str">
            <v xml:space="preserve">  SALES OF 30/S PVC"S"TWIST</v>
          </cell>
          <cell r="D10812">
            <v>0</v>
          </cell>
          <cell r="E10812">
            <v>18993206</v>
          </cell>
          <cell r="F10812">
            <v>0</v>
          </cell>
          <cell r="G10812">
            <v>0</v>
          </cell>
        </row>
        <row r="10813">
          <cell r="A10813" t="str">
            <v>66-01-01-0264</v>
          </cell>
          <cell r="B10813">
            <v>0</v>
          </cell>
          <cell r="C10813" t="str">
            <v xml:space="preserve">  SALES OF 18/S COMBED H/WAX</v>
          </cell>
          <cell r="D10813">
            <v>0</v>
          </cell>
          <cell r="E10813">
            <v>0</v>
          </cell>
          <cell r="F10813">
            <v>0</v>
          </cell>
          <cell r="G10813">
            <v>0</v>
          </cell>
        </row>
        <row r="10814">
          <cell r="A10814" t="str">
            <v>66-01-01-0265</v>
          </cell>
          <cell r="B10814">
            <v>0</v>
          </cell>
          <cell r="C10814" t="str">
            <v xml:space="preserve">  SALES OF 30/S PVC"Z"TWIST</v>
          </cell>
          <cell r="D10814">
            <v>0</v>
          </cell>
          <cell r="E10814">
            <v>26167884</v>
          </cell>
          <cell r="F10814">
            <v>0</v>
          </cell>
          <cell r="G10814">
            <v>0</v>
          </cell>
        </row>
        <row r="10815">
          <cell r="A10815" t="str">
            <v>66-01-01-0266</v>
          </cell>
          <cell r="B10815">
            <v>0</v>
          </cell>
          <cell r="C10815" t="str">
            <v xml:space="preserve">  SALES OF 45/S PC 65:35</v>
          </cell>
          <cell r="D10815">
            <v>0</v>
          </cell>
          <cell r="E10815">
            <v>0</v>
          </cell>
          <cell r="F10815">
            <v>0</v>
          </cell>
          <cell r="G10815">
            <v>0</v>
          </cell>
        </row>
        <row r="10816">
          <cell r="A10816" t="str">
            <v>66-01-01-0267</v>
          </cell>
          <cell r="B10816">
            <v>0</v>
          </cell>
          <cell r="C10816" t="str">
            <v xml:space="preserve">  SALES OF 06/S CARDED WAR</v>
          </cell>
          <cell r="D10816">
            <v>0</v>
          </cell>
          <cell r="E10816">
            <v>1459500</v>
          </cell>
          <cell r="F10816">
            <v>0</v>
          </cell>
          <cell r="G10816">
            <v>0</v>
          </cell>
        </row>
        <row r="10817">
          <cell r="A10817" t="str">
            <v>66-01-01-0268</v>
          </cell>
          <cell r="B10817">
            <v>0</v>
          </cell>
          <cell r="C10817" t="str">
            <v xml:space="preserve">  SALES OF 60/S PVB"Z"TWIST</v>
          </cell>
          <cell r="D10817">
            <v>0</v>
          </cell>
          <cell r="E10817">
            <v>0</v>
          </cell>
          <cell r="F10817">
            <v>0</v>
          </cell>
          <cell r="G10817">
            <v>0</v>
          </cell>
        </row>
        <row r="10818">
          <cell r="A10818" t="str">
            <v>66-01-01-0269</v>
          </cell>
          <cell r="B10818">
            <v>0</v>
          </cell>
          <cell r="C10818" t="str">
            <v xml:space="preserve">  SALES OF 14/S PC</v>
          </cell>
          <cell r="D10818">
            <v>0</v>
          </cell>
          <cell r="E10818">
            <v>0</v>
          </cell>
          <cell r="F10818">
            <v>0</v>
          </cell>
          <cell r="G10818">
            <v>0</v>
          </cell>
        </row>
        <row r="10819">
          <cell r="A10819" t="str">
            <v>66-01-01-0270</v>
          </cell>
          <cell r="B10819">
            <v>0</v>
          </cell>
          <cell r="C10819" t="str">
            <v xml:space="preserve">  SALES OF 36/S COMB LYCRA 40</v>
          </cell>
          <cell r="D10819">
            <v>0</v>
          </cell>
          <cell r="E10819">
            <v>8451595</v>
          </cell>
          <cell r="F10819">
            <v>0</v>
          </cell>
          <cell r="G10819">
            <v>0</v>
          </cell>
        </row>
        <row r="10820">
          <cell r="A10820" t="str">
            <v>66-01-01-0271</v>
          </cell>
          <cell r="B10820">
            <v>0</v>
          </cell>
          <cell r="C10820" t="str">
            <v xml:space="preserve">  SALES OF 80/S COMBED CHINA</v>
          </cell>
          <cell r="D10820">
            <v>0</v>
          </cell>
          <cell r="E10820">
            <v>0</v>
          </cell>
          <cell r="F10820">
            <v>0</v>
          </cell>
          <cell r="G10820">
            <v>0</v>
          </cell>
        </row>
        <row r="10821">
          <cell r="A10821" t="str">
            <v>66-01-01-0272</v>
          </cell>
          <cell r="B10821">
            <v>0</v>
          </cell>
          <cell r="C10821" t="str">
            <v xml:space="preserve">  SALES OF 22/S CP CARDED</v>
          </cell>
          <cell r="D10821">
            <v>0</v>
          </cell>
          <cell r="E10821">
            <v>0</v>
          </cell>
          <cell r="F10821">
            <v>0</v>
          </cell>
          <cell r="G10821">
            <v>0</v>
          </cell>
        </row>
        <row r="10822">
          <cell r="A10822" t="str">
            <v>66-01-01-0273</v>
          </cell>
          <cell r="B10822">
            <v>0</v>
          </cell>
          <cell r="C10822" t="str">
            <v xml:space="preserve">  SALES OF 26/S CP CARDED</v>
          </cell>
          <cell r="D10822">
            <v>0</v>
          </cell>
          <cell r="E10822">
            <v>0</v>
          </cell>
          <cell r="F10822">
            <v>0</v>
          </cell>
          <cell r="G10822">
            <v>0</v>
          </cell>
        </row>
        <row r="10823">
          <cell r="A10823" t="str">
            <v>66-01-01-0274</v>
          </cell>
          <cell r="B10823">
            <v>0</v>
          </cell>
          <cell r="C10823" t="str">
            <v xml:space="preserve">  SALES OF 50/S COMBED PIMA</v>
          </cell>
          <cell r="D10823">
            <v>0</v>
          </cell>
          <cell r="E10823">
            <v>3808000</v>
          </cell>
          <cell r="F10823">
            <v>0</v>
          </cell>
          <cell r="G10823">
            <v>0</v>
          </cell>
        </row>
        <row r="10824">
          <cell r="A10824" t="str">
            <v>66-01-01-0275</v>
          </cell>
          <cell r="B10824">
            <v>0</v>
          </cell>
          <cell r="C10824" t="str">
            <v xml:space="preserve">  SALES OF 38/S CP "B" GRADE</v>
          </cell>
          <cell r="D10824">
            <v>0</v>
          </cell>
          <cell r="E10824">
            <v>37563</v>
          </cell>
          <cell r="F10824">
            <v>0</v>
          </cell>
          <cell r="G10824">
            <v>0</v>
          </cell>
        </row>
        <row r="10825">
          <cell r="A10825" t="str">
            <v>66-01-01-0276</v>
          </cell>
          <cell r="B10825">
            <v>0</v>
          </cell>
          <cell r="C10825" t="str">
            <v xml:space="preserve">  SALES OF 26/S CP "B" GRADE</v>
          </cell>
          <cell r="D10825">
            <v>0</v>
          </cell>
          <cell r="E10825">
            <v>0</v>
          </cell>
          <cell r="F10825">
            <v>0</v>
          </cell>
          <cell r="G10825">
            <v>0</v>
          </cell>
        </row>
        <row r="10826">
          <cell r="A10826" t="str">
            <v>66-01-01-0277</v>
          </cell>
          <cell r="B10826">
            <v>0</v>
          </cell>
          <cell r="C10826" t="str">
            <v xml:space="preserve">  SALES OF 16/S PC "B" GRADE</v>
          </cell>
          <cell r="D10826">
            <v>0</v>
          </cell>
          <cell r="E10826">
            <v>16085</v>
          </cell>
          <cell r="F10826">
            <v>0</v>
          </cell>
          <cell r="G10826">
            <v>0</v>
          </cell>
        </row>
        <row r="10827">
          <cell r="A10827" t="str">
            <v>66-01-01-0278</v>
          </cell>
          <cell r="B10827">
            <v>0</v>
          </cell>
          <cell r="C10827" t="str">
            <v xml:space="preserve">  SALES OF 22/S CP "B" GRADE</v>
          </cell>
          <cell r="D10827">
            <v>0</v>
          </cell>
          <cell r="E10827">
            <v>0</v>
          </cell>
          <cell r="F10827">
            <v>0</v>
          </cell>
          <cell r="G10827">
            <v>0</v>
          </cell>
        </row>
        <row r="10828">
          <cell r="A10828" t="str">
            <v>66-01-01-0279</v>
          </cell>
          <cell r="B10828">
            <v>0</v>
          </cell>
          <cell r="C10828" t="str">
            <v xml:space="preserve">  SALES OF 24/S CP "B" GRADE</v>
          </cell>
          <cell r="D10828">
            <v>0</v>
          </cell>
          <cell r="E10828">
            <v>0</v>
          </cell>
          <cell r="F10828">
            <v>0</v>
          </cell>
          <cell r="G10828">
            <v>0</v>
          </cell>
        </row>
        <row r="10829">
          <cell r="A10829" t="str">
            <v>66-01-01-0280</v>
          </cell>
          <cell r="B10829">
            <v>0</v>
          </cell>
          <cell r="C10829" t="str">
            <v xml:space="preserve">  SALES OF 20/S COMBED "B" GRADE</v>
          </cell>
          <cell r="D10829">
            <v>0</v>
          </cell>
          <cell r="E10829">
            <v>126982</v>
          </cell>
          <cell r="F10829">
            <v>0</v>
          </cell>
          <cell r="G10829">
            <v>0</v>
          </cell>
        </row>
        <row r="10830">
          <cell r="A10830" t="str">
            <v>66-01-01-0281</v>
          </cell>
          <cell r="B10830">
            <v>0</v>
          </cell>
          <cell r="C10830" t="str">
            <v xml:space="preserve">  SALES OF 20/S CARDED "B" GRADE</v>
          </cell>
          <cell r="D10830">
            <v>0</v>
          </cell>
          <cell r="E10830">
            <v>547737</v>
          </cell>
          <cell r="F10830">
            <v>0</v>
          </cell>
          <cell r="G10830">
            <v>0</v>
          </cell>
        </row>
        <row r="10831">
          <cell r="A10831" t="str">
            <v>66-01-01-0282</v>
          </cell>
          <cell r="B10831">
            <v>0</v>
          </cell>
          <cell r="C10831" t="str">
            <v xml:space="preserve">  SALES OF 10/S CARDED "B" GRADE</v>
          </cell>
          <cell r="D10831">
            <v>0</v>
          </cell>
          <cell r="E10831">
            <v>9912</v>
          </cell>
          <cell r="F10831">
            <v>0</v>
          </cell>
          <cell r="G10831">
            <v>0</v>
          </cell>
        </row>
        <row r="10832">
          <cell r="A10832" t="str">
            <v>66-01-01-0283</v>
          </cell>
          <cell r="B10832">
            <v>0</v>
          </cell>
          <cell r="C10832" t="str">
            <v xml:space="preserve">  SALES OF 12/S CARDED "B" GRADE</v>
          </cell>
          <cell r="D10832">
            <v>0</v>
          </cell>
          <cell r="E10832">
            <v>137175</v>
          </cell>
          <cell r="F10832">
            <v>0</v>
          </cell>
          <cell r="G10832">
            <v>0</v>
          </cell>
        </row>
        <row r="10833">
          <cell r="A10833" t="str">
            <v>66-01-01-0284</v>
          </cell>
          <cell r="B10833">
            <v>0</v>
          </cell>
          <cell r="C10833" t="str">
            <v xml:space="preserve">  SALES OF 14/S COMBED LYC "B" GRADE</v>
          </cell>
          <cell r="D10833">
            <v>0</v>
          </cell>
          <cell r="E10833">
            <v>9912</v>
          </cell>
          <cell r="F10833">
            <v>0</v>
          </cell>
          <cell r="G10833">
            <v>0</v>
          </cell>
        </row>
        <row r="10834">
          <cell r="A10834" t="str">
            <v>66-01-01-0285</v>
          </cell>
          <cell r="B10834">
            <v>0</v>
          </cell>
          <cell r="C10834" t="str">
            <v xml:space="preserve">  SALES OF 30/S CARDED "B"</v>
          </cell>
          <cell r="D10834">
            <v>0</v>
          </cell>
          <cell r="E10834">
            <v>252737</v>
          </cell>
          <cell r="F10834">
            <v>0</v>
          </cell>
          <cell r="G10834">
            <v>0</v>
          </cell>
        </row>
        <row r="10835">
          <cell r="A10835" t="str">
            <v>66-01-01-0286</v>
          </cell>
          <cell r="B10835">
            <v>0</v>
          </cell>
          <cell r="C10835" t="str">
            <v xml:space="preserve">  SALES OF 30/S COMBED "B" GRADE</v>
          </cell>
          <cell r="D10835">
            <v>0</v>
          </cell>
          <cell r="E10835">
            <v>191895</v>
          </cell>
          <cell r="F10835">
            <v>0</v>
          </cell>
          <cell r="G10835">
            <v>0</v>
          </cell>
        </row>
        <row r="10836">
          <cell r="A10836" t="str">
            <v>66-01-01-0287</v>
          </cell>
          <cell r="B10836">
            <v>0</v>
          </cell>
          <cell r="C10836" t="str">
            <v xml:space="preserve">  SALES OF 50/S COMBED "B" GRADE</v>
          </cell>
          <cell r="D10836">
            <v>0</v>
          </cell>
          <cell r="E10836">
            <v>140466</v>
          </cell>
          <cell r="F10836">
            <v>0</v>
          </cell>
          <cell r="G10836">
            <v>0</v>
          </cell>
        </row>
        <row r="10837">
          <cell r="A10837" t="str">
            <v>66-01-01-0288</v>
          </cell>
          <cell r="B10837">
            <v>0</v>
          </cell>
          <cell r="C10837" t="str">
            <v xml:space="preserve">  SALES OF 60/S COMBED "B" GRADE</v>
          </cell>
          <cell r="D10837">
            <v>0</v>
          </cell>
          <cell r="E10837">
            <v>43820</v>
          </cell>
          <cell r="F10837">
            <v>0</v>
          </cell>
          <cell r="G10837">
            <v>0</v>
          </cell>
        </row>
        <row r="10838">
          <cell r="A10838" t="str">
            <v>66-01-01-0289</v>
          </cell>
          <cell r="B10838">
            <v>0</v>
          </cell>
          <cell r="C10838" t="str">
            <v xml:space="preserve">  SALES OF 22/S CARDED WAR</v>
          </cell>
          <cell r="D10838">
            <v>0</v>
          </cell>
          <cell r="E10838">
            <v>0</v>
          </cell>
          <cell r="F10838">
            <v>0</v>
          </cell>
          <cell r="G10838">
            <v>0</v>
          </cell>
        </row>
        <row r="10839">
          <cell r="A10839" t="str">
            <v>66-01-01-0290</v>
          </cell>
          <cell r="B10839">
            <v>0</v>
          </cell>
          <cell r="C10839" t="str">
            <v xml:space="preserve">  SALES OF 40/S COMBED "B" GRADE</v>
          </cell>
          <cell r="D10839">
            <v>0</v>
          </cell>
          <cell r="E10839">
            <v>1602820</v>
          </cell>
          <cell r="F10839">
            <v>0</v>
          </cell>
          <cell r="G10839">
            <v>0</v>
          </cell>
        </row>
        <row r="10840">
          <cell r="A10840" t="str">
            <v>66-01-01-0291</v>
          </cell>
          <cell r="B10840">
            <v>0</v>
          </cell>
          <cell r="C10840" t="str">
            <v xml:space="preserve">  SALES OF 100/2 COMBED WEAVING</v>
          </cell>
          <cell r="D10840">
            <v>0</v>
          </cell>
          <cell r="E10840">
            <v>140000</v>
          </cell>
          <cell r="F10840">
            <v>0</v>
          </cell>
          <cell r="G10840">
            <v>0</v>
          </cell>
        </row>
        <row r="10841">
          <cell r="A10841" t="str">
            <v>66-01-01-0292</v>
          </cell>
          <cell r="B10841">
            <v>0</v>
          </cell>
          <cell r="C10841" t="str">
            <v xml:space="preserve">  SALES OF 23/S PC</v>
          </cell>
          <cell r="D10841">
            <v>0</v>
          </cell>
          <cell r="E10841">
            <v>138062733</v>
          </cell>
          <cell r="F10841">
            <v>0</v>
          </cell>
          <cell r="G10841">
            <v>0</v>
          </cell>
        </row>
        <row r="10842">
          <cell r="A10842" t="str">
            <v>66-01-01-0293</v>
          </cell>
          <cell r="B10842">
            <v>0</v>
          </cell>
          <cell r="C10842" t="str">
            <v xml:space="preserve">  SALES OF 12/S CARDED LYCRA "B" GRADE</v>
          </cell>
          <cell r="D10842">
            <v>0</v>
          </cell>
          <cell r="E10842">
            <v>0</v>
          </cell>
          <cell r="F10842">
            <v>0</v>
          </cell>
          <cell r="G10842">
            <v>0</v>
          </cell>
        </row>
        <row r="10843">
          <cell r="A10843" t="str">
            <v>66-01-01-0294</v>
          </cell>
          <cell r="B10843">
            <v>0</v>
          </cell>
          <cell r="C10843" t="str">
            <v xml:space="preserve">  SALES OF 30/S CP "B" GRADE</v>
          </cell>
          <cell r="D10843">
            <v>0</v>
          </cell>
          <cell r="E10843">
            <v>18086</v>
          </cell>
          <cell r="F10843">
            <v>0</v>
          </cell>
          <cell r="G10843">
            <v>0</v>
          </cell>
        </row>
        <row r="10844">
          <cell r="A10844" t="str">
            <v>66-01-01-0295</v>
          </cell>
          <cell r="B10844">
            <v>0</v>
          </cell>
          <cell r="C10844" t="str">
            <v xml:space="preserve">  SALES OF 47/S COMBED "B"</v>
          </cell>
          <cell r="D10844">
            <v>0</v>
          </cell>
          <cell r="E10844">
            <v>0</v>
          </cell>
          <cell r="F10844">
            <v>0</v>
          </cell>
          <cell r="G10844">
            <v>0</v>
          </cell>
        </row>
        <row r="10845">
          <cell r="A10845" t="str">
            <v>66-01-01-0296</v>
          </cell>
          <cell r="B10845">
            <v>0</v>
          </cell>
          <cell r="C10845" t="str">
            <v xml:space="preserve">  SALES OF 50/S COMBED LYCRA "B" GRADE</v>
          </cell>
          <cell r="D10845">
            <v>0</v>
          </cell>
          <cell r="E10845">
            <v>8260</v>
          </cell>
          <cell r="F10845">
            <v>0</v>
          </cell>
          <cell r="G10845">
            <v>0</v>
          </cell>
        </row>
        <row r="10846">
          <cell r="A10846" t="str">
            <v>66-01-01-0297</v>
          </cell>
          <cell r="B10846">
            <v>0</v>
          </cell>
          <cell r="C10846" t="str">
            <v xml:space="preserve">  SALES OF 30/S PC MJS</v>
          </cell>
          <cell r="D10846">
            <v>0</v>
          </cell>
          <cell r="E10846">
            <v>0</v>
          </cell>
          <cell r="F10846">
            <v>0</v>
          </cell>
          <cell r="G10846">
            <v>0</v>
          </cell>
        </row>
        <row r="10847">
          <cell r="A10847" t="str">
            <v>66-01-01-0298</v>
          </cell>
          <cell r="B10847">
            <v>0</v>
          </cell>
          <cell r="C10847" t="str">
            <v xml:space="preserve">  SALES OF 18/S CP MJS</v>
          </cell>
          <cell r="D10847">
            <v>0</v>
          </cell>
          <cell r="E10847">
            <v>0</v>
          </cell>
          <cell r="F10847">
            <v>0</v>
          </cell>
          <cell r="G10847">
            <v>0</v>
          </cell>
        </row>
        <row r="10848">
          <cell r="A10848" t="str">
            <v>66-01-01-0299</v>
          </cell>
          <cell r="B10848">
            <v>0</v>
          </cell>
          <cell r="C10848" t="str">
            <v xml:space="preserve">  SALES OF 22/S PC MJS</v>
          </cell>
          <cell r="D10848">
            <v>0</v>
          </cell>
          <cell r="E10848">
            <v>463600</v>
          </cell>
          <cell r="F10848">
            <v>0</v>
          </cell>
          <cell r="G10848">
            <v>0</v>
          </cell>
        </row>
        <row r="10849">
          <cell r="A10849" t="str">
            <v>66-01-01-0300</v>
          </cell>
          <cell r="B10849">
            <v>0</v>
          </cell>
          <cell r="C10849" t="str">
            <v xml:space="preserve">  SALES OF 16/S CD LYCRA PAKISTANI</v>
          </cell>
          <cell r="D10849">
            <v>0</v>
          </cell>
          <cell r="E10849">
            <v>0</v>
          </cell>
          <cell r="F10849">
            <v>0</v>
          </cell>
          <cell r="G10849">
            <v>0</v>
          </cell>
        </row>
        <row r="10850">
          <cell r="A10850" t="str">
            <v>66-01-01-0301</v>
          </cell>
          <cell r="B10850">
            <v>0</v>
          </cell>
          <cell r="C10850" t="str">
            <v xml:space="preserve">  SALES OF 16/S CARDED "B" GRADE</v>
          </cell>
          <cell r="D10850">
            <v>0</v>
          </cell>
          <cell r="E10850">
            <v>72703</v>
          </cell>
          <cell r="F10850">
            <v>0</v>
          </cell>
          <cell r="G10850">
            <v>0</v>
          </cell>
        </row>
        <row r="10851">
          <cell r="A10851" t="str">
            <v>66-01-01-0302</v>
          </cell>
          <cell r="B10851">
            <v>0</v>
          </cell>
          <cell r="C10851" t="str">
            <v xml:space="preserve">  SALES OF 16/S COMBED "B" GRADE</v>
          </cell>
          <cell r="D10851">
            <v>0</v>
          </cell>
          <cell r="E10851">
            <v>34955</v>
          </cell>
          <cell r="F10851">
            <v>0</v>
          </cell>
          <cell r="G10851">
            <v>0</v>
          </cell>
        </row>
        <row r="10852">
          <cell r="A10852" t="str">
            <v>66-01-01-0303</v>
          </cell>
          <cell r="B10852">
            <v>0</v>
          </cell>
          <cell r="C10852" t="str">
            <v xml:space="preserve">  SALES OF 18/S COMBED "B" GRADE</v>
          </cell>
          <cell r="D10852">
            <v>0</v>
          </cell>
          <cell r="E10852">
            <v>0</v>
          </cell>
          <cell r="F10852">
            <v>0</v>
          </cell>
          <cell r="G10852">
            <v>0</v>
          </cell>
        </row>
        <row r="10853">
          <cell r="A10853" t="str">
            <v>66-01-01-0304</v>
          </cell>
          <cell r="B10853">
            <v>0</v>
          </cell>
          <cell r="C10853" t="str">
            <v xml:space="preserve">  SALES OF 20/S PC "B" GRADE</v>
          </cell>
          <cell r="D10853">
            <v>0</v>
          </cell>
          <cell r="E10853">
            <v>30981</v>
          </cell>
          <cell r="F10853">
            <v>0</v>
          </cell>
          <cell r="G10853">
            <v>0</v>
          </cell>
        </row>
        <row r="10854">
          <cell r="A10854" t="str">
            <v>66-01-01-0305</v>
          </cell>
          <cell r="B10854">
            <v>0</v>
          </cell>
          <cell r="C10854" t="str">
            <v xml:space="preserve">  SALES OF 80/S COMBED PIMA</v>
          </cell>
          <cell r="D10854">
            <v>0</v>
          </cell>
          <cell r="E10854">
            <v>101936945</v>
          </cell>
          <cell r="F10854">
            <v>0</v>
          </cell>
          <cell r="G10854">
            <v>0</v>
          </cell>
        </row>
        <row r="10855">
          <cell r="A10855" t="str">
            <v>66-01-01-0306</v>
          </cell>
          <cell r="B10855">
            <v>0</v>
          </cell>
          <cell r="C10855" t="str">
            <v xml:space="preserve">  SALES OF 40/S CP COMBED H/W</v>
          </cell>
          <cell r="D10855">
            <v>0</v>
          </cell>
          <cell r="E10855">
            <v>0</v>
          </cell>
          <cell r="F10855">
            <v>0</v>
          </cell>
          <cell r="G10855">
            <v>0</v>
          </cell>
        </row>
        <row r="10856">
          <cell r="A10856" t="str">
            <v>66-01-01-0307</v>
          </cell>
          <cell r="B10856">
            <v>0</v>
          </cell>
          <cell r="C10856" t="str">
            <v xml:space="preserve">  SALES OF 16/S CARDED LYC "B"</v>
          </cell>
          <cell r="D10856">
            <v>0</v>
          </cell>
          <cell r="E10856">
            <v>18780</v>
          </cell>
          <cell r="F10856">
            <v>0</v>
          </cell>
          <cell r="G10856">
            <v>0</v>
          </cell>
        </row>
        <row r="10857">
          <cell r="A10857" t="str">
            <v>66-01-01-0308</v>
          </cell>
          <cell r="B10857">
            <v>0</v>
          </cell>
          <cell r="C10857" t="str">
            <v xml:space="preserve">  SALES OF 16/S COMBED LYCRA "B"</v>
          </cell>
          <cell r="D10857">
            <v>0</v>
          </cell>
          <cell r="E10857">
            <v>6608</v>
          </cell>
          <cell r="F10857">
            <v>0</v>
          </cell>
          <cell r="G10857">
            <v>0</v>
          </cell>
        </row>
        <row r="10858">
          <cell r="A10858" t="str">
            <v>66-01-01-0309</v>
          </cell>
          <cell r="B10858">
            <v>0</v>
          </cell>
          <cell r="C10858" t="str">
            <v xml:space="preserve">  SALES OF 22/S PC "B" GRADE</v>
          </cell>
          <cell r="D10858">
            <v>0</v>
          </cell>
          <cell r="E10858">
            <v>0</v>
          </cell>
          <cell r="F10858">
            <v>0</v>
          </cell>
          <cell r="G10858">
            <v>0</v>
          </cell>
        </row>
        <row r="10859">
          <cell r="A10859" t="str">
            <v>66-01-01-0310</v>
          </cell>
          <cell r="B10859">
            <v>0</v>
          </cell>
          <cell r="C10859" t="str">
            <v xml:space="preserve">  SALES OF 24/S COMBED "B" GRADE</v>
          </cell>
          <cell r="D10859">
            <v>0</v>
          </cell>
          <cell r="E10859">
            <v>7565</v>
          </cell>
          <cell r="F10859">
            <v>0</v>
          </cell>
          <cell r="G10859">
            <v>0</v>
          </cell>
        </row>
        <row r="10860">
          <cell r="A10860" t="str">
            <v>66-01-01-0311</v>
          </cell>
          <cell r="B10860">
            <v>0</v>
          </cell>
          <cell r="C10860" t="str">
            <v xml:space="preserve">  SALES OF 24/S COMBED LYCRA "B" GRADE</v>
          </cell>
          <cell r="D10860">
            <v>0</v>
          </cell>
          <cell r="E10860">
            <v>0</v>
          </cell>
          <cell r="F10860">
            <v>0</v>
          </cell>
          <cell r="G10860">
            <v>0</v>
          </cell>
        </row>
        <row r="10861">
          <cell r="A10861" t="str">
            <v>66-01-01-0312</v>
          </cell>
          <cell r="B10861">
            <v>0</v>
          </cell>
          <cell r="C10861" t="str">
            <v xml:space="preserve">  SALES OF 30/S COMBED LYCRA "B" GRADE</v>
          </cell>
          <cell r="D10861">
            <v>0</v>
          </cell>
          <cell r="E10861">
            <v>1192260</v>
          </cell>
          <cell r="F10861">
            <v>0</v>
          </cell>
          <cell r="G10861">
            <v>0</v>
          </cell>
        </row>
        <row r="10862">
          <cell r="A10862" t="str">
            <v>66-01-01-0313</v>
          </cell>
          <cell r="B10862">
            <v>0</v>
          </cell>
          <cell r="C10862" t="str">
            <v xml:space="preserve">  SALES OF 24/S CARDED "B" GRADE</v>
          </cell>
          <cell r="D10862">
            <v>0</v>
          </cell>
          <cell r="E10862">
            <v>13304</v>
          </cell>
          <cell r="F10862">
            <v>0</v>
          </cell>
          <cell r="G10862">
            <v>0</v>
          </cell>
        </row>
        <row r="10863">
          <cell r="A10863" t="str">
            <v>66-01-01-0314</v>
          </cell>
          <cell r="B10863">
            <v>0</v>
          </cell>
          <cell r="C10863" t="str">
            <v xml:space="preserve">  SALES OF 32/S CP "B" GRADE</v>
          </cell>
          <cell r="D10863">
            <v>0</v>
          </cell>
          <cell r="E10863">
            <v>0</v>
          </cell>
          <cell r="F10863">
            <v>0</v>
          </cell>
          <cell r="G10863">
            <v>0</v>
          </cell>
        </row>
        <row r="10864">
          <cell r="A10864" t="str">
            <v>66-01-01-0315</v>
          </cell>
          <cell r="B10864">
            <v>0</v>
          </cell>
          <cell r="C10864" t="str">
            <v xml:space="preserve">  SALES OF 07/S CARDED "B" GRADE</v>
          </cell>
          <cell r="D10864">
            <v>0</v>
          </cell>
          <cell r="E10864">
            <v>3304</v>
          </cell>
          <cell r="F10864">
            <v>0</v>
          </cell>
          <cell r="G10864">
            <v>0</v>
          </cell>
        </row>
        <row r="10865">
          <cell r="A10865" t="str">
            <v>66-01-01-0316</v>
          </cell>
          <cell r="B10865">
            <v>0</v>
          </cell>
          <cell r="C10865" t="str">
            <v xml:space="preserve">  SALES OF 80/S COMBED "B" GRADE</v>
          </cell>
          <cell r="D10865">
            <v>0</v>
          </cell>
          <cell r="E10865">
            <v>230711</v>
          </cell>
          <cell r="F10865">
            <v>0</v>
          </cell>
          <cell r="G10865">
            <v>0</v>
          </cell>
        </row>
        <row r="10866">
          <cell r="A10866" t="str">
            <v>66-01-01-0317</v>
          </cell>
          <cell r="B10866">
            <v>0</v>
          </cell>
          <cell r="C10866" t="str">
            <v xml:space="preserve">  SALES OF 40/S POLY MJS</v>
          </cell>
          <cell r="D10866">
            <v>0</v>
          </cell>
          <cell r="E10866">
            <v>0</v>
          </cell>
          <cell r="F10866">
            <v>0</v>
          </cell>
          <cell r="G10866">
            <v>0</v>
          </cell>
        </row>
        <row r="10867">
          <cell r="A10867" t="str">
            <v>66-01-01-0318</v>
          </cell>
          <cell r="B10867">
            <v>0</v>
          </cell>
          <cell r="C10867" t="str">
            <v xml:space="preserve">  SALES OF 10/S CARDED LYCRA "B"</v>
          </cell>
          <cell r="D10867">
            <v>0</v>
          </cell>
          <cell r="E10867">
            <v>3304</v>
          </cell>
          <cell r="F10867">
            <v>0</v>
          </cell>
          <cell r="G10867">
            <v>0</v>
          </cell>
        </row>
        <row r="10868">
          <cell r="A10868" t="str">
            <v>66-01-01-0319</v>
          </cell>
          <cell r="B10868">
            <v>0</v>
          </cell>
          <cell r="C10868" t="str">
            <v xml:space="preserve">  SALES OF 20/S COMBED LYCRA "B"</v>
          </cell>
          <cell r="D10868">
            <v>0</v>
          </cell>
          <cell r="E10868">
            <v>0</v>
          </cell>
          <cell r="F10868">
            <v>0</v>
          </cell>
          <cell r="G10868">
            <v>0</v>
          </cell>
        </row>
        <row r="10869">
          <cell r="A10869" t="str">
            <v>66-01-01-0320</v>
          </cell>
          <cell r="B10869">
            <v>0</v>
          </cell>
          <cell r="C10869" t="str">
            <v xml:space="preserve">  SALES OF 40/S CP "B"</v>
          </cell>
          <cell r="D10869">
            <v>0</v>
          </cell>
          <cell r="E10869">
            <v>402690</v>
          </cell>
          <cell r="F10869">
            <v>0</v>
          </cell>
          <cell r="G10869">
            <v>0</v>
          </cell>
        </row>
        <row r="10870">
          <cell r="A10870" t="str">
            <v>66-01-01-0321</v>
          </cell>
          <cell r="B10870">
            <v>0</v>
          </cell>
          <cell r="C10870" t="str">
            <v xml:space="preserve">  SALES OF 14/S CARDED LYCRA "B" GRADE</v>
          </cell>
          <cell r="D10870">
            <v>0</v>
          </cell>
          <cell r="E10870">
            <v>6608</v>
          </cell>
          <cell r="F10870">
            <v>0</v>
          </cell>
          <cell r="G10870">
            <v>0</v>
          </cell>
        </row>
        <row r="10871">
          <cell r="A10871" t="str">
            <v>66-01-01-0322</v>
          </cell>
          <cell r="B10871">
            <v>0</v>
          </cell>
          <cell r="C10871" t="str">
            <v xml:space="preserve">  SALES OF 22/S CARDED "B" GRADE</v>
          </cell>
          <cell r="D10871">
            <v>0</v>
          </cell>
          <cell r="E10871">
            <v>0</v>
          </cell>
          <cell r="F10871">
            <v>0</v>
          </cell>
          <cell r="G10871">
            <v>0</v>
          </cell>
        </row>
        <row r="10872">
          <cell r="A10872" t="str">
            <v>66-01-01-0323</v>
          </cell>
          <cell r="B10872">
            <v>0</v>
          </cell>
          <cell r="C10872" t="str">
            <v xml:space="preserve">  SALES OF 30/S PC "B" GRADE</v>
          </cell>
          <cell r="D10872">
            <v>0</v>
          </cell>
          <cell r="E10872">
            <v>207413</v>
          </cell>
          <cell r="F10872">
            <v>0</v>
          </cell>
          <cell r="G10872">
            <v>0</v>
          </cell>
        </row>
        <row r="10873">
          <cell r="A10873" t="str">
            <v>66-01-01-0324</v>
          </cell>
          <cell r="B10873">
            <v>0</v>
          </cell>
          <cell r="C10873" t="str">
            <v xml:space="preserve">  SALES OF 32/S COMBED "B" GRADE</v>
          </cell>
          <cell r="D10873">
            <v>0</v>
          </cell>
          <cell r="E10873">
            <v>50171</v>
          </cell>
          <cell r="F10873">
            <v>0</v>
          </cell>
          <cell r="G10873">
            <v>0</v>
          </cell>
        </row>
        <row r="10874">
          <cell r="A10874" t="str">
            <v>66-01-01-0325</v>
          </cell>
          <cell r="B10874">
            <v>0</v>
          </cell>
          <cell r="C10874" t="str">
            <v xml:space="preserve">  SALES OF 60/S POLY MJS</v>
          </cell>
          <cell r="D10874">
            <v>0</v>
          </cell>
          <cell r="E10874">
            <v>0</v>
          </cell>
          <cell r="F10874">
            <v>0</v>
          </cell>
          <cell r="G10874">
            <v>0</v>
          </cell>
        </row>
        <row r="10875">
          <cell r="A10875" t="str">
            <v>66-01-01-0326</v>
          </cell>
          <cell r="B10875">
            <v>0</v>
          </cell>
          <cell r="C10875" t="str">
            <v xml:space="preserve">  SALES OF 47/S COMBED WEAVING</v>
          </cell>
          <cell r="D10875">
            <v>0</v>
          </cell>
          <cell r="E10875">
            <v>0</v>
          </cell>
          <cell r="F10875">
            <v>0</v>
          </cell>
          <cell r="G10875">
            <v>0</v>
          </cell>
        </row>
        <row r="10876">
          <cell r="A10876" t="str">
            <v>66-01-01-0327</v>
          </cell>
          <cell r="B10876">
            <v>0</v>
          </cell>
          <cell r="C10876" t="str">
            <v xml:space="preserve">  SALES OF 10/S CP "B" GRADE</v>
          </cell>
          <cell r="D10876">
            <v>0</v>
          </cell>
          <cell r="E10876">
            <v>77736</v>
          </cell>
          <cell r="F10876">
            <v>0</v>
          </cell>
          <cell r="G10876">
            <v>0</v>
          </cell>
        </row>
        <row r="10877">
          <cell r="A10877" t="str">
            <v>66-01-01-0328</v>
          </cell>
          <cell r="B10877">
            <v>0</v>
          </cell>
          <cell r="C10877" t="str">
            <v xml:space="preserve">  SALES OF 60/S COMBED LYCRA 40</v>
          </cell>
          <cell r="D10877">
            <v>0</v>
          </cell>
          <cell r="E10877">
            <v>960000</v>
          </cell>
          <cell r="F10877">
            <v>0</v>
          </cell>
          <cell r="G10877">
            <v>0</v>
          </cell>
        </row>
        <row r="10878">
          <cell r="A10878" t="str">
            <v>66-01-01-0329</v>
          </cell>
          <cell r="B10878">
            <v>0</v>
          </cell>
          <cell r="C10878" t="str">
            <v xml:space="preserve">  SALES OF 100/S COMBED PIMA</v>
          </cell>
          <cell r="D10878">
            <v>0</v>
          </cell>
          <cell r="E10878">
            <v>3078500</v>
          </cell>
          <cell r="F10878">
            <v>0</v>
          </cell>
          <cell r="G10878">
            <v>0</v>
          </cell>
        </row>
        <row r="10879">
          <cell r="A10879" t="str">
            <v>66-01-01-0330</v>
          </cell>
          <cell r="B10879">
            <v>0</v>
          </cell>
          <cell r="C10879" t="str">
            <v xml:space="preserve">  SALES OF 14/S PC MJS</v>
          </cell>
          <cell r="D10879">
            <v>0</v>
          </cell>
          <cell r="E10879">
            <v>0</v>
          </cell>
          <cell r="F10879">
            <v>0</v>
          </cell>
          <cell r="G10879">
            <v>0</v>
          </cell>
        </row>
        <row r="10880">
          <cell r="A10880" t="str">
            <v>66-01-01-0331</v>
          </cell>
          <cell r="B10880">
            <v>0</v>
          </cell>
          <cell r="C10880" t="str">
            <v xml:space="preserve">  SALES OF 12/S POLY "B" GRADE</v>
          </cell>
          <cell r="D10880">
            <v>0</v>
          </cell>
          <cell r="E10880">
            <v>13999</v>
          </cell>
          <cell r="F10880">
            <v>0</v>
          </cell>
          <cell r="G10880">
            <v>0</v>
          </cell>
        </row>
        <row r="10881">
          <cell r="A10881" t="str">
            <v>66-01-01-0332</v>
          </cell>
          <cell r="B10881">
            <v>0</v>
          </cell>
          <cell r="C10881" t="str">
            <v xml:space="preserve">  SALES OF 36/S COMBED "B" GRADE</v>
          </cell>
          <cell r="D10881">
            <v>0</v>
          </cell>
          <cell r="E10881">
            <v>35911</v>
          </cell>
          <cell r="F10881">
            <v>0</v>
          </cell>
          <cell r="G10881">
            <v>0</v>
          </cell>
        </row>
        <row r="10882">
          <cell r="A10882" t="str">
            <v>66-01-01-0333</v>
          </cell>
          <cell r="B10882">
            <v>0</v>
          </cell>
          <cell r="C10882" t="str">
            <v xml:space="preserve">  SALES OF 40/S CP 58% 42%</v>
          </cell>
          <cell r="D10882">
            <v>0</v>
          </cell>
          <cell r="E10882">
            <v>0</v>
          </cell>
          <cell r="F10882">
            <v>0</v>
          </cell>
          <cell r="G10882">
            <v>0</v>
          </cell>
        </row>
        <row r="10883">
          <cell r="A10883" t="str">
            <v>66-01-01-0334</v>
          </cell>
          <cell r="B10883">
            <v>0</v>
          </cell>
          <cell r="C10883" t="str">
            <v xml:space="preserve">  SALES OF 120/S COMBED WEAVING</v>
          </cell>
          <cell r="D10883">
            <v>0</v>
          </cell>
          <cell r="E10883">
            <v>1383500</v>
          </cell>
          <cell r="F10883">
            <v>0</v>
          </cell>
          <cell r="G10883">
            <v>0</v>
          </cell>
        </row>
        <row r="10884">
          <cell r="A10884" t="str">
            <v>66-01-01-0335</v>
          </cell>
          <cell r="B10884">
            <v>0</v>
          </cell>
          <cell r="C10884" t="str">
            <v xml:space="preserve">  SALES OF 16/S PC MJS</v>
          </cell>
          <cell r="D10884">
            <v>0</v>
          </cell>
          <cell r="E10884">
            <v>109200</v>
          </cell>
          <cell r="F10884">
            <v>0</v>
          </cell>
          <cell r="G10884">
            <v>0</v>
          </cell>
        </row>
        <row r="10885">
          <cell r="A10885" t="str">
            <v>66-01-01-0336</v>
          </cell>
          <cell r="B10885">
            <v>0</v>
          </cell>
          <cell r="C10885" t="str">
            <v xml:space="preserve">  SALES OF 20/S PC MJS</v>
          </cell>
          <cell r="D10885">
            <v>0</v>
          </cell>
          <cell r="E10885">
            <v>98700</v>
          </cell>
          <cell r="F10885">
            <v>0</v>
          </cell>
          <cell r="G10885">
            <v>0</v>
          </cell>
        </row>
        <row r="10886">
          <cell r="A10886" t="str">
            <v>66-01-01-0337</v>
          </cell>
          <cell r="B10886">
            <v>0</v>
          </cell>
          <cell r="C10886" t="str">
            <v xml:space="preserve">  SALES OF 14/S PC "B" GRADE</v>
          </cell>
          <cell r="D10886">
            <v>0</v>
          </cell>
          <cell r="E10886">
            <v>0</v>
          </cell>
          <cell r="F10886">
            <v>0</v>
          </cell>
          <cell r="G10886">
            <v>0</v>
          </cell>
        </row>
        <row r="10887">
          <cell r="A10887" t="str">
            <v>66-01-01-0338</v>
          </cell>
          <cell r="B10887">
            <v>0</v>
          </cell>
          <cell r="C10887" t="str">
            <v xml:space="preserve">  SALES OF 26/S PC "B" GRADE</v>
          </cell>
          <cell r="D10887">
            <v>0</v>
          </cell>
          <cell r="E10887">
            <v>0</v>
          </cell>
          <cell r="F10887">
            <v>0</v>
          </cell>
          <cell r="G10887">
            <v>0</v>
          </cell>
        </row>
        <row r="10888">
          <cell r="A10888" t="str">
            <v>66-01-01-0339</v>
          </cell>
          <cell r="B10888">
            <v>0</v>
          </cell>
          <cell r="C10888" t="str">
            <v xml:space="preserve">  SALES OF 22/S POLY MJS</v>
          </cell>
          <cell r="D10888">
            <v>0</v>
          </cell>
          <cell r="E10888">
            <v>0</v>
          </cell>
          <cell r="F10888">
            <v>0</v>
          </cell>
          <cell r="G10888">
            <v>0</v>
          </cell>
        </row>
        <row r="10889">
          <cell r="A10889" t="str">
            <v>66-01-01-0340</v>
          </cell>
          <cell r="B10889">
            <v>0</v>
          </cell>
          <cell r="C10889" t="str">
            <v xml:space="preserve">  SALES OF 10/S COTTON WEFT</v>
          </cell>
          <cell r="D10889">
            <v>0</v>
          </cell>
          <cell r="E10889">
            <v>18191500</v>
          </cell>
          <cell r="F10889">
            <v>0</v>
          </cell>
          <cell r="G10889">
            <v>0</v>
          </cell>
        </row>
        <row r="10890">
          <cell r="A10890" t="str">
            <v>66-01-01-0341</v>
          </cell>
          <cell r="B10890">
            <v>0</v>
          </cell>
          <cell r="C10890" t="str">
            <v xml:space="preserve">  SALES OF 30/S PCV "Z" TWIST</v>
          </cell>
          <cell r="D10890">
            <v>0</v>
          </cell>
          <cell r="E10890">
            <v>0</v>
          </cell>
          <cell r="F10890">
            <v>0</v>
          </cell>
          <cell r="G10890">
            <v>0</v>
          </cell>
        </row>
        <row r="10891">
          <cell r="A10891" t="str">
            <v>66-01-01-0342</v>
          </cell>
          <cell r="B10891">
            <v>0</v>
          </cell>
          <cell r="C10891" t="str">
            <v xml:space="preserve">  SALES OF 26/S PC MJS</v>
          </cell>
          <cell r="D10891">
            <v>0</v>
          </cell>
          <cell r="E10891">
            <v>0</v>
          </cell>
          <cell r="F10891">
            <v>0</v>
          </cell>
          <cell r="G10891">
            <v>0</v>
          </cell>
        </row>
        <row r="10892">
          <cell r="A10892" t="str">
            <v>66-01-01-0343</v>
          </cell>
          <cell r="B10892">
            <v>0</v>
          </cell>
          <cell r="C10892" t="str">
            <v xml:space="preserve">  SALES OF 10/S POLY "B"</v>
          </cell>
          <cell r="D10892">
            <v>0</v>
          </cell>
          <cell r="E10892">
            <v>13043</v>
          </cell>
          <cell r="F10892">
            <v>0</v>
          </cell>
          <cell r="G10892">
            <v>0</v>
          </cell>
        </row>
        <row r="10893">
          <cell r="A10893" t="str">
            <v>66-01-01-0344</v>
          </cell>
          <cell r="B10893">
            <v>0</v>
          </cell>
          <cell r="C10893" t="str">
            <v xml:space="preserve">  SALES OF 26/S POLY "B"</v>
          </cell>
          <cell r="D10893">
            <v>0</v>
          </cell>
          <cell r="E10893">
            <v>0</v>
          </cell>
          <cell r="F10893">
            <v>0</v>
          </cell>
          <cell r="G10893">
            <v>0</v>
          </cell>
        </row>
        <row r="10894">
          <cell r="A10894" t="str">
            <v>66-01-01-0345</v>
          </cell>
          <cell r="B10894">
            <v>0</v>
          </cell>
          <cell r="C10894" t="str">
            <v xml:space="preserve">  SALES OF 18/S PC MJS</v>
          </cell>
          <cell r="D10894">
            <v>0</v>
          </cell>
          <cell r="E10894">
            <v>0</v>
          </cell>
          <cell r="F10894">
            <v>0</v>
          </cell>
          <cell r="G10894">
            <v>0</v>
          </cell>
        </row>
        <row r="10895">
          <cell r="A10895" t="str">
            <v>66-01-01-0346</v>
          </cell>
          <cell r="B10895">
            <v>0</v>
          </cell>
          <cell r="C10895" t="str">
            <v xml:space="preserve">  SALES OF 70/S COMBED "B" GRADE</v>
          </cell>
          <cell r="D10895">
            <v>0</v>
          </cell>
          <cell r="E10895">
            <v>7826</v>
          </cell>
          <cell r="F10895">
            <v>0</v>
          </cell>
          <cell r="G10895">
            <v>0</v>
          </cell>
        </row>
        <row r="10896">
          <cell r="A10896" t="str">
            <v>66-01-01-0347</v>
          </cell>
          <cell r="B10896">
            <v>0</v>
          </cell>
          <cell r="C10896" t="str">
            <v xml:space="preserve">  SALES OF 38/S PC MJS</v>
          </cell>
          <cell r="D10896">
            <v>0</v>
          </cell>
          <cell r="E10896">
            <v>0</v>
          </cell>
          <cell r="F10896">
            <v>0</v>
          </cell>
          <cell r="G10896">
            <v>0</v>
          </cell>
        </row>
        <row r="10897">
          <cell r="A10897" t="str">
            <v>66-01-01-0348</v>
          </cell>
          <cell r="B10897">
            <v>0</v>
          </cell>
          <cell r="C10897" t="str">
            <v xml:space="preserve">  SALES OF 60/S COMBED PIMA</v>
          </cell>
          <cell r="D10897">
            <v>0</v>
          </cell>
          <cell r="E10897">
            <v>33938200</v>
          </cell>
          <cell r="F10897">
            <v>0</v>
          </cell>
          <cell r="G10897">
            <v>0</v>
          </cell>
        </row>
        <row r="10898">
          <cell r="A10898" t="str">
            <v>66-01-01-0349</v>
          </cell>
          <cell r="B10898">
            <v>0</v>
          </cell>
          <cell r="C10898" t="str">
            <v xml:space="preserve">  SALES OF 12/S PC MJS</v>
          </cell>
          <cell r="D10898">
            <v>0</v>
          </cell>
          <cell r="E10898">
            <v>0</v>
          </cell>
          <cell r="F10898">
            <v>0</v>
          </cell>
          <cell r="G10898">
            <v>0</v>
          </cell>
        </row>
        <row r="10899">
          <cell r="A10899" t="str">
            <v>66-01-01-0350</v>
          </cell>
          <cell r="B10899">
            <v>0</v>
          </cell>
          <cell r="C10899" t="str">
            <v xml:space="preserve">  SALES OF 10/S PC MJS</v>
          </cell>
          <cell r="D10899">
            <v>0</v>
          </cell>
          <cell r="E10899">
            <v>0</v>
          </cell>
          <cell r="F10899">
            <v>0</v>
          </cell>
          <cell r="G10899">
            <v>0</v>
          </cell>
        </row>
        <row r="10900">
          <cell r="A10900" t="str">
            <v>66-01-01-0351</v>
          </cell>
          <cell r="B10900">
            <v>0</v>
          </cell>
          <cell r="C10900" t="str">
            <v xml:space="preserve">  SALES OF 30/S PVB "B" GRADE</v>
          </cell>
          <cell r="D10900">
            <v>0</v>
          </cell>
          <cell r="E10900">
            <v>0</v>
          </cell>
          <cell r="F10900">
            <v>0</v>
          </cell>
          <cell r="G10900">
            <v>0</v>
          </cell>
        </row>
        <row r="10901">
          <cell r="A10901" t="str">
            <v>66-01-01-0352</v>
          </cell>
          <cell r="B10901">
            <v>0</v>
          </cell>
          <cell r="C10901" t="str">
            <v xml:space="preserve">  SALES OF 32/S CARDED "B" GRADE</v>
          </cell>
          <cell r="D10901">
            <v>0</v>
          </cell>
          <cell r="E10901">
            <v>0</v>
          </cell>
          <cell r="F10901">
            <v>0</v>
          </cell>
          <cell r="G10901">
            <v>0</v>
          </cell>
        </row>
        <row r="10902">
          <cell r="A10902" t="str">
            <v>66-01-01-0353</v>
          </cell>
          <cell r="B10902">
            <v>0</v>
          </cell>
          <cell r="C10902" t="str">
            <v xml:space="preserve">  SALES OF 60/S COMBED LYCRA "B" GRADE</v>
          </cell>
          <cell r="D10902">
            <v>0</v>
          </cell>
          <cell r="E10902">
            <v>4782</v>
          </cell>
          <cell r="F10902">
            <v>0</v>
          </cell>
          <cell r="G10902">
            <v>0</v>
          </cell>
        </row>
        <row r="10903">
          <cell r="A10903" t="str">
            <v>66-01-01-0354</v>
          </cell>
          <cell r="B10903">
            <v>0</v>
          </cell>
          <cell r="C10903" t="str">
            <v xml:space="preserve">  SALES OF 32/S CARDED LYCRA</v>
          </cell>
          <cell r="D10903">
            <v>0</v>
          </cell>
          <cell r="E10903">
            <v>871500</v>
          </cell>
          <cell r="F10903">
            <v>0</v>
          </cell>
          <cell r="G10903">
            <v>0</v>
          </cell>
        </row>
        <row r="10904">
          <cell r="A10904" t="str">
            <v>66-01-01-0355</v>
          </cell>
          <cell r="B10904">
            <v>0</v>
          </cell>
          <cell r="C10904" t="str">
            <v xml:space="preserve">  SALES OF 06/S CARDED "B" GRADE</v>
          </cell>
          <cell r="D10904">
            <v>0</v>
          </cell>
          <cell r="E10904">
            <v>0</v>
          </cell>
          <cell r="F10904">
            <v>0</v>
          </cell>
          <cell r="G10904">
            <v>0</v>
          </cell>
        </row>
        <row r="10905">
          <cell r="A10905" t="str">
            <v>66-01-01-0356</v>
          </cell>
          <cell r="B10905">
            <v>0</v>
          </cell>
          <cell r="C10905" t="str">
            <v xml:space="preserve">  SALES OF 20.5/S CARDED "B" GRADE</v>
          </cell>
          <cell r="D10905">
            <v>0</v>
          </cell>
          <cell r="E10905">
            <v>16346</v>
          </cell>
          <cell r="F10905">
            <v>0</v>
          </cell>
          <cell r="G10905">
            <v>0</v>
          </cell>
        </row>
        <row r="10906">
          <cell r="A10906" t="str">
            <v>66-01-01-0357</v>
          </cell>
          <cell r="B10906">
            <v>0</v>
          </cell>
          <cell r="C10906" t="str">
            <v xml:space="preserve">  SALES OF 100/S COMBED "B" GRADE</v>
          </cell>
          <cell r="D10906">
            <v>0</v>
          </cell>
          <cell r="E10906">
            <v>105732</v>
          </cell>
          <cell r="F10906">
            <v>0</v>
          </cell>
          <cell r="G10906">
            <v>0</v>
          </cell>
        </row>
        <row r="10907">
          <cell r="A10907" t="str">
            <v>66-01-01-0358</v>
          </cell>
          <cell r="B10907">
            <v>0</v>
          </cell>
          <cell r="C10907" t="str">
            <v xml:space="preserve">  SALES OF 40/S COMBED LYCRA "B" GRADE</v>
          </cell>
          <cell r="D10907">
            <v>0</v>
          </cell>
          <cell r="E10907">
            <v>0</v>
          </cell>
          <cell r="F10907">
            <v>0</v>
          </cell>
          <cell r="G10907">
            <v>0</v>
          </cell>
        </row>
        <row r="10908">
          <cell r="A10908" t="str">
            <v>66-01-01-0359</v>
          </cell>
          <cell r="B10908">
            <v>0</v>
          </cell>
          <cell r="C10908" t="str">
            <v xml:space="preserve">  SALES OF 36/S COMBED LYCRA "B" GRADE</v>
          </cell>
          <cell r="D10908">
            <v>0</v>
          </cell>
          <cell r="E10908">
            <v>0</v>
          </cell>
          <cell r="F10908">
            <v>0</v>
          </cell>
          <cell r="G10908">
            <v>0</v>
          </cell>
        </row>
        <row r="10909">
          <cell r="A10909" t="str">
            <v>66-01-01-0360</v>
          </cell>
          <cell r="B10909">
            <v>0</v>
          </cell>
          <cell r="C10909" t="str">
            <v xml:space="preserve">  SALES OF 30/S POLY "B" GRADE</v>
          </cell>
          <cell r="D10909">
            <v>0</v>
          </cell>
          <cell r="E10909">
            <v>11826</v>
          </cell>
          <cell r="F10909">
            <v>0</v>
          </cell>
          <cell r="G10909">
            <v>0</v>
          </cell>
        </row>
        <row r="10910">
          <cell r="A10910" t="str">
            <v>66-01-01-0361</v>
          </cell>
          <cell r="B10910">
            <v>0</v>
          </cell>
          <cell r="C10910" t="str">
            <v xml:space="preserve">  SALES OF 15/S PC "B" GRADE</v>
          </cell>
          <cell r="D10910">
            <v>0</v>
          </cell>
          <cell r="E10910">
            <v>0</v>
          </cell>
          <cell r="F10910">
            <v>0</v>
          </cell>
          <cell r="G10910">
            <v>0</v>
          </cell>
        </row>
        <row r="10911">
          <cell r="A10911" t="str">
            <v>66-01-01-0362</v>
          </cell>
          <cell r="B10911">
            <v>0</v>
          </cell>
          <cell r="C10911" t="str">
            <v xml:space="preserve">  SALES OF 60/2 COMBED WEAVING</v>
          </cell>
          <cell r="D10911">
            <v>0</v>
          </cell>
          <cell r="E10911">
            <v>0</v>
          </cell>
          <cell r="F10911">
            <v>0</v>
          </cell>
          <cell r="G10911">
            <v>0</v>
          </cell>
        </row>
        <row r="10912">
          <cell r="A10912" t="str">
            <v>66-01-01-0363</v>
          </cell>
          <cell r="B10912">
            <v>0</v>
          </cell>
          <cell r="C10912" t="str">
            <v xml:space="preserve">  SALES OF 15.5/S PC</v>
          </cell>
          <cell r="D10912">
            <v>0</v>
          </cell>
          <cell r="E10912">
            <v>2213750</v>
          </cell>
          <cell r="F10912">
            <v>0</v>
          </cell>
          <cell r="G10912">
            <v>0</v>
          </cell>
        </row>
        <row r="10913">
          <cell r="A10913" t="str">
            <v>66-01-01-0364</v>
          </cell>
          <cell r="B10913">
            <v>0</v>
          </cell>
          <cell r="C10913" t="str">
            <v xml:space="preserve">  SALES OF 26.5/S PC</v>
          </cell>
          <cell r="D10913">
            <v>0</v>
          </cell>
          <cell r="E10913">
            <v>0</v>
          </cell>
          <cell r="F10913">
            <v>0</v>
          </cell>
          <cell r="G10913">
            <v>0</v>
          </cell>
        </row>
        <row r="10914">
          <cell r="A10914" t="str">
            <v>66-01-01-0365</v>
          </cell>
          <cell r="B10914">
            <v>0</v>
          </cell>
          <cell r="C10914" t="str">
            <v xml:space="preserve">  SALES OF 20/S CARDED LYCRA</v>
          </cell>
          <cell r="D10914">
            <v>0</v>
          </cell>
          <cell r="E10914">
            <v>2260</v>
          </cell>
          <cell r="F10914">
            <v>0</v>
          </cell>
          <cell r="G10914">
            <v>0</v>
          </cell>
        </row>
        <row r="10915">
          <cell r="A10915" t="str">
            <v>66-01-01-0366</v>
          </cell>
          <cell r="B10915">
            <v>0</v>
          </cell>
          <cell r="C10915" t="str">
            <v xml:space="preserve">  SALES OF 45/S CP</v>
          </cell>
          <cell r="D10915">
            <v>0</v>
          </cell>
          <cell r="E10915">
            <v>0</v>
          </cell>
          <cell r="F10915">
            <v>0</v>
          </cell>
          <cell r="G10915">
            <v>0</v>
          </cell>
        </row>
        <row r="10916">
          <cell r="A10916" t="str">
            <v>66-01-01-0367</v>
          </cell>
          <cell r="B10916">
            <v>0</v>
          </cell>
          <cell r="C10916" t="str">
            <v xml:space="preserve">  SALES OF 40/2 COMBED LYCRA</v>
          </cell>
          <cell r="D10916">
            <v>0</v>
          </cell>
          <cell r="E10916">
            <v>1941798</v>
          </cell>
          <cell r="F10916">
            <v>0</v>
          </cell>
          <cell r="G10916">
            <v>0</v>
          </cell>
        </row>
        <row r="10917">
          <cell r="A10917" t="str">
            <v>66-01-01-0368</v>
          </cell>
          <cell r="B10917">
            <v>0</v>
          </cell>
          <cell r="C10917" t="str">
            <v xml:space="preserve">  SALES OF 32/S CARDED ELASPAN</v>
          </cell>
          <cell r="D10917">
            <v>0</v>
          </cell>
          <cell r="E10917">
            <v>675450</v>
          </cell>
          <cell r="F10917">
            <v>0</v>
          </cell>
          <cell r="G10917">
            <v>0</v>
          </cell>
        </row>
        <row r="10918">
          <cell r="A10918" t="str">
            <v>66-01-01-0369</v>
          </cell>
          <cell r="B10918">
            <v>0</v>
          </cell>
          <cell r="C10918" t="str">
            <v xml:space="preserve">  SALES OF 20/S CP "B" GRADE</v>
          </cell>
          <cell r="D10918">
            <v>0</v>
          </cell>
          <cell r="E10918">
            <v>49781</v>
          </cell>
          <cell r="F10918">
            <v>0</v>
          </cell>
          <cell r="G10918">
            <v>0</v>
          </cell>
        </row>
        <row r="10919">
          <cell r="A10919" t="str">
            <v>66-01-01-0370</v>
          </cell>
          <cell r="B10919">
            <v>0</v>
          </cell>
          <cell r="C10919" t="str">
            <v xml:space="preserve">  SALES OF 15.5/S PC "B" GRADE</v>
          </cell>
          <cell r="D10919">
            <v>0</v>
          </cell>
          <cell r="E10919">
            <v>19565</v>
          </cell>
          <cell r="F10919">
            <v>0</v>
          </cell>
          <cell r="G10919">
            <v>0</v>
          </cell>
        </row>
        <row r="10920">
          <cell r="A10920" t="str">
            <v>66-01-01-0371</v>
          </cell>
          <cell r="B10920">
            <v>0</v>
          </cell>
          <cell r="C10920" t="str">
            <v xml:space="preserve">  SALES OF 40/S COMBED PAKISTANI</v>
          </cell>
          <cell r="D10920">
            <v>0</v>
          </cell>
          <cell r="E10920">
            <v>38659920</v>
          </cell>
          <cell r="F10920">
            <v>0</v>
          </cell>
          <cell r="G10920">
            <v>0</v>
          </cell>
        </row>
        <row r="10921">
          <cell r="A10921" t="str">
            <v>66-01-01-0372</v>
          </cell>
          <cell r="B10921">
            <v>0</v>
          </cell>
          <cell r="C10921" t="str">
            <v xml:space="preserve">  SALES OF 12/S CARDED LYCRA 70DEN</v>
          </cell>
          <cell r="D10921">
            <v>0</v>
          </cell>
          <cell r="E10921">
            <v>288000</v>
          </cell>
          <cell r="F10921">
            <v>0</v>
          </cell>
          <cell r="G10921">
            <v>0</v>
          </cell>
        </row>
        <row r="10922">
          <cell r="A10922" t="str">
            <v>66-01-01-0373</v>
          </cell>
          <cell r="B10922">
            <v>0</v>
          </cell>
          <cell r="C10922" t="str">
            <v xml:space="preserve">  SALES OF 14/S POLY "B" GRADE</v>
          </cell>
          <cell r="D10922">
            <v>0</v>
          </cell>
          <cell r="E10922">
            <v>2782</v>
          </cell>
          <cell r="F10922">
            <v>0</v>
          </cell>
          <cell r="G10922">
            <v>0</v>
          </cell>
        </row>
        <row r="10923">
          <cell r="A10923" t="str">
            <v>66-01-01-0374</v>
          </cell>
          <cell r="B10923">
            <v>0</v>
          </cell>
          <cell r="C10923" t="str">
            <v xml:space="preserve">  SALES OF 18/S CP "B" GRADE</v>
          </cell>
          <cell r="D10923">
            <v>0</v>
          </cell>
          <cell r="E10923">
            <v>7826</v>
          </cell>
          <cell r="F10923">
            <v>0</v>
          </cell>
          <cell r="G10923">
            <v>0</v>
          </cell>
        </row>
        <row r="10924">
          <cell r="A10924" t="str">
            <v>66-01-01-0375</v>
          </cell>
          <cell r="B10924">
            <v>0</v>
          </cell>
          <cell r="C10924" t="str">
            <v xml:space="preserve">  SALES OF 120/D COMBED WEAVING</v>
          </cell>
          <cell r="D10924">
            <v>0</v>
          </cell>
          <cell r="E10924">
            <v>0</v>
          </cell>
          <cell r="F10924">
            <v>0</v>
          </cell>
          <cell r="G10924">
            <v>0</v>
          </cell>
        </row>
        <row r="10925">
          <cell r="A10925" t="str">
            <v>66-01-01-0376</v>
          </cell>
          <cell r="B10925">
            <v>0</v>
          </cell>
          <cell r="C10925" t="str">
            <v xml:space="preserve">  SALES OF 18/S CP</v>
          </cell>
          <cell r="D10925">
            <v>0</v>
          </cell>
          <cell r="E10925">
            <v>58434</v>
          </cell>
          <cell r="F10925">
            <v>0</v>
          </cell>
          <cell r="G10925">
            <v>0</v>
          </cell>
        </row>
        <row r="10926">
          <cell r="A10926" t="str">
            <v>66-01-01-0377</v>
          </cell>
          <cell r="B10926">
            <v>0</v>
          </cell>
          <cell r="C10926" t="str">
            <v xml:space="preserve">  SALES OF 16/S CP "B" GRADE</v>
          </cell>
          <cell r="D10926">
            <v>0</v>
          </cell>
          <cell r="E10926">
            <v>0</v>
          </cell>
          <cell r="F10926">
            <v>0</v>
          </cell>
          <cell r="G10926">
            <v>0</v>
          </cell>
        </row>
        <row r="10927">
          <cell r="A10927" t="str">
            <v>66-01-01-0378</v>
          </cell>
          <cell r="B10927">
            <v>0</v>
          </cell>
          <cell r="C10927" t="str">
            <v xml:space="preserve">  SALES OF 20/S COMBED HUW</v>
          </cell>
          <cell r="D10927">
            <v>0</v>
          </cell>
          <cell r="E10927">
            <v>3648000</v>
          </cell>
          <cell r="F10927">
            <v>0</v>
          </cell>
          <cell r="G10927">
            <v>0</v>
          </cell>
        </row>
        <row r="10928">
          <cell r="A10928" t="str">
            <v>66-01-01-0379</v>
          </cell>
          <cell r="B10928">
            <v>0</v>
          </cell>
          <cell r="C10928" t="str">
            <v xml:space="preserve">  SALES OF 32/S CARDED LYCRA "B" GRADE</v>
          </cell>
          <cell r="D10928">
            <v>0</v>
          </cell>
          <cell r="E10928">
            <v>2782</v>
          </cell>
          <cell r="F10928">
            <v>0</v>
          </cell>
          <cell r="G10928">
            <v>0</v>
          </cell>
        </row>
        <row r="10929">
          <cell r="A10929" t="str">
            <v>66-01-01-0380</v>
          </cell>
          <cell r="B10929">
            <v>0</v>
          </cell>
          <cell r="C10929" t="str">
            <v xml:space="preserve">  SALES OF 40/S PC "B" GRADE</v>
          </cell>
          <cell r="D10929">
            <v>0</v>
          </cell>
          <cell r="E10929">
            <v>154602</v>
          </cell>
          <cell r="F10929">
            <v>0</v>
          </cell>
          <cell r="G10929">
            <v>0</v>
          </cell>
        </row>
        <row r="10930">
          <cell r="A10930" t="str">
            <v>66-01-01-0381</v>
          </cell>
          <cell r="B10930">
            <v>0</v>
          </cell>
          <cell r="C10930" t="str">
            <v xml:space="preserve">  SALES OF 20/S TV</v>
          </cell>
          <cell r="D10930">
            <v>0</v>
          </cell>
          <cell r="E10930">
            <v>21283812</v>
          </cell>
          <cell r="F10930">
            <v>0</v>
          </cell>
          <cell r="G10930">
            <v>0</v>
          </cell>
        </row>
        <row r="10931">
          <cell r="A10931" t="str">
            <v>66-01-01-0382</v>
          </cell>
          <cell r="B10931">
            <v>0</v>
          </cell>
          <cell r="C10931" t="str">
            <v xml:space="preserve">  SALES OF 30/2 CARDED H/W</v>
          </cell>
          <cell r="D10931">
            <v>0</v>
          </cell>
          <cell r="E10931">
            <v>315000</v>
          </cell>
          <cell r="F10931">
            <v>0</v>
          </cell>
          <cell r="G10931">
            <v>0</v>
          </cell>
        </row>
        <row r="10932">
          <cell r="A10932" t="str">
            <v>66-01-01-0383</v>
          </cell>
          <cell r="B10932">
            <v>0</v>
          </cell>
          <cell r="C10932" t="str">
            <v xml:space="preserve">  SALES OF 20/2 COMBED HUWAXED</v>
          </cell>
          <cell r="D10932">
            <v>0</v>
          </cell>
          <cell r="E10932">
            <v>2660000</v>
          </cell>
          <cell r="F10932">
            <v>0</v>
          </cell>
          <cell r="G10932">
            <v>0</v>
          </cell>
        </row>
        <row r="10933">
          <cell r="A10933" t="str">
            <v>66-01-01-0384</v>
          </cell>
          <cell r="B10933">
            <v>0</v>
          </cell>
          <cell r="C10933" t="str">
            <v xml:space="preserve">  SALES OF 30/S CARDED ELESPAN</v>
          </cell>
          <cell r="D10933">
            <v>0</v>
          </cell>
          <cell r="E10933">
            <v>326000</v>
          </cell>
          <cell r="F10933">
            <v>0</v>
          </cell>
          <cell r="G10933">
            <v>0</v>
          </cell>
        </row>
        <row r="10934">
          <cell r="A10934" t="str">
            <v>66-01-01-0385</v>
          </cell>
          <cell r="B10934">
            <v>0</v>
          </cell>
          <cell r="C10934" t="str">
            <v xml:space="preserve">  SALES OF 28/S COMBED "B" GRADE</v>
          </cell>
          <cell r="D10934">
            <v>0</v>
          </cell>
          <cell r="E10934">
            <v>8751</v>
          </cell>
          <cell r="F10934">
            <v>0</v>
          </cell>
          <cell r="G10934">
            <v>0</v>
          </cell>
        </row>
        <row r="10935">
          <cell r="A10935" t="str">
            <v>66-01-01-0386</v>
          </cell>
          <cell r="B10935">
            <v>0</v>
          </cell>
          <cell r="C10935" t="str">
            <v xml:space="preserve">  SALES OF 12/S CARDED HUW</v>
          </cell>
          <cell r="D10935">
            <v>0</v>
          </cell>
          <cell r="E10935">
            <v>4282800</v>
          </cell>
          <cell r="F10935">
            <v>0</v>
          </cell>
          <cell r="G10935">
            <v>0</v>
          </cell>
        </row>
        <row r="10936">
          <cell r="A10936" t="str">
            <v>66-01-01-0387</v>
          </cell>
          <cell r="B10936">
            <v>0</v>
          </cell>
          <cell r="C10936" t="str">
            <v xml:space="preserve">  SALES OF 44/S COMBED WEAVING</v>
          </cell>
          <cell r="D10936">
            <v>0</v>
          </cell>
          <cell r="E10936">
            <v>15942600</v>
          </cell>
          <cell r="F10936">
            <v>0</v>
          </cell>
          <cell r="G10936">
            <v>0</v>
          </cell>
        </row>
        <row r="10937">
          <cell r="A10937" t="str">
            <v>66-01-01-0388</v>
          </cell>
          <cell r="B10937">
            <v>0</v>
          </cell>
          <cell r="C10937" t="str">
            <v xml:space="preserve">  SALES OF 60/S CP SEMI COMBED</v>
          </cell>
          <cell r="D10937">
            <v>0</v>
          </cell>
          <cell r="E10937">
            <v>34988525</v>
          </cell>
          <cell r="F10937">
            <v>0</v>
          </cell>
          <cell r="G10937">
            <v>0</v>
          </cell>
        </row>
        <row r="10938">
          <cell r="A10938" t="str">
            <v>66-01-01-0389</v>
          </cell>
          <cell r="B10938">
            <v>0</v>
          </cell>
          <cell r="C10938" t="str">
            <v xml:space="preserve">  SALES OF 40/S CP 52% 48%</v>
          </cell>
          <cell r="D10938">
            <v>0</v>
          </cell>
          <cell r="E10938">
            <v>195845884</v>
          </cell>
          <cell r="F10938">
            <v>0</v>
          </cell>
          <cell r="G10938">
            <v>0</v>
          </cell>
        </row>
        <row r="10939">
          <cell r="A10939" t="str">
            <v>66-01-01-0390</v>
          </cell>
          <cell r="B10939">
            <v>0</v>
          </cell>
          <cell r="C10939" t="str">
            <v xml:space="preserve">  SALES OF 16/2 COTTON WEFT "B" GRADE</v>
          </cell>
          <cell r="D10939">
            <v>0</v>
          </cell>
          <cell r="E10939">
            <v>9043</v>
          </cell>
          <cell r="F10939">
            <v>0</v>
          </cell>
          <cell r="G10939">
            <v>0</v>
          </cell>
        </row>
        <row r="10940">
          <cell r="A10940" t="str">
            <v>66-01-01-0391</v>
          </cell>
          <cell r="B10940">
            <v>0</v>
          </cell>
          <cell r="C10940" t="str">
            <v xml:space="preserve">  SALES OF 50/S PVB "Z" TWIST</v>
          </cell>
          <cell r="D10940">
            <v>0</v>
          </cell>
          <cell r="E10940">
            <v>3564675</v>
          </cell>
          <cell r="F10940">
            <v>0</v>
          </cell>
          <cell r="G10940">
            <v>0</v>
          </cell>
        </row>
        <row r="10941">
          <cell r="A10941" t="str">
            <v>66-01-01-0392</v>
          </cell>
          <cell r="B10941">
            <v>0</v>
          </cell>
          <cell r="C10941" t="str">
            <v xml:space="preserve">  SALES OF 30/S CARDED LYCRA "B" GRADE</v>
          </cell>
          <cell r="D10941">
            <v>0</v>
          </cell>
          <cell r="E10941">
            <v>3826</v>
          </cell>
          <cell r="F10941">
            <v>0</v>
          </cell>
          <cell r="G10941">
            <v>0</v>
          </cell>
        </row>
        <row r="10942">
          <cell r="A10942" t="str">
            <v>66-01-01-0393</v>
          </cell>
          <cell r="B10942">
            <v>0</v>
          </cell>
          <cell r="C10942" t="str">
            <v xml:space="preserve">  SALES OF 80/S PVB "Z" TWIST</v>
          </cell>
          <cell r="D10942">
            <v>0</v>
          </cell>
          <cell r="E10942">
            <v>3412033</v>
          </cell>
          <cell r="F10942">
            <v>0</v>
          </cell>
          <cell r="G10942">
            <v>0</v>
          </cell>
        </row>
        <row r="10943">
          <cell r="A10943" t="str">
            <v>66-01-01-0394</v>
          </cell>
          <cell r="B10943">
            <v>0</v>
          </cell>
          <cell r="C10943" t="str">
            <v xml:space="preserve">  SALES OF 10/S POLYESTER</v>
          </cell>
          <cell r="D10943">
            <v>0</v>
          </cell>
          <cell r="E10943">
            <v>1193200</v>
          </cell>
          <cell r="F10943">
            <v>0</v>
          </cell>
          <cell r="G10943">
            <v>0</v>
          </cell>
        </row>
        <row r="10944">
          <cell r="A10944" t="str">
            <v>66-01-01-0395</v>
          </cell>
          <cell r="B10944">
            <v>0</v>
          </cell>
          <cell r="C10944" t="str">
            <v xml:space="preserve">  SALES OF 14/S CARDED "B" GRADE</v>
          </cell>
          <cell r="D10944">
            <v>0</v>
          </cell>
          <cell r="E10944">
            <v>26304</v>
          </cell>
          <cell r="F10944">
            <v>0</v>
          </cell>
          <cell r="G10944">
            <v>0</v>
          </cell>
        </row>
        <row r="10945">
          <cell r="A10945" t="str">
            <v>66-01-01-0396</v>
          </cell>
          <cell r="B10945">
            <v>0</v>
          </cell>
          <cell r="C10945" t="str">
            <v xml:space="preserve">  SALES OF 10/S COMBED H/W</v>
          </cell>
          <cell r="D10945">
            <v>0</v>
          </cell>
          <cell r="E10945">
            <v>7000</v>
          </cell>
          <cell r="F10945">
            <v>0</v>
          </cell>
          <cell r="G10945">
            <v>0</v>
          </cell>
        </row>
        <row r="10946">
          <cell r="A10946" t="str">
            <v>66-01-01-0397</v>
          </cell>
          <cell r="B10946">
            <v>0</v>
          </cell>
          <cell r="C10946" t="str">
            <v xml:space="preserve">  SALES OF 13/S COMBED "B" GRADE</v>
          </cell>
          <cell r="D10946">
            <v>0</v>
          </cell>
          <cell r="E10946">
            <v>50912</v>
          </cell>
          <cell r="F10946">
            <v>0</v>
          </cell>
          <cell r="G10946">
            <v>0</v>
          </cell>
        </row>
        <row r="10947">
          <cell r="A10947" t="str">
            <v>66-01-01-0398</v>
          </cell>
          <cell r="B10947">
            <v>0</v>
          </cell>
          <cell r="C10947" t="str">
            <v xml:space="preserve">  SALES OF 30/S POLYESTER MICRO</v>
          </cell>
          <cell r="D10947">
            <v>0</v>
          </cell>
          <cell r="E10947">
            <v>1075198</v>
          </cell>
          <cell r="F10947">
            <v>0</v>
          </cell>
          <cell r="G10947">
            <v>0</v>
          </cell>
        </row>
        <row r="10948">
          <cell r="A10948" t="str">
            <v>66-01-01-0399</v>
          </cell>
          <cell r="B10948">
            <v>0</v>
          </cell>
          <cell r="C10948" t="str">
            <v xml:space="preserve">  SALES OF 40/S POLYESTER MICRO</v>
          </cell>
          <cell r="D10948">
            <v>0</v>
          </cell>
          <cell r="E10948">
            <v>693914</v>
          </cell>
          <cell r="F10948">
            <v>0</v>
          </cell>
          <cell r="G10948">
            <v>0</v>
          </cell>
        </row>
        <row r="10949">
          <cell r="A10949" t="str">
            <v>66-01-01-0400</v>
          </cell>
          <cell r="B10949">
            <v>0</v>
          </cell>
          <cell r="C10949" t="str">
            <v xml:space="preserve">  SALES OF 40/S CP 60:40</v>
          </cell>
          <cell r="D10949">
            <v>0</v>
          </cell>
          <cell r="E10949">
            <v>70405020</v>
          </cell>
          <cell r="F10949">
            <v>0</v>
          </cell>
          <cell r="G10949">
            <v>0</v>
          </cell>
        </row>
        <row r="10950">
          <cell r="A10950" t="str">
            <v>66-01-01-0401</v>
          </cell>
          <cell r="B10950">
            <v>0</v>
          </cell>
          <cell r="C10950" t="str">
            <v xml:space="preserve">  SALES OF 30/S CP 52:48</v>
          </cell>
          <cell r="D10950">
            <v>0</v>
          </cell>
          <cell r="E10950">
            <v>96960</v>
          </cell>
          <cell r="F10950">
            <v>0</v>
          </cell>
          <cell r="G10950">
            <v>0</v>
          </cell>
        </row>
        <row r="10951">
          <cell r="A10951" t="str">
            <v>66-01-01-0402</v>
          </cell>
          <cell r="B10951">
            <v>0</v>
          </cell>
          <cell r="C10951" t="str">
            <v xml:space="preserve">  SALES OF 36/S COMBED H/WAXED</v>
          </cell>
          <cell r="D10951">
            <v>0</v>
          </cell>
          <cell r="E10951">
            <v>400000</v>
          </cell>
          <cell r="F10951">
            <v>0</v>
          </cell>
          <cell r="G10951">
            <v>0</v>
          </cell>
        </row>
        <row r="10952">
          <cell r="A10952" t="str">
            <v>66-01-01-0403</v>
          </cell>
          <cell r="B10952">
            <v>0</v>
          </cell>
          <cell r="C10952" t="str">
            <v xml:space="preserve">  SALES OF 13/S COMBED WARP</v>
          </cell>
          <cell r="D10952">
            <v>0</v>
          </cell>
          <cell r="E10952">
            <v>78000</v>
          </cell>
          <cell r="F10952">
            <v>0</v>
          </cell>
          <cell r="G10952">
            <v>0</v>
          </cell>
        </row>
        <row r="10953">
          <cell r="A10953" t="str">
            <v>66-01-01-0404</v>
          </cell>
          <cell r="B10953">
            <v>0</v>
          </cell>
          <cell r="C10953" t="str">
            <v xml:space="preserve">  SALES OF 60/S CM PIMA (N)</v>
          </cell>
          <cell r="D10953">
            <v>0</v>
          </cell>
          <cell r="E10953">
            <v>57181922</v>
          </cell>
          <cell r="F10953">
            <v>0</v>
          </cell>
          <cell r="G10953">
            <v>0</v>
          </cell>
        </row>
        <row r="10954">
          <cell r="A10954" t="str">
            <v>66-01-01-0405</v>
          </cell>
          <cell r="B10954">
            <v>0</v>
          </cell>
          <cell r="C10954" t="str">
            <v xml:space="preserve">  SALES OF 30/S PC 80:20</v>
          </cell>
          <cell r="D10954">
            <v>0</v>
          </cell>
          <cell r="E10954">
            <v>31906099</v>
          </cell>
          <cell r="F10954">
            <v>0</v>
          </cell>
          <cell r="G10954">
            <v>0</v>
          </cell>
        </row>
        <row r="10955">
          <cell r="A10955" t="str">
            <v>66-01-01-0406</v>
          </cell>
          <cell r="B10955">
            <v>0</v>
          </cell>
          <cell r="C10955" t="str">
            <v xml:space="preserve">  SALES OF 26/S CARDED H/W</v>
          </cell>
          <cell r="D10955">
            <v>0</v>
          </cell>
          <cell r="E10955">
            <v>2394000</v>
          </cell>
          <cell r="F10955">
            <v>0</v>
          </cell>
          <cell r="G10955">
            <v>0</v>
          </cell>
        </row>
        <row r="10956">
          <cell r="A10956" t="str">
            <v>66-01-01-0407</v>
          </cell>
          <cell r="B10956">
            <v>0</v>
          </cell>
          <cell r="C10956" t="str">
            <v xml:space="preserve">  SALES OF 30/S PC 80:20 "S" TWIST</v>
          </cell>
          <cell r="D10956">
            <v>0</v>
          </cell>
          <cell r="E10956">
            <v>7572003</v>
          </cell>
          <cell r="F10956">
            <v>0</v>
          </cell>
          <cell r="G10956">
            <v>0</v>
          </cell>
        </row>
        <row r="10957">
          <cell r="A10957" t="str">
            <v>66-01-01-0408</v>
          </cell>
          <cell r="B10957">
            <v>0</v>
          </cell>
          <cell r="C10957" t="str">
            <v xml:space="preserve">  SALES OF 20/2 COMBED H/W</v>
          </cell>
          <cell r="D10957">
            <v>0</v>
          </cell>
          <cell r="E10957">
            <v>17400</v>
          </cell>
          <cell r="F10957">
            <v>0</v>
          </cell>
          <cell r="G10957">
            <v>0</v>
          </cell>
        </row>
        <row r="10958">
          <cell r="A10958" t="str">
            <v>66-01-01-0409</v>
          </cell>
          <cell r="B10958">
            <v>0</v>
          </cell>
          <cell r="C10958" t="str">
            <v xml:space="preserve">  SALES OF 13/S CARDED WARP</v>
          </cell>
          <cell r="D10958">
            <v>0</v>
          </cell>
          <cell r="E10958">
            <v>69600</v>
          </cell>
          <cell r="F10958">
            <v>0</v>
          </cell>
          <cell r="G10958">
            <v>0</v>
          </cell>
        </row>
        <row r="10959">
          <cell r="A10959" t="str">
            <v>66-01-01-0410</v>
          </cell>
          <cell r="B10959">
            <v>0</v>
          </cell>
          <cell r="C10959" t="str">
            <v xml:space="preserve">  SALES OF 50/D COMBED LYCRA 40 DEN</v>
          </cell>
          <cell r="D10959">
            <v>0</v>
          </cell>
          <cell r="E10959">
            <v>816000</v>
          </cell>
          <cell r="F10959">
            <v>0</v>
          </cell>
          <cell r="G10959">
            <v>0</v>
          </cell>
        </row>
        <row r="10960">
          <cell r="A10960" t="str">
            <v>66-01-01-0411</v>
          </cell>
          <cell r="B10960">
            <v>0</v>
          </cell>
          <cell r="C10960" t="str">
            <v xml:space="preserve">  SALES OF 26/S CARDED "B" GRADE</v>
          </cell>
          <cell r="D10960">
            <v>0</v>
          </cell>
          <cell r="E10960">
            <v>8695</v>
          </cell>
          <cell r="F10960">
            <v>0</v>
          </cell>
          <cell r="G10960">
            <v>0</v>
          </cell>
        </row>
        <row r="10961">
          <cell r="A10961" t="str">
            <v>66-01-01-0412</v>
          </cell>
          <cell r="B10961">
            <v>0</v>
          </cell>
          <cell r="C10961" t="str">
            <v xml:space="preserve">  SALES OF 24/S PC 65:35</v>
          </cell>
          <cell r="D10961">
            <v>0</v>
          </cell>
          <cell r="E10961">
            <v>31146</v>
          </cell>
          <cell r="F10961">
            <v>0</v>
          </cell>
          <cell r="G10961">
            <v>0</v>
          </cell>
        </row>
        <row r="10962">
          <cell r="A10962" t="str">
            <v>66-01-01-0413</v>
          </cell>
          <cell r="B10962">
            <v>0</v>
          </cell>
          <cell r="C10962" t="str">
            <v xml:space="preserve">  SALES OF 36/S PC "B" GRADE</v>
          </cell>
          <cell r="D10962">
            <v>0</v>
          </cell>
          <cell r="E10962">
            <v>8391</v>
          </cell>
          <cell r="F10962">
            <v>0</v>
          </cell>
          <cell r="G10962">
            <v>0</v>
          </cell>
        </row>
        <row r="10963">
          <cell r="A10963" t="str">
            <v>66-01-01-0414</v>
          </cell>
          <cell r="B10963">
            <v>0</v>
          </cell>
          <cell r="C10963" t="str">
            <v xml:space="preserve">  SALES OF 10/S CARDED LYCRA 70</v>
          </cell>
          <cell r="D10963">
            <v>0</v>
          </cell>
          <cell r="E10963">
            <v>10255197</v>
          </cell>
          <cell r="F10963">
            <v>0</v>
          </cell>
          <cell r="G10963">
            <v>0</v>
          </cell>
        </row>
        <row r="10964">
          <cell r="A10964" t="str">
            <v>66-01-01-0415</v>
          </cell>
          <cell r="B10964">
            <v>0</v>
          </cell>
          <cell r="C10964" t="str">
            <v xml:space="preserve">  SALES OF 24/S PC "B" GRADE</v>
          </cell>
          <cell r="D10964">
            <v>0</v>
          </cell>
          <cell r="E10964">
            <v>17390</v>
          </cell>
          <cell r="F10964">
            <v>0</v>
          </cell>
          <cell r="G10964">
            <v>0</v>
          </cell>
        </row>
        <row r="10965">
          <cell r="A10965" t="str">
            <v>66-01-01-0416</v>
          </cell>
          <cell r="B10965">
            <v>0</v>
          </cell>
          <cell r="C10965" t="str">
            <v xml:space="preserve">  SALES OF 36/S PC 52:48</v>
          </cell>
          <cell r="D10965">
            <v>0</v>
          </cell>
          <cell r="E10965">
            <v>363477</v>
          </cell>
          <cell r="F10965">
            <v>0</v>
          </cell>
          <cell r="G10965">
            <v>0</v>
          </cell>
        </row>
        <row r="10966">
          <cell r="A10966" t="str">
            <v>66-01-01-0417</v>
          </cell>
          <cell r="B10966">
            <v>0</v>
          </cell>
          <cell r="C10966" t="str">
            <v xml:space="preserve">  SALES OF 36/S PC CARDED</v>
          </cell>
          <cell r="D10966">
            <v>0</v>
          </cell>
          <cell r="E10966">
            <v>33844416</v>
          </cell>
          <cell r="F10966">
            <v>0</v>
          </cell>
          <cell r="G10966">
            <v>0</v>
          </cell>
        </row>
        <row r="10967">
          <cell r="A10967" t="str">
            <v>66-01-01-0418</v>
          </cell>
          <cell r="B10967">
            <v>0</v>
          </cell>
          <cell r="C10967" t="str">
            <v xml:space="preserve">  SALES OF 40/S COMBED H/W "B" GRADE</v>
          </cell>
          <cell r="D10967">
            <v>0</v>
          </cell>
          <cell r="E10967">
            <v>24902</v>
          </cell>
          <cell r="F10967">
            <v>0</v>
          </cell>
          <cell r="G10967">
            <v>0</v>
          </cell>
        </row>
        <row r="10968">
          <cell r="A10968" t="str">
            <v>66-01-01-0419</v>
          </cell>
          <cell r="B10968">
            <v>0</v>
          </cell>
          <cell r="C10968" t="str">
            <v xml:space="preserve">  SALES OF 80/S COMBED PIMA (N)</v>
          </cell>
          <cell r="D10968">
            <v>0</v>
          </cell>
          <cell r="E10968">
            <v>3921500</v>
          </cell>
          <cell r="F10968">
            <v>0</v>
          </cell>
          <cell r="G10968">
            <v>0</v>
          </cell>
        </row>
        <row r="10969">
          <cell r="A10969" t="str">
            <v>66-01-01-0420</v>
          </cell>
          <cell r="B10969">
            <v>0</v>
          </cell>
          <cell r="C10969" t="str">
            <v xml:space="preserve">  SALES OF 30/S PC COMBED</v>
          </cell>
          <cell r="D10969">
            <v>0</v>
          </cell>
          <cell r="E10969">
            <v>14946934</v>
          </cell>
          <cell r="F10969">
            <v>0</v>
          </cell>
          <cell r="G10969">
            <v>0</v>
          </cell>
        </row>
        <row r="10970">
          <cell r="A10970" t="str">
            <v>66-01-01-0421</v>
          </cell>
          <cell r="B10970">
            <v>0</v>
          </cell>
          <cell r="C10970" t="str">
            <v xml:space="preserve">  SALES OF 30/S PC CARDED</v>
          </cell>
          <cell r="D10970">
            <v>0</v>
          </cell>
          <cell r="E10970">
            <v>42745099</v>
          </cell>
          <cell r="F10970">
            <v>0</v>
          </cell>
          <cell r="G10970">
            <v>0</v>
          </cell>
        </row>
        <row r="10971">
          <cell r="A10971" t="str">
            <v>66-01-01-0422</v>
          </cell>
          <cell r="B10971">
            <v>0</v>
          </cell>
          <cell r="C10971" t="str">
            <v xml:space="preserve">  SALES OF 60/S COMBED WEAVING ELS</v>
          </cell>
          <cell r="D10971">
            <v>0</v>
          </cell>
          <cell r="E10971">
            <v>11166900</v>
          </cell>
          <cell r="F10971">
            <v>0</v>
          </cell>
          <cell r="G10971">
            <v>0</v>
          </cell>
        </row>
        <row r="10972">
          <cell r="A10972" t="str">
            <v>66-01-01-0423</v>
          </cell>
          <cell r="B10972">
            <v>0</v>
          </cell>
          <cell r="C10972" t="str">
            <v xml:space="preserve">  SALES OF 80/S CP 60:40</v>
          </cell>
          <cell r="D10972">
            <v>0</v>
          </cell>
          <cell r="E10972">
            <v>111782</v>
          </cell>
          <cell r="F10972">
            <v>0</v>
          </cell>
          <cell r="G10972">
            <v>0</v>
          </cell>
        </row>
        <row r="10973">
          <cell r="A10973" t="str">
            <v>66-01-01-0424</v>
          </cell>
          <cell r="B10973">
            <v>0</v>
          </cell>
          <cell r="C10973" t="str">
            <v xml:space="preserve">  SALES OF 10/S CARDED SPANDIX 70 DEN</v>
          </cell>
          <cell r="D10973">
            <v>0</v>
          </cell>
          <cell r="E10973">
            <v>3701000</v>
          </cell>
          <cell r="F10973">
            <v>0</v>
          </cell>
          <cell r="G10973">
            <v>0</v>
          </cell>
        </row>
        <row r="10974">
          <cell r="A10974" t="str">
            <v>66-01-01-0425</v>
          </cell>
          <cell r="B10974">
            <v>0</v>
          </cell>
          <cell r="C10974" t="str">
            <v xml:space="preserve">  SALES OF 08/S CARDED "B" GRADE</v>
          </cell>
          <cell r="D10974">
            <v>0</v>
          </cell>
          <cell r="E10974">
            <v>6956</v>
          </cell>
          <cell r="F10974">
            <v>0</v>
          </cell>
          <cell r="G10974">
            <v>0</v>
          </cell>
        </row>
        <row r="10975">
          <cell r="A10975" t="str">
            <v>66-01-01-0426</v>
          </cell>
          <cell r="B10975">
            <v>0</v>
          </cell>
          <cell r="C10975" t="str">
            <v xml:space="preserve">  SALES OF 21/S CARDED WARP</v>
          </cell>
          <cell r="D10975">
            <v>0</v>
          </cell>
          <cell r="E10975">
            <v>4736400</v>
          </cell>
          <cell r="F10975">
            <v>0</v>
          </cell>
          <cell r="G10975">
            <v>0</v>
          </cell>
        </row>
        <row r="10976">
          <cell r="A10976" t="str">
            <v>66-01-01-0427</v>
          </cell>
          <cell r="B10976">
            <v>0</v>
          </cell>
          <cell r="C10976" t="str">
            <v xml:space="preserve">  SALES OF 08/S PC 52:48</v>
          </cell>
          <cell r="D10976">
            <v>0</v>
          </cell>
          <cell r="E10976">
            <v>5825558</v>
          </cell>
          <cell r="F10976">
            <v>0</v>
          </cell>
          <cell r="G10976">
            <v>0</v>
          </cell>
        </row>
        <row r="10977">
          <cell r="A10977" t="str">
            <v>66-01-01-0428</v>
          </cell>
          <cell r="B10977">
            <v>0</v>
          </cell>
          <cell r="C10977" t="str">
            <v xml:space="preserve">  SALES OF 38/S PC 80:20</v>
          </cell>
          <cell r="D10977">
            <v>0</v>
          </cell>
          <cell r="E10977">
            <v>967825</v>
          </cell>
          <cell r="F10977">
            <v>0</v>
          </cell>
          <cell r="G10977">
            <v>0</v>
          </cell>
        </row>
        <row r="10978">
          <cell r="A10978" t="str">
            <v>66-01-01-0429</v>
          </cell>
          <cell r="B10978">
            <v>0</v>
          </cell>
          <cell r="C10978" t="str">
            <v xml:space="preserve">  SALES OF 80/S COMBED GIZA (NORMAL)</v>
          </cell>
          <cell r="D10978">
            <v>0</v>
          </cell>
          <cell r="E10978">
            <v>60007625</v>
          </cell>
          <cell r="F10978">
            <v>0</v>
          </cell>
          <cell r="G10978">
            <v>0</v>
          </cell>
        </row>
        <row r="10979">
          <cell r="A10979" t="str">
            <v>66-01-01-0430</v>
          </cell>
          <cell r="B10979">
            <v>0</v>
          </cell>
          <cell r="C10979" t="str">
            <v xml:space="preserve">  SALES OF 58/S COMBED "B" GRADE</v>
          </cell>
          <cell r="D10979">
            <v>0</v>
          </cell>
          <cell r="E10979">
            <v>11826</v>
          </cell>
          <cell r="F10979">
            <v>0</v>
          </cell>
          <cell r="G10979">
            <v>0</v>
          </cell>
        </row>
        <row r="10980">
          <cell r="A10980" t="str">
            <v>66-01-01-0431</v>
          </cell>
          <cell r="B10980">
            <v>0</v>
          </cell>
          <cell r="C10980" t="str">
            <v xml:space="preserve">  SALES OF 16/S POLY ESTER "B"</v>
          </cell>
          <cell r="D10980">
            <v>0</v>
          </cell>
          <cell r="E10980">
            <v>2782</v>
          </cell>
          <cell r="F10980">
            <v>0</v>
          </cell>
          <cell r="G10980">
            <v>0</v>
          </cell>
        </row>
        <row r="10981">
          <cell r="A10981" t="str">
            <v>66-01-01-0432</v>
          </cell>
          <cell r="B10981">
            <v>0</v>
          </cell>
          <cell r="C10981" t="str">
            <v xml:space="preserve">  SALES OF 16/S CARDED ELASPAN 70 DEN</v>
          </cell>
          <cell r="D10981">
            <v>0</v>
          </cell>
          <cell r="E10981">
            <v>2438300</v>
          </cell>
          <cell r="F10981">
            <v>0</v>
          </cell>
          <cell r="G10981">
            <v>0</v>
          </cell>
        </row>
        <row r="10982">
          <cell r="A10982" t="str">
            <v>66-01-01-0433</v>
          </cell>
          <cell r="B10982">
            <v>0</v>
          </cell>
          <cell r="C10982" t="str">
            <v xml:space="preserve">  SALES OF 12/S COMBED LYCRA "B" GRADE</v>
          </cell>
          <cell r="D10982">
            <v>0</v>
          </cell>
          <cell r="E10982">
            <v>6608</v>
          </cell>
          <cell r="F10982">
            <v>0</v>
          </cell>
          <cell r="G10982">
            <v>0</v>
          </cell>
        </row>
        <row r="10983">
          <cell r="A10983" t="str">
            <v>66-01-01-0434</v>
          </cell>
          <cell r="B10983">
            <v>0</v>
          </cell>
          <cell r="C10983" t="str">
            <v xml:space="preserve">  SALES OF 12/S CP</v>
          </cell>
          <cell r="D10983">
            <v>0</v>
          </cell>
          <cell r="E10983">
            <v>5437167</v>
          </cell>
          <cell r="F10983">
            <v>0</v>
          </cell>
          <cell r="G10983">
            <v>0</v>
          </cell>
        </row>
        <row r="10984">
          <cell r="A10984" t="str">
            <v>66-01-01-0435</v>
          </cell>
          <cell r="B10984">
            <v>0</v>
          </cell>
          <cell r="C10984" t="str">
            <v xml:space="preserve">  SALES OF 12/S CP "B" GRADE</v>
          </cell>
          <cell r="D10984">
            <v>0</v>
          </cell>
          <cell r="E10984">
            <v>10956</v>
          </cell>
          <cell r="F10984">
            <v>0</v>
          </cell>
          <cell r="G10984">
            <v>0</v>
          </cell>
        </row>
        <row r="10985">
          <cell r="A10985" t="str">
            <v>66-01-01-0436</v>
          </cell>
          <cell r="B10985">
            <v>0</v>
          </cell>
          <cell r="C10985" t="str">
            <v xml:space="preserve">  SALES OF 36/S PC SEMI COMBED</v>
          </cell>
          <cell r="D10985">
            <v>0</v>
          </cell>
          <cell r="E10985">
            <v>0</v>
          </cell>
          <cell r="F10985">
            <v>0</v>
          </cell>
          <cell r="G10985">
            <v>0</v>
          </cell>
        </row>
        <row r="10986">
          <cell r="A10986" t="str">
            <v>66-01-01-0437</v>
          </cell>
          <cell r="B10986">
            <v>0</v>
          </cell>
          <cell r="C10986" t="str">
            <v xml:space="preserve">  SALES OF 20/S CARDED ELASPAN 70 DEN</v>
          </cell>
          <cell r="D10986">
            <v>0</v>
          </cell>
          <cell r="E10986">
            <v>0</v>
          </cell>
          <cell r="F10986">
            <v>0</v>
          </cell>
          <cell r="G10986">
            <v>0</v>
          </cell>
        </row>
        <row r="10987">
          <cell r="A10987" t="str">
            <v>66-01-01-0438</v>
          </cell>
          <cell r="B10987">
            <v>0</v>
          </cell>
          <cell r="C10987" t="str">
            <v xml:space="preserve">  SALES OF 25/S COMBED "B" GRADE</v>
          </cell>
          <cell r="D10987">
            <v>0</v>
          </cell>
          <cell r="E10987">
            <v>0</v>
          </cell>
          <cell r="F10987">
            <v>0</v>
          </cell>
          <cell r="G10987">
            <v>0</v>
          </cell>
        </row>
        <row r="10988">
          <cell r="A10988" t="str">
            <v>66-01-01-0439</v>
          </cell>
          <cell r="B10988">
            <v>0</v>
          </cell>
          <cell r="C10988" t="str">
            <v xml:space="preserve">  SALES OF 20/S CARDED LYCRA "B" GRADE</v>
          </cell>
          <cell r="D10988">
            <v>0</v>
          </cell>
          <cell r="E10988">
            <v>0</v>
          </cell>
          <cell r="F10988">
            <v>0</v>
          </cell>
          <cell r="G10988">
            <v>0</v>
          </cell>
        </row>
        <row r="10989">
          <cell r="A10989" t="str">
            <v>66-01-01-0440</v>
          </cell>
          <cell r="B10989">
            <v>0</v>
          </cell>
          <cell r="C10989" t="str">
            <v xml:space="preserve">  SALES OF 15/S POLYESTER MJS</v>
          </cell>
          <cell r="D10989">
            <v>0</v>
          </cell>
          <cell r="E10989">
            <v>0</v>
          </cell>
          <cell r="F10989">
            <v>0</v>
          </cell>
          <cell r="G10989">
            <v>0</v>
          </cell>
        </row>
        <row r="10990">
          <cell r="A10990" t="str">
            <v>66-01-01-0441</v>
          </cell>
          <cell r="B10990">
            <v>0</v>
          </cell>
          <cell r="C10990" t="str">
            <v xml:space="preserve">  SALES OF 18/S CARDED "B" GRADE</v>
          </cell>
          <cell r="D10990">
            <v>0</v>
          </cell>
          <cell r="E10990">
            <v>0</v>
          </cell>
          <cell r="F10990">
            <v>0</v>
          </cell>
          <cell r="G10990">
            <v>0</v>
          </cell>
        </row>
        <row r="10991">
          <cell r="A10991" t="str">
            <v>66-01-01-0442</v>
          </cell>
          <cell r="B10991">
            <v>0</v>
          </cell>
          <cell r="C10991" t="str">
            <v xml:space="preserve">  SALES OF 74/S COMBED "B" GRADE</v>
          </cell>
          <cell r="D10991">
            <v>0</v>
          </cell>
          <cell r="E10991">
            <v>0</v>
          </cell>
          <cell r="F10991">
            <v>0</v>
          </cell>
          <cell r="G10991">
            <v>0</v>
          </cell>
        </row>
        <row r="10992">
          <cell r="A10992" t="str">
            <v>66-01-01-0443</v>
          </cell>
          <cell r="B10992">
            <v>0</v>
          </cell>
          <cell r="C10992" t="str">
            <v xml:space="preserve">  SALES OF 60/S CP COMBED 60:40</v>
          </cell>
          <cell r="D10992">
            <v>0</v>
          </cell>
          <cell r="E10992">
            <v>0</v>
          </cell>
          <cell r="F10992">
            <v>0</v>
          </cell>
          <cell r="G10992">
            <v>0</v>
          </cell>
        </row>
        <row r="10993">
          <cell r="A10993" t="str">
            <v>66-01-01-0444</v>
          </cell>
          <cell r="B10993">
            <v>0</v>
          </cell>
          <cell r="C10993" t="str">
            <v xml:space="preserve">  SALES OF 21/2 PC 65:35</v>
          </cell>
          <cell r="D10993">
            <v>0</v>
          </cell>
          <cell r="E10993">
            <v>0</v>
          </cell>
          <cell r="F10993">
            <v>0</v>
          </cell>
          <cell r="G10993">
            <v>0</v>
          </cell>
        </row>
        <row r="10994">
          <cell r="A10994" t="str">
            <v>66-01-01-0445</v>
          </cell>
          <cell r="B10994">
            <v>0</v>
          </cell>
          <cell r="C10994" t="str">
            <v xml:space="preserve">  SALES OF 16/2 PC 65:35</v>
          </cell>
          <cell r="D10994">
            <v>0</v>
          </cell>
          <cell r="E10994">
            <v>0</v>
          </cell>
          <cell r="F10994">
            <v>0</v>
          </cell>
          <cell r="G10994">
            <v>0</v>
          </cell>
        </row>
        <row r="10995">
          <cell r="A10995" t="str">
            <v>66-01-01-0446</v>
          </cell>
          <cell r="B10995">
            <v>0</v>
          </cell>
          <cell r="C10995" t="str">
            <v xml:space="preserve">  SALES OF 10/S COMBED LYCRA "B" GRADE</v>
          </cell>
          <cell r="D10995">
            <v>0</v>
          </cell>
          <cell r="E10995">
            <v>0</v>
          </cell>
          <cell r="F10995">
            <v>0</v>
          </cell>
          <cell r="G10995">
            <v>0</v>
          </cell>
        </row>
        <row r="10996">
          <cell r="A10996" t="str">
            <v>66-01-01-0447</v>
          </cell>
          <cell r="B10996">
            <v>0</v>
          </cell>
          <cell r="C10996" t="str">
            <v xml:space="preserve">  SALES OF 10/S CARDED SLUB</v>
          </cell>
          <cell r="D10996">
            <v>0</v>
          </cell>
          <cell r="E10996">
            <v>0</v>
          </cell>
          <cell r="F10996">
            <v>0</v>
          </cell>
          <cell r="G10996">
            <v>0</v>
          </cell>
        </row>
        <row r="10997">
          <cell r="A10997" t="str">
            <v>66-01-01-0448</v>
          </cell>
          <cell r="B10997">
            <v>0</v>
          </cell>
          <cell r="C10997" t="str">
            <v xml:space="preserve">  SALES OF 08/S PC "B" GRADE</v>
          </cell>
          <cell r="D10997">
            <v>0</v>
          </cell>
          <cell r="E10997">
            <v>0</v>
          </cell>
          <cell r="F10997">
            <v>0</v>
          </cell>
          <cell r="G10997">
            <v>0</v>
          </cell>
        </row>
        <row r="10998">
          <cell r="A10998" t="str">
            <v>66-01-01-0449</v>
          </cell>
          <cell r="B10998">
            <v>0</v>
          </cell>
          <cell r="C10998" t="str">
            <v xml:space="preserve">  SALES OF 80/D COMBED WEAVING</v>
          </cell>
          <cell r="D10998">
            <v>0</v>
          </cell>
          <cell r="E10998">
            <v>0</v>
          </cell>
          <cell r="F10998">
            <v>0</v>
          </cell>
          <cell r="G10998">
            <v>0</v>
          </cell>
        </row>
        <row r="10999">
          <cell r="A10999" t="str">
            <v>66-02</v>
          </cell>
          <cell r="B10999">
            <v>0</v>
          </cell>
          <cell r="C10999" t="str">
            <v>**E X P O R T</v>
          </cell>
          <cell r="D10999">
            <v>0</v>
          </cell>
          <cell r="E10999">
            <v>2483808483.5</v>
          </cell>
          <cell r="F10999">
            <v>0</v>
          </cell>
          <cell r="G10999">
            <v>2483808483.5</v>
          </cell>
        </row>
        <row r="11000">
          <cell r="A11000" t="str">
            <v>66-02-01</v>
          </cell>
          <cell r="B11000">
            <v>2483808256</v>
          </cell>
          <cell r="C11000" t="str">
            <v>***E X P O R T  YARN SALES</v>
          </cell>
          <cell r="D11000">
            <v>0</v>
          </cell>
          <cell r="E11000">
            <v>2269582406.98</v>
          </cell>
          <cell r="F11000">
            <v>0</v>
          </cell>
          <cell r="G11000">
            <v>2269582406.98</v>
          </cell>
        </row>
        <row r="11001">
          <cell r="A11001" t="str">
            <v>66-02-01-0001</v>
          </cell>
          <cell r="B11001">
            <v>2269581312</v>
          </cell>
          <cell r="C11001" t="str">
            <v xml:space="preserve">  SALES OF 30/S PC EXPORT</v>
          </cell>
          <cell r="D11001">
            <v>0</v>
          </cell>
          <cell r="E11001">
            <v>37271887.100000001</v>
          </cell>
          <cell r="F11001">
            <v>0</v>
          </cell>
          <cell r="G11001">
            <v>0</v>
          </cell>
        </row>
        <row r="11002">
          <cell r="A11002" t="str">
            <v>66-02-01-0002</v>
          </cell>
          <cell r="B11002">
            <v>0</v>
          </cell>
          <cell r="C11002" t="str">
            <v xml:space="preserve">  SALES OF 22/S PC EXPORT</v>
          </cell>
          <cell r="D11002">
            <v>0</v>
          </cell>
          <cell r="E11002">
            <v>0</v>
          </cell>
          <cell r="F11002">
            <v>0</v>
          </cell>
          <cell r="G11002">
            <v>0</v>
          </cell>
        </row>
        <row r="11003">
          <cell r="A11003" t="str">
            <v>66-02-01-0003</v>
          </cell>
          <cell r="B11003">
            <v>0</v>
          </cell>
          <cell r="C11003" t="str">
            <v xml:space="preserve">  SALES OF 45/S PC EXPORT</v>
          </cell>
          <cell r="D11003">
            <v>0</v>
          </cell>
          <cell r="E11003">
            <v>0</v>
          </cell>
          <cell r="F11003">
            <v>0</v>
          </cell>
          <cell r="G11003">
            <v>0</v>
          </cell>
        </row>
        <row r="11004">
          <cell r="A11004" t="str">
            <v>66-02-01-0004</v>
          </cell>
          <cell r="B11004">
            <v>0</v>
          </cell>
          <cell r="C11004" t="str">
            <v xml:space="preserve">  SALES OF 30/S COMBED H/WAX EXPORT</v>
          </cell>
          <cell r="D11004">
            <v>0</v>
          </cell>
          <cell r="E11004">
            <v>72978381.950000003</v>
          </cell>
          <cell r="F11004">
            <v>0</v>
          </cell>
          <cell r="G11004">
            <v>0</v>
          </cell>
        </row>
        <row r="11005">
          <cell r="A11005" t="str">
            <v>66-02-01-0005</v>
          </cell>
          <cell r="B11005">
            <v>0</v>
          </cell>
          <cell r="C11005" t="str">
            <v xml:space="preserve">  SALES OF 20/S COMBED H/WAXED EXPORT</v>
          </cell>
          <cell r="D11005">
            <v>0</v>
          </cell>
          <cell r="E11005">
            <v>86719224.280000001</v>
          </cell>
          <cell r="F11005">
            <v>0</v>
          </cell>
          <cell r="G11005">
            <v>0</v>
          </cell>
        </row>
        <row r="11006">
          <cell r="A11006" t="str">
            <v>66-02-01-0006</v>
          </cell>
          <cell r="B11006">
            <v>0</v>
          </cell>
          <cell r="C11006" t="str">
            <v xml:space="preserve">  SALES OF 12/S PC EXPORT</v>
          </cell>
          <cell r="D11006">
            <v>0</v>
          </cell>
          <cell r="E11006">
            <v>109496.77</v>
          </cell>
          <cell r="F11006">
            <v>0</v>
          </cell>
          <cell r="G11006">
            <v>0</v>
          </cell>
        </row>
        <row r="11007">
          <cell r="A11007" t="str">
            <v>66-02-01-0007</v>
          </cell>
          <cell r="B11007">
            <v>0</v>
          </cell>
          <cell r="C11007" t="str">
            <v xml:space="preserve">  SALES OF 18/S PC EXPORT</v>
          </cell>
          <cell r="D11007">
            <v>0</v>
          </cell>
          <cell r="E11007">
            <v>0</v>
          </cell>
          <cell r="F11007">
            <v>0</v>
          </cell>
          <cell r="G11007">
            <v>0</v>
          </cell>
        </row>
        <row r="11008">
          <cell r="A11008" t="str">
            <v>66-02-01-0008</v>
          </cell>
          <cell r="B11008">
            <v>0</v>
          </cell>
          <cell r="C11008" t="str">
            <v xml:space="preserve">  SALES OF 30/S POLYESTER EXPORT</v>
          </cell>
          <cell r="D11008">
            <v>0</v>
          </cell>
          <cell r="E11008">
            <v>0</v>
          </cell>
          <cell r="F11008">
            <v>0</v>
          </cell>
          <cell r="G11008">
            <v>0</v>
          </cell>
        </row>
        <row r="11009">
          <cell r="A11009" t="str">
            <v>66-02-01-0009</v>
          </cell>
          <cell r="B11009">
            <v>0</v>
          </cell>
          <cell r="C11009" t="str">
            <v xml:space="preserve">  SALES OF 40/S COMBED H/WAX EXPORT</v>
          </cell>
          <cell r="D11009">
            <v>0</v>
          </cell>
          <cell r="E11009">
            <v>35279251.299999997</v>
          </cell>
          <cell r="F11009">
            <v>0</v>
          </cell>
          <cell r="G11009">
            <v>0</v>
          </cell>
        </row>
        <row r="11010">
          <cell r="A11010" t="str">
            <v>66-02-01-0010</v>
          </cell>
          <cell r="B11010">
            <v>0</v>
          </cell>
          <cell r="C11010" t="str">
            <v xml:space="preserve">  SALES OF 16/S CARDED WEAVING EXPORT.</v>
          </cell>
          <cell r="D11010">
            <v>0</v>
          </cell>
          <cell r="E11010">
            <v>38329441.57</v>
          </cell>
          <cell r="F11010">
            <v>0</v>
          </cell>
          <cell r="G11010">
            <v>0</v>
          </cell>
        </row>
        <row r="11011">
          <cell r="A11011" t="str">
            <v>66-02-01-0011</v>
          </cell>
          <cell r="B11011">
            <v>0</v>
          </cell>
          <cell r="C11011" t="str">
            <v xml:space="preserve">  SALES OF 20/S PC EXPORT</v>
          </cell>
          <cell r="D11011">
            <v>0</v>
          </cell>
          <cell r="E11011">
            <v>27405611.079999998</v>
          </cell>
          <cell r="F11011">
            <v>0</v>
          </cell>
          <cell r="G11011">
            <v>0</v>
          </cell>
        </row>
        <row r="11012">
          <cell r="A11012" t="str">
            <v>66-02-01-0012</v>
          </cell>
          <cell r="B11012">
            <v>0</v>
          </cell>
          <cell r="C11012" t="str">
            <v xml:space="preserve">  SALES OF 16/S PC EXPORT</v>
          </cell>
          <cell r="D11012">
            <v>0</v>
          </cell>
          <cell r="E11012">
            <v>16564946.779999999</v>
          </cell>
          <cell r="F11012">
            <v>0</v>
          </cell>
          <cell r="G11012">
            <v>0</v>
          </cell>
        </row>
        <row r="11013">
          <cell r="A11013" t="str">
            <v>66-02-01-0013</v>
          </cell>
          <cell r="B11013">
            <v>0</v>
          </cell>
          <cell r="C11013" t="str">
            <v xml:space="preserve">  SALES OF 50/S COMBED EXPORT</v>
          </cell>
          <cell r="D11013">
            <v>0</v>
          </cell>
          <cell r="E11013">
            <v>0</v>
          </cell>
          <cell r="F11013">
            <v>0</v>
          </cell>
          <cell r="G11013">
            <v>0</v>
          </cell>
        </row>
        <row r="11014">
          <cell r="A11014" t="str">
            <v>66-02-01-0014</v>
          </cell>
          <cell r="B11014">
            <v>0</v>
          </cell>
          <cell r="C11014" t="str">
            <v xml:space="preserve">  SALES OF 30/S CARDED WEAVING EXPORT</v>
          </cell>
          <cell r="D11014">
            <v>0</v>
          </cell>
          <cell r="E11014">
            <v>0</v>
          </cell>
          <cell r="F11014">
            <v>0</v>
          </cell>
          <cell r="G11014">
            <v>0</v>
          </cell>
        </row>
        <row r="11015">
          <cell r="A11015" t="str">
            <v>66-02-01-0015</v>
          </cell>
          <cell r="B11015">
            <v>0</v>
          </cell>
          <cell r="C11015" t="str">
            <v xml:space="preserve">  SALES OF 30/S POLYESTER EXPORT</v>
          </cell>
          <cell r="D11015">
            <v>0</v>
          </cell>
          <cell r="E11015">
            <v>0</v>
          </cell>
          <cell r="F11015">
            <v>0</v>
          </cell>
          <cell r="G11015">
            <v>0</v>
          </cell>
        </row>
        <row r="11016">
          <cell r="A11016" t="str">
            <v>66-02-01-0016</v>
          </cell>
          <cell r="B11016">
            <v>0</v>
          </cell>
          <cell r="C11016" t="str">
            <v xml:space="preserve">  SALES OF 32/S COMBED H/WAX EXPORT</v>
          </cell>
          <cell r="D11016">
            <v>0</v>
          </cell>
          <cell r="E11016">
            <v>53678768.039999999</v>
          </cell>
          <cell r="F11016">
            <v>0</v>
          </cell>
          <cell r="G11016">
            <v>0</v>
          </cell>
        </row>
        <row r="11017">
          <cell r="A11017" t="str">
            <v>66-02-01-0017</v>
          </cell>
          <cell r="B11017">
            <v>0</v>
          </cell>
          <cell r="C11017" t="str">
            <v xml:space="preserve">  SALES OF 26/S COMBED H/WAXED EXPORT</v>
          </cell>
          <cell r="D11017">
            <v>0</v>
          </cell>
          <cell r="E11017">
            <v>0</v>
          </cell>
          <cell r="F11017">
            <v>0</v>
          </cell>
          <cell r="G11017">
            <v>0</v>
          </cell>
        </row>
        <row r="11018">
          <cell r="A11018" t="str">
            <v>66-02-01-0018</v>
          </cell>
          <cell r="B11018">
            <v>0</v>
          </cell>
          <cell r="C11018" t="str">
            <v xml:space="preserve">  SALES OF 20/S CARDED H/WAX EXPORT</v>
          </cell>
          <cell r="D11018">
            <v>0</v>
          </cell>
          <cell r="E11018">
            <v>77522242.670000002</v>
          </cell>
          <cell r="F11018">
            <v>0</v>
          </cell>
          <cell r="G11018">
            <v>0</v>
          </cell>
        </row>
        <row r="11019">
          <cell r="A11019" t="str">
            <v>66-02-01-0019</v>
          </cell>
          <cell r="B11019">
            <v>0</v>
          </cell>
          <cell r="C11019" t="str">
            <v xml:space="preserve">  SALES OF 24/S COMBED H/WAXED EXPORT</v>
          </cell>
          <cell r="D11019">
            <v>0</v>
          </cell>
          <cell r="E11019">
            <v>0</v>
          </cell>
          <cell r="F11019">
            <v>0</v>
          </cell>
          <cell r="G11019">
            <v>0</v>
          </cell>
        </row>
        <row r="11020">
          <cell r="A11020" t="str">
            <v>66-02-01-0020</v>
          </cell>
          <cell r="B11020">
            <v>0</v>
          </cell>
          <cell r="C11020" t="str">
            <v xml:space="preserve">  SALES OF 16/S COMBED H/WAX EXPORT</v>
          </cell>
          <cell r="D11020">
            <v>0</v>
          </cell>
          <cell r="E11020">
            <v>24288798.800000001</v>
          </cell>
          <cell r="F11020">
            <v>0</v>
          </cell>
          <cell r="G11020">
            <v>0</v>
          </cell>
        </row>
        <row r="11021">
          <cell r="A11021" t="str">
            <v>66-02-01-0021</v>
          </cell>
          <cell r="B11021">
            <v>0</v>
          </cell>
          <cell r="C11021" t="str">
            <v xml:space="preserve">  SALES OF 12/S CARDED WEAVING EXPORT</v>
          </cell>
          <cell r="D11021">
            <v>0</v>
          </cell>
          <cell r="E11021">
            <v>43031960.299999997</v>
          </cell>
          <cell r="F11021">
            <v>0</v>
          </cell>
          <cell r="G11021">
            <v>0</v>
          </cell>
        </row>
        <row r="11022">
          <cell r="A11022" t="str">
            <v>66-02-01-0022</v>
          </cell>
          <cell r="B11022">
            <v>0</v>
          </cell>
          <cell r="C11022" t="str">
            <v xml:space="preserve">  SALES OF 30/S CP EXPORT</v>
          </cell>
          <cell r="D11022">
            <v>0</v>
          </cell>
          <cell r="E11022">
            <v>0</v>
          </cell>
          <cell r="F11022">
            <v>0</v>
          </cell>
          <cell r="G11022">
            <v>0</v>
          </cell>
        </row>
        <row r="11023">
          <cell r="A11023" t="str">
            <v>66-02-01-0023</v>
          </cell>
          <cell r="B11023">
            <v>0</v>
          </cell>
          <cell r="C11023" t="str">
            <v xml:space="preserve">  SALES OF 32/S CARDED EXPORT</v>
          </cell>
          <cell r="D11023">
            <v>0</v>
          </cell>
          <cell r="E11023">
            <v>0</v>
          </cell>
          <cell r="F11023">
            <v>0</v>
          </cell>
          <cell r="G11023">
            <v>0</v>
          </cell>
        </row>
        <row r="11024">
          <cell r="A11024" t="str">
            <v>66-02-01-0024</v>
          </cell>
          <cell r="B11024">
            <v>0</v>
          </cell>
          <cell r="C11024" t="str">
            <v xml:space="preserve">  SALES OF 10/S CARDED H/WAX EXPORT</v>
          </cell>
          <cell r="D11024">
            <v>0</v>
          </cell>
          <cell r="E11024">
            <v>0</v>
          </cell>
          <cell r="F11024">
            <v>0</v>
          </cell>
          <cell r="G11024">
            <v>0</v>
          </cell>
        </row>
        <row r="11025">
          <cell r="A11025" t="str">
            <v>66-02-01-0025</v>
          </cell>
          <cell r="B11025">
            <v>0</v>
          </cell>
          <cell r="C11025" t="str">
            <v xml:space="preserve">  SALES OF 10/S COMBED  EXPORT</v>
          </cell>
          <cell r="D11025">
            <v>0</v>
          </cell>
          <cell r="E11025">
            <v>0</v>
          </cell>
          <cell r="F11025">
            <v>0</v>
          </cell>
          <cell r="G11025">
            <v>0</v>
          </cell>
        </row>
        <row r="11026">
          <cell r="A11026" t="str">
            <v>66-02-01-0026</v>
          </cell>
          <cell r="B11026">
            <v>0</v>
          </cell>
          <cell r="C11026" t="str">
            <v xml:space="preserve">  SALES OF 16/S POLYESTER EXPORT</v>
          </cell>
          <cell r="D11026">
            <v>0</v>
          </cell>
          <cell r="E11026">
            <v>3461391.1</v>
          </cell>
          <cell r="F11026">
            <v>0</v>
          </cell>
          <cell r="G11026">
            <v>0</v>
          </cell>
        </row>
        <row r="11027">
          <cell r="A11027" t="str">
            <v>66-02-01-0027</v>
          </cell>
          <cell r="B11027">
            <v>0</v>
          </cell>
          <cell r="C11027" t="str">
            <v xml:space="preserve">  SALES OF 18/2 POLYESTER EXPORT</v>
          </cell>
          <cell r="D11027">
            <v>0</v>
          </cell>
          <cell r="E11027">
            <v>0</v>
          </cell>
          <cell r="F11027">
            <v>0</v>
          </cell>
          <cell r="G11027">
            <v>0</v>
          </cell>
        </row>
        <row r="11028">
          <cell r="A11028" t="str">
            <v>66-02-01-0028</v>
          </cell>
          <cell r="B11028">
            <v>0</v>
          </cell>
          <cell r="C11028" t="str">
            <v xml:space="preserve">  SALES OF 24/S CARDED H/WAX EXPORT</v>
          </cell>
          <cell r="D11028">
            <v>0</v>
          </cell>
          <cell r="E11028">
            <v>0</v>
          </cell>
          <cell r="F11028">
            <v>0</v>
          </cell>
          <cell r="G11028">
            <v>0</v>
          </cell>
        </row>
        <row r="11029">
          <cell r="A11029" t="str">
            <v>66-02-01-0029</v>
          </cell>
          <cell r="B11029">
            <v>0</v>
          </cell>
          <cell r="C11029" t="str">
            <v xml:space="preserve">  SALES OF 9/S CARDED EXPORT</v>
          </cell>
          <cell r="D11029">
            <v>0</v>
          </cell>
          <cell r="E11029">
            <v>0</v>
          </cell>
          <cell r="F11029">
            <v>0</v>
          </cell>
          <cell r="G11029">
            <v>0</v>
          </cell>
        </row>
        <row r="11030">
          <cell r="A11030" t="str">
            <v>66-02-01-0030</v>
          </cell>
          <cell r="B11030">
            <v>0</v>
          </cell>
          <cell r="C11030" t="str">
            <v xml:space="preserve">  SALES OF 36/S COMBED EXPORT</v>
          </cell>
          <cell r="D11030">
            <v>0</v>
          </cell>
          <cell r="E11030">
            <v>0</v>
          </cell>
          <cell r="F11030">
            <v>0</v>
          </cell>
          <cell r="G11030">
            <v>0</v>
          </cell>
        </row>
        <row r="11031">
          <cell r="A11031" t="str">
            <v>66-02-01-0031</v>
          </cell>
          <cell r="B11031">
            <v>0</v>
          </cell>
          <cell r="C11031" t="str">
            <v xml:space="preserve">  SALES OF 16/S CARDED LYCRA  EXPORT</v>
          </cell>
          <cell r="D11031">
            <v>0</v>
          </cell>
          <cell r="E11031">
            <v>112826928.91</v>
          </cell>
          <cell r="F11031">
            <v>0</v>
          </cell>
          <cell r="G11031">
            <v>0</v>
          </cell>
        </row>
        <row r="11032">
          <cell r="A11032" t="str">
            <v>66-02-01-0032</v>
          </cell>
          <cell r="B11032">
            <v>0</v>
          </cell>
          <cell r="C11032" t="str">
            <v xml:space="preserve">  SALES OF 16/2 CARDED EXPORT</v>
          </cell>
          <cell r="D11032">
            <v>0</v>
          </cell>
          <cell r="E11032">
            <v>0</v>
          </cell>
          <cell r="F11032">
            <v>0</v>
          </cell>
          <cell r="G11032">
            <v>0</v>
          </cell>
        </row>
        <row r="11033">
          <cell r="A11033" t="str">
            <v>66-02-01-0033</v>
          </cell>
          <cell r="B11033">
            <v>0</v>
          </cell>
          <cell r="C11033" t="str">
            <v xml:space="preserve">  SALES OF 20/2 CARDED EXPORT</v>
          </cell>
          <cell r="D11033">
            <v>0</v>
          </cell>
          <cell r="E11033">
            <v>14608627.609999999</v>
          </cell>
          <cell r="F11033">
            <v>0</v>
          </cell>
          <cell r="G11033">
            <v>0</v>
          </cell>
        </row>
        <row r="11034">
          <cell r="A11034" t="str">
            <v>66-02-01-0034</v>
          </cell>
          <cell r="B11034">
            <v>0</v>
          </cell>
          <cell r="C11034" t="str">
            <v xml:space="preserve">  SALES OF 24/S PC EXPORT</v>
          </cell>
          <cell r="D11034">
            <v>0</v>
          </cell>
          <cell r="E11034">
            <v>7888382.0899999999</v>
          </cell>
          <cell r="F11034">
            <v>0</v>
          </cell>
          <cell r="G11034">
            <v>0</v>
          </cell>
        </row>
        <row r="11035">
          <cell r="A11035" t="str">
            <v>66-02-01-0035</v>
          </cell>
          <cell r="B11035">
            <v>0</v>
          </cell>
          <cell r="C11035" t="str">
            <v xml:space="preserve">  SALES OF 10/2 CARDED EXPORT</v>
          </cell>
          <cell r="D11035">
            <v>0</v>
          </cell>
          <cell r="E11035">
            <v>0</v>
          </cell>
          <cell r="F11035">
            <v>0</v>
          </cell>
          <cell r="G11035">
            <v>0</v>
          </cell>
        </row>
        <row r="11036">
          <cell r="A11036" t="str">
            <v>66-02-01-0036</v>
          </cell>
          <cell r="B11036">
            <v>0</v>
          </cell>
          <cell r="C11036" t="str">
            <v xml:space="preserve">  SALES OF 20/2 PC  EXPORT</v>
          </cell>
          <cell r="D11036">
            <v>0</v>
          </cell>
          <cell r="E11036">
            <v>0</v>
          </cell>
          <cell r="F11036">
            <v>0</v>
          </cell>
          <cell r="G11036">
            <v>0</v>
          </cell>
        </row>
        <row r="11037">
          <cell r="A11037" t="str">
            <v>66-02-01-0037</v>
          </cell>
          <cell r="B11037">
            <v>0</v>
          </cell>
          <cell r="C11037" t="str">
            <v xml:space="preserve">  SALES OF 14/S COMBED EXPORT</v>
          </cell>
          <cell r="D11037">
            <v>0</v>
          </cell>
          <cell r="E11037">
            <v>0</v>
          </cell>
          <cell r="F11037">
            <v>0</v>
          </cell>
          <cell r="G11037">
            <v>0</v>
          </cell>
        </row>
        <row r="11038">
          <cell r="A11038" t="str">
            <v>66-02-01-0038</v>
          </cell>
          <cell r="B11038">
            <v>0</v>
          </cell>
          <cell r="C11038" t="str">
            <v xml:space="preserve">  SALES OF 20/2 COMBED EXPORT</v>
          </cell>
          <cell r="D11038">
            <v>0</v>
          </cell>
          <cell r="E11038">
            <v>2603279.2400000002</v>
          </cell>
          <cell r="F11038">
            <v>0</v>
          </cell>
          <cell r="G11038">
            <v>0</v>
          </cell>
        </row>
        <row r="11039">
          <cell r="A11039" t="str">
            <v>66-02-01-0039</v>
          </cell>
          <cell r="B11039">
            <v>0</v>
          </cell>
          <cell r="C11039" t="str">
            <v xml:space="preserve">  SALES OF 18/S COMBED EXPORT</v>
          </cell>
          <cell r="D11039">
            <v>0</v>
          </cell>
          <cell r="E11039">
            <v>0</v>
          </cell>
          <cell r="F11039">
            <v>0</v>
          </cell>
          <cell r="G11039">
            <v>0</v>
          </cell>
        </row>
        <row r="11040">
          <cell r="A11040" t="str">
            <v>66-02-01-0040</v>
          </cell>
          <cell r="B11040">
            <v>0</v>
          </cell>
          <cell r="C11040" t="str">
            <v xml:space="preserve">  SALES OF 14/S CARDED EXPORT</v>
          </cell>
          <cell r="D11040">
            <v>0</v>
          </cell>
          <cell r="E11040">
            <v>0</v>
          </cell>
          <cell r="F11040">
            <v>0</v>
          </cell>
          <cell r="G11040">
            <v>0</v>
          </cell>
        </row>
        <row r="11041">
          <cell r="A11041" t="str">
            <v>66-02-01-0041</v>
          </cell>
          <cell r="B11041">
            <v>0</v>
          </cell>
          <cell r="C11041" t="str">
            <v xml:space="preserve">  SALES OF 30/S CARDED H/WAX EXPORT</v>
          </cell>
          <cell r="D11041">
            <v>0</v>
          </cell>
          <cell r="E11041">
            <v>40362138.490000002</v>
          </cell>
          <cell r="F11041">
            <v>0</v>
          </cell>
          <cell r="G11041">
            <v>0</v>
          </cell>
        </row>
        <row r="11042">
          <cell r="A11042" t="str">
            <v>66-02-01-0042</v>
          </cell>
          <cell r="B11042">
            <v>0</v>
          </cell>
          <cell r="C11042" t="str">
            <v xml:space="preserve">  SALES OF 06/S CARDED H/WAX EXPORT</v>
          </cell>
          <cell r="D11042">
            <v>0</v>
          </cell>
          <cell r="E11042">
            <v>0</v>
          </cell>
          <cell r="F11042">
            <v>0</v>
          </cell>
          <cell r="G11042">
            <v>0</v>
          </cell>
        </row>
        <row r="11043">
          <cell r="A11043" t="str">
            <v>66-02-01-0043</v>
          </cell>
          <cell r="B11043">
            <v>0</v>
          </cell>
          <cell r="C11043" t="str">
            <v xml:space="preserve">  SALES OF 20/S CARDED WEAVING.EXPORT</v>
          </cell>
          <cell r="D11043">
            <v>0</v>
          </cell>
          <cell r="E11043">
            <v>180027776.06999999</v>
          </cell>
          <cell r="F11043">
            <v>0</v>
          </cell>
          <cell r="G11043">
            <v>0</v>
          </cell>
        </row>
        <row r="11044">
          <cell r="A11044" t="str">
            <v>66-02-01-0044</v>
          </cell>
          <cell r="B11044">
            <v>0</v>
          </cell>
          <cell r="C11044" t="str">
            <v xml:space="preserve">  SALES OF 24/2 CARDED EXPORT</v>
          </cell>
          <cell r="D11044">
            <v>0</v>
          </cell>
          <cell r="E11044">
            <v>0</v>
          </cell>
          <cell r="F11044">
            <v>0</v>
          </cell>
          <cell r="G11044">
            <v>0</v>
          </cell>
        </row>
        <row r="11045">
          <cell r="A11045" t="str">
            <v>66-02-01-0045</v>
          </cell>
          <cell r="B11045">
            <v>0</v>
          </cell>
          <cell r="C11045" t="str">
            <v xml:space="preserve">  SALES OF 16/S CARDED H/WAX EXPORT</v>
          </cell>
          <cell r="D11045">
            <v>0</v>
          </cell>
          <cell r="E11045">
            <v>18322923.289999999</v>
          </cell>
          <cell r="F11045">
            <v>0</v>
          </cell>
          <cell r="G11045">
            <v>0</v>
          </cell>
        </row>
        <row r="11046">
          <cell r="A11046" t="str">
            <v>66-02-01-0046</v>
          </cell>
          <cell r="B11046">
            <v>0</v>
          </cell>
          <cell r="C11046" t="str">
            <v xml:space="preserve">  SALES OF 30/2 CARDED WEAVING EXPORT.</v>
          </cell>
          <cell r="D11046">
            <v>0</v>
          </cell>
          <cell r="E11046">
            <v>103230</v>
          </cell>
          <cell r="F11046">
            <v>0</v>
          </cell>
          <cell r="G11046">
            <v>0</v>
          </cell>
        </row>
        <row r="11047">
          <cell r="A11047" t="str">
            <v>66-02-01-0047</v>
          </cell>
          <cell r="B11047">
            <v>0</v>
          </cell>
          <cell r="C11047" t="str">
            <v xml:space="preserve">  SALES OF 14/S CARDED LYCRA EXPORT</v>
          </cell>
          <cell r="D11047">
            <v>0</v>
          </cell>
          <cell r="E11047">
            <v>25750114.210000001</v>
          </cell>
          <cell r="F11047">
            <v>0</v>
          </cell>
          <cell r="G11047">
            <v>0</v>
          </cell>
        </row>
        <row r="11048">
          <cell r="A11048" t="str">
            <v>66-02-01-0048</v>
          </cell>
          <cell r="B11048">
            <v>0</v>
          </cell>
          <cell r="C11048" t="str">
            <v xml:space="preserve">  SALES OF 10/S CARDED WEAVING EXPORT</v>
          </cell>
          <cell r="D11048">
            <v>0</v>
          </cell>
          <cell r="E11048">
            <v>0</v>
          </cell>
          <cell r="F11048">
            <v>0</v>
          </cell>
          <cell r="G11048">
            <v>0</v>
          </cell>
        </row>
        <row r="11049">
          <cell r="A11049" t="str">
            <v>66-02-01-0049</v>
          </cell>
          <cell r="B11049">
            <v>0</v>
          </cell>
          <cell r="C11049" t="str">
            <v xml:space="preserve">  SALES OF 18/S CARDED LYCRA EXPORT</v>
          </cell>
          <cell r="D11049">
            <v>0</v>
          </cell>
          <cell r="E11049">
            <v>0</v>
          </cell>
          <cell r="F11049">
            <v>0</v>
          </cell>
          <cell r="G11049">
            <v>0</v>
          </cell>
        </row>
        <row r="11050">
          <cell r="A11050" t="str">
            <v>66-02-01-0050</v>
          </cell>
          <cell r="B11050">
            <v>0</v>
          </cell>
          <cell r="C11050" t="str">
            <v xml:space="preserve">  SALES OF 30/2 COMBED HOSIERY U.WX EXPO</v>
          </cell>
          <cell r="D11050">
            <v>0</v>
          </cell>
          <cell r="E11050">
            <v>0</v>
          </cell>
          <cell r="F11050">
            <v>0</v>
          </cell>
          <cell r="G11050">
            <v>0</v>
          </cell>
        </row>
        <row r="11051">
          <cell r="A11051" t="str">
            <v>66-02-01-0051</v>
          </cell>
          <cell r="B11051">
            <v>0</v>
          </cell>
          <cell r="C11051" t="str">
            <v xml:space="preserve">  SALES OF POLYSTER COTTON FABRICS EXPOR</v>
          </cell>
          <cell r="D11051">
            <v>0</v>
          </cell>
          <cell r="E11051">
            <v>0</v>
          </cell>
          <cell r="F11051">
            <v>0</v>
          </cell>
          <cell r="G11051">
            <v>0</v>
          </cell>
        </row>
        <row r="11052">
          <cell r="A11052" t="str">
            <v>66-02-01-0052</v>
          </cell>
          <cell r="B11052">
            <v>0</v>
          </cell>
          <cell r="C11052" t="str">
            <v xml:space="preserve">  SALES OF 10/S CARDED SPENDEX EXPORT</v>
          </cell>
          <cell r="D11052">
            <v>0</v>
          </cell>
          <cell r="E11052">
            <v>0</v>
          </cell>
          <cell r="F11052">
            <v>0</v>
          </cell>
          <cell r="G11052">
            <v>0</v>
          </cell>
        </row>
        <row r="11053">
          <cell r="A11053" t="str">
            <v>66-02-01-0053</v>
          </cell>
          <cell r="B11053">
            <v>0</v>
          </cell>
          <cell r="C11053" t="str">
            <v xml:space="preserve">  SALES OF 30/S COMBED WEAVING EXPORT</v>
          </cell>
          <cell r="D11053">
            <v>0</v>
          </cell>
          <cell r="E11053">
            <v>21715533.23</v>
          </cell>
          <cell r="F11053">
            <v>0</v>
          </cell>
          <cell r="G11053">
            <v>0</v>
          </cell>
        </row>
        <row r="11054">
          <cell r="A11054" t="str">
            <v>66-02-01-0054</v>
          </cell>
          <cell r="B11054">
            <v>0</v>
          </cell>
          <cell r="C11054" t="str">
            <v xml:space="preserve">  SALES OF 40/S COMBED WEAVING EXPORT</v>
          </cell>
          <cell r="D11054">
            <v>0</v>
          </cell>
          <cell r="E11054">
            <v>134554161.13999999</v>
          </cell>
          <cell r="F11054">
            <v>0</v>
          </cell>
          <cell r="G11054">
            <v>0</v>
          </cell>
        </row>
        <row r="11055">
          <cell r="A11055" t="str">
            <v>66-02-01-0055</v>
          </cell>
          <cell r="B11055">
            <v>0</v>
          </cell>
          <cell r="C11055" t="str">
            <v xml:space="preserve">  SALES OF 24/S COMBED WEAVING EXPORT</v>
          </cell>
          <cell r="D11055">
            <v>0</v>
          </cell>
          <cell r="E11055">
            <v>3883350.99</v>
          </cell>
          <cell r="F11055">
            <v>0</v>
          </cell>
          <cell r="G11055">
            <v>0</v>
          </cell>
        </row>
        <row r="11056">
          <cell r="A11056" t="str">
            <v>66-02-01-0056</v>
          </cell>
          <cell r="B11056">
            <v>0</v>
          </cell>
          <cell r="C11056" t="str">
            <v xml:space="preserve">  SALES OF 30/2 COMBED WEAVING EXPORT</v>
          </cell>
          <cell r="D11056">
            <v>0</v>
          </cell>
          <cell r="E11056">
            <v>2271260.06</v>
          </cell>
          <cell r="F11056">
            <v>0</v>
          </cell>
          <cell r="G11056">
            <v>0</v>
          </cell>
        </row>
        <row r="11057">
          <cell r="A11057" t="str">
            <v>66-02-01-0057</v>
          </cell>
          <cell r="B11057">
            <v>0</v>
          </cell>
          <cell r="C11057" t="str">
            <v xml:space="preserve">  SALES OF 18/S CARDED WEAVING EXPORT</v>
          </cell>
          <cell r="D11057">
            <v>0</v>
          </cell>
          <cell r="E11057">
            <v>0</v>
          </cell>
          <cell r="F11057">
            <v>0</v>
          </cell>
          <cell r="G11057">
            <v>0</v>
          </cell>
        </row>
        <row r="11058">
          <cell r="A11058" t="str">
            <v>66-02-01-0058</v>
          </cell>
          <cell r="B11058">
            <v>0</v>
          </cell>
          <cell r="C11058" t="str">
            <v xml:space="preserve">  SALES OF 30/S CARDED LYCRA EXPORT</v>
          </cell>
          <cell r="D11058">
            <v>0</v>
          </cell>
          <cell r="E11058">
            <v>1735536.12</v>
          </cell>
          <cell r="F11058">
            <v>0</v>
          </cell>
          <cell r="G11058">
            <v>0</v>
          </cell>
        </row>
        <row r="11059">
          <cell r="A11059" t="str">
            <v>66-02-01-0059</v>
          </cell>
          <cell r="B11059">
            <v>0</v>
          </cell>
          <cell r="C11059" t="str">
            <v xml:space="preserve">  SALES OF MIX COUNTS EXPORT</v>
          </cell>
          <cell r="D11059">
            <v>0</v>
          </cell>
          <cell r="E11059">
            <v>0</v>
          </cell>
          <cell r="F11059">
            <v>0</v>
          </cell>
          <cell r="G11059">
            <v>0</v>
          </cell>
        </row>
        <row r="11060">
          <cell r="A11060" t="str">
            <v>66-02-01-0060</v>
          </cell>
          <cell r="B11060">
            <v>0</v>
          </cell>
          <cell r="C11060" t="str">
            <v xml:space="preserve">  SALES OF 40/2 COMBED WEAVING EXPORT</v>
          </cell>
          <cell r="D11060">
            <v>0</v>
          </cell>
          <cell r="E11060">
            <v>8145109.0899999999</v>
          </cell>
          <cell r="F11060">
            <v>0</v>
          </cell>
          <cell r="G11060">
            <v>0</v>
          </cell>
        </row>
        <row r="11061">
          <cell r="A11061" t="str">
            <v>66-02-01-0061</v>
          </cell>
          <cell r="B11061">
            <v>0</v>
          </cell>
          <cell r="C11061" t="str">
            <v xml:space="preserve">  SALES OF 20/S COMBED SPENDIX EXPORT</v>
          </cell>
          <cell r="D11061">
            <v>0</v>
          </cell>
          <cell r="E11061">
            <v>0</v>
          </cell>
          <cell r="F11061">
            <v>0</v>
          </cell>
          <cell r="G11061">
            <v>0</v>
          </cell>
        </row>
        <row r="11062">
          <cell r="A11062" t="str">
            <v>66-02-01-0062</v>
          </cell>
          <cell r="B11062">
            <v>0</v>
          </cell>
          <cell r="C11062" t="str">
            <v xml:space="preserve">  SALES OF 16/S COMBED LYCRA EXPORT</v>
          </cell>
          <cell r="D11062">
            <v>0</v>
          </cell>
          <cell r="E11062">
            <v>8835428.1600000001</v>
          </cell>
          <cell r="F11062">
            <v>0</v>
          </cell>
          <cell r="G11062">
            <v>0</v>
          </cell>
        </row>
        <row r="11063">
          <cell r="A11063" t="str">
            <v>66-02-01-0063</v>
          </cell>
          <cell r="B11063">
            <v>0</v>
          </cell>
          <cell r="C11063" t="str">
            <v xml:space="preserve">  SALES OF 10/S CARDED LYCRA EXPORT</v>
          </cell>
          <cell r="D11063">
            <v>0</v>
          </cell>
          <cell r="E11063">
            <v>3115983</v>
          </cell>
          <cell r="F11063">
            <v>0</v>
          </cell>
          <cell r="G11063">
            <v>0</v>
          </cell>
        </row>
        <row r="11064">
          <cell r="A11064" t="str">
            <v>66-02-01-0064</v>
          </cell>
          <cell r="B11064">
            <v>0</v>
          </cell>
          <cell r="C11064" t="str">
            <v xml:space="preserve">  SALES OF 20/S COMBED WEAVING EXPORT</v>
          </cell>
          <cell r="D11064">
            <v>0</v>
          </cell>
          <cell r="E11064">
            <v>1086785.92</v>
          </cell>
          <cell r="F11064">
            <v>0</v>
          </cell>
          <cell r="G11064">
            <v>0</v>
          </cell>
        </row>
        <row r="11065">
          <cell r="A11065" t="str">
            <v>66-02-01-0065</v>
          </cell>
          <cell r="B11065">
            <v>0</v>
          </cell>
          <cell r="C11065" t="str">
            <v xml:space="preserve">  SALES OF 30/S COMBED H/UNWAXED EXPORT</v>
          </cell>
          <cell r="D11065">
            <v>0</v>
          </cell>
          <cell r="E11065">
            <v>0</v>
          </cell>
          <cell r="F11065">
            <v>0</v>
          </cell>
          <cell r="G11065">
            <v>0</v>
          </cell>
        </row>
        <row r="11066">
          <cell r="A11066" t="str">
            <v>66-02-01-0066</v>
          </cell>
          <cell r="B11066">
            <v>0</v>
          </cell>
          <cell r="C11066" t="str">
            <v xml:space="preserve">  SALES OF 40/S COMBED H/UNWAXED EXPORT</v>
          </cell>
          <cell r="D11066">
            <v>0</v>
          </cell>
          <cell r="E11066">
            <v>5329107.5</v>
          </cell>
          <cell r="F11066">
            <v>0</v>
          </cell>
          <cell r="G11066">
            <v>0</v>
          </cell>
        </row>
        <row r="11067">
          <cell r="A11067" t="str">
            <v>66-02-01-0067</v>
          </cell>
          <cell r="B11067">
            <v>0</v>
          </cell>
          <cell r="C11067" t="str">
            <v xml:space="preserve">  SALES OF 20/2 CARDED WEAVING EXPORT</v>
          </cell>
          <cell r="D11067">
            <v>0</v>
          </cell>
          <cell r="E11067">
            <v>12325535.210000001</v>
          </cell>
          <cell r="F11067">
            <v>0</v>
          </cell>
          <cell r="G11067">
            <v>0</v>
          </cell>
        </row>
        <row r="11068">
          <cell r="A11068" t="str">
            <v>66-02-01-0068</v>
          </cell>
          <cell r="B11068">
            <v>0</v>
          </cell>
          <cell r="C11068" t="str">
            <v xml:space="preserve">  SALES OF 50/S COMBED WEAVING EXPORT</v>
          </cell>
          <cell r="D11068">
            <v>0</v>
          </cell>
          <cell r="E11068">
            <v>57855765.450000003</v>
          </cell>
          <cell r="F11068">
            <v>0</v>
          </cell>
          <cell r="G11068">
            <v>0</v>
          </cell>
        </row>
        <row r="11069">
          <cell r="A11069" t="str">
            <v>66-02-01-0069</v>
          </cell>
          <cell r="B11069">
            <v>0</v>
          </cell>
          <cell r="C11069" t="str">
            <v xml:space="preserve">  SALES OF 24/2 CARDED WEAVING EXPORT</v>
          </cell>
          <cell r="D11069">
            <v>0</v>
          </cell>
          <cell r="E11069">
            <v>1362773.49</v>
          </cell>
          <cell r="F11069">
            <v>0</v>
          </cell>
          <cell r="G11069">
            <v>0</v>
          </cell>
        </row>
        <row r="11070">
          <cell r="A11070" t="str">
            <v>66-02-01-0070</v>
          </cell>
          <cell r="B11070">
            <v>0</v>
          </cell>
          <cell r="C11070" t="str">
            <v xml:space="preserve">  SALES OF 30/2 COMBED H/WAXED EXPORT</v>
          </cell>
          <cell r="D11070">
            <v>0</v>
          </cell>
          <cell r="E11070">
            <v>0</v>
          </cell>
          <cell r="F11070">
            <v>0</v>
          </cell>
          <cell r="G11070">
            <v>0</v>
          </cell>
        </row>
        <row r="11071">
          <cell r="A11071" t="str">
            <v>66-02-01-0071</v>
          </cell>
          <cell r="B11071">
            <v>0</v>
          </cell>
          <cell r="C11071" t="str">
            <v xml:space="preserve">  SALES OF 32/1 CARDED H/WAXED EXPORT</v>
          </cell>
          <cell r="D11071">
            <v>0</v>
          </cell>
          <cell r="E11071">
            <v>0</v>
          </cell>
          <cell r="F11071">
            <v>0</v>
          </cell>
          <cell r="G11071">
            <v>0</v>
          </cell>
        </row>
        <row r="11072">
          <cell r="A11072" t="str">
            <v>66-02-01-0072</v>
          </cell>
          <cell r="B11072">
            <v>0</v>
          </cell>
          <cell r="C11072" t="str">
            <v xml:space="preserve">  SALES OF 16/1 CARDED SPANDEX EXPORT</v>
          </cell>
          <cell r="D11072">
            <v>0</v>
          </cell>
          <cell r="E11072">
            <v>0</v>
          </cell>
          <cell r="F11072">
            <v>0</v>
          </cell>
          <cell r="G11072">
            <v>0</v>
          </cell>
        </row>
        <row r="11073">
          <cell r="A11073" t="str">
            <v>66-02-01-0073</v>
          </cell>
          <cell r="B11073">
            <v>0</v>
          </cell>
          <cell r="C11073" t="str">
            <v xml:space="preserve">  SALES OF 12/S CARDED H/WAXED EXPORT</v>
          </cell>
          <cell r="D11073">
            <v>0</v>
          </cell>
          <cell r="E11073">
            <v>19325343.739999998</v>
          </cell>
          <cell r="F11073">
            <v>0</v>
          </cell>
          <cell r="G11073">
            <v>0</v>
          </cell>
        </row>
        <row r="11074">
          <cell r="A11074" t="str">
            <v>66-02-01-0074</v>
          </cell>
          <cell r="B11074">
            <v>0</v>
          </cell>
          <cell r="C11074" t="str">
            <v xml:space="preserve">  SALES OF 10/S COMBED WEAVING EXPORT</v>
          </cell>
          <cell r="D11074">
            <v>0</v>
          </cell>
          <cell r="E11074">
            <v>0</v>
          </cell>
          <cell r="F11074">
            <v>0</v>
          </cell>
          <cell r="G11074">
            <v>0</v>
          </cell>
        </row>
        <row r="11075">
          <cell r="A11075" t="str">
            <v>66-02-01-0075</v>
          </cell>
          <cell r="B11075">
            <v>0</v>
          </cell>
          <cell r="C11075" t="str">
            <v xml:space="preserve">  SALES OF 30/S COMBED SPANDEX EXPORT</v>
          </cell>
          <cell r="D11075">
            <v>0</v>
          </cell>
          <cell r="E11075">
            <v>0</v>
          </cell>
          <cell r="F11075">
            <v>0</v>
          </cell>
          <cell r="G11075">
            <v>0</v>
          </cell>
        </row>
        <row r="11076">
          <cell r="A11076" t="str">
            <v>66-02-01-0076</v>
          </cell>
          <cell r="B11076">
            <v>0</v>
          </cell>
          <cell r="C11076" t="str">
            <v xml:space="preserve">  SALES OF 40/S COMBED SPANDEX EXPORT</v>
          </cell>
          <cell r="D11076">
            <v>0</v>
          </cell>
          <cell r="E11076">
            <v>0</v>
          </cell>
          <cell r="F11076">
            <v>0</v>
          </cell>
          <cell r="G11076">
            <v>0</v>
          </cell>
        </row>
        <row r="11077">
          <cell r="A11077" t="str">
            <v>66-02-01-0077</v>
          </cell>
          <cell r="B11077">
            <v>0</v>
          </cell>
          <cell r="C11077" t="str">
            <v xml:space="preserve">  SALES OF 40/S COMBED LYCRA EXPORT</v>
          </cell>
          <cell r="D11077">
            <v>0</v>
          </cell>
          <cell r="E11077">
            <v>14033261.93</v>
          </cell>
          <cell r="F11077">
            <v>0</v>
          </cell>
          <cell r="G11077">
            <v>0</v>
          </cell>
        </row>
        <row r="11078">
          <cell r="A11078" t="str">
            <v>66-02-01-0078</v>
          </cell>
          <cell r="B11078">
            <v>0</v>
          </cell>
          <cell r="C11078" t="str">
            <v xml:space="preserve">  SALES OF 20/S CARDED H/UNWAXED EXPORT</v>
          </cell>
          <cell r="D11078">
            <v>0</v>
          </cell>
          <cell r="E11078">
            <v>13395327.359999999</v>
          </cell>
          <cell r="F11078">
            <v>0</v>
          </cell>
          <cell r="G11078">
            <v>0</v>
          </cell>
        </row>
        <row r="11079">
          <cell r="A11079" t="str">
            <v>66-02-01-0079</v>
          </cell>
          <cell r="B11079">
            <v>0</v>
          </cell>
          <cell r="C11079" t="str">
            <v xml:space="preserve">  SALES OF 24/S COMBED LYCRA EXPORT</v>
          </cell>
          <cell r="D11079">
            <v>0</v>
          </cell>
          <cell r="E11079">
            <v>1714602.1</v>
          </cell>
          <cell r="F11079">
            <v>0</v>
          </cell>
          <cell r="G11079">
            <v>0</v>
          </cell>
        </row>
        <row r="11080">
          <cell r="A11080" t="str">
            <v>66-02-01-0080</v>
          </cell>
          <cell r="B11080">
            <v>0</v>
          </cell>
          <cell r="C11080" t="str">
            <v xml:space="preserve">  SALES OF 50/S COMBED H/UNWAXED EXPORT</v>
          </cell>
          <cell r="D11080">
            <v>0</v>
          </cell>
          <cell r="E11080">
            <v>0</v>
          </cell>
          <cell r="F11080">
            <v>0</v>
          </cell>
          <cell r="G11080">
            <v>0</v>
          </cell>
        </row>
        <row r="11081">
          <cell r="A11081" t="str">
            <v>66-02-01-0081</v>
          </cell>
          <cell r="B11081">
            <v>0</v>
          </cell>
          <cell r="C11081" t="str">
            <v xml:space="preserve">  SALES OF 24/S CARDED WEAVING EXPORT</v>
          </cell>
          <cell r="D11081">
            <v>0</v>
          </cell>
          <cell r="E11081">
            <v>0</v>
          </cell>
          <cell r="F11081">
            <v>0</v>
          </cell>
          <cell r="G11081">
            <v>0</v>
          </cell>
        </row>
        <row r="11082">
          <cell r="A11082" t="str">
            <v>66-02-01-0082</v>
          </cell>
          <cell r="B11082">
            <v>0</v>
          </cell>
          <cell r="C11082" t="str">
            <v xml:space="preserve">  SALES OF 20/S CP EXPORT</v>
          </cell>
          <cell r="D11082">
            <v>0</v>
          </cell>
          <cell r="E11082">
            <v>18272597.359999999</v>
          </cell>
          <cell r="F11082">
            <v>0</v>
          </cell>
          <cell r="G11082">
            <v>0</v>
          </cell>
        </row>
        <row r="11083">
          <cell r="A11083" t="str">
            <v>66-02-01-0083</v>
          </cell>
          <cell r="B11083">
            <v>0</v>
          </cell>
          <cell r="C11083" t="str">
            <v xml:space="preserve">  SALES OF 16/S CARDED H\UNWAXED EXPORT</v>
          </cell>
          <cell r="D11083">
            <v>0</v>
          </cell>
          <cell r="E11083">
            <v>0</v>
          </cell>
          <cell r="F11083">
            <v>0</v>
          </cell>
          <cell r="G11083">
            <v>0</v>
          </cell>
        </row>
        <row r="11084">
          <cell r="A11084" t="str">
            <v>66-02-01-0084</v>
          </cell>
          <cell r="B11084">
            <v>0</v>
          </cell>
          <cell r="C11084" t="str">
            <v xml:space="preserve">  SALES OF 20/S COMBED LYCRA EXPORT</v>
          </cell>
          <cell r="D11084">
            <v>0</v>
          </cell>
          <cell r="E11084">
            <v>8088486.3600000003</v>
          </cell>
          <cell r="F11084">
            <v>0</v>
          </cell>
          <cell r="G11084">
            <v>0</v>
          </cell>
        </row>
        <row r="11085">
          <cell r="A11085" t="str">
            <v>66-02-01-0085</v>
          </cell>
          <cell r="B11085">
            <v>0</v>
          </cell>
          <cell r="C11085" t="str">
            <v xml:space="preserve">  SALES OF 30/S COMBED LYCRA EXPORT</v>
          </cell>
          <cell r="D11085">
            <v>0</v>
          </cell>
          <cell r="E11085">
            <v>45353844.32</v>
          </cell>
          <cell r="F11085">
            <v>0</v>
          </cell>
          <cell r="G11085">
            <v>0</v>
          </cell>
        </row>
        <row r="11086">
          <cell r="A11086" t="str">
            <v>66-02-01-0086</v>
          </cell>
          <cell r="B11086">
            <v>0</v>
          </cell>
          <cell r="C11086" t="str">
            <v xml:space="preserve">  SALES OF 50/S COMBED LYCRA EXPORT</v>
          </cell>
          <cell r="D11086">
            <v>0</v>
          </cell>
          <cell r="E11086">
            <v>16691566.48</v>
          </cell>
          <cell r="F11086">
            <v>0</v>
          </cell>
          <cell r="G11086">
            <v>0</v>
          </cell>
        </row>
        <row r="11087">
          <cell r="A11087" t="str">
            <v>66-02-01-0087</v>
          </cell>
          <cell r="B11087">
            <v>0</v>
          </cell>
          <cell r="C11087" t="str">
            <v xml:space="preserve">  SALES OF 12/S CARDED EXPORT</v>
          </cell>
          <cell r="D11087">
            <v>0</v>
          </cell>
          <cell r="E11087">
            <v>0</v>
          </cell>
          <cell r="F11087">
            <v>0</v>
          </cell>
          <cell r="G11087">
            <v>0</v>
          </cell>
        </row>
        <row r="11088">
          <cell r="A11088" t="str">
            <v>66-02-01-0088</v>
          </cell>
          <cell r="B11088">
            <v>0</v>
          </cell>
          <cell r="C11088" t="str">
            <v xml:space="preserve">  SALES OF 16/S CARDED EXPORT</v>
          </cell>
          <cell r="D11088">
            <v>0</v>
          </cell>
          <cell r="E11088">
            <v>0</v>
          </cell>
          <cell r="F11088">
            <v>0</v>
          </cell>
          <cell r="G11088">
            <v>0</v>
          </cell>
        </row>
        <row r="11089">
          <cell r="A11089" t="str">
            <v>66-02-01-0089</v>
          </cell>
          <cell r="B11089">
            <v>0</v>
          </cell>
          <cell r="C11089" t="str">
            <v xml:space="preserve">  SALES OF 30/2 CARDED EXPORT</v>
          </cell>
          <cell r="D11089">
            <v>0</v>
          </cell>
          <cell r="E11089">
            <v>0</v>
          </cell>
          <cell r="F11089">
            <v>0</v>
          </cell>
          <cell r="G11089">
            <v>0</v>
          </cell>
        </row>
        <row r="11090">
          <cell r="A11090" t="str">
            <v>66-02-01-0090</v>
          </cell>
          <cell r="B11090">
            <v>0</v>
          </cell>
          <cell r="C11090" t="str">
            <v xml:space="preserve">  SALES OF 8.5/S CARDED WEAVING EXPORT</v>
          </cell>
          <cell r="D11090">
            <v>0</v>
          </cell>
          <cell r="E11090">
            <v>0</v>
          </cell>
          <cell r="F11090">
            <v>0</v>
          </cell>
          <cell r="G11090">
            <v>0</v>
          </cell>
        </row>
        <row r="11091">
          <cell r="A11091" t="str">
            <v>66-02-01-0091</v>
          </cell>
          <cell r="B11091">
            <v>0</v>
          </cell>
          <cell r="C11091" t="str">
            <v xml:space="preserve">  EXPORT SALES (PROVISIONALLY PROVIDED)</v>
          </cell>
          <cell r="D11091">
            <v>0</v>
          </cell>
          <cell r="E11091">
            <v>244274990</v>
          </cell>
          <cell r="F11091">
            <v>0</v>
          </cell>
          <cell r="G11091">
            <v>0</v>
          </cell>
        </row>
        <row r="11092">
          <cell r="A11092" t="str">
            <v>66-02-01-0092</v>
          </cell>
          <cell r="B11092">
            <v>0</v>
          </cell>
          <cell r="C11092" t="str">
            <v xml:space="preserve">  SALES OF 14/S COMBED LYCRA</v>
          </cell>
          <cell r="D11092">
            <v>0</v>
          </cell>
          <cell r="E11092">
            <v>0</v>
          </cell>
          <cell r="F11092">
            <v>0</v>
          </cell>
          <cell r="G11092">
            <v>0</v>
          </cell>
        </row>
        <row r="11093">
          <cell r="A11093" t="str">
            <v>66-02-01-0093</v>
          </cell>
          <cell r="B11093">
            <v>0</v>
          </cell>
          <cell r="C11093" t="str">
            <v xml:space="preserve">  SALES OF 16/S CARDED SPANDEX</v>
          </cell>
          <cell r="D11093">
            <v>0</v>
          </cell>
          <cell r="E11093">
            <v>0</v>
          </cell>
          <cell r="F11093">
            <v>0</v>
          </cell>
          <cell r="G11093">
            <v>0</v>
          </cell>
        </row>
        <row r="11094">
          <cell r="A11094" t="str">
            <v>66-02-01-0094</v>
          </cell>
          <cell r="B11094">
            <v>0</v>
          </cell>
          <cell r="C11094" t="str">
            <v xml:space="preserve">  SALES OF 10/S COMBED H/WAX</v>
          </cell>
          <cell r="D11094">
            <v>0</v>
          </cell>
          <cell r="E11094">
            <v>0</v>
          </cell>
          <cell r="F11094">
            <v>0</v>
          </cell>
          <cell r="G11094">
            <v>0</v>
          </cell>
        </row>
        <row r="11095">
          <cell r="A11095" t="str">
            <v>66-02-01-0095</v>
          </cell>
          <cell r="B11095">
            <v>0</v>
          </cell>
          <cell r="C11095" t="str">
            <v xml:space="preserve">  SALES OF 36/S COMBED H/WAX EXPORT</v>
          </cell>
          <cell r="D11095">
            <v>0</v>
          </cell>
          <cell r="E11095">
            <v>17777104.210000001</v>
          </cell>
          <cell r="F11095">
            <v>0</v>
          </cell>
          <cell r="G11095">
            <v>0</v>
          </cell>
        </row>
        <row r="11096">
          <cell r="A11096" t="str">
            <v>66-02-01-0096</v>
          </cell>
          <cell r="B11096">
            <v>0</v>
          </cell>
          <cell r="C11096" t="str">
            <v xml:space="preserve">  SALES OF 60/S COMBED WEAVING EXPORT</v>
          </cell>
          <cell r="D11096">
            <v>0</v>
          </cell>
          <cell r="E11096">
            <v>16284646.48</v>
          </cell>
          <cell r="F11096">
            <v>0</v>
          </cell>
          <cell r="G11096">
            <v>0</v>
          </cell>
        </row>
        <row r="11097">
          <cell r="A11097" t="str">
            <v>66-02-01-0097</v>
          </cell>
          <cell r="B11097">
            <v>0</v>
          </cell>
          <cell r="C11097" t="str">
            <v xml:space="preserve">  SALES OF 07/S CARDED WEAVING EXPORT</v>
          </cell>
          <cell r="D11097">
            <v>0</v>
          </cell>
          <cell r="E11097">
            <v>9190663.1899999995</v>
          </cell>
          <cell r="F11097">
            <v>0</v>
          </cell>
          <cell r="G11097">
            <v>0</v>
          </cell>
        </row>
        <row r="11098">
          <cell r="A11098" t="str">
            <v>66-02-01-0098</v>
          </cell>
          <cell r="B11098">
            <v>0</v>
          </cell>
          <cell r="C11098" t="str">
            <v xml:space="preserve">  SALES OF 32/S CARDED WEAVING EXPORT</v>
          </cell>
          <cell r="D11098">
            <v>0</v>
          </cell>
          <cell r="E11098">
            <v>0</v>
          </cell>
          <cell r="F11098">
            <v>0</v>
          </cell>
          <cell r="G11098">
            <v>0</v>
          </cell>
        </row>
        <row r="11099">
          <cell r="A11099" t="str">
            <v>66-02-01-0099</v>
          </cell>
          <cell r="B11099">
            <v>0</v>
          </cell>
          <cell r="C11099" t="str">
            <v xml:space="preserve">  SALES OF 50/S COMBED H/WAXED EXPORT</v>
          </cell>
          <cell r="D11099">
            <v>0</v>
          </cell>
          <cell r="E11099">
            <v>0</v>
          </cell>
          <cell r="F11099">
            <v>0</v>
          </cell>
          <cell r="G11099">
            <v>0</v>
          </cell>
        </row>
        <row r="11100">
          <cell r="A11100" t="str">
            <v>66-02-01-0100</v>
          </cell>
          <cell r="B11100">
            <v>0</v>
          </cell>
          <cell r="C11100" t="str">
            <v xml:space="preserve">  SALES OF 08/S CARDED WEAVING EXPORT</v>
          </cell>
          <cell r="D11100">
            <v>0</v>
          </cell>
          <cell r="E11100">
            <v>10053068.439999999</v>
          </cell>
          <cell r="F11100">
            <v>0</v>
          </cell>
          <cell r="G11100">
            <v>0</v>
          </cell>
        </row>
        <row r="11101">
          <cell r="A11101" t="str">
            <v>66-02-01-0101</v>
          </cell>
          <cell r="B11101">
            <v>0</v>
          </cell>
          <cell r="C11101" t="str">
            <v xml:space="preserve">  SALES OF 40/2 COMBED H/W EXPORT</v>
          </cell>
          <cell r="D11101">
            <v>0</v>
          </cell>
          <cell r="E11101">
            <v>0</v>
          </cell>
          <cell r="F11101">
            <v>0</v>
          </cell>
          <cell r="G11101">
            <v>0</v>
          </cell>
        </row>
        <row r="11102">
          <cell r="A11102" t="str">
            <v>66-02-01-0102</v>
          </cell>
          <cell r="B11102">
            <v>0</v>
          </cell>
          <cell r="C11102" t="str">
            <v xml:space="preserve">  SALES OF 24/S CP EXPORT</v>
          </cell>
          <cell r="D11102">
            <v>0</v>
          </cell>
          <cell r="E11102">
            <v>0</v>
          </cell>
          <cell r="F11102">
            <v>0</v>
          </cell>
          <cell r="G11102">
            <v>0</v>
          </cell>
        </row>
        <row r="11103">
          <cell r="A11103" t="str">
            <v>66-02-01-0103</v>
          </cell>
          <cell r="B11103">
            <v>0</v>
          </cell>
          <cell r="C11103" t="str">
            <v xml:space="preserve">  SALES OF 16/2 PC EXPORT</v>
          </cell>
          <cell r="D11103">
            <v>0</v>
          </cell>
          <cell r="E11103">
            <v>0</v>
          </cell>
          <cell r="F11103">
            <v>0</v>
          </cell>
          <cell r="G11103">
            <v>0</v>
          </cell>
        </row>
        <row r="11104">
          <cell r="A11104" t="str">
            <v>66-02-01-0104</v>
          </cell>
          <cell r="B11104">
            <v>0</v>
          </cell>
          <cell r="C11104" t="str">
            <v xml:space="preserve">  SALES OF 32/S COMBED EXPORT</v>
          </cell>
          <cell r="D11104">
            <v>0</v>
          </cell>
          <cell r="E11104">
            <v>0</v>
          </cell>
          <cell r="F11104">
            <v>0</v>
          </cell>
          <cell r="G11104">
            <v>0</v>
          </cell>
        </row>
        <row r="11105">
          <cell r="A11105" t="str">
            <v>66-02-01-0105</v>
          </cell>
          <cell r="B11105">
            <v>0</v>
          </cell>
          <cell r="C11105" t="str">
            <v xml:space="preserve">  SALES OF 20/S COMBED HUW EXPORT</v>
          </cell>
          <cell r="D11105">
            <v>0</v>
          </cell>
          <cell r="E11105">
            <v>7247848.75</v>
          </cell>
          <cell r="F11105">
            <v>0</v>
          </cell>
          <cell r="G11105">
            <v>0</v>
          </cell>
        </row>
        <row r="11106">
          <cell r="A11106" t="str">
            <v>66-02-01-0106</v>
          </cell>
          <cell r="B11106">
            <v>0</v>
          </cell>
          <cell r="C11106" t="str">
            <v xml:space="preserve">  SALES OF 20/S CARDED LYCRA EXPORT</v>
          </cell>
          <cell r="D11106">
            <v>0</v>
          </cell>
          <cell r="E11106">
            <v>28211167.59</v>
          </cell>
          <cell r="F11106">
            <v>0</v>
          </cell>
          <cell r="G11106">
            <v>0</v>
          </cell>
        </row>
        <row r="11107">
          <cell r="A11107" t="str">
            <v>66-02-01-0107</v>
          </cell>
          <cell r="B11107">
            <v>0</v>
          </cell>
          <cell r="C11107" t="str">
            <v xml:space="preserve">  SALES OF 25/S COMBED H/WAX EXPORT</v>
          </cell>
          <cell r="D11107">
            <v>0</v>
          </cell>
          <cell r="E11107">
            <v>0</v>
          </cell>
          <cell r="F11107">
            <v>0</v>
          </cell>
          <cell r="G11107">
            <v>0</v>
          </cell>
        </row>
        <row r="11108">
          <cell r="A11108" t="str">
            <v>66-02-01-0108</v>
          </cell>
          <cell r="B11108">
            <v>0</v>
          </cell>
          <cell r="C11108" t="str">
            <v xml:space="preserve">  SALES OF 32/2 COMBED H/WAX EXPORT</v>
          </cell>
          <cell r="D11108">
            <v>0</v>
          </cell>
          <cell r="E11108">
            <v>0</v>
          </cell>
          <cell r="F11108">
            <v>0</v>
          </cell>
          <cell r="G11108">
            <v>0</v>
          </cell>
        </row>
        <row r="11109">
          <cell r="A11109" t="str">
            <v>66-02-01-0109</v>
          </cell>
          <cell r="B11109">
            <v>0</v>
          </cell>
          <cell r="C11109" t="str">
            <v xml:space="preserve">  SALES OF 30/2 PC EXPORT</v>
          </cell>
          <cell r="D11109">
            <v>0</v>
          </cell>
          <cell r="E11109">
            <v>125404.34</v>
          </cell>
          <cell r="F11109">
            <v>0</v>
          </cell>
          <cell r="G11109">
            <v>0</v>
          </cell>
        </row>
        <row r="11110">
          <cell r="A11110" t="str">
            <v>66-02-01-0110</v>
          </cell>
          <cell r="B11110">
            <v>0</v>
          </cell>
          <cell r="C11110" t="str">
            <v xml:space="preserve">  SALES OF 20/2 COMBED WVG EXPORT</v>
          </cell>
          <cell r="D11110">
            <v>0</v>
          </cell>
          <cell r="E11110">
            <v>6246499.6100000003</v>
          </cell>
          <cell r="F11110">
            <v>0</v>
          </cell>
          <cell r="G11110">
            <v>0</v>
          </cell>
        </row>
        <row r="11111">
          <cell r="A11111" t="str">
            <v>66-02-01-0111</v>
          </cell>
          <cell r="B11111">
            <v>0</v>
          </cell>
          <cell r="C11111" t="str">
            <v xml:space="preserve">  SALES OF 32/S PC EXPORT</v>
          </cell>
          <cell r="D11111">
            <v>0</v>
          </cell>
          <cell r="E11111">
            <v>0</v>
          </cell>
          <cell r="F11111">
            <v>0</v>
          </cell>
          <cell r="G11111">
            <v>0</v>
          </cell>
        </row>
        <row r="11112">
          <cell r="A11112" t="str">
            <v>66-02-01-0112</v>
          </cell>
          <cell r="B11112">
            <v>0</v>
          </cell>
          <cell r="C11112" t="str">
            <v xml:space="preserve">  SALES OF 14/S COMBED LYC EXPORT</v>
          </cell>
          <cell r="D11112">
            <v>0</v>
          </cell>
          <cell r="E11112">
            <v>37173997.5</v>
          </cell>
          <cell r="F11112">
            <v>0</v>
          </cell>
          <cell r="G11112">
            <v>0</v>
          </cell>
        </row>
        <row r="11113">
          <cell r="A11113" t="str">
            <v>66-02-01-0113</v>
          </cell>
          <cell r="B11113">
            <v>0</v>
          </cell>
          <cell r="C11113" t="str">
            <v xml:space="preserve">  SALES OF 60/S COMBED LYC EXPORT</v>
          </cell>
          <cell r="D11113">
            <v>0</v>
          </cell>
          <cell r="E11113">
            <v>640575.37</v>
          </cell>
          <cell r="F11113">
            <v>0</v>
          </cell>
          <cell r="G11113">
            <v>0</v>
          </cell>
        </row>
        <row r="11114">
          <cell r="A11114" t="str">
            <v>66-02-01-0114</v>
          </cell>
          <cell r="B11114">
            <v>0</v>
          </cell>
          <cell r="C11114" t="str">
            <v xml:space="preserve">  SALES OF 16/S COMBED H/UNWAX EXPORT</v>
          </cell>
          <cell r="D11114">
            <v>0</v>
          </cell>
          <cell r="E11114">
            <v>25634.400000000001</v>
          </cell>
          <cell r="F11114">
            <v>0</v>
          </cell>
          <cell r="G11114">
            <v>0</v>
          </cell>
        </row>
        <row r="11115">
          <cell r="A11115" t="str">
            <v>66-02-01-0115</v>
          </cell>
          <cell r="B11115">
            <v>0</v>
          </cell>
          <cell r="C11115" t="str">
            <v xml:space="preserve">  SALES OF 14/S CARDED WVG EXPORT</v>
          </cell>
          <cell r="D11115">
            <v>0</v>
          </cell>
          <cell r="E11115">
            <v>30880008.82</v>
          </cell>
          <cell r="F11115">
            <v>0</v>
          </cell>
          <cell r="G11115">
            <v>0</v>
          </cell>
        </row>
        <row r="11116">
          <cell r="A11116" t="str">
            <v>66-02-01-0116</v>
          </cell>
          <cell r="B11116">
            <v>0</v>
          </cell>
          <cell r="C11116" t="str">
            <v xml:space="preserve">  SALES OF 70/S COMBED WVG EXPORT</v>
          </cell>
          <cell r="D11116">
            <v>0</v>
          </cell>
          <cell r="E11116">
            <v>10637462.68</v>
          </cell>
          <cell r="F11116">
            <v>0</v>
          </cell>
          <cell r="G11116">
            <v>0</v>
          </cell>
        </row>
        <row r="11117">
          <cell r="A11117" t="str">
            <v>66-02-01-0117</v>
          </cell>
          <cell r="B11117">
            <v>0</v>
          </cell>
          <cell r="C11117" t="str">
            <v xml:space="preserve">  SALES OF 15/S CARDED LYCRA EXPORT</v>
          </cell>
          <cell r="D11117">
            <v>0</v>
          </cell>
          <cell r="E11117">
            <v>0</v>
          </cell>
          <cell r="F11117">
            <v>0</v>
          </cell>
          <cell r="G11117">
            <v>0</v>
          </cell>
        </row>
        <row r="11118">
          <cell r="A11118" t="str">
            <v>66-02-01-0118</v>
          </cell>
          <cell r="B11118">
            <v>0</v>
          </cell>
          <cell r="C11118" t="str">
            <v xml:space="preserve">  SALES OF 12/S CARDED LYCRA EXPORT</v>
          </cell>
          <cell r="D11118">
            <v>0</v>
          </cell>
          <cell r="E11118">
            <v>0</v>
          </cell>
          <cell r="F11118">
            <v>0</v>
          </cell>
          <cell r="G11118">
            <v>0</v>
          </cell>
        </row>
        <row r="11119">
          <cell r="A11119" t="str">
            <v>66-02-01-0119</v>
          </cell>
          <cell r="B11119">
            <v>0</v>
          </cell>
          <cell r="C11119" t="str">
            <v xml:space="preserve">  SALES OF 94/S COMBED WVG EXPORT</v>
          </cell>
          <cell r="D11119">
            <v>0</v>
          </cell>
          <cell r="E11119">
            <v>5695960.3499999996</v>
          </cell>
          <cell r="F11119">
            <v>0</v>
          </cell>
          <cell r="G11119">
            <v>0</v>
          </cell>
        </row>
        <row r="11120">
          <cell r="A11120" t="str">
            <v>66-02-01-0120</v>
          </cell>
          <cell r="B11120">
            <v>0</v>
          </cell>
          <cell r="C11120" t="str">
            <v xml:space="preserve">  SALES OF 20/2 COMBED HOSIERY UNWAXED</v>
          </cell>
          <cell r="D11120">
            <v>0</v>
          </cell>
          <cell r="E11120">
            <v>9029670.3200000003</v>
          </cell>
          <cell r="F11120">
            <v>0</v>
          </cell>
          <cell r="G11120">
            <v>0</v>
          </cell>
        </row>
        <row r="11121">
          <cell r="A11121" t="str">
            <v>66-02-01-0121</v>
          </cell>
          <cell r="B11121">
            <v>0</v>
          </cell>
          <cell r="C11121" t="str">
            <v xml:space="preserve">  SALES OF 60/2 COMBED H/W EXPORT</v>
          </cell>
          <cell r="D11121">
            <v>0</v>
          </cell>
          <cell r="E11121">
            <v>0</v>
          </cell>
          <cell r="F11121">
            <v>0</v>
          </cell>
          <cell r="G11121">
            <v>0</v>
          </cell>
        </row>
        <row r="11122">
          <cell r="A11122" t="str">
            <v>66-02-01-0122</v>
          </cell>
          <cell r="B11122">
            <v>0</v>
          </cell>
          <cell r="C11122" t="str">
            <v xml:space="preserve">  SALES OF 22/S CARDED WEAVING WAX EXPOR</v>
          </cell>
          <cell r="D11122">
            <v>0</v>
          </cell>
          <cell r="E11122">
            <v>0</v>
          </cell>
          <cell r="F11122">
            <v>0</v>
          </cell>
          <cell r="G11122">
            <v>0</v>
          </cell>
        </row>
        <row r="11123">
          <cell r="A11123" t="str">
            <v>66-02-01-0123</v>
          </cell>
          <cell r="B11123">
            <v>0</v>
          </cell>
          <cell r="C11123" t="str">
            <v xml:space="preserve">  SALES OF 12.3/S COMBED WEAVING EXPORT</v>
          </cell>
          <cell r="D11123">
            <v>0</v>
          </cell>
          <cell r="E11123">
            <v>0</v>
          </cell>
          <cell r="F11123">
            <v>0</v>
          </cell>
          <cell r="G11123">
            <v>0</v>
          </cell>
        </row>
        <row r="11124">
          <cell r="A11124" t="str">
            <v>66-02-01-0124</v>
          </cell>
          <cell r="B11124">
            <v>0</v>
          </cell>
          <cell r="C11124" t="str">
            <v xml:space="preserve">  SALES OF 18/S COMBED H/W EXPORT</v>
          </cell>
          <cell r="D11124">
            <v>0</v>
          </cell>
          <cell r="E11124">
            <v>0</v>
          </cell>
          <cell r="F11124">
            <v>0</v>
          </cell>
          <cell r="G11124">
            <v>0</v>
          </cell>
        </row>
        <row r="11125">
          <cell r="A11125" t="str">
            <v>66-02-01-0125</v>
          </cell>
          <cell r="B11125">
            <v>0</v>
          </cell>
          <cell r="C11125" t="str">
            <v xml:space="preserve">  SALES OF 94/2 COMBED WEAVING EXPORT</v>
          </cell>
          <cell r="D11125">
            <v>0</v>
          </cell>
          <cell r="E11125">
            <v>0</v>
          </cell>
          <cell r="F11125">
            <v>0</v>
          </cell>
          <cell r="G11125">
            <v>0</v>
          </cell>
        </row>
        <row r="11126">
          <cell r="A11126" t="str">
            <v>66-02-01-0126</v>
          </cell>
          <cell r="B11126">
            <v>0</v>
          </cell>
          <cell r="C11126" t="str">
            <v xml:space="preserve">  SALES OF 26/S CP EXPORT</v>
          </cell>
          <cell r="D11126">
            <v>0</v>
          </cell>
          <cell r="E11126">
            <v>0</v>
          </cell>
          <cell r="F11126">
            <v>0</v>
          </cell>
          <cell r="G11126">
            <v>0</v>
          </cell>
        </row>
        <row r="11127">
          <cell r="A11127" t="str">
            <v>66-02-01-0127</v>
          </cell>
          <cell r="B11127">
            <v>0</v>
          </cell>
          <cell r="C11127" t="str">
            <v xml:space="preserve">  SALES OF 20/2 COMBED H/W EXPORT</v>
          </cell>
          <cell r="D11127">
            <v>0</v>
          </cell>
          <cell r="E11127">
            <v>0</v>
          </cell>
          <cell r="F11127">
            <v>0</v>
          </cell>
          <cell r="G11127">
            <v>0</v>
          </cell>
        </row>
        <row r="11128">
          <cell r="A11128" t="str">
            <v>66-02-01-0128</v>
          </cell>
          <cell r="B11128">
            <v>0</v>
          </cell>
          <cell r="C11128" t="str">
            <v xml:space="preserve">  SALES OF 80/2 COMBED WEAVING EXPORT</v>
          </cell>
          <cell r="D11128">
            <v>0</v>
          </cell>
          <cell r="E11128">
            <v>25755663.23</v>
          </cell>
          <cell r="F11128">
            <v>0</v>
          </cell>
          <cell r="G11128">
            <v>0</v>
          </cell>
        </row>
        <row r="11129">
          <cell r="A11129" t="str">
            <v>66-02-01-0129</v>
          </cell>
          <cell r="B11129">
            <v>0</v>
          </cell>
          <cell r="C11129" t="str">
            <v xml:space="preserve">  SALES OF 32/S CARDED H/W EXPORT</v>
          </cell>
          <cell r="D11129">
            <v>0</v>
          </cell>
          <cell r="E11129">
            <v>2753826.29</v>
          </cell>
          <cell r="F11129">
            <v>0</v>
          </cell>
          <cell r="G11129">
            <v>0</v>
          </cell>
        </row>
        <row r="11130">
          <cell r="A11130" t="str">
            <v>66-02-01-0130</v>
          </cell>
          <cell r="B11130">
            <v>0</v>
          </cell>
          <cell r="C11130" t="str">
            <v xml:space="preserve">  SALES OF 24/2 COMBED WVG EXPORT</v>
          </cell>
          <cell r="D11130">
            <v>0</v>
          </cell>
          <cell r="E11130">
            <v>2574097.7000000002</v>
          </cell>
          <cell r="F11130">
            <v>0</v>
          </cell>
          <cell r="G11130">
            <v>0</v>
          </cell>
        </row>
        <row r="11131">
          <cell r="A11131" t="str">
            <v>66-02-01-0131</v>
          </cell>
          <cell r="B11131">
            <v>0</v>
          </cell>
          <cell r="C11131" t="str">
            <v xml:space="preserve">  SALES OF 33/S PC EXPORT</v>
          </cell>
          <cell r="D11131">
            <v>0</v>
          </cell>
          <cell r="E11131">
            <v>0</v>
          </cell>
          <cell r="F11131">
            <v>0</v>
          </cell>
          <cell r="G11131">
            <v>0</v>
          </cell>
        </row>
        <row r="11132">
          <cell r="A11132" t="str">
            <v>66-02-01-0132</v>
          </cell>
          <cell r="B11132">
            <v>0</v>
          </cell>
          <cell r="C11132" t="str">
            <v xml:space="preserve">  SALES OF 80/S COMBED WVG EXPORT</v>
          </cell>
          <cell r="D11132">
            <v>0</v>
          </cell>
          <cell r="E11132">
            <v>25245969.690000001</v>
          </cell>
          <cell r="F11132">
            <v>0</v>
          </cell>
          <cell r="G11132">
            <v>0</v>
          </cell>
        </row>
        <row r="11133">
          <cell r="A11133" t="str">
            <v>66-02-01-0133</v>
          </cell>
          <cell r="B11133">
            <v>0</v>
          </cell>
          <cell r="C11133" t="str">
            <v xml:space="preserve">  SALES OF 47/S COMBED WVG EXPORT</v>
          </cell>
          <cell r="D11133">
            <v>0</v>
          </cell>
          <cell r="E11133">
            <v>0</v>
          </cell>
          <cell r="F11133">
            <v>0</v>
          </cell>
          <cell r="G11133">
            <v>0</v>
          </cell>
        </row>
        <row r="11134">
          <cell r="A11134" t="str">
            <v>66-02-01-0134</v>
          </cell>
          <cell r="B11134">
            <v>0</v>
          </cell>
          <cell r="C11134" t="str">
            <v xml:space="preserve">  SALES OF 26/S PC MJS EXPORT</v>
          </cell>
          <cell r="D11134">
            <v>0</v>
          </cell>
          <cell r="E11134">
            <v>0</v>
          </cell>
          <cell r="F11134">
            <v>0</v>
          </cell>
          <cell r="G11134">
            <v>0</v>
          </cell>
        </row>
        <row r="11135">
          <cell r="A11135" t="str">
            <v>66-02-01-0135</v>
          </cell>
          <cell r="B11135">
            <v>0</v>
          </cell>
          <cell r="C11135" t="str">
            <v xml:space="preserve">  SALES OF 14/S PC MJS EXPORT</v>
          </cell>
          <cell r="D11135">
            <v>0</v>
          </cell>
          <cell r="E11135">
            <v>0</v>
          </cell>
          <cell r="F11135">
            <v>0</v>
          </cell>
          <cell r="G11135">
            <v>0</v>
          </cell>
        </row>
        <row r="11136">
          <cell r="A11136" t="str">
            <v>66-02-01-0136</v>
          </cell>
          <cell r="B11136">
            <v>0</v>
          </cell>
          <cell r="C11136" t="str">
            <v xml:space="preserve">  SALES OF 16/S COMBED WEAVING EXPORT</v>
          </cell>
          <cell r="D11136">
            <v>0</v>
          </cell>
          <cell r="E11136">
            <v>15083367</v>
          </cell>
          <cell r="F11136">
            <v>0</v>
          </cell>
          <cell r="G11136">
            <v>0</v>
          </cell>
        </row>
        <row r="11137">
          <cell r="A11137" t="str">
            <v>66-02-01-0137</v>
          </cell>
          <cell r="B11137">
            <v>0</v>
          </cell>
          <cell r="C11137" t="str">
            <v xml:space="preserve">  SALES OF 12/S PC MJS EXPORT</v>
          </cell>
          <cell r="D11137">
            <v>0</v>
          </cell>
          <cell r="E11137">
            <v>0</v>
          </cell>
          <cell r="F11137">
            <v>0</v>
          </cell>
          <cell r="G11137">
            <v>0</v>
          </cell>
        </row>
        <row r="11138">
          <cell r="A11138" t="str">
            <v>66-02-01-0138</v>
          </cell>
          <cell r="B11138">
            <v>0</v>
          </cell>
          <cell r="C11138" t="str">
            <v xml:space="preserve">  SALES OF 28/S COMBED WEAVING EXPORT</v>
          </cell>
          <cell r="D11138">
            <v>0</v>
          </cell>
          <cell r="E11138">
            <v>12506901.619999999</v>
          </cell>
          <cell r="F11138">
            <v>0</v>
          </cell>
          <cell r="G11138">
            <v>0</v>
          </cell>
        </row>
        <row r="11139">
          <cell r="A11139" t="str">
            <v>66-02-01-0139</v>
          </cell>
          <cell r="B11139">
            <v>0</v>
          </cell>
          <cell r="C11139" t="str">
            <v xml:space="preserve">  SALES OF 10/S CP EXPORT</v>
          </cell>
          <cell r="D11139">
            <v>0</v>
          </cell>
          <cell r="E11139">
            <v>12375891.26</v>
          </cell>
          <cell r="F11139">
            <v>0</v>
          </cell>
          <cell r="G11139">
            <v>0</v>
          </cell>
        </row>
        <row r="11140">
          <cell r="A11140" t="str">
            <v>66-02-01-0140</v>
          </cell>
          <cell r="B11140">
            <v>0</v>
          </cell>
          <cell r="C11140" t="str">
            <v xml:space="preserve">  SALES OF 12/S COMBED LYCRA EXPORT</v>
          </cell>
          <cell r="D11140">
            <v>0</v>
          </cell>
          <cell r="E11140">
            <v>46273913.520000003</v>
          </cell>
          <cell r="F11140">
            <v>0</v>
          </cell>
          <cell r="G11140">
            <v>0</v>
          </cell>
        </row>
        <row r="11141">
          <cell r="A11141" t="str">
            <v>66-02-01-0141</v>
          </cell>
          <cell r="B11141">
            <v>0</v>
          </cell>
          <cell r="C11141" t="str">
            <v xml:space="preserve">  SALES OF 14/S COMBED WVG EXPORT</v>
          </cell>
          <cell r="D11141">
            <v>0</v>
          </cell>
          <cell r="E11141">
            <v>2216135.1</v>
          </cell>
          <cell r="F11141">
            <v>0</v>
          </cell>
          <cell r="G11141">
            <v>0</v>
          </cell>
        </row>
        <row r="11142">
          <cell r="A11142" t="str">
            <v>66-02-01-0142</v>
          </cell>
          <cell r="B11142">
            <v>0</v>
          </cell>
          <cell r="C11142" t="str">
            <v xml:space="preserve">  SALES OF 20.5/S CARDED HUW EXPORT</v>
          </cell>
          <cell r="D11142">
            <v>0</v>
          </cell>
          <cell r="E11142">
            <v>14576869.550000001</v>
          </cell>
          <cell r="F11142">
            <v>0</v>
          </cell>
          <cell r="G11142">
            <v>0</v>
          </cell>
        </row>
        <row r="11143">
          <cell r="A11143" t="str">
            <v>66-02-01-0143</v>
          </cell>
          <cell r="B11143">
            <v>0</v>
          </cell>
          <cell r="C11143" t="str">
            <v xml:space="preserve">  SALES OF 60/S COMBED H/W EXPORT</v>
          </cell>
          <cell r="D11143">
            <v>0</v>
          </cell>
          <cell r="E11143">
            <v>3450243.28</v>
          </cell>
          <cell r="F11143">
            <v>0</v>
          </cell>
          <cell r="G11143">
            <v>0</v>
          </cell>
        </row>
        <row r="11144">
          <cell r="A11144" t="str">
            <v>66-02-01-0144</v>
          </cell>
          <cell r="B11144">
            <v>0</v>
          </cell>
          <cell r="C11144" t="str">
            <v xml:space="preserve">  SALES OF 12/S POLYESTER MJS EXPORT</v>
          </cell>
          <cell r="D11144">
            <v>0</v>
          </cell>
          <cell r="E11144">
            <v>92535936.680000007</v>
          </cell>
          <cell r="F11144">
            <v>0</v>
          </cell>
          <cell r="G11144">
            <v>0</v>
          </cell>
        </row>
        <row r="11145">
          <cell r="A11145" t="str">
            <v>66-02-01-0145</v>
          </cell>
          <cell r="B11145">
            <v>0</v>
          </cell>
          <cell r="C11145" t="str">
            <v xml:space="preserve">  SALES OF 100/S COMBED WEAVING EXPORT</v>
          </cell>
          <cell r="D11145">
            <v>0</v>
          </cell>
          <cell r="E11145">
            <v>18508183.510000002</v>
          </cell>
          <cell r="F11145">
            <v>0</v>
          </cell>
          <cell r="G11145">
            <v>0</v>
          </cell>
        </row>
        <row r="11146">
          <cell r="A11146" t="str">
            <v>66-02-01-0146</v>
          </cell>
          <cell r="B11146">
            <v>0</v>
          </cell>
          <cell r="C11146" t="str">
            <v xml:space="preserve">  SALES OF 20.5/2 CARDED H/UNWAXED EXPOR</v>
          </cell>
          <cell r="D11146">
            <v>0</v>
          </cell>
          <cell r="E11146">
            <v>12293176.85</v>
          </cell>
          <cell r="F11146">
            <v>0</v>
          </cell>
          <cell r="G11146">
            <v>0</v>
          </cell>
        </row>
        <row r="11147">
          <cell r="A11147" t="str">
            <v>66-02-01-0147</v>
          </cell>
          <cell r="B11147">
            <v>0</v>
          </cell>
          <cell r="C11147" t="str">
            <v xml:space="preserve">  SALES OF 55/2 COMBED WEAVING EXPORT</v>
          </cell>
          <cell r="D11147">
            <v>0</v>
          </cell>
          <cell r="E11147">
            <v>2798956.5</v>
          </cell>
          <cell r="F11147">
            <v>0</v>
          </cell>
          <cell r="G11147">
            <v>0</v>
          </cell>
        </row>
        <row r="11148">
          <cell r="A11148" t="str">
            <v>66-02-01-0148</v>
          </cell>
          <cell r="B11148">
            <v>0</v>
          </cell>
          <cell r="C11148" t="str">
            <v xml:space="preserve">  SALES OF 60/2 COMBED WEAVING EXPORT</v>
          </cell>
          <cell r="D11148">
            <v>0</v>
          </cell>
          <cell r="E11148">
            <v>29752743.239999998</v>
          </cell>
          <cell r="F11148">
            <v>0</v>
          </cell>
          <cell r="G11148">
            <v>0</v>
          </cell>
        </row>
        <row r="11149">
          <cell r="A11149" t="str">
            <v>66-02-01-0149</v>
          </cell>
          <cell r="B11149">
            <v>0</v>
          </cell>
          <cell r="C11149" t="str">
            <v xml:space="preserve">  SALES OF 20/2 CARDED H/UNWAXED EXPORT</v>
          </cell>
          <cell r="D11149">
            <v>0</v>
          </cell>
          <cell r="E11149">
            <v>21650238.190000001</v>
          </cell>
          <cell r="F11149">
            <v>0</v>
          </cell>
          <cell r="G11149">
            <v>0</v>
          </cell>
        </row>
        <row r="11150">
          <cell r="A11150" t="str">
            <v>66-02-01-0150</v>
          </cell>
          <cell r="B11150">
            <v>0</v>
          </cell>
          <cell r="C11150" t="str">
            <v xml:space="preserve">  SALES OF 13/S COMBED WEAVING EXPORT</v>
          </cell>
          <cell r="D11150">
            <v>0</v>
          </cell>
          <cell r="E11150">
            <v>135326128.81999999</v>
          </cell>
          <cell r="F11150">
            <v>0</v>
          </cell>
          <cell r="G11150">
            <v>0</v>
          </cell>
        </row>
        <row r="11151">
          <cell r="A11151" t="str">
            <v>66-02-01-0151</v>
          </cell>
          <cell r="B11151">
            <v>0</v>
          </cell>
          <cell r="C11151" t="str">
            <v xml:space="preserve">  SALES OF 30/2 CP EXPORT</v>
          </cell>
          <cell r="D11151">
            <v>0</v>
          </cell>
          <cell r="E11151">
            <v>3083226.55</v>
          </cell>
          <cell r="F11151">
            <v>0</v>
          </cell>
          <cell r="G11151">
            <v>0</v>
          </cell>
        </row>
        <row r="11152">
          <cell r="A11152" t="str">
            <v>66-02-01-0152</v>
          </cell>
          <cell r="B11152">
            <v>0</v>
          </cell>
          <cell r="C11152" t="str">
            <v xml:space="preserve">  SAELS OF 120/2 COMBED WEAVING EXPORT</v>
          </cell>
          <cell r="D11152">
            <v>0</v>
          </cell>
          <cell r="E11152">
            <v>1375120.03</v>
          </cell>
          <cell r="F11152">
            <v>0</v>
          </cell>
          <cell r="G11152">
            <v>0</v>
          </cell>
        </row>
        <row r="11153">
          <cell r="A11153" t="str">
            <v>66-02-01-0153</v>
          </cell>
          <cell r="B11153">
            <v>0</v>
          </cell>
          <cell r="C11153" t="str">
            <v xml:space="preserve">  SALES OF 60/3 COMBED WEAVING EXPORT</v>
          </cell>
          <cell r="D11153">
            <v>0</v>
          </cell>
          <cell r="E11153">
            <v>57145.71</v>
          </cell>
          <cell r="F11153">
            <v>0</v>
          </cell>
          <cell r="G11153">
            <v>0</v>
          </cell>
        </row>
        <row r="11154">
          <cell r="A11154" t="str">
            <v>66-02-01-0154</v>
          </cell>
          <cell r="B11154">
            <v>0</v>
          </cell>
          <cell r="C11154" t="str">
            <v xml:space="preserve">  SALES OF 100/2 COMBED H/W EXPORT</v>
          </cell>
          <cell r="D11154">
            <v>0</v>
          </cell>
          <cell r="E11154">
            <v>108957.69</v>
          </cell>
          <cell r="F11154">
            <v>0</v>
          </cell>
          <cell r="G11154">
            <v>0</v>
          </cell>
        </row>
        <row r="11155">
          <cell r="A11155" t="str">
            <v>66-02-01-0156</v>
          </cell>
          <cell r="B11155">
            <v>0</v>
          </cell>
          <cell r="C11155" t="str">
            <v xml:space="preserve">  SALES OF 100/2 COMBED WEAVING EXPORT</v>
          </cell>
          <cell r="D11155">
            <v>0</v>
          </cell>
          <cell r="E11155">
            <v>3393759.15</v>
          </cell>
          <cell r="F11155">
            <v>0</v>
          </cell>
          <cell r="G11155">
            <v>0</v>
          </cell>
        </row>
        <row r="11156">
          <cell r="A11156" t="str">
            <v>66-02-01-0157</v>
          </cell>
          <cell r="B11156">
            <v>0</v>
          </cell>
          <cell r="C11156" t="str">
            <v xml:space="preserve">  SALES OF 120/S COMBED WEAVING EXPORT</v>
          </cell>
          <cell r="D11156">
            <v>0</v>
          </cell>
          <cell r="E11156">
            <v>28725</v>
          </cell>
          <cell r="F11156">
            <v>0</v>
          </cell>
          <cell r="G11156">
            <v>0</v>
          </cell>
        </row>
        <row r="11157">
          <cell r="A11157" t="str">
            <v>66-02-01-0158</v>
          </cell>
          <cell r="B11157">
            <v>0</v>
          </cell>
          <cell r="C11157" t="str">
            <v xml:space="preserve">  SALES OF 30/S PVB "Z" TWIST EXPORTED</v>
          </cell>
          <cell r="D11157">
            <v>0</v>
          </cell>
          <cell r="E11157">
            <v>6177935.8099999996</v>
          </cell>
          <cell r="F11157">
            <v>0</v>
          </cell>
          <cell r="G11157">
            <v>0</v>
          </cell>
        </row>
        <row r="11158">
          <cell r="A11158" t="str">
            <v>66-02-01-0159</v>
          </cell>
          <cell r="B11158">
            <v>0</v>
          </cell>
          <cell r="C11158" t="str">
            <v xml:space="preserve">  SALES OF  40/S PC EXPORT</v>
          </cell>
          <cell r="D11158">
            <v>0</v>
          </cell>
          <cell r="E11158">
            <v>1202296.49</v>
          </cell>
          <cell r="F11158">
            <v>0</v>
          </cell>
          <cell r="G11158">
            <v>0</v>
          </cell>
        </row>
        <row r="11159">
          <cell r="A11159" t="str">
            <v>66-02-01-0160</v>
          </cell>
          <cell r="B11159">
            <v>0</v>
          </cell>
          <cell r="C11159" t="str">
            <v xml:space="preserve">  SALES OF 78/2 COMBED WEAVING EXPORT</v>
          </cell>
          <cell r="D11159">
            <v>0</v>
          </cell>
          <cell r="E11159">
            <v>2536471.13</v>
          </cell>
          <cell r="F11159">
            <v>0</v>
          </cell>
          <cell r="G11159">
            <v>0</v>
          </cell>
        </row>
        <row r="11160">
          <cell r="A11160" t="str">
            <v>66-02-01-0161</v>
          </cell>
          <cell r="B11160">
            <v>0</v>
          </cell>
          <cell r="C11160" t="str">
            <v xml:space="preserve">  SALES OF 14/S PC EXPRT</v>
          </cell>
          <cell r="D11160">
            <v>0</v>
          </cell>
          <cell r="E11160">
            <v>1873911.5</v>
          </cell>
          <cell r="F11160">
            <v>0</v>
          </cell>
          <cell r="G11160">
            <v>0</v>
          </cell>
        </row>
        <row r="11161">
          <cell r="A11161" t="str">
            <v>66-02-01-0162</v>
          </cell>
          <cell r="B11161">
            <v>0</v>
          </cell>
          <cell r="C11161" t="str">
            <v xml:space="preserve">  SALES OF 16/2 CARDED H/WAX EXPORT</v>
          </cell>
          <cell r="D11161">
            <v>0</v>
          </cell>
          <cell r="E11161">
            <v>2726090.53</v>
          </cell>
          <cell r="F11161">
            <v>0</v>
          </cell>
          <cell r="G11161">
            <v>0</v>
          </cell>
        </row>
        <row r="11162">
          <cell r="A11162" t="str">
            <v>66-02-01-0163</v>
          </cell>
          <cell r="B11162">
            <v>0</v>
          </cell>
          <cell r="C11162" t="str">
            <v xml:space="preserve">  SALES OF 58/2 COMBED WEAVING EXPORT</v>
          </cell>
          <cell r="D11162">
            <v>0</v>
          </cell>
          <cell r="E11162">
            <v>2097721.02</v>
          </cell>
          <cell r="F11162">
            <v>0</v>
          </cell>
          <cell r="G11162">
            <v>0</v>
          </cell>
        </row>
        <row r="11163">
          <cell r="A11163" t="str">
            <v>66-02-01-0164</v>
          </cell>
          <cell r="B11163">
            <v>0</v>
          </cell>
          <cell r="C11163" t="str">
            <v xml:space="preserve">  SALES OF 10/S COMBED LYCRA EXPORT</v>
          </cell>
          <cell r="D11163">
            <v>0</v>
          </cell>
          <cell r="E11163">
            <v>1548701.81</v>
          </cell>
          <cell r="F11163">
            <v>0</v>
          </cell>
          <cell r="G11163">
            <v>0</v>
          </cell>
        </row>
        <row r="11164">
          <cell r="A11164" t="str">
            <v>66-02-01-0165</v>
          </cell>
          <cell r="B11164">
            <v>0</v>
          </cell>
          <cell r="C11164" t="str">
            <v xml:space="preserve">  SALES OF 90/S COMBED WEAVING EXPORT</v>
          </cell>
          <cell r="D11164">
            <v>0</v>
          </cell>
          <cell r="E11164">
            <v>5049293.97</v>
          </cell>
          <cell r="F11164">
            <v>0</v>
          </cell>
          <cell r="G11164">
            <v>0</v>
          </cell>
        </row>
        <row r="11165">
          <cell r="A11165" t="str">
            <v>66-02-01-0166</v>
          </cell>
          <cell r="B11165">
            <v>0</v>
          </cell>
          <cell r="C11165" t="str">
            <v xml:space="preserve">  SALES OF 40/2 PC EXPORT</v>
          </cell>
          <cell r="D11165">
            <v>0</v>
          </cell>
          <cell r="E11165">
            <v>3854162.61</v>
          </cell>
          <cell r="F11165">
            <v>0</v>
          </cell>
          <cell r="G11165">
            <v>0</v>
          </cell>
        </row>
        <row r="11166">
          <cell r="A11166" t="str">
            <v>66-02-01-0167</v>
          </cell>
          <cell r="B11166">
            <v>0</v>
          </cell>
          <cell r="C11166" t="str">
            <v xml:space="preserve">  SALES OF 130/2 COMBED WEAVING EXPORT</v>
          </cell>
          <cell r="D11166">
            <v>0</v>
          </cell>
          <cell r="E11166">
            <v>850099.9</v>
          </cell>
          <cell r="F11166">
            <v>0</v>
          </cell>
          <cell r="G11166">
            <v>0</v>
          </cell>
        </row>
        <row r="11167">
          <cell r="A11167" t="str">
            <v>66-02-01-0168</v>
          </cell>
          <cell r="B11167">
            <v>0</v>
          </cell>
          <cell r="C11167" t="str">
            <v xml:space="preserve">  SALES OF 10/S POLYESTER MJS EXPORT</v>
          </cell>
          <cell r="D11167">
            <v>0</v>
          </cell>
          <cell r="E11167">
            <v>1668672.02</v>
          </cell>
          <cell r="F11167">
            <v>0</v>
          </cell>
          <cell r="G11167">
            <v>0</v>
          </cell>
        </row>
        <row r="11168">
          <cell r="A11168" t="str">
            <v>66-02-01-0169</v>
          </cell>
          <cell r="B11168">
            <v>0</v>
          </cell>
          <cell r="C11168" t="str">
            <v xml:space="preserve">  SALES OF 112/2 COMBED WEAVING EXPORT</v>
          </cell>
          <cell r="D11168">
            <v>0</v>
          </cell>
          <cell r="E11168">
            <v>4551011.32</v>
          </cell>
          <cell r="F11168">
            <v>0</v>
          </cell>
          <cell r="G11168">
            <v>0</v>
          </cell>
        </row>
        <row r="11169">
          <cell r="A11169" t="str">
            <v>66-02-01-0170</v>
          </cell>
          <cell r="B11169">
            <v>0</v>
          </cell>
          <cell r="C11169" t="str">
            <v xml:space="preserve">  SALES OF 21/S PC EXPORT</v>
          </cell>
          <cell r="D11169">
            <v>0</v>
          </cell>
          <cell r="E11169">
            <v>0</v>
          </cell>
          <cell r="F11169">
            <v>0</v>
          </cell>
          <cell r="G11169">
            <v>0</v>
          </cell>
        </row>
        <row r="11170">
          <cell r="A11170" t="str">
            <v>66-02-02</v>
          </cell>
          <cell r="B11170">
            <v>0</v>
          </cell>
          <cell r="C11170" t="str">
            <v>***EXPORT WASTE</v>
          </cell>
          <cell r="D11170">
            <v>0</v>
          </cell>
          <cell r="E11170">
            <v>127654563.7</v>
          </cell>
          <cell r="F11170">
            <v>0</v>
          </cell>
          <cell r="G11170">
            <v>127654563.7</v>
          </cell>
        </row>
        <row r="11171">
          <cell r="A11171" t="str">
            <v>66-02-02-0001</v>
          </cell>
          <cell r="B11171">
            <v>127654528</v>
          </cell>
          <cell r="C11171" t="str">
            <v xml:space="preserve">  EXPORT COMBER NOIL</v>
          </cell>
          <cell r="D11171">
            <v>0</v>
          </cell>
          <cell r="E11171">
            <v>115621684.7</v>
          </cell>
          <cell r="F11171">
            <v>0</v>
          </cell>
          <cell r="G11171">
            <v>0</v>
          </cell>
        </row>
        <row r="11172">
          <cell r="A11172" t="str">
            <v>66-02-02-0050</v>
          </cell>
          <cell r="B11172">
            <v>0</v>
          </cell>
          <cell r="C11172" t="str">
            <v xml:space="preserve">  EXPORT COMBER NOIL PROVISIONALLAY</v>
          </cell>
          <cell r="D11172">
            <v>0</v>
          </cell>
          <cell r="E11172">
            <v>12032879</v>
          </cell>
          <cell r="F11172">
            <v>0</v>
          </cell>
          <cell r="G11172">
            <v>0</v>
          </cell>
        </row>
        <row r="11173">
          <cell r="A11173" t="str">
            <v>66-02-03</v>
          </cell>
          <cell r="B11173">
            <v>0</v>
          </cell>
          <cell r="C11173" t="str">
            <v>***EXPORT CLOTH</v>
          </cell>
          <cell r="D11173">
            <v>0</v>
          </cell>
          <cell r="E11173">
            <v>86571512.819999993</v>
          </cell>
          <cell r="F11173">
            <v>0</v>
          </cell>
          <cell r="G11173">
            <v>86571512.819999993</v>
          </cell>
        </row>
        <row r="11174">
          <cell r="A11174" t="str">
            <v>66-02-03-0001</v>
          </cell>
          <cell r="B11174">
            <v>86571456</v>
          </cell>
          <cell r="C11174" t="str">
            <v xml:space="preserve">  EXPORT OF 60/60 175X130-96" GREY FABRI</v>
          </cell>
          <cell r="D11174">
            <v>0</v>
          </cell>
          <cell r="E11174">
            <v>0</v>
          </cell>
          <cell r="F11174">
            <v>0</v>
          </cell>
          <cell r="G11174">
            <v>0</v>
          </cell>
        </row>
        <row r="11175">
          <cell r="A11175" t="str">
            <v>66-02-03-0002</v>
          </cell>
          <cell r="B11175">
            <v>0</v>
          </cell>
          <cell r="C11175" t="str">
            <v xml:space="preserve">  EXPORT OF 60/60 176X130-114" GREY FABR</v>
          </cell>
          <cell r="D11175">
            <v>0</v>
          </cell>
          <cell r="E11175">
            <v>0</v>
          </cell>
          <cell r="F11175">
            <v>0</v>
          </cell>
          <cell r="G11175">
            <v>0</v>
          </cell>
        </row>
        <row r="11176">
          <cell r="A11176" t="str">
            <v>66-02-03-0003</v>
          </cell>
          <cell r="B11176">
            <v>0</v>
          </cell>
          <cell r="C11176" t="str">
            <v xml:space="preserve">  EXPORT OF 60/60 175X130-95.5"GREY FABR</v>
          </cell>
          <cell r="D11176">
            <v>0</v>
          </cell>
          <cell r="E11176">
            <v>7673077.5300000003</v>
          </cell>
          <cell r="F11176">
            <v>0</v>
          </cell>
          <cell r="G11176">
            <v>0</v>
          </cell>
        </row>
        <row r="11177">
          <cell r="A11177" t="str">
            <v>66-02-03-0004</v>
          </cell>
          <cell r="B11177">
            <v>0</v>
          </cell>
          <cell r="C11177" t="str">
            <v xml:space="preserve">  EXPORT OF 60/60 175X130-114" GREY FABR</v>
          </cell>
          <cell r="D11177">
            <v>0</v>
          </cell>
          <cell r="E11177">
            <v>7905604.4699999997</v>
          </cell>
          <cell r="F11177">
            <v>0</v>
          </cell>
          <cell r="G11177">
            <v>0</v>
          </cell>
        </row>
        <row r="11178">
          <cell r="A11178" t="str">
            <v>66-02-03-0005</v>
          </cell>
          <cell r="B11178">
            <v>0</v>
          </cell>
          <cell r="C11178" t="str">
            <v xml:space="preserve">  EXPORT OF 20/20 62X62-102" GREY FABRIC</v>
          </cell>
          <cell r="D11178">
            <v>0</v>
          </cell>
          <cell r="E11178">
            <v>4826035</v>
          </cell>
          <cell r="F11178">
            <v>0</v>
          </cell>
          <cell r="G11178">
            <v>0</v>
          </cell>
        </row>
        <row r="11179">
          <cell r="A11179" t="str">
            <v>66-02-03-0006</v>
          </cell>
          <cell r="B11179">
            <v>0</v>
          </cell>
          <cell r="C11179" t="str">
            <v xml:space="preserve">  EXPORT OF 40/40 127X79-102" GREY FABRI</v>
          </cell>
          <cell r="D11179">
            <v>0</v>
          </cell>
          <cell r="E11179">
            <v>2483492</v>
          </cell>
          <cell r="F11179">
            <v>0</v>
          </cell>
          <cell r="G11179">
            <v>0</v>
          </cell>
        </row>
        <row r="11180">
          <cell r="A11180" t="str">
            <v>66-02-03-0007</v>
          </cell>
          <cell r="B11180">
            <v>0</v>
          </cell>
          <cell r="C11180" t="str">
            <v xml:space="preserve">  EXPORT OF 30/30 76X68-116" GREY FABRIC</v>
          </cell>
          <cell r="D11180">
            <v>0</v>
          </cell>
          <cell r="E11180">
            <v>751339</v>
          </cell>
          <cell r="F11180">
            <v>0</v>
          </cell>
          <cell r="G11180">
            <v>0</v>
          </cell>
        </row>
        <row r="11181">
          <cell r="A11181" t="str">
            <v>66-02-03-0008</v>
          </cell>
          <cell r="B11181">
            <v>0</v>
          </cell>
          <cell r="C11181" t="str">
            <v xml:space="preserve">  EXPORT OF 40/40 127X79-63" GREY FABRIC</v>
          </cell>
          <cell r="D11181">
            <v>0</v>
          </cell>
          <cell r="E11181">
            <v>13259057</v>
          </cell>
          <cell r="F11181">
            <v>0</v>
          </cell>
          <cell r="G11181">
            <v>0</v>
          </cell>
        </row>
        <row r="11182">
          <cell r="A11182" t="str">
            <v>66-02-03-0009</v>
          </cell>
          <cell r="B11182">
            <v>0</v>
          </cell>
          <cell r="C11182" t="str">
            <v xml:space="preserve">  EXPORT OF 30/30 76X68-67" GREY FABRIC</v>
          </cell>
          <cell r="D11182">
            <v>0</v>
          </cell>
          <cell r="E11182">
            <v>151233</v>
          </cell>
          <cell r="F11182">
            <v>0</v>
          </cell>
          <cell r="G11182">
            <v>0</v>
          </cell>
        </row>
        <row r="11183">
          <cell r="A11183" t="str">
            <v>66-02-03-0010</v>
          </cell>
          <cell r="B11183">
            <v>0</v>
          </cell>
          <cell r="C11183" t="str">
            <v xml:space="preserve">  EXPORT OF GREY CLOTH (PROVISION SALES)</v>
          </cell>
          <cell r="D11183">
            <v>0</v>
          </cell>
          <cell r="E11183">
            <v>13419475</v>
          </cell>
          <cell r="F11183">
            <v>0</v>
          </cell>
          <cell r="G11183">
            <v>0</v>
          </cell>
        </row>
        <row r="11184">
          <cell r="A11184" t="str">
            <v>66-02-03-0011</v>
          </cell>
          <cell r="B11184">
            <v>0</v>
          </cell>
          <cell r="C11184" t="str">
            <v xml:space="preserve">  EXPORT OF 40/40 127X79-72" GREY FABRIC</v>
          </cell>
          <cell r="D11184">
            <v>0</v>
          </cell>
          <cell r="E11184">
            <v>3340032</v>
          </cell>
          <cell r="F11184">
            <v>0</v>
          </cell>
          <cell r="G11184">
            <v>0</v>
          </cell>
        </row>
        <row r="11185">
          <cell r="A11185" t="str">
            <v>66-02-03-0012</v>
          </cell>
          <cell r="B11185">
            <v>0</v>
          </cell>
          <cell r="C11185" t="str">
            <v xml:space="preserve">  EXPORT OF 30/30 76X68-76" GREY FABRIC</v>
          </cell>
          <cell r="D11185">
            <v>0</v>
          </cell>
          <cell r="E11185">
            <v>1888433</v>
          </cell>
          <cell r="F11185">
            <v>0</v>
          </cell>
          <cell r="G11185">
            <v>0</v>
          </cell>
        </row>
        <row r="11186">
          <cell r="A11186" t="str">
            <v>66-02-03-0013</v>
          </cell>
          <cell r="B11186">
            <v>0</v>
          </cell>
          <cell r="C11186" t="str">
            <v xml:space="preserve">  EXPORT OF 40/40 127X79-80" GREY FABRIC</v>
          </cell>
          <cell r="D11186">
            <v>0</v>
          </cell>
          <cell r="E11186">
            <v>5126504</v>
          </cell>
          <cell r="F11186">
            <v>0</v>
          </cell>
          <cell r="G11186">
            <v>0</v>
          </cell>
        </row>
        <row r="11187">
          <cell r="A11187" t="str">
            <v>66-02-03-0014</v>
          </cell>
          <cell r="B11187">
            <v>0</v>
          </cell>
          <cell r="C11187" t="str">
            <v xml:space="preserve">  EXPORT OF 30/30 76X68-92" GREY FABRIC</v>
          </cell>
          <cell r="D11187">
            <v>0</v>
          </cell>
          <cell r="E11187">
            <v>1514581</v>
          </cell>
          <cell r="F11187">
            <v>0</v>
          </cell>
          <cell r="G11187">
            <v>0</v>
          </cell>
        </row>
        <row r="11188">
          <cell r="A11188" t="str">
            <v>66-02-03-0015</v>
          </cell>
          <cell r="B11188">
            <v>0</v>
          </cell>
          <cell r="C11188" t="str">
            <v xml:space="preserve">  EXPORT OF 20/20 62X62-95" GREY FABRIC</v>
          </cell>
          <cell r="D11188">
            <v>0</v>
          </cell>
          <cell r="E11188">
            <v>3615557</v>
          </cell>
          <cell r="F11188">
            <v>0</v>
          </cell>
          <cell r="G11188">
            <v>0</v>
          </cell>
        </row>
        <row r="11189">
          <cell r="A11189" t="str">
            <v>66-02-03-0016</v>
          </cell>
          <cell r="B11189">
            <v>0</v>
          </cell>
          <cell r="C11189" t="str">
            <v xml:space="preserve">  EXPORT OF 60/60 175X130-95" GREY FABRI</v>
          </cell>
          <cell r="D11189">
            <v>0</v>
          </cell>
          <cell r="E11189">
            <v>6080727</v>
          </cell>
          <cell r="F11189">
            <v>0</v>
          </cell>
          <cell r="G11189">
            <v>0</v>
          </cell>
        </row>
        <row r="11190">
          <cell r="A11190" t="str">
            <v>66-02-03-0017</v>
          </cell>
          <cell r="B11190">
            <v>0</v>
          </cell>
          <cell r="C11190" t="str">
            <v xml:space="preserve">  EXPORT OF 50/50 146X96-98" GREY FABRIC</v>
          </cell>
          <cell r="D11190">
            <v>0</v>
          </cell>
          <cell r="E11190">
            <v>1854720</v>
          </cell>
          <cell r="F11190">
            <v>0</v>
          </cell>
          <cell r="G11190">
            <v>0</v>
          </cell>
        </row>
        <row r="11191">
          <cell r="A11191" t="str">
            <v>66-02-03-0018</v>
          </cell>
          <cell r="B11191">
            <v>0</v>
          </cell>
          <cell r="C11191" t="str">
            <v xml:space="preserve">  EXPORT OF 30/30 76X68-77" GREY FABRIC</v>
          </cell>
          <cell r="D11191">
            <v>0</v>
          </cell>
          <cell r="E11191">
            <v>2923150.89</v>
          </cell>
          <cell r="F11191">
            <v>0</v>
          </cell>
          <cell r="G11191">
            <v>0</v>
          </cell>
        </row>
        <row r="11192">
          <cell r="A11192" t="str">
            <v>66-02-03-0019</v>
          </cell>
          <cell r="B11192">
            <v>0</v>
          </cell>
          <cell r="C11192" t="str">
            <v xml:space="preserve">  EXPORT OF 40/40 127X79-106" GREY FABRI</v>
          </cell>
          <cell r="D11192">
            <v>0</v>
          </cell>
          <cell r="E11192">
            <v>7263423.4400000004</v>
          </cell>
          <cell r="F11192">
            <v>0</v>
          </cell>
          <cell r="G11192">
            <v>0</v>
          </cell>
        </row>
        <row r="11193">
          <cell r="A11193" t="str">
            <v>66-02-03-0020</v>
          </cell>
          <cell r="B11193">
            <v>0</v>
          </cell>
          <cell r="C11193" t="str">
            <v xml:space="preserve">  EXPORT OF 20/20 60X60-67" GREY FABRIC</v>
          </cell>
          <cell r="D11193">
            <v>0</v>
          </cell>
          <cell r="E11193">
            <v>2495071.4900000002</v>
          </cell>
          <cell r="F11193">
            <v>0</v>
          </cell>
          <cell r="G11193">
            <v>0</v>
          </cell>
        </row>
        <row r="11194">
          <cell r="A11194" t="str">
            <v>67</v>
          </cell>
          <cell r="B11194">
            <v>0</v>
          </cell>
          <cell r="C11194" t="str">
            <v>*WASTE SALES</v>
          </cell>
          <cell r="D11194">
            <v>0</v>
          </cell>
          <cell r="E11194">
            <v>85671889</v>
          </cell>
          <cell r="F11194">
            <v>0</v>
          </cell>
          <cell r="G11194">
            <v>85671889</v>
          </cell>
        </row>
        <row r="11195">
          <cell r="A11195" t="str">
            <v>67-01</v>
          </cell>
          <cell r="B11195">
            <v>85671872</v>
          </cell>
          <cell r="C11195" t="str">
            <v>**WASTE SALES LOCAL</v>
          </cell>
          <cell r="D11195">
            <v>0</v>
          </cell>
          <cell r="E11195">
            <v>85671889</v>
          </cell>
          <cell r="F11195">
            <v>0</v>
          </cell>
          <cell r="G11195">
            <v>85671889</v>
          </cell>
        </row>
        <row r="11196">
          <cell r="A11196" t="str">
            <v>67-01-01</v>
          </cell>
          <cell r="B11196">
            <v>85671872</v>
          </cell>
          <cell r="C11196" t="str">
            <v>***SALES OF CARD FLY</v>
          </cell>
          <cell r="D11196">
            <v>0</v>
          </cell>
          <cell r="E11196">
            <v>85671889</v>
          </cell>
          <cell r="F11196">
            <v>0</v>
          </cell>
          <cell r="G11196">
            <v>85671889</v>
          </cell>
        </row>
        <row r="11197">
          <cell r="A11197" t="str">
            <v>67-01-01-0001</v>
          </cell>
          <cell r="B11197">
            <v>85671872</v>
          </cell>
          <cell r="C11197" t="str">
            <v xml:space="preserve">  SALES OF SOFT WASTE M.M.F</v>
          </cell>
          <cell r="D11197">
            <v>0</v>
          </cell>
          <cell r="E11197">
            <v>1024127</v>
          </cell>
          <cell r="F11197">
            <v>0</v>
          </cell>
          <cell r="G11197">
            <v>0</v>
          </cell>
        </row>
        <row r="11198">
          <cell r="A11198" t="str">
            <v>67-01-01-0002</v>
          </cell>
          <cell r="B11198">
            <v>0</v>
          </cell>
          <cell r="C11198" t="str">
            <v xml:space="preserve">  SALES OF HARD WASTE  (P.C) TINTED.</v>
          </cell>
          <cell r="D11198">
            <v>0</v>
          </cell>
          <cell r="E11198">
            <v>672978</v>
          </cell>
          <cell r="F11198">
            <v>0</v>
          </cell>
          <cell r="G11198">
            <v>0</v>
          </cell>
        </row>
        <row r="11199">
          <cell r="A11199" t="str">
            <v>67-01-01-0003</v>
          </cell>
          <cell r="B11199">
            <v>0</v>
          </cell>
          <cell r="C11199" t="str">
            <v xml:space="preserve">  SALES OF COMBER NOIL</v>
          </cell>
          <cell r="D11199">
            <v>0</v>
          </cell>
          <cell r="E11199">
            <v>39028345</v>
          </cell>
          <cell r="F11199">
            <v>0</v>
          </cell>
          <cell r="G11199">
            <v>0</v>
          </cell>
        </row>
        <row r="11200">
          <cell r="A11200" t="str">
            <v>67-01-01-0004</v>
          </cell>
          <cell r="B11200">
            <v>0</v>
          </cell>
          <cell r="C11200" t="str">
            <v xml:space="preserve">  SALES OF DROPPING WASTE</v>
          </cell>
          <cell r="D11200">
            <v>0</v>
          </cell>
          <cell r="E11200">
            <v>2973310</v>
          </cell>
          <cell r="F11200">
            <v>0</v>
          </cell>
          <cell r="G11200">
            <v>0</v>
          </cell>
        </row>
        <row r="11201">
          <cell r="A11201" t="str">
            <v>67-01-01-0005</v>
          </cell>
          <cell r="B11201">
            <v>0</v>
          </cell>
          <cell r="C11201" t="str">
            <v xml:space="preserve">  SALES OF LICKERIN WASTE</v>
          </cell>
          <cell r="D11201">
            <v>0</v>
          </cell>
          <cell r="E11201">
            <v>3355159</v>
          </cell>
          <cell r="F11201">
            <v>0</v>
          </cell>
          <cell r="G11201">
            <v>0</v>
          </cell>
        </row>
        <row r="11202">
          <cell r="A11202" t="str">
            <v>67-01-01-0006</v>
          </cell>
          <cell r="B11202">
            <v>0</v>
          </cell>
          <cell r="C11202" t="str">
            <v xml:space="preserve">  SALES OF CARDFLY WASTE</v>
          </cell>
          <cell r="D11202">
            <v>0</v>
          </cell>
          <cell r="E11202">
            <v>9810572</v>
          </cell>
          <cell r="F11202">
            <v>0</v>
          </cell>
          <cell r="G11202">
            <v>0</v>
          </cell>
        </row>
        <row r="11203">
          <cell r="A11203" t="str">
            <v>67-01-01-0008</v>
          </cell>
          <cell r="B11203">
            <v>0</v>
          </cell>
          <cell r="C11203" t="str">
            <v xml:space="preserve">  SALES OF HARD WASTE (P.C) WHITE.</v>
          </cell>
          <cell r="D11203">
            <v>0</v>
          </cell>
          <cell r="E11203">
            <v>1955377</v>
          </cell>
          <cell r="F11203">
            <v>0</v>
          </cell>
          <cell r="G11203">
            <v>0</v>
          </cell>
        </row>
        <row r="11204">
          <cell r="A11204" t="str">
            <v>67-01-01-0009</v>
          </cell>
          <cell r="B11204">
            <v>0</v>
          </cell>
          <cell r="C11204" t="str">
            <v xml:space="preserve">  SALES OF MIX WASTE.</v>
          </cell>
          <cell r="D11204">
            <v>0</v>
          </cell>
          <cell r="E11204">
            <v>5664101</v>
          </cell>
          <cell r="F11204">
            <v>0</v>
          </cell>
          <cell r="G11204">
            <v>0</v>
          </cell>
        </row>
        <row r="11205">
          <cell r="A11205" t="str">
            <v>67-01-01-0010</v>
          </cell>
          <cell r="B11205">
            <v>0</v>
          </cell>
          <cell r="C11205" t="str">
            <v xml:space="preserve">  SALES OF HARD WASTE COTTON.</v>
          </cell>
          <cell r="D11205">
            <v>0</v>
          </cell>
          <cell r="E11205">
            <v>6477084</v>
          </cell>
          <cell r="F11205">
            <v>0</v>
          </cell>
          <cell r="G11205">
            <v>0</v>
          </cell>
        </row>
        <row r="11206">
          <cell r="A11206" t="str">
            <v>67-01-01-0011</v>
          </cell>
          <cell r="B11206">
            <v>0</v>
          </cell>
          <cell r="C11206" t="str">
            <v xml:space="preserve">  SALES OF RING SWEEPING  WASTE</v>
          </cell>
          <cell r="D11206">
            <v>0</v>
          </cell>
          <cell r="E11206">
            <v>2160046</v>
          </cell>
          <cell r="F11206">
            <v>0</v>
          </cell>
          <cell r="G11206">
            <v>0</v>
          </cell>
        </row>
        <row r="11207">
          <cell r="A11207" t="str">
            <v>67-01-01-0012</v>
          </cell>
          <cell r="B11207">
            <v>0</v>
          </cell>
          <cell r="C11207" t="str">
            <v xml:space="preserve">  SALES OF A.C FILTER.</v>
          </cell>
          <cell r="D11207">
            <v>0</v>
          </cell>
          <cell r="E11207">
            <v>1793131</v>
          </cell>
          <cell r="F11207">
            <v>0</v>
          </cell>
          <cell r="G11207">
            <v>0</v>
          </cell>
        </row>
        <row r="11208">
          <cell r="A11208" t="str">
            <v>67-01-01-0013</v>
          </cell>
          <cell r="B11208">
            <v>0</v>
          </cell>
          <cell r="C11208" t="str">
            <v xml:space="preserve">  SALES OF LAP WASTE</v>
          </cell>
          <cell r="D11208">
            <v>0</v>
          </cell>
          <cell r="E11208">
            <v>0</v>
          </cell>
          <cell r="F11208">
            <v>0</v>
          </cell>
          <cell r="G11208">
            <v>0</v>
          </cell>
        </row>
        <row r="11209">
          <cell r="A11209" t="str">
            <v>67-01-01-0014</v>
          </cell>
          <cell r="B11209">
            <v>0</v>
          </cell>
          <cell r="C11209" t="str">
            <v xml:space="preserve">  SALES OF DUST WASTE</v>
          </cell>
          <cell r="D11209">
            <v>0</v>
          </cell>
          <cell r="E11209">
            <v>0</v>
          </cell>
          <cell r="F11209">
            <v>0</v>
          </cell>
          <cell r="G11209">
            <v>0</v>
          </cell>
        </row>
        <row r="11210">
          <cell r="A11210" t="str">
            <v>67-01-01-0017</v>
          </cell>
          <cell r="B11210">
            <v>0</v>
          </cell>
          <cell r="C11210" t="str">
            <v xml:space="preserve">  SALES OF COMBER FILTER WASTE</v>
          </cell>
          <cell r="D11210">
            <v>0</v>
          </cell>
          <cell r="E11210">
            <v>477482</v>
          </cell>
          <cell r="F11210">
            <v>0</v>
          </cell>
          <cell r="G11210">
            <v>0</v>
          </cell>
        </row>
        <row r="11211">
          <cell r="A11211" t="str">
            <v>67-01-01-0018</v>
          </cell>
          <cell r="B11211">
            <v>0</v>
          </cell>
          <cell r="C11211" t="str">
            <v xml:space="preserve">  SALES OF SOFT WASTE COTTON</v>
          </cell>
          <cell r="D11211">
            <v>0</v>
          </cell>
          <cell r="E11211">
            <v>0</v>
          </cell>
          <cell r="F11211">
            <v>0</v>
          </cell>
          <cell r="G11211">
            <v>0</v>
          </cell>
        </row>
        <row r="11212">
          <cell r="A11212" t="str">
            <v>67-01-01-0019</v>
          </cell>
          <cell r="B11212">
            <v>0</v>
          </cell>
          <cell r="C11212" t="str">
            <v xml:space="preserve">  SALES OF FILTER WASTE</v>
          </cell>
          <cell r="D11212">
            <v>0</v>
          </cell>
          <cell r="E11212">
            <v>0</v>
          </cell>
          <cell r="F11212">
            <v>0</v>
          </cell>
          <cell r="G11212">
            <v>0</v>
          </cell>
        </row>
        <row r="11213">
          <cell r="A11213" t="str">
            <v>67-01-01-0020</v>
          </cell>
          <cell r="B11213">
            <v>0</v>
          </cell>
          <cell r="C11213" t="str">
            <v xml:space="preserve">  SALES OF DEMAGE COTTON</v>
          </cell>
          <cell r="D11213">
            <v>0</v>
          </cell>
          <cell r="E11213">
            <v>517562</v>
          </cell>
          <cell r="F11213">
            <v>0</v>
          </cell>
          <cell r="G11213">
            <v>0</v>
          </cell>
        </row>
        <row r="11214">
          <cell r="A11214" t="str">
            <v>67-01-01-0021</v>
          </cell>
          <cell r="B11214">
            <v>0</v>
          </cell>
          <cell r="C11214" t="str">
            <v xml:space="preserve">  SALES OF SUPER CARDFLY WASTE</v>
          </cell>
          <cell r="D11214">
            <v>0</v>
          </cell>
          <cell r="E11214">
            <v>7143029</v>
          </cell>
          <cell r="F11214">
            <v>0</v>
          </cell>
          <cell r="G11214">
            <v>0</v>
          </cell>
        </row>
        <row r="11215">
          <cell r="A11215" t="str">
            <v>67-01-01-0022</v>
          </cell>
          <cell r="B11215">
            <v>0</v>
          </cell>
          <cell r="C11215" t="str">
            <v xml:space="preserve">  SALES OF LYCRA WASTE</v>
          </cell>
          <cell r="D11215">
            <v>0</v>
          </cell>
          <cell r="E11215">
            <v>827547</v>
          </cell>
          <cell r="F11215">
            <v>0</v>
          </cell>
          <cell r="G11215">
            <v>0</v>
          </cell>
        </row>
        <row r="11216">
          <cell r="A11216" t="str">
            <v>67-01-01-0023</v>
          </cell>
          <cell r="B11216">
            <v>0</v>
          </cell>
          <cell r="C11216" t="str">
            <v xml:space="preserve">  SALES OF VILLOW DROPING</v>
          </cell>
          <cell r="D11216">
            <v>0</v>
          </cell>
          <cell r="E11216">
            <v>24274</v>
          </cell>
          <cell r="F11216">
            <v>0</v>
          </cell>
          <cell r="G11216">
            <v>0</v>
          </cell>
        </row>
        <row r="11217">
          <cell r="A11217" t="str">
            <v>67-01-01-0024</v>
          </cell>
          <cell r="B11217">
            <v>0</v>
          </cell>
          <cell r="C11217" t="str">
            <v xml:space="preserve">  SALES OF HARD WASTE POLYESTER M-6</v>
          </cell>
          <cell r="D11217">
            <v>0</v>
          </cell>
          <cell r="E11217">
            <v>202680</v>
          </cell>
          <cell r="F11217">
            <v>0</v>
          </cell>
          <cell r="G11217">
            <v>0</v>
          </cell>
        </row>
        <row r="11218">
          <cell r="A11218" t="str">
            <v>67-01-01-0025</v>
          </cell>
          <cell r="B11218">
            <v>0</v>
          </cell>
          <cell r="C11218" t="str">
            <v xml:space="preserve">  SALES OF PNEUMAPHIL LYCRA</v>
          </cell>
          <cell r="D11218">
            <v>0</v>
          </cell>
          <cell r="E11218">
            <v>1565085</v>
          </cell>
          <cell r="F11218">
            <v>0</v>
          </cell>
          <cell r="G11218">
            <v>0</v>
          </cell>
        </row>
        <row r="11219">
          <cell r="A11219" t="str">
            <v>67-01-01-0026</v>
          </cell>
          <cell r="B11219">
            <v>0</v>
          </cell>
          <cell r="C11219" t="str">
            <v xml:space="preserve">  SALES OF PNEUMAPHIL POLYESTER WASTE</v>
          </cell>
          <cell r="D11219">
            <v>0</v>
          </cell>
          <cell r="E11219">
            <v>0</v>
          </cell>
          <cell r="F11219">
            <v>0</v>
          </cell>
          <cell r="G11219">
            <v>0</v>
          </cell>
        </row>
        <row r="11220">
          <cell r="A11220" t="str">
            <v>67-01-01-0051</v>
          </cell>
          <cell r="B11220">
            <v>0</v>
          </cell>
          <cell r="C11220" t="str">
            <v xml:space="preserve">  WASTE SALES-EXPORT</v>
          </cell>
          <cell r="D11220">
            <v>0</v>
          </cell>
          <cell r="E11220">
            <v>0</v>
          </cell>
          <cell r="F11220">
            <v>0</v>
          </cell>
          <cell r="G11220">
            <v>0</v>
          </cell>
        </row>
        <row r="11221">
          <cell r="A11221" t="str">
            <v>68</v>
          </cell>
          <cell r="B11221">
            <v>0</v>
          </cell>
          <cell r="C11221" t="str">
            <v>*EXPENSES DIRECTLY PERTAINING TO SALES</v>
          </cell>
          <cell r="D11221">
            <v>214515605.27000001</v>
          </cell>
          <cell r="E11221">
            <v>0</v>
          </cell>
          <cell r="F11221">
            <v>214515605.27000001</v>
          </cell>
          <cell r="G11221">
            <v>0</v>
          </cell>
        </row>
        <row r="11222">
          <cell r="A11222" t="str">
            <v>68-01</v>
          </cell>
          <cell r="B11222">
            <v>0</v>
          </cell>
          <cell r="C11222" t="str">
            <v>**LOCAL SALES EXPENSES</v>
          </cell>
          <cell r="D11222">
            <v>20262306.280000001</v>
          </cell>
          <cell r="E11222">
            <v>0</v>
          </cell>
          <cell r="F11222">
            <v>20262306.280000001</v>
          </cell>
          <cell r="G11222">
            <v>0</v>
          </cell>
        </row>
        <row r="11223">
          <cell r="A11223" t="str">
            <v>68-01-01</v>
          </cell>
          <cell r="B11223">
            <v>0</v>
          </cell>
          <cell r="C11223" t="str">
            <v>***FREIGHT EXPENSES</v>
          </cell>
          <cell r="D11223">
            <v>17870</v>
          </cell>
          <cell r="E11223">
            <v>0</v>
          </cell>
          <cell r="F11223">
            <v>17870</v>
          </cell>
          <cell r="G11223">
            <v>0</v>
          </cell>
        </row>
        <row r="11224">
          <cell r="A11224" t="str">
            <v>68-01-01-0001</v>
          </cell>
          <cell r="B11224">
            <v>0</v>
          </cell>
          <cell r="C11224" t="str">
            <v xml:space="preserve">  FREIGHT &amp; OCTROI OUTWORD (LOCAL SALE)</v>
          </cell>
          <cell r="D11224">
            <v>17870</v>
          </cell>
          <cell r="E11224">
            <v>0</v>
          </cell>
          <cell r="F11224">
            <v>0</v>
          </cell>
          <cell r="G11224">
            <v>0</v>
          </cell>
        </row>
        <row r="11225">
          <cell r="A11225" t="str">
            <v>68-01-02</v>
          </cell>
          <cell r="B11225">
            <v>0</v>
          </cell>
          <cell r="C11225" t="str">
            <v>***COMMISSION</v>
          </cell>
          <cell r="D11225">
            <v>17189361.59</v>
          </cell>
          <cell r="E11225">
            <v>0</v>
          </cell>
          <cell r="F11225">
            <v>17189361.59</v>
          </cell>
          <cell r="G11225">
            <v>0</v>
          </cell>
        </row>
        <row r="11226">
          <cell r="A11226" t="str">
            <v>68-01-02-0001</v>
          </cell>
          <cell r="B11226">
            <v>0</v>
          </cell>
          <cell r="C11226" t="str">
            <v xml:space="preserve">  COMMISSION ON LOCAL SALES</v>
          </cell>
          <cell r="D11226">
            <v>17189361.59</v>
          </cell>
          <cell r="E11226">
            <v>0</v>
          </cell>
          <cell r="F11226">
            <v>0</v>
          </cell>
          <cell r="G11226">
            <v>0</v>
          </cell>
        </row>
        <row r="11227">
          <cell r="A11227" t="str">
            <v>68-01-03</v>
          </cell>
          <cell r="B11227">
            <v>0</v>
          </cell>
          <cell r="C11227" t="str">
            <v>***OTHER EXPENSES</v>
          </cell>
          <cell r="D11227">
            <v>3055074.69</v>
          </cell>
          <cell r="E11227">
            <v>0</v>
          </cell>
          <cell r="F11227">
            <v>3055074.69</v>
          </cell>
          <cell r="G11227">
            <v>0</v>
          </cell>
        </row>
        <row r="11228">
          <cell r="A11228" t="str">
            <v>68-01-03-0001</v>
          </cell>
          <cell r="B11228">
            <v>0</v>
          </cell>
          <cell r="C11228" t="str">
            <v xml:space="preserve">  DISCOUNT ON SALES.</v>
          </cell>
          <cell r="D11228">
            <v>104125.69</v>
          </cell>
          <cell r="E11228">
            <v>0</v>
          </cell>
          <cell r="F11228">
            <v>0</v>
          </cell>
          <cell r="G11228">
            <v>0</v>
          </cell>
        </row>
        <row r="11229">
          <cell r="A11229" t="str">
            <v>68-01-03-0002</v>
          </cell>
          <cell r="B11229">
            <v>0</v>
          </cell>
          <cell r="C11229" t="str">
            <v xml:space="preserve">  EXPENSES ON LOCAL L/C'S</v>
          </cell>
          <cell r="D11229">
            <v>2442365</v>
          </cell>
          <cell r="E11229">
            <v>0</v>
          </cell>
          <cell r="F11229">
            <v>0</v>
          </cell>
          <cell r="G11229">
            <v>0</v>
          </cell>
        </row>
        <row r="11230">
          <cell r="A11230" t="str">
            <v>68-01-03-0003</v>
          </cell>
          <cell r="B11230">
            <v>0</v>
          </cell>
          <cell r="C11230" t="str">
            <v xml:space="preserve">  SPECIAL ADHESIVE STAMPS ON INLAND LC'S</v>
          </cell>
          <cell r="D11230">
            <v>508584</v>
          </cell>
          <cell r="E11230">
            <v>0</v>
          </cell>
          <cell r="F11230">
            <v>0</v>
          </cell>
          <cell r="G11230">
            <v>0</v>
          </cell>
        </row>
        <row r="11231">
          <cell r="A11231" t="str">
            <v>68-02</v>
          </cell>
          <cell r="B11231">
            <v>0</v>
          </cell>
          <cell r="C11231" t="str">
            <v>**EXPORT SALES EXPENSES</v>
          </cell>
          <cell r="D11231">
            <v>194253298.99000001</v>
          </cell>
          <cell r="E11231">
            <v>0</v>
          </cell>
          <cell r="F11231">
            <v>194253298.99000001</v>
          </cell>
          <cell r="G11231">
            <v>0</v>
          </cell>
        </row>
        <row r="11232">
          <cell r="A11232" t="str">
            <v>68-02-01</v>
          </cell>
          <cell r="B11232">
            <v>0</v>
          </cell>
          <cell r="C11232" t="str">
            <v>***FREIGHT AND HANDLING CHARGES ON EXPOR</v>
          </cell>
          <cell r="D11232">
            <v>105561506.06999999</v>
          </cell>
          <cell r="E11232">
            <v>0</v>
          </cell>
          <cell r="F11232">
            <v>105561506.06999999</v>
          </cell>
          <cell r="G11232">
            <v>0</v>
          </cell>
        </row>
        <row r="11233">
          <cell r="A11233" t="str">
            <v>68-02-01-0001</v>
          </cell>
          <cell r="B11233">
            <v>0</v>
          </cell>
          <cell r="C11233" t="str">
            <v xml:space="preserve">  EXPORT EXPENSES (OCEAN FREIGHT-YARN)</v>
          </cell>
          <cell r="D11233">
            <v>60634473.049999997</v>
          </cell>
          <cell r="E11233">
            <v>0</v>
          </cell>
          <cell r="F11233">
            <v>0</v>
          </cell>
          <cell r="G11233">
            <v>0</v>
          </cell>
        </row>
        <row r="11234">
          <cell r="A11234" t="str">
            <v>68-02-01-0002</v>
          </cell>
          <cell r="B11234">
            <v>0</v>
          </cell>
          <cell r="C11234" t="str">
            <v xml:space="preserve">  EXPORT EXPENSE (CLOTH FREIGHT)</v>
          </cell>
          <cell r="D11234">
            <v>0</v>
          </cell>
          <cell r="E11234">
            <v>0</v>
          </cell>
          <cell r="F11234">
            <v>0</v>
          </cell>
          <cell r="G11234">
            <v>0</v>
          </cell>
        </row>
        <row r="11235">
          <cell r="A11235" t="str">
            <v>68-02-01-0003</v>
          </cell>
          <cell r="B11235">
            <v>0</v>
          </cell>
          <cell r="C11235" t="str">
            <v xml:space="preserve">  EXPORT EXPENSES LOCAL FREIGHT YARN</v>
          </cell>
          <cell r="D11235">
            <v>19922927</v>
          </cell>
          <cell r="E11235">
            <v>0</v>
          </cell>
          <cell r="F11235">
            <v>0</v>
          </cell>
          <cell r="G11235">
            <v>0</v>
          </cell>
        </row>
        <row r="11236">
          <cell r="A11236" t="str">
            <v>68-02-01-0004</v>
          </cell>
          <cell r="B11236">
            <v>0</v>
          </cell>
          <cell r="C11236" t="str">
            <v xml:space="preserve">  EXPORT EXPENSES (YARN AIR FREIGHT)</v>
          </cell>
          <cell r="D11236">
            <v>2762142</v>
          </cell>
          <cell r="E11236">
            <v>0</v>
          </cell>
          <cell r="F11236">
            <v>0</v>
          </cell>
          <cell r="G11236">
            <v>0</v>
          </cell>
        </row>
        <row r="11237">
          <cell r="A11237" t="str">
            <v>68-02-01-0005</v>
          </cell>
          <cell r="B11237">
            <v>0</v>
          </cell>
          <cell r="C11237" t="str">
            <v xml:space="preserve">  CLEARING FORWARDING &amp; HANDLING CHGS-YA</v>
          </cell>
          <cell r="D11237">
            <v>6250190</v>
          </cell>
          <cell r="E11237">
            <v>0</v>
          </cell>
          <cell r="F11237">
            <v>0</v>
          </cell>
          <cell r="G11237">
            <v>0</v>
          </cell>
        </row>
        <row r="11238">
          <cell r="A11238" t="str">
            <v>68-02-01-0006</v>
          </cell>
          <cell r="B11238">
            <v>0</v>
          </cell>
          <cell r="C11238" t="str">
            <v xml:space="preserve">  EXPORT EXPENSES (THC,DEMURRAGE &amp; WHRFG</v>
          </cell>
          <cell r="D11238">
            <v>79012.929999999993</v>
          </cell>
          <cell r="E11238">
            <v>0</v>
          </cell>
          <cell r="F11238">
            <v>0</v>
          </cell>
          <cell r="G11238">
            <v>0</v>
          </cell>
        </row>
        <row r="11239">
          <cell r="A11239" t="str">
            <v>68-02-01-0007</v>
          </cell>
          <cell r="B11239">
            <v>0</v>
          </cell>
          <cell r="C11239" t="str">
            <v xml:space="preserve">  EXPORT EXPENSE (EXPORT SURCHARGE -YARN</v>
          </cell>
          <cell r="D11239">
            <v>5392101.2000000002</v>
          </cell>
          <cell r="E11239">
            <v>0</v>
          </cell>
          <cell r="F11239">
            <v>0</v>
          </cell>
          <cell r="G11239">
            <v>0</v>
          </cell>
        </row>
        <row r="11240">
          <cell r="A11240" t="str">
            <v>68-02-01-0008</v>
          </cell>
          <cell r="B11240">
            <v>0</v>
          </cell>
          <cell r="C11240" t="str">
            <v xml:space="preserve">  EXPORT EXPENSES LOCAL FREIGHT COMBR NO</v>
          </cell>
          <cell r="D11240">
            <v>2178600</v>
          </cell>
          <cell r="E11240">
            <v>0</v>
          </cell>
          <cell r="F11240">
            <v>0</v>
          </cell>
          <cell r="G11240">
            <v>0</v>
          </cell>
        </row>
        <row r="11241">
          <cell r="A11241" t="str">
            <v>68-02-01-0009</v>
          </cell>
          <cell r="B11241">
            <v>0</v>
          </cell>
          <cell r="C11241" t="str">
            <v xml:space="preserve">  HANDLING CHARGES ON SAMPLING OF YARN.</v>
          </cell>
          <cell r="D11241">
            <v>0</v>
          </cell>
          <cell r="E11241">
            <v>0</v>
          </cell>
          <cell r="F11241">
            <v>0</v>
          </cell>
          <cell r="G11241">
            <v>0</v>
          </cell>
        </row>
        <row r="11242">
          <cell r="A11242" t="str">
            <v>68-02-01-0010</v>
          </cell>
          <cell r="B11242">
            <v>0</v>
          </cell>
          <cell r="C11242" t="str">
            <v xml:space="preserve">  EXPORT EXP EXPORT SURCHARGE-COMBER NOI</v>
          </cell>
          <cell r="D11242">
            <v>295669.99</v>
          </cell>
          <cell r="E11242">
            <v>0</v>
          </cell>
          <cell r="F11242">
            <v>0</v>
          </cell>
          <cell r="G11242">
            <v>0</v>
          </cell>
        </row>
        <row r="11243">
          <cell r="A11243" t="str">
            <v>68-02-01-0011</v>
          </cell>
          <cell r="B11243">
            <v>0</v>
          </cell>
          <cell r="C11243" t="str">
            <v xml:space="preserve">  CLEARING &amp; FORWARDING CHARGS-COMBER NO</v>
          </cell>
          <cell r="D11243">
            <v>508795</v>
          </cell>
          <cell r="E11243">
            <v>0</v>
          </cell>
          <cell r="F11243">
            <v>0</v>
          </cell>
          <cell r="G11243">
            <v>0</v>
          </cell>
        </row>
        <row r="11244">
          <cell r="A11244" t="str">
            <v>68-02-01-0012</v>
          </cell>
          <cell r="B11244">
            <v>0</v>
          </cell>
          <cell r="C11244" t="str">
            <v xml:space="preserve">  EXPORT EXPENSES (OCEAN FREIGHT WASTE)</v>
          </cell>
          <cell r="D11244">
            <v>5446956.5</v>
          </cell>
          <cell r="E11244">
            <v>0</v>
          </cell>
          <cell r="F11244">
            <v>0</v>
          </cell>
          <cell r="G11244">
            <v>0</v>
          </cell>
        </row>
        <row r="11245">
          <cell r="A11245" t="str">
            <v>68-02-01-0013</v>
          </cell>
          <cell r="B11245">
            <v>0</v>
          </cell>
          <cell r="C11245" t="str">
            <v xml:space="preserve">  EXPORT EXPENSE (EXPORT SURCHARGE CLOTH</v>
          </cell>
          <cell r="D11245">
            <v>208619.4</v>
          </cell>
          <cell r="E11245">
            <v>0</v>
          </cell>
          <cell r="F11245">
            <v>0</v>
          </cell>
          <cell r="G11245">
            <v>0</v>
          </cell>
        </row>
        <row r="11246">
          <cell r="A11246" t="str">
            <v>68-02-01-0014</v>
          </cell>
          <cell r="B11246">
            <v>0</v>
          </cell>
          <cell r="C11246" t="str">
            <v xml:space="preserve">  EXPORT EXPENSE (LOCAL FREIGHT - CLOTH)</v>
          </cell>
          <cell r="D11246">
            <v>144100</v>
          </cell>
          <cell r="E11246">
            <v>0</v>
          </cell>
          <cell r="F11246">
            <v>0</v>
          </cell>
          <cell r="G11246">
            <v>0</v>
          </cell>
        </row>
        <row r="11247">
          <cell r="A11247" t="str">
            <v>68-02-01-0015</v>
          </cell>
          <cell r="B11247">
            <v>0</v>
          </cell>
          <cell r="C11247" t="str">
            <v xml:space="preserve">  EXPORT EXP. (EXPORT OCEAN FREIGHT CLOT</v>
          </cell>
          <cell r="D11247">
            <v>1518809</v>
          </cell>
          <cell r="E11247">
            <v>0</v>
          </cell>
          <cell r="F11247">
            <v>0</v>
          </cell>
          <cell r="G11247">
            <v>0</v>
          </cell>
        </row>
        <row r="11248">
          <cell r="A11248" t="str">
            <v>68-02-01-0016</v>
          </cell>
          <cell r="B11248">
            <v>0</v>
          </cell>
          <cell r="C11248" t="str">
            <v xml:space="preserve">  EXPORT EXPENSE(FORWARDING CHAGRES CLOT</v>
          </cell>
          <cell r="D11248">
            <v>219110</v>
          </cell>
          <cell r="E11248">
            <v>0</v>
          </cell>
          <cell r="F11248">
            <v>0</v>
          </cell>
          <cell r="G11248">
            <v>0</v>
          </cell>
        </row>
        <row r="11249">
          <cell r="A11249" t="str">
            <v>68-02-02</v>
          </cell>
          <cell r="B11249">
            <v>0</v>
          </cell>
          <cell r="C11249" t="str">
            <v>***COMMISSION</v>
          </cell>
          <cell r="D11249">
            <v>61321833.229999997</v>
          </cell>
          <cell r="E11249">
            <v>0</v>
          </cell>
          <cell r="F11249">
            <v>61321833.229999997</v>
          </cell>
          <cell r="G11249">
            <v>0</v>
          </cell>
        </row>
        <row r="11250">
          <cell r="A11250" t="str">
            <v>68-02-02-0001</v>
          </cell>
          <cell r="B11250">
            <v>0</v>
          </cell>
          <cell r="C11250" t="str">
            <v xml:space="preserve">  EXPORT EXPENSES-LOCAL COMMISSION-YARN.</v>
          </cell>
          <cell r="D11250">
            <v>335767.61</v>
          </cell>
          <cell r="E11250">
            <v>0</v>
          </cell>
          <cell r="F11250">
            <v>0</v>
          </cell>
          <cell r="G11250">
            <v>0</v>
          </cell>
        </row>
        <row r="11251">
          <cell r="A11251" t="str">
            <v>68-02-02-0002</v>
          </cell>
          <cell r="B11251">
            <v>0</v>
          </cell>
          <cell r="C11251" t="str">
            <v xml:space="preserve">  EXPORT EXPENSES-FOREIGN COMMISSION-YAR</v>
          </cell>
          <cell r="D11251">
            <v>56303829.18</v>
          </cell>
          <cell r="E11251">
            <v>0</v>
          </cell>
          <cell r="F11251">
            <v>0</v>
          </cell>
          <cell r="G11251">
            <v>0</v>
          </cell>
        </row>
        <row r="11252">
          <cell r="A11252" t="str">
            <v>68-02-02-0003</v>
          </cell>
          <cell r="B11252">
            <v>0</v>
          </cell>
          <cell r="C11252" t="str">
            <v xml:space="preserve">  EXPORT EXPENSE COMMISSION-CLOTH</v>
          </cell>
          <cell r="D11252">
            <v>0</v>
          </cell>
          <cell r="E11252">
            <v>0</v>
          </cell>
          <cell r="F11252">
            <v>0</v>
          </cell>
          <cell r="G11252">
            <v>0</v>
          </cell>
        </row>
        <row r="11253">
          <cell r="A11253" t="str">
            <v>68-02-02-0004</v>
          </cell>
          <cell r="B11253">
            <v>0</v>
          </cell>
          <cell r="C11253" t="str">
            <v xml:space="preserve">  EXPORT EXPENSES COMMISSION ON COMBR NO</v>
          </cell>
          <cell r="D11253">
            <v>4409522.4400000004</v>
          </cell>
          <cell r="E11253">
            <v>0</v>
          </cell>
          <cell r="F11253">
            <v>0</v>
          </cell>
          <cell r="G11253">
            <v>0</v>
          </cell>
        </row>
        <row r="11254">
          <cell r="A11254" t="str">
            <v>68-02-02-0005</v>
          </cell>
          <cell r="B11254">
            <v>0</v>
          </cell>
          <cell r="C11254" t="str">
            <v xml:space="preserve">  EXPORT EXPENSE COMMISSION ON REBATE SR</v>
          </cell>
          <cell r="D11254">
            <v>272714</v>
          </cell>
          <cell r="E11254">
            <v>0</v>
          </cell>
          <cell r="F11254">
            <v>0</v>
          </cell>
          <cell r="G11254">
            <v>0</v>
          </cell>
        </row>
        <row r="11255">
          <cell r="A11255" t="str">
            <v>68-02-03</v>
          </cell>
          <cell r="B11255">
            <v>0</v>
          </cell>
          <cell r="C11255" t="str">
            <v>***BANK CHARGES &amp; COMMISSION</v>
          </cell>
          <cell r="D11255">
            <v>11106449.34</v>
          </cell>
          <cell r="E11255">
            <v>0</v>
          </cell>
          <cell r="F11255">
            <v>11106449.34</v>
          </cell>
          <cell r="G11255">
            <v>0</v>
          </cell>
        </row>
        <row r="11256">
          <cell r="A11256" t="str">
            <v>68-02-03-0001</v>
          </cell>
          <cell r="B11256">
            <v>0</v>
          </cell>
          <cell r="C11256" t="str">
            <v xml:space="preserve">  EXPORT EXPENSES (BANK SERVICE CHARGES)</v>
          </cell>
          <cell r="D11256">
            <v>2335090.98</v>
          </cell>
          <cell r="E11256">
            <v>0</v>
          </cell>
          <cell r="F11256">
            <v>0</v>
          </cell>
          <cell r="G11256">
            <v>0</v>
          </cell>
        </row>
        <row r="11257">
          <cell r="A11257" t="str">
            <v>68-02-03-0002</v>
          </cell>
          <cell r="B11257">
            <v>0</v>
          </cell>
          <cell r="C11257" t="str">
            <v xml:space="preserve">  EXPORT EXPENSES (FOREIGN BANK CHARGES)</v>
          </cell>
          <cell r="D11257">
            <v>8511297.6799999997</v>
          </cell>
          <cell r="E11257">
            <v>0</v>
          </cell>
          <cell r="F11257">
            <v>0</v>
          </cell>
          <cell r="G11257">
            <v>0</v>
          </cell>
        </row>
        <row r="11258">
          <cell r="A11258" t="str">
            <v>68-02-03-0003</v>
          </cell>
          <cell r="B11258">
            <v>0</v>
          </cell>
          <cell r="C11258" t="str">
            <v xml:space="preserve">  MARK-UP/TRANSFER CHARGES ON EXPORT TRA</v>
          </cell>
          <cell r="D11258">
            <v>260060.68</v>
          </cell>
          <cell r="E11258">
            <v>0</v>
          </cell>
          <cell r="F11258">
            <v>0</v>
          </cell>
          <cell r="G11258">
            <v>0</v>
          </cell>
        </row>
        <row r="11259">
          <cell r="A11259" t="str">
            <v>68-02-03-0004</v>
          </cell>
          <cell r="B11259">
            <v>0</v>
          </cell>
          <cell r="C11259" t="str">
            <v xml:space="preserve">  EXPORT EXP - BANK SERVICE CHARGES -CLO</v>
          </cell>
          <cell r="D11259">
            <v>0</v>
          </cell>
          <cell r="E11259">
            <v>0</v>
          </cell>
          <cell r="F11259">
            <v>0</v>
          </cell>
          <cell r="G11259">
            <v>0</v>
          </cell>
        </row>
        <row r="11260">
          <cell r="A11260" t="str">
            <v>68-02-03-0005</v>
          </cell>
          <cell r="B11260">
            <v>0</v>
          </cell>
          <cell r="C11260" t="str">
            <v xml:space="preserve">  EXPORT EXP - FOREIGN BANK CHARGES-CLOT</v>
          </cell>
          <cell r="D11260">
            <v>0</v>
          </cell>
          <cell r="E11260">
            <v>0</v>
          </cell>
          <cell r="F11260">
            <v>0</v>
          </cell>
          <cell r="G11260">
            <v>0</v>
          </cell>
        </row>
        <row r="11261">
          <cell r="A11261" t="str">
            <v>68-02-03-0006</v>
          </cell>
          <cell r="B11261">
            <v>0</v>
          </cell>
          <cell r="C11261" t="str">
            <v xml:space="preserve">  EXPORT EXP - BANK SERVICE CHARGES - CO</v>
          </cell>
          <cell r="D11261">
            <v>0</v>
          </cell>
          <cell r="E11261">
            <v>0</v>
          </cell>
          <cell r="F11261">
            <v>0</v>
          </cell>
          <cell r="G11261">
            <v>0</v>
          </cell>
        </row>
        <row r="11262">
          <cell r="A11262" t="str">
            <v>68-02-03-0007</v>
          </cell>
          <cell r="B11262">
            <v>0</v>
          </cell>
          <cell r="C11262" t="str">
            <v xml:space="preserve">  EXPORT EXP - FOREIGN BANK CHARGES - CO</v>
          </cell>
          <cell r="D11262">
            <v>0</v>
          </cell>
          <cell r="E11262">
            <v>0</v>
          </cell>
          <cell r="F11262">
            <v>0</v>
          </cell>
          <cell r="G11262">
            <v>0</v>
          </cell>
        </row>
        <row r="11263">
          <cell r="A11263" t="str">
            <v>68-02-04</v>
          </cell>
          <cell r="B11263">
            <v>0</v>
          </cell>
          <cell r="C11263" t="str">
            <v>***EXPORT EXPENSE (OTHER EXPENSES)</v>
          </cell>
          <cell r="D11263">
            <v>16263510.35</v>
          </cell>
          <cell r="E11263">
            <v>0</v>
          </cell>
          <cell r="F11263">
            <v>16263510.35</v>
          </cell>
          <cell r="G11263">
            <v>0</v>
          </cell>
        </row>
        <row r="11264">
          <cell r="A11264" t="str">
            <v>68-02-04-0001</v>
          </cell>
          <cell r="B11264">
            <v>0</v>
          </cell>
          <cell r="C11264" t="str">
            <v xml:space="preserve">  QUOTA ON YARN EXPORT.</v>
          </cell>
          <cell r="D11264">
            <v>2911658.5</v>
          </cell>
          <cell r="E11264">
            <v>0</v>
          </cell>
          <cell r="F11264">
            <v>0</v>
          </cell>
          <cell r="G11264">
            <v>0</v>
          </cell>
        </row>
        <row r="11265">
          <cell r="A11265" t="str">
            <v>68-02-04-0002</v>
          </cell>
          <cell r="B11265">
            <v>0</v>
          </cell>
          <cell r="C11265" t="str">
            <v xml:space="preserve">  APTMA AUTHENTICATION CHARGES.</v>
          </cell>
          <cell r="D11265">
            <v>2750</v>
          </cell>
          <cell r="E11265">
            <v>0</v>
          </cell>
          <cell r="F11265">
            <v>0</v>
          </cell>
          <cell r="G11265">
            <v>0</v>
          </cell>
        </row>
        <row r="11266">
          <cell r="A11266" t="str">
            <v>68-02-04-0003</v>
          </cell>
          <cell r="B11266">
            <v>0</v>
          </cell>
          <cell r="C11266" t="str">
            <v xml:space="preserve">  EXPORT EXPENSE (OTHER EXPENSES)</v>
          </cell>
          <cell r="D11266">
            <v>11512625.720000001</v>
          </cell>
          <cell r="E11266">
            <v>0</v>
          </cell>
          <cell r="F11266">
            <v>0</v>
          </cell>
          <cell r="G11266">
            <v>0</v>
          </cell>
        </row>
        <row r="11267">
          <cell r="A11267" t="str">
            <v>68-02-04-0004</v>
          </cell>
          <cell r="B11267">
            <v>0</v>
          </cell>
          <cell r="C11267" t="str">
            <v xml:space="preserve">  EXPORT EXP (TELEX,COURIER &amp; PARCEL CHR</v>
          </cell>
          <cell r="D11267">
            <v>1836476.13</v>
          </cell>
          <cell r="E11267">
            <v>0</v>
          </cell>
          <cell r="F11267">
            <v>0</v>
          </cell>
          <cell r="G11267">
            <v>0</v>
          </cell>
        </row>
        <row r="11268">
          <cell r="A11268" t="str">
            <v>68-03</v>
          </cell>
          <cell r="B11268">
            <v>0</v>
          </cell>
          <cell r="C11268" t="str">
            <v>**STATUTORY EXPENSES</v>
          </cell>
          <cell r="D11268">
            <v>0</v>
          </cell>
          <cell r="E11268">
            <v>0</v>
          </cell>
          <cell r="F11268">
            <v>0</v>
          </cell>
          <cell r="G11268">
            <v>0</v>
          </cell>
        </row>
        <row r="11269">
          <cell r="A11269" t="str">
            <v>68-03-01</v>
          </cell>
          <cell r="B11269">
            <v>0</v>
          </cell>
          <cell r="C11269" t="str">
            <v>***SALES TAX</v>
          </cell>
          <cell r="D11269">
            <v>0</v>
          </cell>
          <cell r="E11269">
            <v>0</v>
          </cell>
          <cell r="F11269">
            <v>0</v>
          </cell>
          <cell r="G11269">
            <v>0</v>
          </cell>
        </row>
        <row r="11270">
          <cell r="A11270" t="str">
            <v>68-03-01-0001</v>
          </cell>
          <cell r="B11270">
            <v>0</v>
          </cell>
          <cell r="C11270" t="str">
            <v xml:space="preserve">  SALES TAX EXPENSES.</v>
          </cell>
          <cell r="D11270">
            <v>0</v>
          </cell>
          <cell r="E11270">
            <v>0</v>
          </cell>
          <cell r="F11270">
            <v>0</v>
          </cell>
          <cell r="G11270">
            <v>0</v>
          </cell>
        </row>
        <row r="11271">
          <cell r="A11271" t="str">
            <v>68-03-02</v>
          </cell>
          <cell r="B11271">
            <v>0</v>
          </cell>
          <cell r="C11271" t="str">
            <v>***EXCISE TAX</v>
          </cell>
          <cell r="D11271">
            <v>0</v>
          </cell>
          <cell r="E11271">
            <v>0</v>
          </cell>
          <cell r="F11271">
            <v>0</v>
          </cell>
          <cell r="G11271">
            <v>0</v>
          </cell>
        </row>
        <row r="11272">
          <cell r="A11272" t="str">
            <v>68-03-02-0001</v>
          </cell>
          <cell r="B11272">
            <v>0</v>
          </cell>
          <cell r="C11272" t="str">
            <v xml:space="preserve">  EXCISE DUTY PAID</v>
          </cell>
          <cell r="D11272">
            <v>0</v>
          </cell>
          <cell r="E11272">
            <v>0</v>
          </cell>
          <cell r="F11272">
            <v>0</v>
          </cell>
          <cell r="G11272">
            <v>0</v>
          </cell>
        </row>
        <row r="11273">
          <cell r="A11273" t="str">
            <v>71</v>
          </cell>
          <cell r="B11273">
            <v>0</v>
          </cell>
          <cell r="C11273" t="str">
            <v>*RAW MATERIAL CONSUMED</v>
          </cell>
          <cell r="D11273">
            <v>3896805969.8600001</v>
          </cell>
          <cell r="E11273">
            <v>0</v>
          </cell>
          <cell r="F11273">
            <v>3910679939.8600001</v>
          </cell>
          <cell r="G11273">
            <v>13873970</v>
          </cell>
        </row>
        <row r="11274">
          <cell r="A11274" t="str">
            <v>71-01</v>
          </cell>
          <cell r="B11274">
            <v>13873968</v>
          </cell>
          <cell r="C11274" t="str">
            <v>**INVENTORY</v>
          </cell>
          <cell r="D11274">
            <v>0</v>
          </cell>
          <cell r="E11274">
            <v>0</v>
          </cell>
          <cell r="F11274">
            <v>0</v>
          </cell>
          <cell r="G11274">
            <v>0</v>
          </cell>
        </row>
        <row r="11275">
          <cell r="A11275" t="str">
            <v>71-01-01</v>
          </cell>
          <cell r="B11275">
            <v>0</v>
          </cell>
          <cell r="C11275" t="str">
            <v>***CLOSING STOCK OF RAW MATERIALS</v>
          </cell>
          <cell r="D11275">
            <v>0</v>
          </cell>
          <cell r="E11275">
            <v>0</v>
          </cell>
          <cell r="F11275">
            <v>0</v>
          </cell>
          <cell r="G11275">
            <v>0</v>
          </cell>
        </row>
        <row r="11276">
          <cell r="A11276" t="str">
            <v>71-01-01-0001</v>
          </cell>
          <cell r="B11276">
            <v>0</v>
          </cell>
          <cell r="C11276" t="str">
            <v xml:space="preserve">  CLOSING STOCK OF RAW MATERIALS</v>
          </cell>
          <cell r="D11276">
            <v>0</v>
          </cell>
          <cell r="E11276">
            <v>0</v>
          </cell>
          <cell r="F11276">
            <v>0</v>
          </cell>
          <cell r="G11276">
            <v>0</v>
          </cell>
        </row>
        <row r="11277">
          <cell r="A11277" t="str">
            <v>71-01-02</v>
          </cell>
          <cell r="B11277">
            <v>0</v>
          </cell>
          <cell r="C11277" t="str">
            <v>***CLOSING STOCK OF WORK IN PROCESS</v>
          </cell>
          <cell r="D11277">
            <v>0</v>
          </cell>
          <cell r="E11277">
            <v>0</v>
          </cell>
          <cell r="F11277">
            <v>0</v>
          </cell>
          <cell r="G11277">
            <v>0</v>
          </cell>
        </row>
        <row r="11278">
          <cell r="A11278" t="str">
            <v>71-01-02-0001</v>
          </cell>
          <cell r="B11278">
            <v>0</v>
          </cell>
          <cell r="C11278" t="str">
            <v xml:space="preserve">  CLOSING STOCK OF WORK IN PROCESS</v>
          </cell>
          <cell r="D11278">
            <v>0</v>
          </cell>
          <cell r="E11278">
            <v>0</v>
          </cell>
          <cell r="F11278">
            <v>0</v>
          </cell>
          <cell r="G11278">
            <v>0</v>
          </cell>
        </row>
        <row r="11279">
          <cell r="A11279" t="str">
            <v>71-01-03</v>
          </cell>
          <cell r="B11279">
            <v>0</v>
          </cell>
          <cell r="C11279" t="str">
            <v>***CLOSING STOCK OF FINISHED GOODS</v>
          </cell>
          <cell r="D11279">
            <v>0</v>
          </cell>
          <cell r="E11279">
            <v>0</v>
          </cell>
          <cell r="F11279">
            <v>0</v>
          </cell>
          <cell r="G11279">
            <v>0</v>
          </cell>
        </row>
        <row r="11280">
          <cell r="A11280" t="str">
            <v>71-01-03-0001</v>
          </cell>
          <cell r="B11280">
            <v>0</v>
          </cell>
          <cell r="C11280" t="str">
            <v xml:space="preserve">  CLOSING STOCK OF FINISHED GOODS</v>
          </cell>
          <cell r="D11280">
            <v>0</v>
          </cell>
          <cell r="E11280">
            <v>0</v>
          </cell>
          <cell r="F11280">
            <v>0</v>
          </cell>
          <cell r="G11280">
            <v>0</v>
          </cell>
        </row>
        <row r="11281">
          <cell r="A11281" t="str">
            <v>71-01-04</v>
          </cell>
          <cell r="B11281">
            <v>0</v>
          </cell>
          <cell r="C11281" t="str">
            <v>***CLOSING STOCK OF WASTE MATERIALS</v>
          </cell>
          <cell r="D11281">
            <v>0</v>
          </cell>
          <cell r="E11281">
            <v>0</v>
          </cell>
          <cell r="F11281">
            <v>0</v>
          </cell>
          <cell r="G11281">
            <v>0</v>
          </cell>
        </row>
        <row r="11282">
          <cell r="A11282" t="str">
            <v>71-01-04-0001</v>
          </cell>
          <cell r="B11282">
            <v>0</v>
          </cell>
          <cell r="C11282" t="str">
            <v xml:space="preserve">  CLOSING STOCK OF WASTE MATERIALS</v>
          </cell>
          <cell r="D11282">
            <v>0</v>
          </cell>
          <cell r="E11282">
            <v>0</v>
          </cell>
          <cell r="F11282">
            <v>0</v>
          </cell>
          <cell r="G11282">
            <v>0</v>
          </cell>
        </row>
        <row r="11283">
          <cell r="A11283" t="str">
            <v>71-01-05</v>
          </cell>
          <cell r="B11283">
            <v>0</v>
          </cell>
          <cell r="C11283" t="str">
            <v>***RAW MATERIAL IN TRANSIT</v>
          </cell>
          <cell r="D11283">
            <v>0</v>
          </cell>
          <cell r="E11283">
            <v>0</v>
          </cell>
          <cell r="F11283">
            <v>0</v>
          </cell>
          <cell r="G11283">
            <v>0</v>
          </cell>
        </row>
        <row r="11284">
          <cell r="A11284" t="str">
            <v>71-01-05-0001</v>
          </cell>
          <cell r="B11284">
            <v>0</v>
          </cell>
          <cell r="C11284" t="str">
            <v xml:space="preserve">  RAW COTTON IN TRANSIT</v>
          </cell>
          <cell r="D11284">
            <v>0</v>
          </cell>
          <cell r="E11284">
            <v>0</v>
          </cell>
          <cell r="F11284">
            <v>0</v>
          </cell>
          <cell r="G11284">
            <v>0</v>
          </cell>
        </row>
        <row r="11285">
          <cell r="A11285" t="str">
            <v>71-01-05-0002</v>
          </cell>
          <cell r="B11285">
            <v>0</v>
          </cell>
          <cell r="C11285" t="str">
            <v xml:space="preserve">  RAW MATERIAL (A.S.F) IN TRANSIT</v>
          </cell>
          <cell r="D11285">
            <v>0</v>
          </cell>
          <cell r="E11285">
            <v>0</v>
          </cell>
          <cell r="F11285">
            <v>0</v>
          </cell>
          <cell r="G11285">
            <v>0</v>
          </cell>
        </row>
        <row r="11286">
          <cell r="A11286" t="str">
            <v>71-01-05-0003</v>
          </cell>
          <cell r="B11286">
            <v>0</v>
          </cell>
          <cell r="C11286" t="str">
            <v xml:space="preserve">  RAW MATERIAL (P.S.F) IN TRANSIT</v>
          </cell>
          <cell r="D11286">
            <v>0</v>
          </cell>
          <cell r="E11286">
            <v>0</v>
          </cell>
          <cell r="F11286">
            <v>0</v>
          </cell>
          <cell r="G11286">
            <v>0</v>
          </cell>
        </row>
        <row r="11287">
          <cell r="A11287" t="str">
            <v>71-01-05-0004</v>
          </cell>
          <cell r="B11287">
            <v>0</v>
          </cell>
          <cell r="C11287" t="str">
            <v xml:space="preserve">  RAW MATERIAL (FILAMENT) IN TRANSIT</v>
          </cell>
          <cell r="D11287">
            <v>0</v>
          </cell>
          <cell r="E11287">
            <v>0</v>
          </cell>
          <cell r="F11287">
            <v>0</v>
          </cell>
          <cell r="G11287">
            <v>0</v>
          </cell>
        </row>
        <row r="11288">
          <cell r="A11288" t="str">
            <v>71-01-05-0005</v>
          </cell>
          <cell r="B11288">
            <v>0</v>
          </cell>
          <cell r="C11288" t="str">
            <v xml:space="preserve">  RAW MATERIAL (V.S.F) IN TRANSIT</v>
          </cell>
          <cell r="D11288">
            <v>0</v>
          </cell>
          <cell r="E11288">
            <v>0</v>
          </cell>
          <cell r="F11288">
            <v>0</v>
          </cell>
          <cell r="G11288">
            <v>0</v>
          </cell>
        </row>
        <row r="11289">
          <cell r="A11289" t="str">
            <v>71-01-05-0006</v>
          </cell>
          <cell r="B11289">
            <v>0</v>
          </cell>
          <cell r="C11289" t="str">
            <v xml:space="preserve">  CLOSING STOCK OF RAW MATERIAL</v>
          </cell>
          <cell r="D11289">
            <v>0</v>
          </cell>
          <cell r="E11289">
            <v>0</v>
          </cell>
          <cell r="F11289">
            <v>0</v>
          </cell>
          <cell r="G11289">
            <v>0</v>
          </cell>
        </row>
        <row r="11290">
          <cell r="A11290" t="str">
            <v>71-01-06</v>
          </cell>
          <cell r="B11290">
            <v>0</v>
          </cell>
          <cell r="C11290" t="str">
            <v>***RAW MATERIAL CONSUMED</v>
          </cell>
          <cell r="D11290">
            <v>0</v>
          </cell>
          <cell r="E11290">
            <v>0</v>
          </cell>
          <cell r="F11290">
            <v>0</v>
          </cell>
          <cell r="G11290">
            <v>0</v>
          </cell>
        </row>
        <row r="11291">
          <cell r="A11291" t="str">
            <v>71-01-06-0001</v>
          </cell>
          <cell r="B11291">
            <v>0</v>
          </cell>
          <cell r="C11291" t="str">
            <v xml:space="preserve">  RAW MATERIAL CONSUMED</v>
          </cell>
          <cell r="D11291">
            <v>0</v>
          </cell>
          <cell r="E11291">
            <v>0</v>
          </cell>
          <cell r="F11291">
            <v>0</v>
          </cell>
          <cell r="G11291">
            <v>0</v>
          </cell>
        </row>
        <row r="11292">
          <cell r="A11292" t="str">
            <v>71-02</v>
          </cell>
          <cell r="B11292">
            <v>0</v>
          </cell>
          <cell r="C11292" t="str">
            <v>**RAW MATERIAL PURCHASES</v>
          </cell>
          <cell r="D11292">
            <v>3804192011.1599998</v>
          </cell>
          <cell r="E11292">
            <v>0</v>
          </cell>
          <cell r="F11292">
            <v>3804192011.1599998</v>
          </cell>
          <cell r="G11292">
            <v>0</v>
          </cell>
        </row>
        <row r="11293">
          <cell r="A11293" t="str">
            <v>71-02-01</v>
          </cell>
          <cell r="B11293">
            <v>0</v>
          </cell>
          <cell r="C11293" t="str">
            <v>***RAW MATERIAL PURCHASES ( LOCAL )</v>
          </cell>
          <cell r="D11293">
            <v>1014598863.95</v>
          </cell>
          <cell r="E11293">
            <v>0</v>
          </cell>
          <cell r="F11293">
            <v>1014598863.95</v>
          </cell>
          <cell r="G11293">
            <v>0</v>
          </cell>
        </row>
        <row r="11294">
          <cell r="A11294" t="str">
            <v>71-02-01-0001</v>
          </cell>
          <cell r="B11294">
            <v>0</v>
          </cell>
          <cell r="C11294" t="str">
            <v xml:space="preserve">  RAW MATERIAL PURCHASES (A.S.F)</v>
          </cell>
          <cell r="D11294">
            <v>3086732.17</v>
          </cell>
          <cell r="E11294">
            <v>0</v>
          </cell>
          <cell r="F11294">
            <v>0</v>
          </cell>
          <cell r="G11294">
            <v>0</v>
          </cell>
        </row>
        <row r="11295">
          <cell r="A11295" t="str">
            <v>71-02-01-0002</v>
          </cell>
          <cell r="B11295">
            <v>0</v>
          </cell>
          <cell r="C11295" t="str">
            <v xml:space="preserve">  RAW MATERIAL PURCHASES (P.S.F)</v>
          </cell>
          <cell r="D11295">
            <v>668752268.28999996</v>
          </cell>
          <cell r="E11295">
            <v>0</v>
          </cell>
          <cell r="F11295">
            <v>0</v>
          </cell>
          <cell r="G11295">
            <v>0</v>
          </cell>
        </row>
        <row r="11296">
          <cell r="A11296" t="str">
            <v>71-02-01-0003</v>
          </cell>
          <cell r="B11296">
            <v>0</v>
          </cell>
          <cell r="C11296" t="str">
            <v xml:space="preserve">  RAW MATERIAL PURCHASES (V.S.F)</v>
          </cell>
          <cell r="D11296">
            <v>0</v>
          </cell>
          <cell r="E11296">
            <v>0</v>
          </cell>
          <cell r="F11296">
            <v>0</v>
          </cell>
          <cell r="G11296">
            <v>0</v>
          </cell>
        </row>
        <row r="11297">
          <cell r="A11297" t="str">
            <v>71-02-01-0004</v>
          </cell>
          <cell r="B11297">
            <v>0</v>
          </cell>
          <cell r="C11297" t="str">
            <v xml:space="preserve">  RAW MATERIAL PURCHASES (COTTON)</v>
          </cell>
          <cell r="D11297">
            <v>228964442.71000001</v>
          </cell>
          <cell r="E11297">
            <v>0</v>
          </cell>
          <cell r="F11297">
            <v>0</v>
          </cell>
          <cell r="G11297">
            <v>0</v>
          </cell>
        </row>
        <row r="11298">
          <cell r="A11298" t="str">
            <v>71-02-01-0005</v>
          </cell>
          <cell r="B11298">
            <v>0</v>
          </cell>
          <cell r="C11298" t="str">
            <v xml:space="preserve">  RAW MATERIAL PURCHASES (FILAMENT)</v>
          </cell>
          <cell r="D11298">
            <v>109724983.78</v>
          </cell>
          <cell r="E11298">
            <v>0</v>
          </cell>
          <cell r="F11298">
            <v>0</v>
          </cell>
          <cell r="G11298">
            <v>0</v>
          </cell>
        </row>
        <row r="11299">
          <cell r="A11299" t="str">
            <v>71-02-01-0006</v>
          </cell>
          <cell r="B11299">
            <v>0</v>
          </cell>
          <cell r="C11299" t="str">
            <v xml:space="preserve">  RAW MATERIAL PURCHASES (FREIGHT COTTON</v>
          </cell>
          <cell r="D11299">
            <v>2636190</v>
          </cell>
          <cell r="E11299">
            <v>0</v>
          </cell>
          <cell r="F11299">
            <v>0</v>
          </cell>
          <cell r="G11299">
            <v>0</v>
          </cell>
        </row>
        <row r="11300">
          <cell r="A11300" t="str">
            <v>71-02-01-0007</v>
          </cell>
          <cell r="B11300">
            <v>0</v>
          </cell>
          <cell r="C11300" t="str">
            <v xml:space="preserve">  RAW MATERIAL PURCHASES (FREIGHT MANMAD</v>
          </cell>
          <cell r="D11300">
            <v>861380</v>
          </cell>
          <cell r="E11300">
            <v>0</v>
          </cell>
          <cell r="F11300">
            <v>0</v>
          </cell>
          <cell r="G11300">
            <v>0</v>
          </cell>
        </row>
        <row r="11301">
          <cell r="A11301" t="str">
            <v>71-02-01-0008</v>
          </cell>
          <cell r="B11301">
            <v>0</v>
          </cell>
          <cell r="C11301" t="str">
            <v xml:space="preserve">  R/M PURCHASES BROKERAGE-LOCAL COTTON</v>
          </cell>
          <cell r="D11301">
            <v>497579</v>
          </cell>
          <cell r="E11301">
            <v>0</v>
          </cell>
          <cell r="F11301">
            <v>0</v>
          </cell>
          <cell r="G11301">
            <v>0</v>
          </cell>
        </row>
        <row r="11302">
          <cell r="A11302" t="str">
            <v>71-02-01-0009</v>
          </cell>
          <cell r="B11302">
            <v>0</v>
          </cell>
          <cell r="C11302" t="str">
            <v xml:space="preserve">  BROKERAGE-ON LOCAL R/M PURCHASE-A.S.F</v>
          </cell>
          <cell r="D11302">
            <v>0</v>
          </cell>
          <cell r="E11302">
            <v>0</v>
          </cell>
          <cell r="F11302">
            <v>0</v>
          </cell>
          <cell r="G11302">
            <v>0</v>
          </cell>
        </row>
        <row r="11303">
          <cell r="A11303" t="str">
            <v>71-02-01-0010</v>
          </cell>
          <cell r="B11303">
            <v>0</v>
          </cell>
          <cell r="C11303" t="str">
            <v xml:space="preserve">  SELECTION EXPENSE ON LOCAL COTTON</v>
          </cell>
          <cell r="D11303">
            <v>75288</v>
          </cell>
          <cell r="E11303">
            <v>0</v>
          </cell>
          <cell r="F11303">
            <v>0</v>
          </cell>
          <cell r="G11303">
            <v>0</v>
          </cell>
        </row>
        <row r="11304">
          <cell r="A11304" t="str">
            <v>71-02-01-0011</v>
          </cell>
          <cell r="B11304">
            <v>0</v>
          </cell>
          <cell r="C11304" t="str">
            <v xml:space="preserve">  LOADING UNLOADING CHARGES LOCAL COTTON</v>
          </cell>
          <cell r="D11304">
            <v>0</v>
          </cell>
          <cell r="E11304">
            <v>0</v>
          </cell>
          <cell r="F11304">
            <v>0</v>
          </cell>
          <cell r="G11304">
            <v>0</v>
          </cell>
        </row>
        <row r="11305">
          <cell r="A11305" t="str">
            <v>71-02-02</v>
          </cell>
          <cell r="B11305">
            <v>0</v>
          </cell>
          <cell r="C11305" t="str">
            <v>***RAW MATERIAL PURCHASES (IMPORTED)</v>
          </cell>
          <cell r="D11305">
            <v>2707354813.3699999</v>
          </cell>
          <cell r="E11305">
            <v>0</v>
          </cell>
          <cell r="F11305">
            <v>2707354813.3699999</v>
          </cell>
          <cell r="G11305">
            <v>0</v>
          </cell>
        </row>
        <row r="11306">
          <cell r="A11306" t="str">
            <v>71-02-02-0001</v>
          </cell>
          <cell r="B11306">
            <v>0</v>
          </cell>
          <cell r="C11306" t="str">
            <v xml:space="preserve">  RAW MATERIAL PURCHASES-A.S.F (IMPORTED</v>
          </cell>
          <cell r="D11306">
            <v>132043867.72</v>
          </cell>
          <cell r="E11306">
            <v>0</v>
          </cell>
          <cell r="F11306">
            <v>0</v>
          </cell>
          <cell r="G11306">
            <v>0</v>
          </cell>
        </row>
        <row r="11307">
          <cell r="A11307" t="str">
            <v>71-02-02-0002</v>
          </cell>
          <cell r="B11307">
            <v>0</v>
          </cell>
          <cell r="C11307" t="str">
            <v xml:space="preserve">  RAW MATERIAL PURCHASES-P.S.F (IMPORTED</v>
          </cell>
          <cell r="D11307">
            <v>82674526.019999996</v>
          </cell>
          <cell r="E11307">
            <v>0</v>
          </cell>
          <cell r="F11307">
            <v>0</v>
          </cell>
          <cell r="G11307">
            <v>0</v>
          </cell>
        </row>
        <row r="11308">
          <cell r="A11308" t="str">
            <v>71-02-02-0003</v>
          </cell>
          <cell r="B11308">
            <v>0</v>
          </cell>
          <cell r="C11308" t="str">
            <v xml:space="preserve">  RAW MATERIAL PURCHASES-V.S.F (IMPORTED</v>
          </cell>
          <cell r="D11308">
            <v>87603671.379999995</v>
          </cell>
          <cell r="E11308">
            <v>0</v>
          </cell>
          <cell r="F11308">
            <v>0</v>
          </cell>
          <cell r="G11308">
            <v>0</v>
          </cell>
        </row>
        <row r="11309">
          <cell r="A11309" t="str">
            <v>71-02-02-0004</v>
          </cell>
          <cell r="B11309">
            <v>0</v>
          </cell>
          <cell r="C11309" t="str">
            <v xml:space="preserve">  RAW MATERIAL PURCHASES COTTON (IMPORT)</v>
          </cell>
          <cell r="D11309">
            <v>2402511978.7399998</v>
          </cell>
          <cell r="E11309">
            <v>0</v>
          </cell>
          <cell r="F11309">
            <v>0</v>
          </cell>
          <cell r="G11309">
            <v>0</v>
          </cell>
        </row>
        <row r="11310">
          <cell r="A11310" t="str">
            <v>71-02-02-0005</v>
          </cell>
          <cell r="B11310">
            <v>0</v>
          </cell>
          <cell r="C11310" t="str">
            <v xml:space="preserve">  RAW MATERIAL PURCHASES-FILAMENT(IMPORT</v>
          </cell>
          <cell r="D11310">
            <v>2520769.5099999998</v>
          </cell>
          <cell r="E11310">
            <v>0</v>
          </cell>
          <cell r="F11310">
            <v>0</v>
          </cell>
          <cell r="G11310">
            <v>0</v>
          </cell>
        </row>
        <row r="11311">
          <cell r="A11311" t="str">
            <v>71-02-02-0006</v>
          </cell>
          <cell r="B11311">
            <v>0</v>
          </cell>
          <cell r="C11311" t="str">
            <v xml:space="preserve">  RAW MATERIAL PURCHASES (FREIGHT COTTON</v>
          </cell>
          <cell r="D11311">
            <v>0</v>
          </cell>
          <cell r="E11311">
            <v>0</v>
          </cell>
          <cell r="F11311">
            <v>0</v>
          </cell>
          <cell r="G11311">
            <v>0</v>
          </cell>
        </row>
        <row r="11312">
          <cell r="A11312" t="str">
            <v>71-02-02-0007</v>
          </cell>
          <cell r="B11312">
            <v>0</v>
          </cell>
          <cell r="C11312" t="str">
            <v xml:space="preserve">  RAW MATERIAL PURCHASES BROKERAGE-IMPOR</v>
          </cell>
          <cell r="D11312">
            <v>0</v>
          </cell>
          <cell r="E11312">
            <v>0</v>
          </cell>
          <cell r="F11312">
            <v>0</v>
          </cell>
          <cell r="G11312">
            <v>0</v>
          </cell>
        </row>
        <row r="11313">
          <cell r="A11313" t="str">
            <v>71-02-03</v>
          </cell>
          <cell r="B11313">
            <v>0</v>
          </cell>
          <cell r="C11313" t="str">
            <v>***RAW MATERIAL PURCHASES (BONDS)</v>
          </cell>
          <cell r="D11313">
            <v>0</v>
          </cell>
          <cell r="E11313">
            <v>0</v>
          </cell>
          <cell r="F11313">
            <v>0</v>
          </cell>
          <cell r="G11313">
            <v>0</v>
          </cell>
        </row>
        <row r="11314">
          <cell r="A11314" t="str">
            <v>71-02-03-0001</v>
          </cell>
          <cell r="B11314">
            <v>0</v>
          </cell>
          <cell r="C11314" t="str">
            <v xml:space="preserve">  RAW MATERIAL PURCHASES (A.S.F)</v>
          </cell>
          <cell r="D11314">
            <v>0</v>
          </cell>
          <cell r="E11314">
            <v>0</v>
          </cell>
          <cell r="F11314">
            <v>0</v>
          </cell>
          <cell r="G11314">
            <v>0</v>
          </cell>
        </row>
        <row r="11315">
          <cell r="A11315" t="str">
            <v>71-02-03-0002</v>
          </cell>
          <cell r="B11315">
            <v>0</v>
          </cell>
          <cell r="C11315" t="str">
            <v xml:space="preserve">  RAW MATERIAL PURCHASES (P.S.F)</v>
          </cell>
          <cell r="D11315">
            <v>0</v>
          </cell>
          <cell r="E11315">
            <v>0</v>
          </cell>
          <cell r="F11315">
            <v>0</v>
          </cell>
          <cell r="G11315">
            <v>0</v>
          </cell>
        </row>
        <row r="11316">
          <cell r="A11316" t="str">
            <v>71-02-03-0003</v>
          </cell>
          <cell r="B11316">
            <v>0</v>
          </cell>
          <cell r="C11316" t="str">
            <v xml:space="preserve">  RAW MATERIAL PURCHASES (V.S.F)</v>
          </cell>
          <cell r="D11316">
            <v>0</v>
          </cell>
          <cell r="E11316">
            <v>0</v>
          </cell>
          <cell r="F11316">
            <v>0</v>
          </cell>
          <cell r="G11316">
            <v>0</v>
          </cell>
        </row>
        <row r="11317">
          <cell r="A11317" t="str">
            <v>71-02-03-0004</v>
          </cell>
          <cell r="B11317">
            <v>0</v>
          </cell>
          <cell r="C11317" t="str">
            <v xml:space="preserve">  RAW MATERIAL PURCHASES (COTTON)</v>
          </cell>
          <cell r="D11317">
            <v>0</v>
          </cell>
          <cell r="E11317">
            <v>0</v>
          </cell>
          <cell r="F11317">
            <v>0</v>
          </cell>
          <cell r="G11317">
            <v>0</v>
          </cell>
        </row>
        <row r="11318">
          <cell r="A11318" t="str">
            <v>71-02-03-0005</v>
          </cell>
          <cell r="B11318">
            <v>0</v>
          </cell>
          <cell r="C11318" t="str">
            <v xml:space="preserve">  RAW MATERIAL PURCHASES (FILAMENT)</v>
          </cell>
          <cell r="D11318">
            <v>0</v>
          </cell>
          <cell r="E11318">
            <v>0</v>
          </cell>
          <cell r="F11318">
            <v>0</v>
          </cell>
          <cell r="G11318">
            <v>0</v>
          </cell>
        </row>
        <row r="11319">
          <cell r="A11319" t="str">
            <v>71-02-03-0006</v>
          </cell>
          <cell r="B11319">
            <v>0</v>
          </cell>
          <cell r="C11319" t="str">
            <v xml:space="preserve">  RAW MATERIAL PURCHASES (FREIGHT)</v>
          </cell>
          <cell r="D11319">
            <v>0</v>
          </cell>
          <cell r="E11319">
            <v>0</v>
          </cell>
          <cell r="F11319">
            <v>0</v>
          </cell>
          <cell r="G11319">
            <v>0</v>
          </cell>
        </row>
        <row r="11320">
          <cell r="A11320" t="str">
            <v>71-02-03-0007</v>
          </cell>
          <cell r="B11320">
            <v>0</v>
          </cell>
          <cell r="C11320" t="str">
            <v xml:space="preserve">  RAW MATERIAL PURCHASES (BROKERAGE)</v>
          </cell>
          <cell r="D11320">
            <v>0</v>
          </cell>
          <cell r="E11320">
            <v>0</v>
          </cell>
          <cell r="F11320">
            <v>0</v>
          </cell>
          <cell r="G11320">
            <v>0</v>
          </cell>
        </row>
        <row r="11321">
          <cell r="A11321" t="str">
            <v>71-02-04</v>
          </cell>
          <cell r="B11321">
            <v>0</v>
          </cell>
          <cell r="C11321" t="str">
            <v>***RAW MATERIAL PURCHASES (TRANSIT)</v>
          </cell>
          <cell r="D11321">
            <v>82238333.840000004</v>
          </cell>
          <cell r="E11321">
            <v>0</v>
          </cell>
          <cell r="F11321">
            <v>82238333.840000004</v>
          </cell>
          <cell r="G11321">
            <v>0</v>
          </cell>
        </row>
        <row r="11322">
          <cell r="A11322" t="str">
            <v>71-02-04-0001</v>
          </cell>
          <cell r="B11322">
            <v>0</v>
          </cell>
          <cell r="C11322" t="str">
            <v xml:space="preserve">  RAW MATERIAL PURCHASES (A.S.F) TRANSIT</v>
          </cell>
          <cell r="D11322">
            <v>30157348.530000001</v>
          </cell>
          <cell r="E11322">
            <v>0</v>
          </cell>
          <cell r="F11322">
            <v>0</v>
          </cell>
          <cell r="G11322">
            <v>0</v>
          </cell>
        </row>
        <row r="11323">
          <cell r="A11323" t="str">
            <v>71-02-04-0002</v>
          </cell>
          <cell r="B11323">
            <v>0</v>
          </cell>
          <cell r="C11323" t="str">
            <v xml:space="preserve">  RAW MATERIAL PURCHASES (P.S.F) TRANSIT</v>
          </cell>
          <cell r="D11323">
            <v>7709118.2800000003</v>
          </cell>
          <cell r="E11323">
            <v>0</v>
          </cell>
          <cell r="F11323">
            <v>0</v>
          </cell>
          <cell r="G11323">
            <v>0</v>
          </cell>
        </row>
        <row r="11324">
          <cell r="A11324" t="str">
            <v>71-02-04-0003</v>
          </cell>
          <cell r="B11324">
            <v>0</v>
          </cell>
          <cell r="C11324" t="str">
            <v xml:space="preserve">  RAW MATERIAL PURCHASES (V.S.F) TRANSIT</v>
          </cell>
          <cell r="D11324">
            <v>4565993.03</v>
          </cell>
          <cell r="E11324">
            <v>0</v>
          </cell>
          <cell r="F11324">
            <v>0</v>
          </cell>
          <cell r="G11324">
            <v>0</v>
          </cell>
        </row>
        <row r="11325">
          <cell r="A11325" t="str">
            <v>71-02-04-0004</v>
          </cell>
          <cell r="B11325">
            <v>0</v>
          </cell>
          <cell r="C11325" t="str">
            <v xml:space="preserve">  RAW MATERIAL PURCHASES (COTTON) TRANSI</v>
          </cell>
          <cell r="D11325">
            <v>39805874</v>
          </cell>
          <cell r="E11325">
            <v>0</v>
          </cell>
          <cell r="F11325">
            <v>0</v>
          </cell>
          <cell r="G11325">
            <v>0</v>
          </cell>
        </row>
        <row r="11326">
          <cell r="A11326" t="str">
            <v>71-02-04-0005</v>
          </cell>
          <cell r="B11326">
            <v>0</v>
          </cell>
          <cell r="C11326" t="str">
            <v xml:space="preserve">  RAW MATERIAL PURCHASES (FILAMENT) TRAN</v>
          </cell>
          <cell r="D11326">
            <v>0</v>
          </cell>
          <cell r="E11326">
            <v>0</v>
          </cell>
          <cell r="F11326">
            <v>0</v>
          </cell>
          <cell r="G11326">
            <v>0</v>
          </cell>
        </row>
        <row r="11327">
          <cell r="A11327" t="str">
            <v>71-02-04-0006</v>
          </cell>
          <cell r="B11327">
            <v>0</v>
          </cell>
          <cell r="C11327" t="str">
            <v xml:space="preserve">  RAW MATERIAL PURCHASES (FREIGHT)</v>
          </cell>
          <cell r="D11327">
            <v>0</v>
          </cell>
          <cell r="E11327">
            <v>0</v>
          </cell>
          <cell r="F11327">
            <v>0</v>
          </cell>
          <cell r="G11327">
            <v>0</v>
          </cell>
        </row>
        <row r="11328">
          <cell r="A11328" t="str">
            <v>71-02-04-0007</v>
          </cell>
          <cell r="B11328">
            <v>0</v>
          </cell>
          <cell r="C11328" t="str">
            <v xml:space="preserve">  RAW MATERIAL PURCHASES (BROKERAGE)</v>
          </cell>
          <cell r="D11328">
            <v>0</v>
          </cell>
          <cell r="E11328">
            <v>0</v>
          </cell>
          <cell r="F11328">
            <v>0</v>
          </cell>
          <cell r="G11328">
            <v>0</v>
          </cell>
        </row>
        <row r="11329">
          <cell r="A11329" t="str">
            <v>71-03</v>
          </cell>
          <cell r="B11329">
            <v>0</v>
          </cell>
          <cell r="C11329" t="str">
            <v>**PURCHASE OF YARN</v>
          </cell>
          <cell r="D11329">
            <v>28569000</v>
          </cell>
          <cell r="E11329">
            <v>0</v>
          </cell>
          <cell r="F11329">
            <v>28569000</v>
          </cell>
          <cell r="G11329">
            <v>0</v>
          </cell>
        </row>
        <row r="11330">
          <cell r="A11330" t="str">
            <v>71-03-01</v>
          </cell>
          <cell r="B11330">
            <v>0</v>
          </cell>
          <cell r="C11330" t="str">
            <v>***PURCHASES OF YARN  LOCAL</v>
          </cell>
          <cell r="D11330">
            <v>28569000</v>
          </cell>
          <cell r="E11330">
            <v>0</v>
          </cell>
          <cell r="F11330">
            <v>28569000</v>
          </cell>
          <cell r="G11330">
            <v>0</v>
          </cell>
        </row>
        <row r="11331">
          <cell r="A11331" t="str">
            <v>71-03-01-0001</v>
          </cell>
          <cell r="B11331">
            <v>0</v>
          </cell>
          <cell r="C11331" t="str">
            <v xml:space="preserve">  PURCHASE OF 30/S COMBED HOSIERY WAXED</v>
          </cell>
          <cell r="D11331">
            <v>10234000</v>
          </cell>
          <cell r="E11331">
            <v>0</v>
          </cell>
          <cell r="F11331">
            <v>0</v>
          </cell>
          <cell r="G11331">
            <v>0</v>
          </cell>
        </row>
        <row r="11332">
          <cell r="A11332" t="str">
            <v>71-03-01-0002</v>
          </cell>
          <cell r="B11332">
            <v>0</v>
          </cell>
          <cell r="C11332" t="str">
            <v xml:space="preserve">  PURCHASE OF 30/S PC</v>
          </cell>
          <cell r="D11332">
            <v>0</v>
          </cell>
          <cell r="E11332">
            <v>0</v>
          </cell>
          <cell r="F11332">
            <v>0</v>
          </cell>
          <cell r="G11332">
            <v>0</v>
          </cell>
        </row>
        <row r="11333">
          <cell r="A11333" t="str">
            <v>71-03-01-0003</v>
          </cell>
          <cell r="B11333">
            <v>0</v>
          </cell>
          <cell r="C11333" t="str">
            <v xml:space="preserve">  PURCHASE OF 20/S CARDED HOSIERY WAXED</v>
          </cell>
          <cell r="D11333">
            <v>0</v>
          </cell>
          <cell r="E11333">
            <v>0</v>
          </cell>
          <cell r="F11333">
            <v>0</v>
          </cell>
          <cell r="G11333">
            <v>0</v>
          </cell>
        </row>
        <row r="11334">
          <cell r="A11334" t="str">
            <v>71-03-01-0004</v>
          </cell>
          <cell r="B11334">
            <v>0</v>
          </cell>
          <cell r="C11334" t="str">
            <v xml:space="preserve">  PURCHASE OF 20/S COMBED HOSIERY WAXED</v>
          </cell>
          <cell r="D11334">
            <v>7106000</v>
          </cell>
          <cell r="E11334">
            <v>0</v>
          </cell>
          <cell r="F11334">
            <v>0</v>
          </cell>
          <cell r="G11334">
            <v>0</v>
          </cell>
        </row>
        <row r="11335">
          <cell r="A11335" t="str">
            <v>71-03-01-0005</v>
          </cell>
          <cell r="B11335">
            <v>0</v>
          </cell>
          <cell r="C11335" t="str">
            <v xml:space="preserve">  PURCHASE OF 26/S COMBED HOSIERY WAXED.</v>
          </cell>
          <cell r="D11335">
            <v>0</v>
          </cell>
          <cell r="E11335">
            <v>0</v>
          </cell>
          <cell r="F11335">
            <v>0</v>
          </cell>
          <cell r="G11335">
            <v>0</v>
          </cell>
        </row>
        <row r="11336">
          <cell r="A11336" t="str">
            <v>71-03-01-0006</v>
          </cell>
          <cell r="B11336">
            <v>0</v>
          </cell>
          <cell r="C11336" t="str">
            <v xml:space="preserve">  PURCHASE OF 24/S CARDED</v>
          </cell>
          <cell r="D11336">
            <v>0</v>
          </cell>
          <cell r="E11336">
            <v>0</v>
          </cell>
          <cell r="F11336">
            <v>0</v>
          </cell>
          <cell r="G11336">
            <v>0</v>
          </cell>
        </row>
        <row r="11337">
          <cell r="A11337" t="str">
            <v>71-03-01-0007</v>
          </cell>
          <cell r="B11337">
            <v>0</v>
          </cell>
          <cell r="C11337" t="str">
            <v xml:space="preserve">  PURCHASE OF 32/S CARDED HOSIERY WAXED</v>
          </cell>
          <cell r="D11337">
            <v>0</v>
          </cell>
          <cell r="E11337">
            <v>0</v>
          </cell>
          <cell r="F11337">
            <v>0</v>
          </cell>
          <cell r="G11337">
            <v>0</v>
          </cell>
        </row>
        <row r="11338">
          <cell r="A11338" t="str">
            <v>71-03-01-0008</v>
          </cell>
          <cell r="B11338">
            <v>0</v>
          </cell>
          <cell r="C11338" t="str">
            <v xml:space="preserve">  PURCHASE OF 30/S CARDED HOSIERY WAXED</v>
          </cell>
          <cell r="D11338">
            <v>0</v>
          </cell>
          <cell r="E11338">
            <v>0</v>
          </cell>
          <cell r="F11338">
            <v>0</v>
          </cell>
          <cell r="G11338">
            <v>0</v>
          </cell>
        </row>
        <row r="11339">
          <cell r="A11339" t="str">
            <v>71-03-01-0009</v>
          </cell>
          <cell r="B11339">
            <v>0</v>
          </cell>
          <cell r="C11339" t="str">
            <v xml:space="preserve">  PURCHASE OF 16/S COMBED HOSIERY WAXED</v>
          </cell>
          <cell r="D11339">
            <v>6042000</v>
          </cell>
          <cell r="E11339">
            <v>0</v>
          </cell>
          <cell r="F11339">
            <v>0</v>
          </cell>
          <cell r="G11339">
            <v>0</v>
          </cell>
        </row>
        <row r="11340">
          <cell r="A11340" t="str">
            <v>71-03-01-0010</v>
          </cell>
          <cell r="B11340">
            <v>0</v>
          </cell>
          <cell r="C11340" t="str">
            <v xml:space="preserve">  PURCHASE OF 20/2 CARDED HOSIERY WAXED</v>
          </cell>
          <cell r="D11340">
            <v>4104000</v>
          </cell>
          <cell r="E11340">
            <v>0</v>
          </cell>
          <cell r="F11340">
            <v>0</v>
          </cell>
          <cell r="G11340">
            <v>0</v>
          </cell>
        </row>
        <row r="11341">
          <cell r="A11341" t="str">
            <v>71-03-01-0011</v>
          </cell>
          <cell r="B11341">
            <v>0</v>
          </cell>
          <cell r="C11341" t="str">
            <v xml:space="preserve">  PURCHASE OF 30/2 COMBED HOSIERY</v>
          </cell>
          <cell r="D11341">
            <v>0</v>
          </cell>
          <cell r="E11341">
            <v>0</v>
          </cell>
          <cell r="F11341">
            <v>0</v>
          </cell>
          <cell r="G11341">
            <v>0</v>
          </cell>
        </row>
        <row r="11342">
          <cell r="A11342" t="str">
            <v>71-03-01-0012</v>
          </cell>
          <cell r="B11342">
            <v>0</v>
          </cell>
          <cell r="C11342" t="str">
            <v xml:space="preserve">  PURCHASE OF 20/S COMBED WEAVING</v>
          </cell>
          <cell r="D11342">
            <v>0</v>
          </cell>
          <cell r="E11342">
            <v>0</v>
          </cell>
          <cell r="F11342">
            <v>0</v>
          </cell>
          <cell r="G11342">
            <v>0</v>
          </cell>
        </row>
        <row r="11343">
          <cell r="A11343" t="str">
            <v>71-03-01-0013</v>
          </cell>
          <cell r="B11343">
            <v>0</v>
          </cell>
          <cell r="C11343" t="str">
            <v xml:space="preserve">  PURCHASE OF 30/2 CARDED WEAVING</v>
          </cell>
          <cell r="D11343">
            <v>0</v>
          </cell>
          <cell r="E11343">
            <v>0</v>
          </cell>
          <cell r="F11343">
            <v>0</v>
          </cell>
          <cell r="G11343">
            <v>0</v>
          </cell>
        </row>
        <row r="11344">
          <cell r="A11344" t="str">
            <v>71-03-01-0014</v>
          </cell>
          <cell r="B11344">
            <v>0</v>
          </cell>
          <cell r="C11344" t="str">
            <v xml:space="preserve">  PURCHASE OF 30/2 CARDED HOSIERY</v>
          </cell>
          <cell r="D11344">
            <v>0</v>
          </cell>
          <cell r="E11344">
            <v>0</v>
          </cell>
          <cell r="F11344">
            <v>0</v>
          </cell>
          <cell r="G11344">
            <v>0</v>
          </cell>
        </row>
        <row r="11345">
          <cell r="A11345" t="str">
            <v>71-03-01-0015</v>
          </cell>
          <cell r="B11345">
            <v>0</v>
          </cell>
          <cell r="C11345" t="str">
            <v xml:space="preserve">  PURCHASE OF 20/S CARDED WEAVING</v>
          </cell>
          <cell r="D11345">
            <v>0</v>
          </cell>
          <cell r="E11345">
            <v>0</v>
          </cell>
          <cell r="F11345">
            <v>0</v>
          </cell>
          <cell r="G11345">
            <v>0</v>
          </cell>
        </row>
        <row r="11346">
          <cell r="A11346" t="str">
            <v>71-03-01-0016</v>
          </cell>
          <cell r="B11346">
            <v>0</v>
          </cell>
          <cell r="C11346" t="str">
            <v xml:space="preserve">  PURCHASE OF 20/2 COMBED HOSIERY</v>
          </cell>
          <cell r="D11346">
            <v>0</v>
          </cell>
          <cell r="E11346">
            <v>0</v>
          </cell>
          <cell r="F11346">
            <v>0</v>
          </cell>
          <cell r="G11346">
            <v>0</v>
          </cell>
        </row>
        <row r="11347">
          <cell r="A11347" t="str">
            <v>71-03-01-0017</v>
          </cell>
          <cell r="B11347">
            <v>0</v>
          </cell>
          <cell r="C11347" t="str">
            <v xml:space="preserve">  PURCHASE OF 30/S CARDED</v>
          </cell>
          <cell r="D11347">
            <v>0</v>
          </cell>
          <cell r="E11347">
            <v>0</v>
          </cell>
          <cell r="F11347">
            <v>0</v>
          </cell>
          <cell r="G11347">
            <v>0</v>
          </cell>
        </row>
        <row r="11348">
          <cell r="A11348" t="str">
            <v>71-03-01-0018</v>
          </cell>
          <cell r="B11348">
            <v>0</v>
          </cell>
          <cell r="C11348" t="str">
            <v xml:space="preserve">  PURCHASE OF 30/S CARDED WEAVING</v>
          </cell>
          <cell r="D11348">
            <v>0</v>
          </cell>
          <cell r="E11348">
            <v>0</v>
          </cell>
          <cell r="F11348">
            <v>0</v>
          </cell>
          <cell r="G11348">
            <v>0</v>
          </cell>
        </row>
        <row r="11349">
          <cell r="A11349" t="str">
            <v>71-03-01-0019</v>
          </cell>
          <cell r="B11349">
            <v>0</v>
          </cell>
          <cell r="C11349" t="str">
            <v xml:space="preserve">  PURCHASE OF 16/S CARDED WEAVING</v>
          </cell>
          <cell r="D11349">
            <v>0</v>
          </cell>
          <cell r="E11349">
            <v>0</v>
          </cell>
          <cell r="F11349">
            <v>0</v>
          </cell>
          <cell r="G11349">
            <v>0</v>
          </cell>
        </row>
        <row r="11350">
          <cell r="A11350" t="str">
            <v>71-03-01-0020</v>
          </cell>
          <cell r="B11350">
            <v>0</v>
          </cell>
          <cell r="C11350" t="str">
            <v xml:space="preserve">  PURCHASE OF 12/S CARDED WEAVING</v>
          </cell>
          <cell r="D11350">
            <v>0</v>
          </cell>
          <cell r="E11350">
            <v>0</v>
          </cell>
          <cell r="F11350">
            <v>0</v>
          </cell>
          <cell r="G11350">
            <v>0</v>
          </cell>
        </row>
        <row r="11351">
          <cell r="A11351" t="str">
            <v>71-03-01-0021</v>
          </cell>
          <cell r="B11351">
            <v>0</v>
          </cell>
          <cell r="C11351" t="str">
            <v xml:space="preserve">  PURCHASE OF 24/S COMBED WEAVING</v>
          </cell>
          <cell r="D11351">
            <v>0</v>
          </cell>
          <cell r="E11351">
            <v>0</v>
          </cell>
          <cell r="F11351">
            <v>0</v>
          </cell>
          <cell r="G11351">
            <v>0</v>
          </cell>
        </row>
        <row r="11352">
          <cell r="A11352" t="str">
            <v>71-03-01-0022</v>
          </cell>
          <cell r="B11352">
            <v>0</v>
          </cell>
          <cell r="C11352" t="str">
            <v xml:space="preserve">  PURCHASE OF 20/2 CARDED WEAVING</v>
          </cell>
          <cell r="D11352">
            <v>0</v>
          </cell>
          <cell r="E11352">
            <v>0</v>
          </cell>
          <cell r="F11352">
            <v>0</v>
          </cell>
          <cell r="G11352">
            <v>0</v>
          </cell>
        </row>
        <row r="11353">
          <cell r="A11353" t="str">
            <v>71-03-01-0023</v>
          </cell>
          <cell r="B11353">
            <v>0</v>
          </cell>
          <cell r="C11353" t="str">
            <v xml:space="preserve">  PURCHASE OF 20/S CARDED UNWAX</v>
          </cell>
          <cell r="D11353">
            <v>0</v>
          </cell>
          <cell r="E11353">
            <v>0</v>
          </cell>
          <cell r="F11353">
            <v>0</v>
          </cell>
          <cell r="G11353">
            <v>0</v>
          </cell>
        </row>
        <row r="11354">
          <cell r="A11354" t="str">
            <v>71-03-01-0024</v>
          </cell>
          <cell r="B11354">
            <v>0</v>
          </cell>
          <cell r="C11354" t="str">
            <v xml:space="preserve">  PURCHASE OF 30/S COMBED WEAVING</v>
          </cell>
          <cell r="D11354">
            <v>0</v>
          </cell>
          <cell r="E11354">
            <v>0</v>
          </cell>
          <cell r="F11354">
            <v>0</v>
          </cell>
          <cell r="G11354">
            <v>0</v>
          </cell>
        </row>
        <row r="11355">
          <cell r="A11355" t="str">
            <v>71-03-01-0025</v>
          </cell>
          <cell r="B11355">
            <v>0</v>
          </cell>
          <cell r="C11355" t="str">
            <v xml:space="preserve">  PURCHASE OF 20/2 CARDED HOSIERY UN WAX</v>
          </cell>
          <cell r="D11355">
            <v>0</v>
          </cell>
          <cell r="E11355">
            <v>0</v>
          </cell>
          <cell r="F11355">
            <v>0</v>
          </cell>
          <cell r="G11355">
            <v>0</v>
          </cell>
        </row>
        <row r="11356">
          <cell r="A11356" t="str">
            <v>71-03-01-0026</v>
          </cell>
          <cell r="B11356">
            <v>0</v>
          </cell>
          <cell r="C11356" t="str">
            <v xml:space="preserve">  PURCHASE OF 24/S CARDED H/WAX</v>
          </cell>
          <cell r="D11356">
            <v>0</v>
          </cell>
          <cell r="E11356">
            <v>0</v>
          </cell>
          <cell r="F11356">
            <v>0</v>
          </cell>
          <cell r="G11356">
            <v>0</v>
          </cell>
        </row>
        <row r="11357">
          <cell r="A11357" t="str">
            <v>71-03-01-0027</v>
          </cell>
          <cell r="B11357">
            <v>0</v>
          </cell>
          <cell r="C11357" t="str">
            <v xml:space="preserve">  PURCHASE OF 16/S CARDED H/WAX</v>
          </cell>
          <cell r="D11357">
            <v>1083000</v>
          </cell>
          <cell r="E11357">
            <v>0</v>
          </cell>
          <cell r="F11357">
            <v>0</v>
          </cell>
          <cell r="G11357">
            <v>0</v>
          </cell>
        </row>
        <row r="11358">
          <cell r="A11358" t="str">
            <v>71-03-01-0028</v>
          </cell>
          <cell r="B11358">
            <v>0</v>
          </cell>
          <cell r="C11358" t="str">
            <v xml:space="preserve">  PURCHASE OF 32/S COMBED H/WAX</v>
          </cell>
          <cell r="D11358">
            <v>0</v>
          </cell>
          <cell r="E11358">
            <v>0</v>
          </cell>
          <cell r="F11358">
            <v>0</v>
          </cell>
          <cell r="G11358">
            <v>0</v>
          </cell>
        </row>
        <row r="11359">
          <cell r="A11359" t="str">
            <v>71-03-01-0029</v>
          </cell>
          <cell r="B11359">
            <v>0</v>
          </cell>
          <cell r="C11359" t="str">
            <v xml:space="preserve">  PURCHASES OF 24/S COMBED HOISERY WAX</v>
          </cell>
          <cell r="D11359">
            <v>0</v>
          </cell>
          <cell r="E11359">
            <v>0</v>
          </cell>
          <cell r="F11359">
            <v>0</v>
          </cell>
          <cell r="G11359">
            <v>0</v>
          </cell>
        </row>
        <row r="11360">
          <cell r="A11360" t="str">
            <v>71-03-01-0030</v>
          </cell>
          <cell r="B11360">
            <v>0</v>
          </cell>
          <cell r="C11360" t="str">
            <v xml:space="preserve">  PURCHASE OF 24/2 COMBED H/WAXED</v>
          </cell>
          <cell r="D11360">
            <v>0</v>
          </cell>
          <cell r="E11360">
            <v>0</v>
          </cell>
          <cell r="F11360">
            <v>0</v>
          </cell>
          <cell r="G11360">
            <v>0</v>
          </cell>
        </row>
        <row r="11361">
          <cell r="A11361" t="str">
            <v>71-03-01-0031</v>
          </cell>
          <cell r="B11361">
            <v>0</v>
          </cell>
          <cell r="C11361" t="str">
            <v xml:space="preserve">  PURCHASE OF 30/2 COMBED HOSIERY UNWAXE</v>
          </cell>
          <cell r="D11361">
            <v>0</v>
          </cell>
          <cell r="E11361">
            <v>0</v>
          </cell>
          <cell r="F11361">
            <v>0</v>
          </cell>
          <cell r="G11361">
            <v>0</v>
          </cell>
        </row>
        <row r="11362">
          <cell r="A11362" t="str">
            <v>71-03-01-0032</v>
          </cell>
          <cell r="B11362">
            <v>0</v>
          </cell>
          <cell r="C11362" t="str">
            <v xml:space="preserve">  PURCHASE OF 20.5/2 CARDED H/UNWAXED</v>
          </cell>
          <cell r="D11362">
            <v>0</v>
          </cell>
          <cell r="E11362">
            <v>0</v>
          </cell>
          <cell r="F11362">
            <v>0</v>
          </cell>
          <cell r="G11362">
            <v>0</v>
          </cell>
        </row>
        <row r="11363">
          <cell r="A11363" t="str">
            <v>71-03-01-0033</v>
          </cell>
          <cell r="B11363">
            <v>0</v>
          </cell>
          <cell r="C11363" t="str">
            <v xml:space="preserve">  PURCHASE OF 18/S CARDED H/W</v>
          </cell>
          <cell r="D11363">
            <v>0</v>
          </cell>
          <cell r="E11363">
            <v>0</v>
          </cell>
          <cell r="F11363">
            <v>0</v>
          </cell>
          <cell r="G11363">
            <v>0</v>
          </cell>
        </row>
        <row r="11364">
          <cell r="A11364" t="str">
            <v>71-04</v>
          </cell>
          <cell r="B11364">
            <v>0</v>
          </cell>
          <cell r="C11364" t="str">
            <v>**PURCHASES OF CLOTH</v>
          </cell>
          <cell r="D11364">
            <v>72786668.700000003</v>
          </cell>
          <cell r="E11364">
            <v>0</v>
          </cell>
          <cell r="F11364">
            <v>72786668.700000003</v>
          </cell>
          <cell r="G11364">
            <v>0</v>
          </cell>
        </row>
        <row r="11365">
          <cell r="A11365" t="str">
            <v>71-04-01</v>
          </cell>
          <cell r="B11365">
            <v>0</v>
          </cell>
          <cell r="C11365" t="str">
            <v>***PURCHASES OF CLOTH  LOCAL</v>
          </cell>
          <cell r="D11365">
            <v>72786668.700000003</v>
          </cell>
          <cell r="E11365">
            <v>0</v>
          </cell>
          <cell r="F11365">
            <v>72786668.700000003</v>
          </cell>
          <cell r="G11365">
            <v>0</v>
          </cell>
        </row>
        <row r="11366">
          <cell r="A11366" t="str">
            <v>71-04-01-0001</v>
          </cell>
          <cell r="B11366">
            <v>0</v>
          </cell>
          <cell r="C11366" t="str">
            <v xml:space="preserve">  PURCHASE OF POLYSTR COTTON BLENDED CLO</v>
          </cell>
          <cell r="D11366">
            <v>72786668.700000003</v>
          </cell>
          <cell r="E11366">
            <v>0</v>
          </cell>
          <cell r="F11366">
            <v>0</v>
          </cell>
          <cell r="G11366">
            <v>0</v>
          </cell>
        </row>
        <row r="11367">
          <cell r="A11367" t="str">
            <v>71-05</v>
          </cell>
          <cell r="B11367">
            <v>0</v>
          </cell>
          <cell r="C11367" t="str">
            <v>**PURCHASE WASTE</v>
          </cell>
          <cell r="D11367">
            <v>5132260</v>
          </cell>
          <cell r="E11367">
            <v>0</v>
          </cell>
          <cell r="F11367">
            <v>5132260</v>
          </cell>
          <cell r="G11367">
            <v>0</v>
          </cell>
        </row>
        <row r="11368">
          <cell r="A11368" t="str">
            <v>71-05-01</v>
          </cell>
          <cell r="B11368">
            <v>0</v>
          </cell>
          <cell r="C11368" t="str">
            <v>***PURCHASE WASTE</v>
          </cell>
          <cell r="D11368">
            <v>4790715</v>
          </cell>
          <cell r="E11368">
            <v>0</v>
          </cell>
          <cell r="F11368">
            <v>4790715</v>
          </cell>
          <cell r="G11368">
            <v>0</v>
          </cell>
        </row>
        <row r="11369">
          <cell r="A11369" t="str">
            <v>71-05-01-0001</v>
          </cell>
          <cell r="B11369">
            <v>0</v>
          </cell>
          <cell r="C11369" t="str">
            <v xml:space="preserve">  PURCHASE WASTE -CARD LICKERIN</v>
          </cell>
          <cell r="D11369">
            <v>1078057</v>
          </cell>
          <cell r="E11369">
            <v>0</v>
          </cell>
          <cell r="F11369">
            <v>0</v>
          </cell>
          <cell r="G11369">
            <v>0</v>
          </cell>
        </row>
        <row r="11370">
          <cell r="A11370" t="str">
            <v>71-05-01-0002</v>
          </cell>
          <cell r="B11370">
            <v>0</v>
          </cell>
          <cell r="C11370" t="str">
            <v xml:space="preserve">  PURCHASE WASTE - CARD FLY</v>
          </cell>
          <cell r="D11370">
            <v>3712658</v>
          </cell>
          <cell r="E11370">
            <v>0</v>
          </cell>
          <cell r="F11370">
            <v>0</v>
          </cell>
          <cell r="G11370">
            <v>0</v>
          </cell>
        </row>
        <row r="11371">
          <cell r="A11371" t="str">
            <v>71-05-01-0003</v>
          </cell>
          <cell r="B11371">
            <v>0</v>
          </cell>
          <cell r="C11371" t="str">
            <v xml:space="preserve">  DROPPING</v>
          </cell>
          <cell r="D11371">
            <v>0</v>
          </cell>
          <cell r="E11371">
            <v>0</v>
          </cell>
          <cell r="F11371">
            <v>0</v>
          </cell>
          <cell r="G11371">
            <v>0</v>
          </cell>
        </row>
        <row r="11372">
          <cell r="A11372" t="str">
            <v>71-05-02</v>
          </cell>
          <cell r="B11372">
            <v>0</v>
          </cell>
          <cell r="C11372" t="str">
            <v>***FREIGHT AND OCTROI ON WASTE PURCHASED</v>
          </cell>
          <cell r="D11372">
            <v>341545</v>
          </cell>
          <cell r="E11372">
            <v>0</v>
          </cell>
          <cell r="F11372">
            <v>341545</v>
          </cell>
          <cell r="G11372">
            <v>0</v>
          </cell>
        </row>
        <row r="11373">
          <cell r="A11373" t="str">
            <v>71-05-02-0001</v>
          </cell>
          <cell r="B11373">
            <v>0</v>
          </cell>
          <cell r="C11373" t="str">
            <v xml:space="preserve">  FREIGHT AND OCTROI ON WASTE PURCHASED</v>
          </cell>
          <cell r="D11373">
            <v>341545</v>
          </cell>
          <cell r="E11373">
            <v>0</v>
          </cell>
          <cell r="F11373">
            <v>0</v>
          </cell>
          <cell r="G11373">
            <v>0</v>
          </cell>
        </row>
        <row r="11374">
          <cell r="A11374" t="str">
            <v>71-08</v>
          </cell>
          <cell r="B11374">
            <v>0</v>
          </cell>
          <cell r="C11374" t="str">
            <v>**EXPORT REBATE</v>
          </cell>
          <cell r="D11374">
            <v>0</v>
          </cell>
          <cell r="E11374">
            <v>13873970</v>
          </cell>
          <cell r="F11374">
            <v>0</v>
          </cell>
          <cell r="G11374">
            <v>13873970</v>
          </cell>
        </row>
        <row r="11375">
          <cell r="A11375" t="str">
            <v>71-08-01</v>
          </cell>
          <cell r="B11375">
            <v>13873968</v>
          </cell>
          <cell r="C11375" t="str">
            <v>***EXPORT REBATE</v>
          </cell>
          <cell r="D11375">
            <v>0</v>
          </cell>
          <cell r="E11375">
            <v>13873970</v>
          </cell>
          <cell r="F11375">
            <v>0</v>
          </cell>
          <cell r="G11375">
            <v>13873970</v>
          </cell>
        </row>
        <row r="11376">
          <cell r="A11376" t="str">
            <v>71-08-01-0001</v>
          </cell>
          <cell r="B11376">
            <v>13873968</v>
          </cell>
          <cell r="C11376" t="str">
            <v xml:space="preserve">  REBATE ON EXPORT 1999-2000</v>
          </cell>
          <cell r="D11376">
            <v>0</v>
          </cell>
          <cell r="E11376">
            <v>0</v>
          </cell>
          <cell r="F11376">
            <v>0</v>
          </cell>
          <cell r="G11376">
            <v>0</v>
          </cell>
        </row>
        <row r="11377">
          <cell r="A11377" t="str">
            <v>71-08-01-0002</v>
          </cell>
          <cell r="B11377">
            <v>0</v>
          </cell>
          <cell r="C11377" t="str">
            <v xml:space="preserve">  REBATE ON EXPORT 2000-2001</v>
          </cell>
          <cell r="D11377">
            <v>0</v>
          </cell>
          <cell r="E11377">
            <v>17698</v>
          </cell>
          <cell r="F11377">
            <v>0</v>
          </cell>
          <cell r="G11377">
            <v>0</v>
          </cell>
        </row>
        <row r="11378">
          <cell r="A11378" t="str">
            <v>71-08-01-0003</v>
          </cell>
          <cell r="B11378">
            <v>0</v>
          </cell>
          <cell r="C11378" t="str">
            <v xml:space="preserve">  REBATE ON EXPORT 2001-2002</v>
          </cell>
          <cell r="D11378">
            <v>0</v>
          </cell>
          <cell r="E11378">
            <v>901823</v>
          </cell>
          <cell r="F11378">
            <v>0</v>
          </cell>
          <cell r="G11378">
            <v>0</v>
          </cell>
        </row>
        <row r="11379">
          <cell r="A11379" t="str">
            <v>71-08-01-0004</v>
          </cell>
          <cell r="B11379">
            <v>0</v>
          </cell>
          <cell r="C11379" t="str">
            <v xml:space="preserve">  REBATE ON EXPORT 2002-2003</v>
          </cell>
          <cell r="D11379">
            <v>0</v>
          </cell>
          <cell r="E11379">
            <v>4498037</v>
          </cell>
          <cell r="F11379">
            <v>0</v>
          </cell>
          <cell r="G11379">
            <v>0</v>
          </cell>
        </row>
        <row r="11380">
          <cell r="A11380" t="str">
            <v>71-08-01-0005</v>
          </cell>
          <cell r="B11380">
            <v>0</v>
          </cell>
          <cell r="C11380" t="str">
            <v xml:space="preserve">  REBATE ON EXPORT 2003-2004</v>
          </cell>
          <cell r="D11380">
            <v>0</v>
          </cell>
          <cell r="E11380">
            <v>8456412</v>
          </cell>
          <cell r="F11380">
            <v>0</v>
          </cell>
          <cell r="G11380">
            <v>0</v>
          </cell>
        </row>
        <row r="11381">
          <cell r="A11381" t="str">
            <v>74</v>
          </cell>
          <cell r="B11381">
            <v>0</v>
          </cell>
          <cell r="C11381" t="str">
            <v>*SALARIES, WAGES &amp; BENEFITS</v>
          </cell>
          <cell r="D11381">
            <v>303269728</v>
          </cell>
          <cell r="E11381">
            <v>0</v>
          </cell>
          <cell r="F11381">
            <v>303273118</v>
          </cell>
          <cell r="G11381">
            <v>3390</v>
          </cell>
        </row>
        <row r="11382">
          <cell r="A11382" t="str">
            <v>74-01</v>
          </cell>
          <cell r="B11382">
            <v>3390</v>
          </cell>
          <cell r="C11382" t="str">
            <v>**SALARIES AND WAGES FACTORY</v>
          </cell>
          <cell r="D11382">
            <v>208866852</v>
          </cell>
          <cell r="E11382">
            <v>0</v>
          </cell>
          <cell r="F11382">
            <v>208866852</v>
          </cell>
          <cell r="G11382">
            <v>0</v>
          </cell>
        </row>
        <row r="11383">
          <cell r="A11383" t="str">
            <v>74-01-01</v>
          </cell>
          <cell r="B11383">
            <v>0</v>
          </cell>
          <cell r="C11383" t="str">
            <v>***SALARIES AND WAGES FACTORY</v>
          </cell>
          <cell r="D11383">
            <v>208866852</v>
          </cell>
          <cell r="E11383">
            <v>0</v>
          </cell>
          <cell r="F11383">
            <v>208866852</v>
          </cell>
          <cell r="G11383">
            <v>0</v>
          </cell>
        </row>
        <row r="11384">
          <cell r="A11384" t="str">
            <v>74-01-01-0001</v>
          </cell>
          <cell r="B11384">
            <v>0</v>
          </cell>
          <cell r="C11384" t="str">
            <v xml:space="preserve">  SALARIES AND WAGES MILL # 01</v>
          </cell>
          <cell r="D11384">
            <v>55693080</v>
          </cell>
          <cell r="E11384">
            <v>0</v>
          </cell>
          <cell r="F11384">
            <v>0</v>
          </cell>
          <cell r="G11384">
            <v>0</v>
          </cell>
        </row>
        <row r="11385">
          <cell r="A11385" t="str">
            <v>74-01-01-0002</v>
          </cell>
          <cell r="B11385">
            <v>0</v>
          </cell>
          <cell r="C11385" t="str">
            <v xml:space="preserve">  SALARIES AND WAGES MILL # 02</v>
          </cell>
          <cell r="D11385">
            <v>34252464</v>
          </cell>
          <cell r="E11385">
            <v>0</v>
          </cell>
          <cell r="F11385">
            <v>0</v>
          </cell>
          <cell r="G11385">
            <v>0</v>
          </cell>
        </row>
        <row r="11386">
          <cell r="A11386" t="str">
            <v>74-01-01-0003</v>
          </cell>
          <cell r="B11386">
            <v>0</v>
          </cell>
          <cell r="C11386" t="str">
            <v xml:space="preserve">  SALARIES AND WAGES MILL # 03</v>
          </cell>
          <cell r="D11386">
            <v>26220697</v>
          </cell>
          <cell r="E11386">
            <v>0</v>
          </cell>
          <cell r="F11386">
            <v>0</v>
          </cell>
          <cell r="G11386">
            <v>0</v>
          </cell>
        </row>
        <row r="11387">
          <cell r="A11387" t="str">
            <v>74-01-01-0004</v>
          </cell>
          <cell r="B11387">
            <v>0</v>
          </cell>
          <cell r="C11387" t="str">
            <v xml:space="preserve">  SALARIES AND WAGES MILL # 04</v>
          </cell>
          <cell r="D11387">
            <v>28139494</v>
          </cell>
          <cell r="E11387">
            <v>0</v>
          </cell>
          <cell r="F11387">
            <v>0</v>
          </cell>
          <cell r="G11387">
            <v>0</v>
          </cell>
        </row>
        <row r="11388">
          <cell r="A11388" t="str">
            <v>74-01-01-0005</v>
          </cell>
          <cell r="B11388">
            <v>0</v>
          </cell>
          <cell r="C11388" t="str">
            <v xml:space="preserve">  SALARIES AND WAGES POWER PLANT</v>
          </cell>
          <cell r="D11388">
            <v>10325859</v>
          </cell>
          <cell r="E11388">
            <v>0</v>
          </cell>
          <cell r="F11388">
            <v>0</v>
          </cell>
          <cell r="G11388">
            <v>0</v>
          </cell>
        </row>
        <row r="11389">
          <cell r="A11389" t="str">
            <v>74-01-01-0006</v>
          </cell>
          <cell r="B11389">
            <v>0</v>
          </cell>
          <cell r="C11389" t="str">
            <v xml:space="preserve">  SALARIES AND WAGES GENERAL</v>
          </cell>
          <cell r="D11389">
            <v>28500772</v>
          </cell>
          <cell r="E11389">
            <v>0</v>
          </cell>
          <cell r="F11389">
            <v>0</v>
          </cell>
          <cell r="G11389">
            <v>0</v>
          </cell>
        </row>
        <row r="11390">
          <cell r="A11390" t="str">
            <v>74-01-01-0007</v>
          </cell>
          <cell r="B11390">
            <v>0</v>
          </cell>
          <cell r="C11390" t="str">
            <v xml:space="preserve">  SALARIES AND WAGES MILL # 06</v>
          </cell>
          <cell r="D11390">
            <v>9212524</v>
          </cell>
          <cell r="E11390">
            <v>0</v>
          </cell>
          <cell r="F11390">
            <v>0</v>
          </cell>
          <cell r="G11390">
            <v>0</v>
          </cell>
        </row>
        <row r="11391">
          <cell r="A11391" t="str">
            <v>74-01-01-0008</v>
          </cell>
          <cell r="B11391">
            <v>0</v>
          </cell>
          <cell r="C11391" t="str">
            <v xml:space="preserve">  SALARIES AND WAGES MILL # M</v>
          </cell>
          <cell r="D11391">
            <v>949405</v>
          </cell>
          <cell r="E11391">
            <v>0</v>
          </cell>
          <cell r="F11391">
            <v>0</v>
          </cell>
          <cell r="G11391">
            <v>0</v>
          </cell>
        </row>
        <row r="11392">
          <cell r="A11392" t="str">
            <v>74-01-01-0009</v>
          </cell>
          <cell r="B11392">
            <v>0</v>
          </cell>
          <cell r="C11392" t="str">
            <v xml:space="preserve">  SALARIES AND WAGES MILL # 07</v>
          </cell>
          <cell r="D11392">
            <v>10335496</v>
          </cell>
          <cell r="E11392">
            <v>0</v>
          </cell>
          <cell r="F11392">
            <v>0</v>
          </cell>
          <cell r="G11392">
            <v>0</v>
          </cell>
        </row>
        <row r="11393">
          <cell r="A11393" t="str">
            <v>74-01-01-0010</v>
          </cell>
          <cell r="B11393">
            <v>0</v>
          </cell>
          <cell r="C11393" t="str">
            <v xml:space="preserve">  SALARIES AND WAGES FACTORY MILL # 05</v>
          </cell>
          <cell r="D11393">
            <v>5237061</v>
          </cell>
          <cell r="E11393">
            <v>0</v>
          </cell>
          <cell r="F11393">
            <v>0</v>
          </cell>
          <cell r="G11393">
            <v>0</v>
          </cell>
        </row>
        <row r="11394">
          <cell r="A11394" t="str">
            <v>74-01-01-0011</v>
          </cell>
          <cell r="B11394">
            <v>0</v>
          </cell>
          <cell r="C11394" t="str">
            <v xml:space="preserve">  SALARIES AND WAGES DOUBLING</v>
          </cell>
          <cell r="D11394">
            <v>0</v>
          </cell>
          <cell r="E11394">
            <v>0</v>
          </cell>
          <cell r="F11394">
            <v>0</v>
          </cell>
          <cell r="G11394">
            <v>0</v>
          </cell>
        </row>
        <row r="11395">
          <cell r="A11395" t="str">
            <v>74-02</v>
          </cell>
          <cell r="B11395">
            <v>0</v>
          </cell>
          <cell r="C11395" t="str">
            <v>**OVERTIME    FACTORY</v>
          </cell>
          <cell r="D11395">
            <v>22013341</v>
          </cell>
          <cell r="E11395">
            <v>0</v>
          </cell>
          <cell r="F11395">
            <v>22013341</v>
          </cell>
          <cell r="G11395">
            <v>0</v>
          </cell>
        </row>
        <row r="11396">
          <cell r="A11396" t="str">
            <v>74-02-01</v>
          </cell>
          <cell r="B11396">
            <v>0</v>
          </cell>
          <cell r="C11396" t="str">
            <v>***OVERTIME    FACTORY</v>
          </cell>
          <cell r="D11396">
            <v>22013341</v>
          </cell>
          <cell r="E11396">
            <v>0</v>
          </cell>
          <cell r="F11396">
            <v>22013341</v>
          </cell>
          <cell r="G11396">
            <v>0</v>
          </cell>
        </row>
        <row r="11397">
          <cell r="A11397" t="str">
            <v>74-02-01-0001</v>
          </cell>
          <cell r="B11397">
            <v>0</v>
          </cell>
          <cell r="C11397" t="str">
            <v xml:space="preserve">  OVERTIME    FACTORY MILL# 01</v>
          </cell>
          <cell r="D11397">
            <v>5801946</v>
          </cell>
          <cell r="E11397">
            <v>0</v>
          </cell>
          <cell r="F11397">
            <v>0</v>
          </cell>
          <cell r="G11397">
            <v>0</v>
          </cell>
        </row>
        <row r="11398">
          <cell r="A11398" t="str">
            <v>74-02-01-0002</v>
          </cell>
          <cell r="B11398">
            <v>0</v>
          </cell>
          <cell r="C11398" t="str">
            <v xml:space="preserve">  OVERTIME    FACTORY MILL# 02</v>
          </cell>
          <cell r="D11398">
            <v>4316432</v>
          </cell>
          <cell r="E11398">
            <v>0</v>
          </cell>
          <cell r="F11398">
            <v>0</v>
          </cell>
          <cell r="G11398">
            <v>0</v>
          </cell>
        </row>
        <row r="11399">
          <cell r="A11399" t="str">
            <v>74-02-01-0003</v>
          </cell>
          <cell r="B11399">
            <v>0</v>
          </cell>
          <cell r="C11399" t="str">
            <v xml:space="preserve">  OVERTIME    FACTORY MILL# 03</v>
          </cell>
          <cell r="D11399">
            <v>2434331</v>
          </cell>
          <cell r="E11399">
            <v>0</v>
          </cell>
          <cell r="F11399">
            <v>0</v>
          </cell>
          <cell r="G11399">
            <v>0</v>
          </cell>
        </row>
        <row r="11400">
          <cell r="A11400" t="str">
            <v>74-02-01-0004</v>
          </cell>
          <cell r="B11400">
            <v>0</v>
          </cell>
          <cell r="C11400" t="str">
            <v xml:space="preserve">  OVERTIME    FACTORY MILL# 04</v>
          </cell>
          <cell r="D11400">
            <v>3620734</v>
          </cell>
          <cell r="E11400">
            <v>0</v>
          </cell>
          <cell r="F11400">
            <v>0</v>
          </cell>
          <cell r="G11400">
            <v>0</v>
          </cell>
        </row>
        <row r="11401">
          <cell r="A11401" t="str">
            <v>74-02-01-0005</v>
          </cell>
          <cell r="B11401">
            <v>0</v>
          </cell>
          <cell r="C11401" t="str">
            <v xml:space="preserve">  OVERTIME    FACTORY POWER PLANT</v>
          </cell>
          <cell r="D11401">
            <v>181601</v>
          </cell>
          <cell r="E11401">
            <v>0</v>
          </cell>
          <cell r="F11401">
            <v>0</v>
          </cell>
          <cell r="G11401">
            <v>0</v>
          </cell>
        </row>
        <row r="11402">
          <cell r="A11402" t="str">
            <v>74-02-01-0006</v>
          </cell>
          <cell r="B11402">
            <v>0</v>
          </cell>
          <cell r="C11402" t="str">
            <v xml:space="preserve">  OVERTIME    FACTORY GENERAL</v>
          </cell>
          <cell r="D11402">
            <v>1815883</v>
          </cell>
          <cell r="E11402">
            <v>0</v>
          </cell>
          <cell r="F11402">
            <v>0</v>
          </cell>
          <cell r="G11402">
            <v>0</v>
          </cell>
        </row>
        <row r="11403">
          <cell r="A11403" t="str">
            <v>74-02-01-0007</v>
          </cell>
          <cell r="B11403">
            <v>0</v>
          </cell>
          <cell r="C11403" t="str">
            <v xml:space="preserve">  OVERTIME    FACTORY MILL # 06</v>
          </cell>
          <cell r="D11403">
            <v>1456745</v>
          </cell>
          <cell r="E11403">
            <v>0</v>
          </cell>
          <cell r="F11403">
            <v>0</v>
          </cell>
          <cell r="G11403">
            <v>0</v>
          </cell>
        </row>
        <row r="11404">
          <cell r="A11404" t="str">
            <v>74-02-01-0008</v>
          </cell>
          <cell r="B11404">
            <v>0</v>
          </cell>
          <cell r="C11404" t="str">
            <v xml:space="preserve">  OVERTIME    FACTORY  MILL # 07</v>
          </cell>
          <cell r="D11404">
            <v>1110890</v>
          </cell>
          <cell r="E11404">
            <v>0</v>
          </cell>
          <cell r="F11404">
            <v>0</v>
          </cell>
          <cell r="G11404">
            <v>0</v>
          </cell>
        </row>
        <row r="11405">
          <cell r="A11405" t="str">
            <v>74-02-01-0009</v>
          </cell>
          <cell r="B11405">
            <v>0</v>
          </cell>
          <cell r="C11405" t="str">
            <v xml:space="preserve">  OVERTIME    MILL # M</v>
          </cell>
          <cell r="D11405">
            <v>267350</v>
          </cell>
          <cell r="E11405">
            <v>0</v>
          </cell>
          <cell r="F11405">
            <v>0</v>
          </cell>
          <cell r="G11405">
            <v>0</v>
          </cell>
        </row>
        <row r="11406">
          <cell r="A11406" t="str">
            <v>74-02-01-0010</v>
          </cell>
          <cell r="B11406">
            <v>0</v>
          </cell>
          <cell r="C11406" t="str">
            <v xml:space="preserve">  OVERTIME    FACTORY MILL # 5</v>
          </cell>
          <cell r="D11406">
            <v>1007429</v>
          </cell>
          <cell r="E11406">
            <v>0</v>
          </cell>
          <cell r="F11406">
            <v>0</v>
          </cell>
          <cell r="G11406">
            <v>0</v>
          </cell>
        </row>
        <row r="11407">
          <cell r="A11407" t="str">
            <v>74-02-01-0011</v>
          </cell>
          <cell r="B11407">
            <v>0</v>
          </cell>
          <cell r="C11407" t="str">
            <v xml:space="preserve">  OVERTIME FACTORY DOUBLING</v>
          </cell>
          <cell r="D11407">
            <v>0</v>
          </cell>
          <cell r="E11407">
            <v>0</v>
          </cell>
          <cell r="F11407">
            <v>0</v>
          </cell>
          <cell r="G11407">
            <v>0</v>
          </cell>
        </row>
        <row r="11408">
          <cell r="A11408" t="str">
            <v>74-03</v>
          </cell>
          <cell r="B11408">
            <v>0</v>
          </cell>
          <cell r="C11408" t="str">
            <v>**CASUAL LABOUR  FACTORY</v>
          </cell>
          <cell r="D11408">
            <v>0</v>
          </cell>
          <cell r="E11408">
            <v>0</v>
          </cell>
          <cell r="F11408">
            <v>0</v>
          </cell>
          <cell r="G11408">
            <v>0</v>
          </cell>
        </row>
        <row r="11409">
          <cell r="A11409" t="str">
            <v>74-03-01</v>
          </cell>
          <cell r="B11409">
            <v>0</v>
          </cell>
          <cell r="C11409" t="str">
            <v>***CASUAL LABOUR  FACTORY</v>
          </cell>
          <cell r="D11409">
            <v>0</v>
          </cell>
          <cell r="E11409">
            <v>0</v>
          </cell>
          <cell r="F11409">
            <v>0</v>
          </cell>
          <cell r="G11409">
            <v>0</v>
          </cell>
        </row>
        <row r="11410">
          <cell r="A11410" t="str">
            <v>74-03-01-0001</v>
          </cell>
          <cell r="B11410">
            <v>0</v>
          </cell>
          <cell r="C11410" t="str">
            <v xml:space="preserve">  CASUAL LABOUR  FACTORY MILL # 1</v>
          </cell>
          <cell r="D11410">
            <v>0</v>
          </cell>
          <cell r="E11410">
            <v>0</v>
          </cell>
          <cell r="F11410">
            <v>0</v>
          </cell>
          <cell r="G11410">
            <v>0</v>
          </cell>
        </row>
        <row r="11411">
          <cell r="A11411" t="str">
            <v>74-03-01-0002</v>
          </cell>
          <cell r="B11411">
            <v>0</v>
          </cell>
          <cell r="C11411" t="str">
            <v xml:space="preserve">  CASUAL LABOUR  FACTORY MILL # 02</v>
          </cell>
          <cell r="D11411">
            <v>0</v>
          </cell>
          <cell r="E11411">
            <v>0</v>
          </cell>
          <cell r="F11411">
            <v>0</v>
          </cell>
          <cell r="G11411">
            <v>0</v>
          </cell>
        </row>
        <row r="11412">
          <cell r="A11412" t="str">
            <v>74-03-01-0003</v>
          </cell>
          <cell r="B11412">
            <v>0</v>
          </cell>
          <cell r="C11412" t="str">
            <v xml:space="preserve">  CASUAL LABOUR  FACTORY MILL # 03</v>
          </cell>
          <cell r="D11412">
            <v>0</v>
          </cell>
          <cell r="E11412">
            <v>0</v>
          </cell>
          <cell r="F11412">
            <v>0</v>
          </cell>
          <cell r="G11412">
            <v>0</v>
          </cell>
        </row>
        <row r="11413">
          <cell r="A11413" t="str">
            <v>74-03-01-0004</v>
          </cell>
          <cell r="B11413">
            <v>0</v>
          </cell>
          <cell r="C11413" t="str">
            <v xml:space="preserve">  CASUAL LABOUR  FACTORY MILL # 04</v>
          </cell>
          <cell r="D11413">
            <v>0</v>
          </cell>
          <cell r="E11413">
            <v>0</v>
          </cell>
          <cell r="F11413">
            <v>0</v>
          </cell>
          <cell r="G11413">
            <v>0</v>
          </cell>
        </row>
        <row r="11414">
          <cell r="A11414" t="str">
            <v>74-03-01-0005</v>
          </cell>
          <cell r="B11414">
            <v>0</v>
          </cell>
          <cell r="C11414" t="str">
            <v xml:space="preserve">  CASUAL LABOUR  FACTORY POWER PLANT</v>
          </cell>
          <cell r="D11414">
            <v>0</v>
          </cell>
          <cell r="E11414">
            <v>0</v>
          </cell>
          <cell r="F11414">
            <v>0</v>
          </cell>
          <cell r="G11414">
            <v>0</v>
          </cell>
        </row>
        <row r="11415">
          <cell r="A11415" t="str">
            <v>74-03-01-0006</v>
          </cell>
          <cell r="B11415">
            <v>0</v>
          </cell>
          <cell r="C11415" t="str">
            <v xml:space="preserve">  CASUAL LABOUR  FACTORY GENERAL</v>
          </cell>
          <cell r="D11415">
            <v>0</v>
          </cell>
          <cell r="E11415">
            <v>0</v>
          </cell>
          <cell r="F11415">
            <v>0</v>
          </cell>
          <cell r="G11415">
            <v>0</v>
          </cell>
        </row>
        <row r="11416">
          <cell r="A11416" t="str">
            <v>74-04</v>
          </cell>
          <cell r="B11416">
            <v>0</v>
          </cell>
          <cell r="C11416" t="str">
            <v>**LEAVE ENCASHMENT FACTORY</v>
          </cell>
          <cell r="D11416">
            <v>4585602</v>
          </cell>
          <cell r="E11416">
            <v>0</v>
          </cell>
          <cell r="F11416">
            <v>4585602</v>
          </cell>
          <cell r="G11416">
            <v>0</v>
          </cell>
        </row>
        <row r="11417">
          <cell r="A11417" t="str">
            <v>74-04-01</v>
          </cell>
          <cell r="B11417">
            <v>0</v>
          </cell>
          <cell r="C11417" t="str">
            <v>***LEAVE ENCASHMENT FACTORY</v>
          </cell>
          <cell r="D11417">
            <v>4585602</v>
          </cell>
          <cell r="E11417">
            <v>0</v>
          </cell>
          <cell r="F11417">
            <v>4585602</v>
          </cell>
          <cell r="G11417">
            <v>0</v>
          </cell>
        </row>
        <row r="11418">
          <cell r="A11418" t="str">
            <v>74-04-01-0001</v>
          </cell>
          <cell r="B11418">
            <v>0</v>
          </cell>
          <cell r="C11418" t="str">
            <v xml:space="preserve">  LEAVE ENCASHMENT FACTORY MILL # 01</v>
          </cell>
          <cell r="D11418">
            <v>1029062</v>
          </cell>
          <cell r="E11418">
            <v>0</v>
          </cell>
          <cell r="F11418">
            <v>0</v>
          </cell>
          <cell r="G11418">
            <v>0</v>
          </cell>
        </row>
        <row r="11419">
          <cell r="A11419" t="str">
            <v>74-04-01-0002</v>
          </cell>
          <cell r="B11419">
            <v>0</v>
          </cell>
          <cell r="C11419" t="str">
            <v xml:space="preserve">  LEAVE ENCASHMENT FACTORY MILL # 02</v>
          </cell>
          <cell r="D11419">
            <v>656914</v>
          </cell>
          <cell r="E11419">
            <v>0</v>
          </cell>
          <cell r="F11419">
            <v>0</v>
          </cell>
          <cell r="G11419">
            <v>0</v>
          </cell>
        </row>
        <row r="11420">
          <cell r="A11420" t="str">
            <v>74-04-01-0003</v>
          </cell>
          <cell r="B11420">
            <v>0</v>
          </cell>
          <cell r="C11420" t="str">
            <v xml:space="preserve">  LEAVE ENCASHMENT FACTORY MILL # 03</v>
          </cell>
          <cell r="D11420">
            <v>590085</v>
          </cell>
          <cell r="E11420">
            <v>0</v>
          </cell>
          <cell r="F11420">
            <v>0</v>
          </cell>
          <cell r="G11420">
            <v>0</v>
          </cell>
        </row>
        <row r="11421">
          <cell r="A11421" t="str">
            <v>74-04-01-0004</v>
          </cell>
          <cell r="B11421">
            <v>0</v>
          </cell>
          <cell r="C11421" t="str">
            <v xml:space="preserve">  LEAVE ENCASHMENT FACTORY MILL # 04</v>
          </cell>
          <cell r="D11421">
            <v>614297</v>
          </cell>
          <cell r="E11421">
            <v>0</v>
          </cell>
          <cell r="F11421">
            <v>0</v>
          </cell>
          <cell r="G11421">
            <v>0</v>
          </cell>
        </row>
        <row r="11422">
          <cell r="A11422" t="str">
            <v>74-04-01-0005</v>
          </cell>
          <cell r="B11422">
            <v>0</v>
          </cell>
          <cell r="C11422" t="str">
            <v xml:space="preserve">  LEAVE ENCASHMENT FACTORY POWER PLANT</v>
          </cell>
          <cell r="D11422">
            <v>284745</v>
          </cell>
          <cell r="E11422">
            <v>0</v>
          </cell>
          <cell r="F11422">
            <v>0</v>
          </cell>
          <cell r="G11422">
            <v>0</v>
          </cell>
        </row>
        <row r="11423">
          <cell r="A11423" t="str">
            <v>74-04-01-0006</v>
          </cell>
          <cell r="B11423">
            <v>0</v>
          </cell>
          <cell r="C11423" t="str">
            <v xml:space="preserve">  LEAVE ENCASHMENT FACTORY GENERAL</v>
          </cell>
          <cell r="D11423">
            <v>721169</v>
          </cell>
          <cell r="E11423">
            <v>0</v>
          </cell>
          <cell r="F11423">
            <v>0</v>
          </cell>
          <cell r="G11423">
            <v>0</v>
          </cell>
        </row>
        <row r="11424">
          <cell r="A11424" t="str">
            <v>74-04-01-0007</v>
          </cell>
          <cell r="B11424">
            <v>0</v>
          </cell>
          <cell r="C11424" t="str">
            <v xml:space="preserve">  LEAVE ENCASHMENT FACTORY MILL # 6</v>
          </cell>
          <cell r="D11424">
            <v>315913</v>
          </cell>
          <cell r="E11424">
            <v>0</v>
          </cell>
          <cell r="F11424">
            <v>0</v>
          </cell>
          <cell r="G11424">
            <v>0</v>
          </cell>
        </row>
        <row r="11425">
          <cell r="A11425" t="str">
            <v>74-04-01-0008</v>
          </cell>
          <cell r="B11425">
            <v>0</v>
          </cell>
          <cell r="C11425" t="str">
            <v xml:space="preserve">  LEAVE ENCASHMENT FACTORY MILL # 07</v>
          </cell>
          <cell r="D11425">
            <v>239665</v>
          </cell>
          <cell r="E11425">
            <v>0</v>
          </cell>
          <cell r="F11425">
            <v>0</v>
          </cell>
          <cell r="G11425">
            <v>0</v>
          </cell>
        </row>
        <row r="11426">
          <cell r="A11426" t="str">
            <v>74-04-01-0009</v>
          </cell>
          <cell r="B11426">
            <v>0</v>
          </cell>
          <cell r="C11426" t="str">
            <v xml:space="preserve">  LEAVE ENCASHMENT FACTORY MILL # M</v>
          </cell>
          <cell r="D11426">
            <v>35751</v>
          </cell>
          <cell r="E11426">
            <v>0</v>
          </cell>
          <cell r="F11426">
            <v>0</v>
          </cell>
          <cell r="G11426">
            <v>0</v>
          </cell>
        </row>
        <row r="11427">
          <cell r="A11427" t="str">
            <v>74-04-01-0010</v>
          </cell>
          <cell r="B11427">
            <v>0</v>
          </cell>
          <cell r="C11427" t="str">
            <v xml:space="preserve">  LEAVE ENCASHMENT FACTORY MILL # 05</v>
          </cell>
          <cell r="D11427">
            <v>98001</v>
          </cell>
          <cell r="E11427">
            <v>0</v>
          </cell>
          <cell r="F11427">
            <v>0</v>
          </cell>
          <cell r="G11427">
            <v>0</v>
          </cell>
        </row>
        <row r="11428">
          <cell r="A11428" t="str">
            <v>74-05</v>
          </cell>
          <cell r="B11428">
            <v>0</v>
          </cell>
          <cell r="C11428" t="str">
            <v>**GRATUITY FACTORY</v>
          </cell>
          <cell r="D11428">
            <v>17373269</v>
          </cell>
          <cell r="E11428">
            <v>0</v>
          </cell>
          <cell r="F11428">
            <v>17373269</v>
          </cell>
          <cell r="G11428">
            <v>0</v>
          </cell>
        </row>
        <row r="11429">
          <cell r="A11429" t="str">
            <v>74-05-01</v>
          </cell>
          <cell r="B11429">
            <v>0</v>
          </cell>
          <cell r="C11429" t="str">
            <v>***GRATUITY FACTORY</v>
          </cell>
          <cell r="D11429">
            <v>17373269</v>
          </cell>
          <cell r="E11429">
            <v>0</v>
          </cell>
          <cell r="F11429">
            <v>17373269</v>
          </cell>
          <cell r="G11429">
            <v>0</v>
          </cell>
        </row>
        <row r="11430">
          <cell r="A11430" t="str">
            <v>74-05-01-0001</v>
          </cell>
          <cell r="B11430">
            <v>0</v>
          </cell>
          <cell r="C11430" t="str">
            <v xml:space="preserve">  GRATUITY FACTORY</v>
          </cell>
          <cell r="D11430">
            <v>17184695</v>
          </cell>
          <cell r="E11430">
            <v>0</v>
          </cell>
          <cell r="F11430">
            <v>0</v>
          </cell>
          <cell r="G11430">
            <v>0</v>
          </cell>
        </row>
        <row r="11431">
          <cell r="A11431" t="str">
            <v>74-05-01-0002</v>
          </cell>
          <cell r="B11431">
            <v>0</v>
          </cell>
          <cell r="C11431" t="str">
            <v xml:space="preserve">  GRATUITY POWER PLANT</v>
          </cell>
          <cell r="D11431">
            <v>188574</v>
          </cell>
          <cell r="E11431">
            <v>0</v>
          </cell>
          <cell r="F11431">
            <v>0</v>
          </cell>
          <cell r="G11431">
            <v>0</v>
          </cell>
        </row>
        <row r="11432">
          <cell r="A11432" t="str">
            <v>74-06</v>
          </cell>
          <cell r="B11432">
            <v>0</v>
          </cell>
          <cell r="C11432" t="str">
            <v>**EXGRATIA AND REWARD   FACTORY</v>
          </cell>
          <cell r="D11432">
            <v>70500</v>
          </cell>
          <cell r="E11432">
            <v>0</v>
          </cell>
          <cell r="F11432">
            <v>70500</v>
          </cell>
          <cell r="G11432">
            <v>0</v>
          </cell>
        </row>
        <row r="11433">
          <cell r="A11433" t="str">
            <v>74-06-01</v>
          </cell>
          <cell r="B11433">
            <v>0</v>
          </cell>
          <cell r="C11433" t="str">
            <v>***EXGRATIA AND REWARD   FACTORY</v>
          </cell>
          <cell r="D11433">
            <v>70500</v>
          </cell>
          <cell r="E11433">
            <v>0</v>
          </cell>
          <cell r="F11433">
            <v>70500</v>
          </cell>
          <cell r="G11433">
            <v>0</v>
          </cell>
        </row>
        <row r="11434">
          <cell r="A11434" t="str">
            <v>74-06-01-0001</v>
          </cell>
          <cell r="B11434">
            <v>0</v>
          </cell>
          <cell r="C11434" t="str">
            <v xml:space="preserve">  EXGRATIA AND REWARD   FACTORY MILL # 0</v>
          </cell>
          <cell r="D11434">
            <v>0</v>
          </cell>
          <cell r="E11434">
            <v>0</v>
          </cell>
          <cell r="F11434">
            <v>0</v>
          </cell>
          <cell r="G11434">
            <v>0</v>
          </cell>
        </row>
        <row r="11435">
          <cell r="A11435" t="str">
            <v>74-06-01-0002</v>
          </cell>
          <cell r="B11435">
            <v>0</v>
          </cell>
          <cell r="C11435" t="str">
            <v xml:space="preserve">  EXGRATIA AND REWARD   FACTORY MILL # 0</v>
          </cell>
          <cell r="D11435">
            <v>0</v>
          </cell>
          <cell r="E11435">
            <v>0</v>
          </cell>
          <cell r="F11435">
            <v>0</v>
          </cell>
          <cell r="G11435">
            <v>0</v>
          </cell>
        </row>
        <row r="11436">
          <cell r="A11436" t="str">
            <v>74-06-01-0003</v>
          </cell>
          <cell r="B11436">
            <v>0</v>
          </cell>
          <cell r="C11436" t="str">
            <v xml:space="preserve">  EXGRATIA AND REWARD   FACTORY MILL # 0</v>
          </cell>
          <cell r="D11436">
            <v>0</v>
          </cell>
          <cell r="E11436">
            <v>0</v>
          </cell>
          <cell r="F11436">
            <v>0</v>
          </cell>
          <cell r="G11436">
            <v>0</v>
          </cell>
        </row>
        <row r="11437">
          <cell r="A11437" t="str">
            <v>74-06-01-0004</v>
          </cell>
          <cell r="B11437">
            <v>0</v>
          </cell>
          <cell r="C11437" t="str">
            <v xml:space="preserve">  EXGRATIA AND REWARD   FACTORY MILL # 0</v>
          </cell>
          <cell r="D11437">
            <v>0</v>
          </cell>
          <cell r="E11437">
            <v>0</v>
          </cell>
          <cell r="F11437">
            <v>0</v>
          </cell>
          <cell r="G11437">
            <v>0</v>
          </cell>
        </row>
        <row r="11438">
          <cell r="A11438" t="str">
            <v>74-06-01-0005</v>
          </cell>
          <cell r="B11438">
            <v>0</v>
          </cell>
          <cell r="C11438" t="str">
            <v xml:space="preserve">  EXGRATIA AND REWARD   FACTORY POWER PL</v>
          </cell>
          <cell r="D11438">
            <v>10000</v>
          </cell>
          <cell r="E11438">
            <v>0</v>
          </cell>
          <cell r="F11438">
            <v>0</v>
          </cell>
          <cell r="G11438">
            <v>0</v>
          </cell>
        </row>
        <row r="11439">
          <cell r="A11439" t="str">
            <v>74-06-01-0006</v>
          </cell>
          <cell r="B11439">
            <v>0</v>
          </cell>
          <cell r="C11439" t="str">
            <v xml:space="preserve">  EXGRATIA AND REWARD   FACTORY GENERAL</v>
          </cell>
          <cell r="D11439">
            <v>60500</v>
          </cell>
          <cell r="E11439">
            <v>0</v>
          </cell>
          <cell r="F11439">
            <v>0</v>
          </cell>
          <cell r="G11439">
            <v>0</v>
          </cell>
        </row>
        <row r="11440">
          <cell r="A11440" t="str">
            <v>74-07</v>
          </cell>
          <cell r="B11440">
            <v>0</v>
          </cell>
          <cell r="C11440" t="str">
            <v>**MEDICAL CHARGES FACTORY</v>
          </cell>
          <cell r="D11440">
            <v>558852</v>
          </cell>
          <cell r="E11440">
            <v>0</v>
          </cell>
          <cell r="F11440">
            <v>558852</v>
          </cell>
          <cell r="G11440">
            <v>0</v>
          </cell>
        </row>
        <row r="11441">
          <cell r="A11441" t="str">
            <v>74-07-01</v>
          </cell>
          <cell r="B11441">
            <v>0</v>
          </cell>
          <cell r="C11441" t="str">
            <v>***MEDICAL CHARGES FACTORY</v>
          </cell>
          <cell r="D11441">
            <v>558852</v>
          </cell>
          <cell r="E11441">
            <v>0</v>
          </cell>
          <cell r="F11441">
            <v>558852</v>
          </cell>
          <cell r="G11441">
            <v>0</v>
          </cell>
        </row>
        <row r="11442">
          <cell r="A11442" t="str">
            <v>74-07-01-0001</v>
          </cell>
          <cell r="B11442">
            <v>0</v>
          </cell>
          <cell r="C11442" t="str">
            <v xml:space="preserve">  MEDICAL CHARGES FACTORY MILL # 01</v>
          </cell>
          <cell r="D11442">
            <v>241517</v>
          </cell>
          <cell r="E11442">
            <v>0</v>
          </cell>
          <cell r="F11442">
            <v>0</v>
          </cell>
          <cell r="G11442">
            <v>0</v>
          </cell>
        </row>
        <row r="11443">
          <cell r="A11443" t="str">
            <v>74-07-01-0002</v>
          </cell>
          <cell r="B11443">
            <v>0</v>
          </cell>
          <cell r="C11443" t="str">
            <v xml:space="preserve">  MEDICAL CHARGES FACTORY MILL # 02</v>
          </cell>
          <cell r="D11443">
            <v>42067</v>
          </cell>
          <cell r="E11443">
            <v>0</v>
          </cell>
          <cell r="F11443">
            <v>0</v>
          </cell>
          <cell r="G11443">
            <v>0</v>
          </cell>
        </row>
        <row r="11444">
          <cell r="A11444" t="str">
            <v>74-07-01-0003</v>
          </cell>
          <cell r="B11444">
            <v>0</v>
          </cell>
          <cell r="C11444" t="str">
            <v xml:space="preserve">  MEDICAL CHARGES FACTORY MILL # 03</v>
          </cell>
          <cell r="D11444">
            <v>197020</v>
          </cell>
          <cell r="E11444">
            <v>0</v>
          </cell>
          <cell r="F11444">
            <v>0</v>
          </cell>
          <cell r="G11444">
            <v>0</v>
          </cell>
        </row>
        <row r="11445">
          <cell r="A11445" t="str">
            <v>74-07-01-0004</v>
          </cell>
          <cell r="B11445">
            <v>0</v>
          </cell>
          <cell r="C11445" t="str">
            <v xml:space="preserve">  MEDICAL CHARGES FACTORY MILL # 04</v>
          </cell>
          <cell r="D11445">
            <v>40083</v>
          </cell>
          <cell r="E11445">
            <v>0</v>
          </cell>
          <cell r="F11445">
            <v>0</v>
          </cell>
          <cell r="G11445">
            <v>0</v>
          </cell>
        </row>
        <row r="11446">
          <cell r="A11446" t="str">
            <v>74-07-01-0005</v>
          </cell>
          <cell r="B11446">
            <v>0</v>
          </cell>
          <cell r="C11446" t="str">
            <v xml:space="preserve">  MEDICAL CHARGES FACTORY POWER PLANT</v>
          </cell>
          <cell r="D11446">
            <v>1283</v>
          </cell>
          <cell r="E11446">
            <v>0</v>
          </cell>
          <cell r="F11446">
            <v>0</v>
          </cell>
          <cell r="G11446">
            <v>0</v>
          </cell>
        </row>
        <row r="11447">
          <cell r="A11447" t="str">
            <v>74-07-01-0006</v>
          </cell>
          <cell r="B11447">
            <v>0</v>
          </cell>
          <cell r="C11447" t="str">
            <v xml:space="preserve">  MEDICAL CHARGES FACTORY GENERAL</v>
          </cell>
          <cell r="D11447">
            <v>7215</v>
          </cell>
          <cell r="E11447">
            <v>0</v>
          </cell>
          <cell r="F11447">
            <v>0</v>
          </cell>
          <cell r="G11447">
            <v>0</v>
          </cell>
        </row>
        <row r="11448">
          <cell r="A11448" t="str">
            <v>74-07-01-0007</v>
          </cell>
          <cell r="B11448">
            <v>0</v>
          </cell>
          <cell r="C11448" t="str">
            <v xml:space="preserve">  MEDICAL CHARGES FACTORY MILL # 7</v>
          </cell>
          <cell r="D11448">
            <v>20899</v>
          </cell>
          <cell r="E11448">
            <v>0</v>
          </cell>
          <cell r="F11448">
            <v>0</v>
          </cell>
          <cell r="G11448">
            <v>0</v>
          </cell>
        </row>
        <row r="11449">
          <cell r="A11449" t="str">
            <v>74-07-01-0008</v>
          </cell>
          <cell r="B11449">
            <v>0</v>
          </cell>
          <cell r="C11449" t="str">
            <v xml:space="preserve">  MEDICAL CHARGES FACTORY MILL # 07</v>
          </cell>
          <cell r="D11449">
            <v>7326</v>
          </cell>
          <cell r="E11449">
            <v>0</v>
          </cell>
          <cell r="F11449">
            <v>0</v>
          </cell>
          <cell r="G11449">
            <v>0</v>
          </cell>
        </row>
        <row r="11450">
          <cell r="A11450" t="str">
            <v>74-07-01-0010</v>
          </cell>
          <cell r="B11450">
            <v>0</v>
          </cell>
          <cell r="C11450" t="str">
            <v xml:space="preserve">  MEDICAL CHARGES FACTORY MILL # 05</v>
          </cell>
          <cell r="D11450">
            <v>1442</v>
          </cell>
          <cell r="E11450">
            <v>0</v>
          </cell>
          <cell r="F11450">
            <v>0</v>
          </cell>
          <cell r="G11450">
            <v>0</v>
          </cell>
        </row>
        <row r="11451">
          <cell r="A11451" t="str">
            <v>74-08</v>
          </cell>
          <cell r="B11451">
            <v>0</v>
          </cell>
          <cell r="C11451" t="str">
            <v>**UTILITIES FACTORY</v>
          </cell>
          <cell r="D11451">
            <v>0</v>
          </cell>
          <cell r="E11451">
            <v>0</v>
          </cell>
          <cell r="F11451">
            <v>0</v>
          </cell>
          <cell r="G11451">
            <v>0</v>
          </cell>
        </row>
        <row r="11452">
          <cell r="A11452" t="str">
            <v>74-08-01</v>
          </cell>
          <cell r="B11452">
            <v>0</v>
          </cell>
          <cell r="C11452" t="str">
            <v>***UTILITIES FACTORY</v>
          </cell>
          <cell r="D11452">
            <v>0</v>
          </cell>
          <cell r="E11452">
            <v>0</v>
          </cell>
          <cell r="F11452">
            <v>0</v>
          </cell>
          <cell r="G11452">
            <v>0</v>
          </cell>
        </row>
        <row r="11453">
          <cell r="A11453" t="str">
            <v>74-08-01-0001</v>
          </cell>
          <cell r="B11453">
            <v>0</v>
          </cell>
          <cell r="C11453" t="str">
            <v xml:space="preserve">  UTILITIES FACTORY</v>
          </cell>
          <cell r="D11453">
            <v>0</v>
          </cell>
          <cell r="E11453">
            <v>0</v>
          </cell>
          <cell r="F11453">
            <v>0</v>
          </cell>
          <cell r="G11453">
            <v>0</v>
          </cell>
        </row>
        <row r="11454">
          <cell r="A11454" t="str">
            <v>74-09</v>
          </cell>
          <cell r="B11454">
            <v>0</v>
          </cell>
          <cell r="C11454" t="str">
            <v>**CANTEEN SUBSIDY  FACTORY</v>
          </cell>
          <cell r="D11454">
            <v>0</v>
          </cell>
          <cell r="E11454">
            <v>0</v>
          </cell>
          <cell r="F11454">
            <v>0</v>
          </cell>
          <cell r="G11454">
            <v>0</v>
          </cell>
        </row>
        <row r="11455">
          <cell r="A11455" t="str">
            <v>74-09-01</v>
          </cell>
          <cell r="B11455">
            <v>0</v>
          </cell>
          <cell r="C11455" t="str">
            <v>***CANTEEN SUBSIDY  FACTORY</v>
          </cell>
          <cell r="D11455">
            <v>0</v>
          </cell>
          <cell r="E11455">
            <v>0</v>
          </cell>
          <cell r="F11455">
            <v>0</v>
          </cell>
          <cell r="G11455">
            <v>0</v>
          </cell>
        </row>
        <row r="11456">
          <cell r="A11456" t="str">
            <v>74-09-01-0001</v>
          </cell>
          <cell r="B11456">
            <v>0</v>
          </cell>
          <cell r="C11456" t="str">
            <v xml:space="preserve">  CANTEEN SUBSIDY  FACTORY MILL # 01</v>
          </cell>
          <cell r="D11456">
            <v>0</v>
          </cell>
          <cell r="E11456">
            <v>0</v>
          </cell>
          <cell r="F11456">
            <v>0</v>
          </cell>
          <cell r="G11456">
            <v>0</v>
          </cell>
        </row>
        <row r="11457">
          <cell r="A11457" t="str">
            <v>74-09-01-0002</v>
          </cell>
          <cell r="B11457">
            <v>0</v>
          </cell>
          <cell r="C11457" t="str">
            <v xml:space="preserve">  CANTEEN SUBSIDY  FACTORY MILL # 02</v>
          </cell>
          <cell r="D11457">
            <v>0</v>
          </cell>
          <cell r="E11457">
            <v>0</v>
          </cell>
          <cell r="F11457">
            <v>0</v>
          </cell>
          <cell r="G11457">
            <v>0</v>
          </cell>
        </row>
        <row r="11458">
          <cell r="A11458" t="str">
            <v>74-09-01-0003</v>
          </cell>
          <cell r="B11458">
            <v>0</v>
          </cell>
          <cell r="C11458" t="str">
            <v xml:space="preserve">  CANTEEN SUBSIDY  FACTORY MILL # 03</v>
          </cell>
          <cell r="D11458">
            <v>0</v>
          </cell>
          <cell r="E11458">
            <v>0</v>
          </cell>
          <cell r="F11458">
            <v>0</v>
          </cell>
          <cell r="G11458">
            <v>0</v>
          </cell>
        </row>
        <row r="11459">
          <cell r="A11459" t="str">
            <v>74-09-01-0004</v>
          </cell>
          <cell r="B11459">
            <v>0</v>
          </cell>
          <cell r="C11459" t="str">
            <v xml:space="preserve">  CANTEEN SUBSIDY  FACTORY MILL # 04</v>
          </cell>
          <cell r="D11459">
            <v>0</v>
          </cell>
          <cell r="E11459">
            <v>0</v>
          </cell>
          <cell r="F11459">
            <v>0</v>
          </cell>
          <cell r="G11459">
            <v>0</v>
          </cell>
        </row>
        <row r="11460">
          <cell r="A11460" t="str">
            <v>74-10</v>
          </cell>
          <cell r="B11460">
            <v>0</v>
          </cell>
          <cell r="C11460" t="str">
            <v>**ELECTRICITY CHARGES WORKERS COLONY</v>
          </cell>
          <cell r="D11460">
            <v>2259309</v>
          </cell>
          <cell r="E11460">
            <v>0</v>
          </cell>
          <cell r="F11460">
            <v>2259309</v>
          </cell>
          <cell r="G11460">
            <v>0</v>
          </cell>
        </row>
        <row r="11461">
          <cell r="A11461" t="str">
            <v>74-10-01</v>
          </cell>
          <cell r="B11461">
            <v>0</v>
          </cell>
          <cell r="C11461" t="str">
            <v>***ELECTRICITY CHARGES WORKERS COLONY</v>
          </cell>
          <cell r="D11461">
            <v>2259309</v>
          </cell>
          <cell r="E11461">
            <v>0</v>
          </cell>
          <cell r="F11461">
            <v>2259309</v>
          </cell>
          <cell r="G11461">
            <v>0</v>
          </cell>
        </row>
        <row r="11462">
          <cell r="A11462" t="str">
            <v>74-10-01-0001</v>
          </cell>
          <cell r="B11462">
            <v>0</v>
          </cell>
          <cell r="C11462" t="str">
            <v xml:space="preserve">  ELECTRICITY CHARGES WORKERS COLONY</v>
          </cell>
          <cell r="D11462">
            <v>2259309</v>
          </cell>
          <cell r="E11462">
            <v>0</v>
          </cell>
          <cell r="F11462">
            <v>0</v>
          </cell>
          <cell r="G11462">
            <v>0</v>
          </cell>
        </row>
        <row r="11463">
          <cell r="A11463" t="str">
            <v>74-11</v>
          </cell>
          <cell r="B11463">
            <v>0</v>
          </cell>
          <cell r="C11463" t="str">
            <v>**WORKERS TRANSPORTATION EXPENSE</v>
          </cell>
          <cell r="D11463">
            <v>1072036</v>
          </cell>
          <cell r="E11463">
            <v>0</v>
          </cell>
          <cell r="F11463">
            <v>1072036</v>
          </cell>
          <cell r="G11463">
            <v>0</v>
          </cell>
        </row>
        <row r="11464">
          <cell r="A11464" t="str">
            <v>74-11-01</v>
          </cell>
          <cell r="B11464">
            <v>0</v>
          </cell>
          <cell r="C11464" t="str">
            <v>***WORKERS TRANSPORTATION EXPENSE</v>
          </cell>
          <cell r="D11464">
            <v>1072036</v>
          </cell>
          <cell r="E11464">
            <v>0</v>
          </cell>
          <cell r="F11464">
            <v>1072036</v>
          </cell>
          <cell r="G11464">
            <v>0</v>
          </cell>
        </row>
        <row r="11465">
          <cell r="A11465" t="str">
            <v>74-11-01-0001</v>
          </cell>
          <cell r="B11465">
            <v>0</v>
          </cell>
          <cell r="C11465" t="str">
            <v xml:space="preserve">  WORKERS TRANSPORTATION EXPENSE MILL #</v>
          </cell>
          <cell r="D11465">
            <v>272425</v>
          </cell>
          <cell r="E11465">
            <v>0</v>
          </cell>
          <cell r="F11465">
            <v>0</v>
          </cell>
          <cell r="G11465">
            <v>0</v>
          </cell>
        </row>
        <row r="11466">
          <cell r="A11466" t="str">
            <v>74-11-01-0002</v>
          </cell>
          <cell r="B11466">
            <v>0</v>
          </cell>
          <cell r="C11466" t="str">
            <v xml:space="preserve">  WORKERS TRANSPORTATION EXPENSE MILL #</v>
          </cell>
          <cell r="D11466">
            <v>264261</v>
          </cell>
          <cell r="E11466">
            <v>0</v>
          </cell>
          <cell r="F11466">
            <v>0</v>
          </cell>
          <cell r="G11466">
            <v>0</v>
          </cell>
        </row>
        <row r="11467">
          <cell r="A11467" t="str">
            <v>74-11-01-0003</v>
          </cell>
          <cell r="B11467">
            <v>0</v>
          </cell>
          <cell r="C11467" t="str">
            <v xml:space="preserve">  WORKERS TRANSPORTATION EXPENSE MILL #</v>
          </cell>
          <cell r="D11467">
            <v>167900</v>
          </cell>
          <cell r="E11467">
            <v>0</v>
          </cell>
          <cell r="F11467">
            <v>0</v>
          </cell>
          <cell r="G11467">
            <v>0</v>
          </cell>
        </row>
        <row r="11468">
          <cell r="A11468" t="str">
            <v>74-11-01-0004</v>
          </cell>
          <cell r="B11468">
            <v>0</v>
          </cell>
          <cell r="C11468" t="str">
            <v xml:space="preserve">  WORKERS TRANSPORTATION EXPENSE MILL #</v>
          </cell>
          <cell r="D11468">
            <v>164400</v>
          </cell>
          <cell r="E11468">
            <v>0</v>
          </cell>
          <cell r="F11468">
            <v>0</v>
          </cell>
          <cell r="G11468">
            <v>0</v>
          </cell>
        </row>
        <row r="11469">
          <cell r="A11469" t="str">
            <v>74-11-01-0005</v>
          </cell>
          <cell r="B11469">
            <v>0</v>
          </cell>
          <cell r="C11469" t="str">
            <v xml:space="preserve">  WORKERS TRANSPORTATION EXPENSE GENERAL</v>
          </cell>
          <cell r="D11469">
            <v>0</v>
          </cell>
          <cell r="E11469">
            <v>0</v>
          </cell>
          <cell r="F11469">
            <v>0</v>
          </cell>
          <cell r="G11469">
            <v>0</v>
          </cell>
        </row>
        <row r="11470">
          <cell r="A11470" t="str">
            <v>74-11-01-0006</v>
          </cell>
          <cell r="B11470">
            <v>0</v>
          </cell>
          <cell r="C11470" t="str">
            <v xml:space="preserve">  WORKERS TRANSPORTATION EXPENSES P.P</v>
          </cell>
          <cell r="D11470">
            <v>203050</v>
          </cell>
          <cell r="E11470">
            <v>0</v>
          </cell>
          <cell r="F11470">
            <v>0</v>
          </cell>
          <cell r="G11470">
            <v>0</v>
          </cell>
        </row>
        <row r="11471">
          <cell r="A11471" t="str">
            <v>74-12</v>
          </cell>
          <cell r="B11471">
            <v>0</v>
          </cell>
          <cell r="C11471" t="str">
            <v>**GHAZI GUEST HOUSE RENT</v>
          </cell>
          <cell r="D11471">
            <v>30356</v>
          </cell>
          <cell r="E11471">
            <v>0</v>
          </cell>
          <cell r="F11471">
            <v>33746</v>
          </cell>
          <cell r="G11471">
            <v>3390</v>
          </cell>
        </row>
        <row r="11472">
          <cell r="A11472" t="str">
            <v>74-12-01</v>
          </cell>
          <cell r="B11472">
            <v>3390</v>
          </cell>
          <cell r="C11472" t="str">
            <v>***GHAZI GUEST HOUSE RENT</v>
          </cell>
          <cell r="D11472">
            <v>30356</v>
          </cell>
          <cell r="E11472">
            <v>0</v>
          </cell>
          <cell r="F11472">
            <v>33746</v>
          </cell>
          <cell r="G11472">
            <v>3390</v>
          </cell>
        </row>
        <row r="11473">
          <cell r="A11473" t="str">
            <v>74-12-01-0001</v>
          </cell>
          <cell r="B11473">
            <v>3390</v>
          </cell>
          <cell r="C11473" t="str">
            <v xml:space="preserve">  GHAZI GUEST HOUSE RENT</v>
          </cell>
          <cell r="D11473">
            <v>31200</v>
          </cell>
          <cell r="E11473">
            <v>0</v>
          </cell>
          <cell r="F11473">
            <v>0</v>
          </cell>
          <cell r="G11473">
            <v>0</v>
          </cell>
        </row>
        <row r="11474">
          <cell r="A11474" t="str">
            <v>74-12-01-0002</v>
          </cell>
          <cell r="B11474">
            <v>0</v>
          </cell>
          <cell r="C11474" t="str">
            <v xml:space="preserve">  GHAZI GUEST HOUSE ELECTRICITY CHARGES.</v>
          </cell>
          <cell r="D11474">
            <v>1446</v>
          </cell>
          <cell r="E11474">
            <v>0</v>
          </cell>
          <cell r="F11474">
            <v>0</v>
          </cell>
          <cell r="G11474">
            <v>0</v>
          </cell>
        </row>
        <row r="11475">
          <cell r="A11475" t="str">
            <v>74-12-01-0003</v>
          </cell>
          <cell r="B11475">
            <v>0</v>
          </cell>
          <cell r="C11475" t="str">
            <v xml:space="preserve">  GHAZI GUSET HOUSE TELEPHONE</v>
          </cell>
          <cell r="D11475">
            <v>1100</v>
          </cell>
          <cell r="E11475">
            <v>0</v>
          </cell>
          <cell r="F11475">
            <v>0</v>
          </cell>
          <cell r="G11475">
            <v>0</v>
          </cell>
        </row>
        <row r="11476">
          <cell r="A11476" t="str">
            <v>74-12-01-0004</v>
          </cell>
          <cell r="B11476">
            <v>0</v>
          </cell>
          <cell r="C11476" t="str">
            <v xml:space="preserve">  GHAZI GUEST HOUSE OTHERS</v>
          </cell>
          <cell r="D11476">
            <v>0</v>
          </cell>
          <cell r="E11476">
            <v>3390</v>
          </cell>
          <cell r="F11476">
            <v>0</v>
          </cell>
          <cell r="G11476">
            <v>0</v>
          </cell>
        </row>
        <row r="11477">
          <cell r="A11477" t="str">
            <v>74-13</v>
          </cell>
          <cell r="B11477">
            <v>0</v>
          </cell>
          <cell r="C11477" t="str">
            <v>**EMPLOYEES OLD AGE BENEFITS  FACTORY</v>
          </cell>
          <cell r="D11477">
            <v>4766044</v>
          </cell>
          <cell r="E11477">
            <v>0</v>
          </cell>
          <cell r="F11477">
            <v>4766044</v>
          </cell>
          <cell r="G11477">
            <v>0</v>
          </cell>
        </row>
        <row r="11478">
          <cell r="A11478" t="str">
            <v>74-13-01</v>
          </cell>
          <cell r="B11478">
            <v>0</v>
          </cell>
          <cell r="C11478" t="str">
            <v>***EMPLOYEES OLD AGE BENEFITS  FACTORY</v>
          </cell>
          <cell r="D11478">
            <v>4766044</v>
          </cell>
          <cell r="E11478">
            <v>0</v>
          </cell>
          <cell r="F11478">
            <v>4766044</v>
          </cell>
          <cell r="G11478">
            <v>0</v>
          </cell>
        </row>
        <row r="11479">
          <cell r="A11479" t="str">
            <v>74-13-01-0001</v>
          </cell>
          <cell r="B11479">
            <v>0</v>
          </cell>
          <cell r="C11479" t="str">
            <v xml:space="preserve">  EMPLOYEES OLD AGE BENEFITS  FACTORY</v>
          </cell>
          <cell r="D11479">
            <v>4766044</v>
          </cell>
          <cell r="E11479">
            <v>0</v>
          </cell>
          <cell r="F11479">
            <v>0</v>
          </cell>
          <cell r="G11479">
            <v>0</v>
          </cell>
        </row>
        <row r="11480">
          <cell r="A11480" t="str">
            <v>74-14</v>
          </cell>
          <cell r="B11480">
            <v>0</v>
          </cell>
          <cell r="C11480" t="str">
            <v>**EMPLOYEES SOCIAL SECURITY CONTRIBUTION</v>
          </cell>
          <cell r="D11480">
            <v>3018579</v>
          </cell>
          <cell r="E11480">
            <v>0</v>
          </cell>
          <cell r="F11480">
            <v>3018579</v>
          </cell>
          <cell r="G11480">
            <v>0</v>
          </cell>
        </row>
        <row r="11481">
          <cell r="A11481" t="str">
            <v>74-14-01</v>
          </cell>
          <cell r="B11481">
            <v>0</v>
          </cell>
          <cell r="C11481" t="str">
            <v>***EMPLOYEES SOCIAL SECURITY CONTRIBUTIO</v>
          </cell>
          <cell r="D11481">
            <v>3018579</v>
          </cell>
          <cell r="E11481">
            <v>0</v>
          </cell>
          <cell r="F11481">
            <v>3018579</v>
          </cell>
          <cell r="G11481">
            <v>0</v>
          </cell>
        </row>
        <row r="11482">
          <cell r="A11482" t="str">
            <v>74-14-01-0001</v>
          </cell>
          <cell r="B11482">
            <v>0</v>
          </cell>
          <cell r="C11482" t="str">
            <v xml:space="preserve">  EMPLOYEES SOCIAL SECURITY CONTRIBUTION</v>
          </cell>
          <cell r="D11482">
            <v>3018579</v>
          </cell>
          <cell r="E11482">
            <v>0</v>
          </cell>
          <cell r="F11482">
            <v>0</v>
          </cell>
          <cell r="G11482">
            <v>0</v>
          </cell>
        </row>
        <row r="11483">
          <cell r="A11483" t="str">
            <v>74-15</v>
          </cell>
          <cell r="B11483">
            <v>0</v>
          </cell>
          <cell r="C11483" t="str">
            <v>**CHILDREN EDUCATION CESS  FACTORY</v>
          </cell>
          <cell r="D11483">
            <v>170000</v>
          </cell>
          <cell r="E11483">
            <v>0</v>
          </cell>
          <cell r="F11483">
            <v>170000</v>
          </cell>
          <cell r="G11483">
            <v>0</v>
          </cell>
        </row>
        <row r="11484">
          <cell r="A11484" t="str">
            <v>74-15-01</v>
          </cell>
          <cell r="B11484">
            <v>0</v>
          </cell>
          <cell r="C11484" t="str">
            <v>***CHILDREN EDUCATION CESS  FACTORY</v>
          </cell>
          <cell r="D11484">
            <v>170000</v>
          </cell>
          <cell r="E11484">
            <v>0</v>
          </cell>
          <cell r="F11484">
            <v>170000</v>
          </cell>
          <cell r="G11484">
            <v>0</v>
          </cell>
        </row>
        <row r="11485">
          <cell r="A11485" t="str">
            <v>74-15-01-0001</v>
          </cell>
          <cell r="B11485">
            <v>0</v>
          </cell>
          <cell r="C11485" t="str">
            <v xml:space="preserve">  CHILDREN EDUCATION CESS  FACTORY</v>
          </cell>
          <cell r="D11485">
            <v>170000</v>
          </cell>
          <cell r="E11485">
            <v>0</v>
          </cell>
          <cell r="F11485">
            <v>0</v>
          </cell>
          <cell r="G11485">
            <v>0</v>
          </cell>
        </row>
        <row r="11486">
          <cell r="A11486" t="str">
            <v>74-16</v>
          </cell>
          <cell r="B11486">
            <v>0</v>
          </cell>
          <cell r="C11486" t="str">
            <v>**BONUS FACTORY</v>
          </cell>
          <cell r="D11486">
            <v>38095204</v>
          </cell>
          <cell r="E11486">
            <v>0</v>
          </cell>
          <cell r="F11486">
            <v>38095204</v>
          </cell>
          <cell r="G11486">
            <v>0</v>
          </cell>
        </row>
        <row r="11487">
          <cell r="A11487" t="str">
            <v>74-16-01</v>
          </cell>
          <cell r="B11487">
            <v>0</v>
          </cell>
          <cell r="C11487" t="str">
            <v>***BONUS FACTORY</v>
          </cell>
          <cell r="D11487">
            <v>38095204</v>
          </cell>
          <cell r="E11487">
            <v>0</v>
          </cell>
          <cell r="F11487">
            <v>38095204</v>
          </cell>
          <cell r="G11487">
            <v>0</v>
          </cell>
        </row>
        <row r="11488">
          <cell r="A11488" t="str">
            <v>74-16-01-0001</v>
          </cell>
          <cell r="B11488">
            <v>0</v>
          </cell>
          <cell r="C11488" t="str">
            <v xml:space="preserve">  BONUS FACTORY MILL # 1.</v>
          </cell>
          <cell r="D11488">
            <v>2791144</v>
          </cell>
          <cell r="E11488">
            <v>0</v>
          </cell>
          <cell r="F11488">
            <v>0</v>
          </cell>
          <cell r="G11488">
            <v>0</v>
          </cell>
        </row>
        <row r="11489">
          <cell r="A11489" t="str">
            <v>74-16-01-0002</v>
          </cell>
          <cell r="B11489">
            <v>0</v>
          </cell>
          <cell r="C11489" t="str">
            <v xml:space="preserve">  BONUS FACTORY MILL # 2.</v>
          </cell>
          <cell r="D11489">
            <v>2542263</v>
          </cell>
          <cell r="E11489">
            <v>0</v>
          </cell>
          <cell r="F11489">
            <v>0</v>
          </cell>
          <cell r="G11489">
            <v>0</v>
          </cell>
        </row>
        <row r="11490">
          <cell r="A11490" t="str">
            <v>74-16-01-0003</v>
          </cell>
          <cell r="B11490">
            <v>0</v>
          </cell>
          <cell r="C11490" t="str">
            <v xml:space="preserve">  BONUS FACTORY MILL # 3</v>
          </cell>
          <cell r="D11490">
            <v>1991913</v>
          </cell>
          <cell r="E11490">
            <v>0</v>
          </cell>
          <cell r="F11490">
            <v>0</v>
          </cell>
          <cell r="G11490">
            <v>0</v>
          </cell>
        </row>
        <row r="11491">
          <cell r="A11491" t="str">
            <v>74-16-01-0004</v>
          </cell>
          <cell r="B11491">
            <v>0</v>
          </cell>
          <cell r="C11491" t="str">
            <v xml:space="preserve">  BONUS FACTORY MILL # 4</v>
          </cell>
          <cell r="D11491">
            <v>2124693</v>
          </cell>
          <cell r="E11491">
            <v>0</v>
          </cell>
          <cell r="F11491">
            <v>0</v>
          </cell>
          <cell r="G11491">
            <v>0</v>
          </cell>
        </row>
        <row r="11492">
          <cell r="A11492" t="str">
            <v>74-16-01-0005</v>
          </cell>
          <cell r="B11492">
            <v>0</v>
          </cell>
          <cell r="C11492" t="str">
            <v xml:space="preserve">  BONUS FACTORY POWER PLANT</v>
          </cell>
          <cell r="D11492">
            <v>415000</v>
          </cell>
          <cell r="E11492">
            <v>0</v>
          </cell>
          <cell r="F11492">
            <v>0</v>
          </cell>
          <cell r="G11492">
            <v>0</v>
          </cell>
        </row>
        <row r="11493">
          <cell r="A11493" t="str">
            <v>74-16-01-0006</v>
          </cell>
          <cell r="B11493">
            <v>0</v>
          </cell>
          <cell r="C11493" t="str">
            <v xml:space="preserve">  BONUS FACTORY GENERAL</v>
          </cell>
          <cell r="D11493">
            <v>25990539</v>
          </cell>
          <cell r="E11493">
            <v>0</v>
          </cell>
          <cell r="F11493">
            <v>0</v>
          </cell>
          <cell r="G11493">
            <v>0</v>
          </cell>
        </row>
        <row r="11494">
          <cell r="A11494" t="str">
            <v>74-16-01-0007</v>
          </cell>
          <cell r="B11494">
            <v>0</v>
          </cell>
          <cell r="C11494" t="str">
            <v xml:space="preserve">  BONUS FACTORY MILL # 5</v>
          </cell>
          <cell r="D11494">
            <v>352184</v>
          </cell>
          <cell r="E11494">
            <v>0</v>
          </cell>
          <cell r="F11494">
            <v>0</v>
          </cell>
          <cell r="G11494">
            <v>0</v>
          </cell>
        </row>
        <row r="11495">
          <cell r="A11495" t="str">
            <v>74-16-01-0008</v>
          </cell>
          <cell r="B11495">
            <v>0</v>
          </cell>
          <cell r="C11495" t="str">
            <v xml:space="preserve">  BONUS FACTORY MILL # 6</v>
          </cell>
          <cell r="D11495">
            <v>735121</v>
          </cell>
          <cell r="E11495">
            <v>0</v>
          </cell>
          <cell r="F11495">
            <v>0</v>
          </cell>
          <cell r="G11495">
            <v>0</v>
          </cell>
        </row>
        <row r="11496">
          <cell r="A11496" t="str">
            <v>74-16-01-0009</v>
          </cell>
          <cell r="B11496">
            <v>0</v>
          </cell>
          <cell r="C11496" t="str">
            <v xml:space="preserve">  BONUS FACTORY MILL # 7</v>
          </cell>
          <cell r="D11496">
            <v>830281</v>
          </cell>
          <cell r="E11496">
            <v>0</v>
          </cell>
          <cell r="F11496">
            <v>0</v>
          </cell>
          <cell r="G11496">
            <v>0</v>
          </cell>
        </row>
        <row r="11497">
          <cell r="A11497" t="str">
            <v>74-16-01-0010</v>
          </cell>
          <cell r="B11497">
            <v>0</v>
          </cell>
          <cell r="C11497" t="str">
            <v xml:space="preserve">  BONUS FACTORY MILL # D</v>
          </cell>
          <cell r="D11497">
            <v>240608</v>
          </cell>
          <cell r="E11497">
            <v>0</v>
          </cell>
          <cell r="F11497">
            <v>0</v>
          </cell>
          <cell r="G11497">
            <v>0</v>
          </cell>
        </row>
        <row r="11498">
          <cell r="A11498" t="str">
            <v>74-16-01-0011</v>
          </cell>
          <cell r="B11498">
            <v>0</v>
          </cell>
          <cell r="C11498" t="str">
            <v xml:space="preserve">  BONUS FACTORY MILL # M</v>
          </cell>
          <cell r="D11498">
            <v>81458</v>
          </cell>
          <cell r="E11498">
            <v>0</v>
          </cell>
          <cell r="F11498">
            <v>0</v>
          </cell>
          <cell r="G11498">
            <v>0</v>
          </cell>
        </row>
        <row r="11499">
          <cell r="A11499" t="str">
            <v>74-17</v>
          </cell>
          <cell r="B11499">
            <v>0</v>
          </cell>
          <cell r="C11499" t="str">
            <v>**WORKER'S WELFARE EXPENSES FACTORY</v>
          </cell>
          <cell r="D11499">
            <v>389784</v>
          </cell>
          <cell r="E11499">
            <v>0</v>
          </cell>
          <cell r="F11499">
            <v>389784</v>
          </cell>
          <cell r="G11499">
            <v>0</v>
          </cell>
        </row>
        <row r="11500">
          <cell r="A11500" t="str">
            <v>74-17-01</v>
          </cell>
          <cell r="B11500">
            <v>0</v>
          </cell>
          <cell r="C11500" t="str">
            <v>***WORKER'S WELFARE EXPENSES FACTORY</v>
          </cell>
          <cell r="D11500">
            <v>389784</v>
          </cell>
          <cell r="E11500">
            <v>0</v>
          </cell>
          <cell r="F11500">
            <v>389784</v>
          </cell>
          <cell r="G11500">
            <v>0</v>
          </cell>
        </row>
        <row r="11501">
          <cell r="A11501" t="str">
            <v>74-17-01-0001</v>
          </cell>
          <cell r="B11501">
            <v>0</v>
          </cell>
          <cell r="C11501" t="str">
            <v xml:space="preserve">  WORKERS WELFARE EXPENSES  FACTORY</v>
          </cell>
          <cell r="D11501">
            <v>39234</v>
          </cell>
          <cell r="E11501">
            <v>0</v>
          </cell>
          <cell r="F11501">
            <v>0</v>
          </cell>
          <cell r="G11501">
            <v>0</v>
          </cell>
        </row>
        <row r="11502">
          <cell r="A11502" t="str">
            <v>74-17-01-0002</v>
          </cell>
          <cell r="B11502">
            <v>0</v>
          </cell>
          <cell r="C11502" t="str">
            <v xml:space="preserve">  TAX ON SALARIES</v>
          </cell>
          <cell r="D11502">
            <v>350550</v>
          </cell>
          <cell r="E11502">
            <v>0</v>
          </cell>
          <cell r="F11502">
            <v>0</v>
          </cell>
          <cell r="G11502">
            <v>0</v>
          </cell>
        </row>
        <row r="11503">
          <cell r="A11503" t="str">
            <v>74-17-01-0003</v>
          </cell>
          <cell r="B11503">
            <v>0</v>
          </cell>
          <cell r="C11503" t="str">
            <v xml:space="preserve">  WORKER'S WELFARE FUND</v>
          </cell>
          <cell r="D11503">
            <v>0</v>
          </cell>
          <cell r="E11503">
            <v>0</v>
          </cell>
          <cell r="F11503">
            <v>0</v>
          </cell>
          <cell r="G11503">
            <v>0</v>
          </cell>
        </row>
        <row r="11504">
          <cell r="A11504" t="str">
            <v>75</v>
          </cell>
          <cell r="B11504">
            <v>0</v>
          </cell>
          <cell r="C11504" t="str">
            <v>*FUEL POWER AND ELECTRICITY</v>
          </cell>
          <cell r="D11504">
            <v>499973641.47000003</v>
          </cell>
          <cell r="E11504">
            <v>0</v>
          </cell>
          <cell r="F11504">
            <v>499973641.47000003</v>
          </cell>
          <cell r="G11504">
            <v>0</v>
          </cell>
        </row>
        <row r="11505">
          <cell r="A11505" t="str">
            <v>75-01</v>
          </cell>
          <cell r="B11505">
            <v>0</v>
          </cell>
          <cell r="C11505" t="str">
            <v>**ELECTRIC CHARGES FACTORY</v>
          </cell>
          <cell r="D11505">
            <v>95457246</v>
          </cell>
          <cell r="E11505">
            <v>0</v>
          </cell>
          <cell r="F11505">
            <v>95457246</v>
          </cell>
          <cell r="G11505">
            <v>0</v>
          </cell>
        </row>
        <row r="11506">
          <cell r="A11506" t="str">
            <v>75-01-01</v>
          </cell>
          <cell r="B11506">
            <v>0</v>
          </cell>
          <cell r="C11506" t="str">
            <v>***ELECTRIC CHARGES FACTORY</v>
          </cell>
          <cell r="D11506">
            <v>95457246</v>
          </cell>
          <cell r="E11506">
            <v>0</v>
          </cell>
          <cell r="F11506">
            <v>95457246</v>
          </cell>
          <cell r="G11506">
            <v>0</v>
          </cell>
        </row>
        <row r="11507">
          <cell r="A11507" t="str">
            <v>75-01-01-0001</v>
          </cell>
          <cell r="B11507">
            <v>0</v>
          </cell>
          <cell r="C11507" t="str">
            <v xml:space="preserve">  ELECTRIC CHARGES FACTORY</v>
          </cell>
          <cell r="D11507">
            <v>95433926</v>
          </cell>
          <cell r="E11507">
            <v>0</v>
          </cell>
          <cell r="F11507">
            <v>0</v>
          </cell>
          <cell r="G11507">
            <v>0</v>
          </cell>
        </row>
        <row r="11508">
          <cell r="A11508" t="str">
            <v>75-01-01-0002</v>
          </cell>
          <cell r="B11508">
            <v>0</v>
          </cell>
          <cell r="C11508" t="str">
            <v xml:space="preserve">  GAS CHARGES  MESS FACTORY</v>
          </cell>
          <cell r="D11508">
            <v>23320</v>
          </cell>
          <cell r="E11508">
            <v>0</v>
          </cell>
          <cell r="F11508">
            <v>0</v>
          </cell>
          <cell r="G11508">
            <v>0</v>
          </cell>
        </row>
        <row r="11509">
          <cell r="A11509" t="str">
            <v>75-02</v>
          </cell>
          <cell r="B11509">
            <v>0</v>
          </cell>
          <cell r="C11509" t="str">
            <v>**GENERATOR RUNNING EXPENSES FACTORY</v>
          </cell>
          <cell r="D11509">
            <v>67235076</v>
          </cell>
          <cell r="E11509">
            <v>0</v>
          </cell>
          <cell r="F11509">
            <v>67235076</v>
          </cell>
          <cell r="G11509">
            <v>0</v>
          </cell>
        </row>
        <row r="11510">
          <cell r="A11510" t="str">
            <v>75-02-01</v>
          </cell>
          <cell r="B11510">
            <v>0</v>
          </cell>
          <cell r="C11510" t="str">
            <v>***GENERATOR RUNNING EXPENSES</v>
          </cell>
          <cell r="D11510">
            <v>67235076</v>
          </cell>
          <cell r="E11510">
            <v>0</v>
          </cell>
          <cell r="F11510">
            <v>67235076</v>
          </cell>
          <cell r="G11510">
            <v>0</v>
          </cell>
        </row>
        <row r="11511">
          <cell r="A11511" t="str">
            <v>75-02-01-0001</v>
          </cell>
          <cell r="B11511">
            <v>0</v>
          </cell>
          <cell r="C11511" t="str">
            <v xml:space="preserve">  STORE CONSUMED GENERATOR</v>
          </cell>
          <cell r="D11511">
            <v>1482174</v>
          </cell>
          <cell r="E11511">
            <v>0</v>
          </cell>
          <cell r="F11511">
            <v>0</v>
          </cell>
          <cell r="G11511">
            <v>0</v>
          </cell>
        </row>
        <row r="11512">
          <cell r="A11512" t="str">
            <v>75-02-01-0002</v>
          </cell>
          <cell r="B11512">
            <v>0</v>
          </cell>
          <cell r="C11512" t="str">
            <v xml:space="preserve">  POWER PLANT</v>
          </cell>
          <cell r="D11512">
            <v>0</v>
          </cell>
          <cell r="E11512">
            <v>0</v>
          </cell>
          <cell r="F11512">
            <v>0</v>
          </cell>
          <cell r="G11512">
            <v>0</v>
          </cell>
        </row>
        <row r="11513">
          <cell r="A11513" t="str">
            <v>75-02-01-0003</v>
          </cell>
          <cell r="B11513">
            <v>0</v>
          </cell>
          <cell r="C11513" t="str">
            <v xml:space="preserve">  SUI GAS CHARGES FACTORY POWER PLANT</v>
          </cell>
          <cell r="D11513">
            <v>65752902</v>
          </cell>
          <cell r="E11513">
            <v>0</v>
          </cell>
          <cell r="F11513">
            <v>0</v>
          </cell>
          <cell r="G11513">
            <v>0</v>
          </cell>
        </row>
        <row r="11514">
          <cell r="A11514" t="str">
            <v>75-03</v>
          </cell>
          <cell r="B11514">
            <v>0</v>
          </cell>
          <cell r="C11514" t="str">
            <v>**POWER PLANT</v>
          </cell>
          <cell r="D11514">
            <v>337281319.47000003</v>
          </cell>
          <cell r="E11514">
            <v>0</v>
          </cell>
          <cell r="F11514">
            <v>337281319.47000003</v>
          </cell>
          <cell r="G11514">
            <v>0</v>
          </cell>
        </row>
        <row r="11515">
          <cell r="A11515" t="str">
            <v>75-03-01</v>
          </cell>
          <cell r="B11515">
            <v>0</v>
          </cell>
          <cell r="C11515" t="str">
            <v>***POWER PLANT</v>
          </cell>
          <cell r="D11515">
            <v>337281319.47000003</v>
          </cell>
          <cell r="E11515">
            <v>0</v>
          </cell>
          <cell r="F11515">
            <v>337281319.47000003</v>
          </cell>
          <cell r="G11515">
            <v>0</v>
          </cell>
        </row>
        <row r="11516">
          <cell r="A11516" t="str">
            <v>75-03-01-0001</v>
          </cell>
          <cell r="B11516">
            <v>0</v>
          </cell>
          <cell r="C11516" t="str">
            <v xml:space="preserve">  STORE CONSUMED POWER PLANT</v>
          </cell>
          <cell r="D11516">
            <v>324605463.04000002</v>
          </cell>
          <cell r="E11516">
            <v>0</v>
          </cell>
          <cell r="F11516">
            <v>0</v>
          </cell>
          <cell r="G11516">
            <v>0</v>
          </cell>
        </row>
        <row r="11517">
          <cell r="A11517" t="str">
            <v>75-03-01-0002</v>
          </cell>
          <cell r="B11517">
            <v>0</v>
          </cell>
          <cell r="C11517" t="str">
            <v xml:space="preserve">  R.M GENARAL (POWER PLANT)</v>
          </cell>
          <cell r="D11517">
            <v>360661</v>
          </cell>
          <cell r="E11517">
            <v>0</v>
          </cell>
          <cell r="F11517">
            <v>0</v>
          </cell>
          <cell r="G11517">
            <v>0</v>
          </cell>
        </row>
        <row r="11518">
          <cell r="A11518" t="str">
            <v>75-03-01-0003</v>
          </cell>
          <cell r="B11518">
            <v>0</v>
          </cell>
          <cell r="C11518" t="str">
            <v xml:space="preserve">  FREIGHT AND OCTRIO POWER PLANT</v>
          </cell>
          <cell r="D11518">
            <v>111715</v>
          </cell>
          <cell r="E11518">
            <v>0</v>
          </cell>
          <cell r="F11518">
            <v>0</v>
          </cell>
          <cell r="G11518">
            <v>0</v>
          </cell>
        </row>
        <row r="11519">
          <cell r="A11519" t="str">
            <v>75-03-01-0004</v>
          </cell>
          <cell r="B11519">
            <v>0</v>
          </cell>
          <cell r="C11519" t="str">
            <v xml:space="preserve">  STORE CONSUMED POWER PLANT II</v>
          </cell>
          <cell r="D11519">
            <v>2877440.04</v>
          </cell>
          <cell r="E11519">
            <v>0</v>
          </cell>
          <cell r="F11519">
            <v>0</v>
          </cell>
          <cell r="G11519">
            <v>0</v>
          </cell>
        </row>
        <row r="11520">
          <cell r="A11520" t="str">
            <v>75-03-01-0005</v>
          </cell>
          <cell r="B11520">
            <v>0</v>
          </cell>
          <cell r="C11520" t="str">
            <v xml:space="preserve">  STORE CONSUMED POWER PLANT III</v>
          </cell>
          <cell r="D11520">
            <v>9326040.3900000006</v>
          </cell>
          <cell r="E11520">
            <v>0</v>
          </cell>
          <cell r="F11520">
            <v>0</v>
          </cell>
          <cell r="G11520">
            <v>0</v>
          </cell>
        </row>
        <row r="11521">
          <cell r="A11521" t="str">
            <v>76</v>
          </cell>
          <cell r="B11521">
            <v>0</v>
          </cell>
          <cell r="C11521" t="str">
            <v>*OTHER MANUFACTURING EXPENSES</v>
          </cell>
          <cell r="D11521">
            <v>46872459.299999997</v>
          </cell>
          <cell r="E11521">
            <v>0</v>
          </cell>
          <cell r="F11521">
            <v>47204599.299999997</v>
          </cell>
          <cell r="G11521">
            <v>332140</v>
          </cell>
        </row>
        <row r="11522">
          <cell r="A11522" t="str">
            <v>76-01</v>
          </cell>
          <cell r="B11522">
            <v>332140</v>
          </cell>
          <cell r="C11522" t="str">
            <v>**OTHER MANUFACTURING EXPENSES</v>
          </cell>
          <cell r="D11522">
            <v>46872459.299999997</v>
          </cell>
          <cell r="E11522">
            <v>0</v>
          </cell>
          <cell r="F11522">
            <v>47204599.299999997</v>
          </cell>
          <cell r="G11522">
            <v>332140</v>
          </cell>
        </row>
        <row r="11523">
          <cell r="A11523" t="str">
            <v>76-01-01</v>
          </cell>
          <cell r="B11523">
            <v>332140</v>
          </cell>
          <cell r="C11523" t="str">
            <v>***PACKING CHARGES</v>
          </cell>
          <cell r="D11523">
            <v>4061490</v>
          </cell>
          <cell r="E11523">
            <v>0</v>
          </cell>
          <cell r="F11523">
            <v>4061490</v>
          </cell>
          <cell r="G11523">
            <v>0</v>
          </cell>
        </row>
        <row r="11524">
          <cell r="A11524" t="str">
            <v>76-01-01-0001</v>
          </cell>
          <cell r="B11524">
            <v>0</v>
          </cell>
          <cell r="C11524" t="str">
            <v xml:space="preserve">  PACKING CHARGES MILL # 01</v>
          </cell>
          <cell r="D11524">
            <v>743579</v>
          </cell>
          <cell r="E11524">
            <v>0</v>
          </cell>
          <cell r="F11524">
            <v>0</v>
          </cell>
          <cell r="G11524">
            <v>0</v>
          </cell>
        </row>
        <row r="11525">
          <cell r="A11525" t="str">
            <v>76-01-01-0002</v>
          </cell>
          <cell r="B11525">
            <v>0</v>
          </cell>
          <cell r="C11525" t="str">
            <v xml:space="preserve">  PACKING CHARGES MILL # 02</v>
          </cell>
          <cell r="D11525">
            <v>592069</v>
          </cell>
          <cell r="E11525">
            <v>0</v>
          </cell>
          <cell r="F11525">
            <v>0</v>
          </cell>
          <cell r="G11525">
            <v>0</v>
          </cell>
        </row>
        <row r="11526">
          <cell r="A11526" t="str">
            <v>76-01-01-0003</v>
          </cell>
          <cell r="B11526">
            <v>0</v>
          </cell>
          <cell r="C11526" t="str">
            <v xml:space="preserve">  PACKING CHARGES MILL # 03</v>
          </cell>
          <cell r="D11526">
            <v>1181808</v>
          </cell>
          <cell r="E11526">
            <v>0</v>
          </cell>
          <cell r="F11526">
            <v>0</v>
          </cell>
          <cell r="G11526">
            <v>0</v>
          </cell>
        </row>
        <row r="11527">
          <cell r="A11527" t="str">
            <v>76-01-01-0004</v>
          </cell>
          <cell r="B11527">
            <v>0</v>
          </cell>
          <cell r="C11527" t="str">
            <v xml:space="preserve">  PACKING CHARGES MILL # 04</v>
          </cell>
          <cell r="D11527">
            <v>635090</v>
          </cell>
          <cell r="E11527">
            <v>0</v>
          </cell>
          <cell r="F11527">
            <v>0</v>
          </cell>
          <cell r="G11527">
            <v>0</v>
          </cell>
        </row>
        <row r="11528">
          <cell r="A11528" t="str">
            <v>76-01-01-0005</v>
          </cell>
          <cell r="B11528">
            <v>0</v>
          </cell>
          <cell r="C11528" t="str">
            <v xml:space="preserve">  PACKING CHARGES MILL # 05</v>
          </cell>
          <cell r="D11528">
            <v>346884</v>
          </cell>
          <cell r="E11528">
            <v>0</v>
          </cell>
          <cell r="F11528">
            <v>0</v>
          </cell>
          <cell r="G11528">
            <v>0</v>
          </cell>
        </row>
        <row r="11529">
          <cell r="A11529" t="str">
            <v>76-01-01-0006</v>
          </cell>
          <cell r="B11529">
            <v>0</v>
          </cell>
          <cell r="C11529" t="str">
            <v xml:space="preserve">  PACKING CHARGES MILL # 06</v>
          </cell>
          <cell r="D11529">
            <v>369749</v>
          </cell>
          <cell r="E11529">
            <v>0</v>
          </cell>
          <cell r="F11529">
            <v>0</v>
          </cell>
          <cell r="G11529">
            <v>0</v>
          </cell>
        </row>
        <row r="11530">
          <cell r="A11530" t="str">
            <v>76-01-01-0007</v>
          </cell>
          <cell r="B11530">
            <v>0</v>
          </cell>
          <cell r="C11530" t="str">
            <v xml:space="preserve">  PACKING CHARGES GENERAL</v>
          </cell>
          <cell r="D11530">
            <v>11935</v>
          </cell>
          <cell r="E11530">
            <v>0</v>
          </cell>
          <cell r="F11530">
            <v>0</v>
          </cell>
          <cell r="G11530">
            <v>0</v>
          </cell>
        </row>
        <row r="11531">
          <cell r="A11531" t="str">
            <v>76-01-01-0008</v>
          </cell>
          <cell r="B11531">
            <v>0</v>
          </cell>
          <cell r="C11531" t="str">
            <v xml:space="preserve">  PACKING CHARGES MILL # 07</v>
          </cell>
          <cell r="D11531">
            <v>180376</v>
          </cell>
          <cell r="E11531">
            <v>0</v>
          </cell>
          <cell r="F11531">
            <v>0</v>
          </cell>
          <cell r="G11531">
            <v>0</v>
          </cell>
        </row>
        <row r="11532">
          <cell r="A11532" t="str">
            <v>76-01-02</v>
          </cell>
          <cell r="B11532">
            <v>0</v>
          </cell>
          <cell r="C11532" t="str">
            <v>***MANUFACTURING INSURANCE</v>
          </cell>
          <cell r="D11532">
            <v>15255910.5</v>
          </cell>
          <cell r="E11532">
            <v>0</v>
          </cell>
          <cell r="F11532">
            <v>15255910.5</v>
          </cell>
          <cell r="G11532">
            <v>0</v>
          </cell>
        </row>
        <row r="11533">
          <cell r="A11533" t="str">
            <v>76-01-02-0001</v>
          </cell>
          <cell r="B11533">
            <v>0</v>
          </cell>
          <cell r="C11533" t="str">
            <v xml:space="preserve">  MANUFACTURING INSURANCE</v>
          </cell>
          <cell r="D11533">
            <v>15255910.5</v>
          </cell>
          <cell r="E11533">
            <v>0</v>
          </cell>
          <cell r="F11533">
            <v>0</v>
          </cell>
          <cell r="G11533">
            <v>0</v>
          </cell>
        </row>
        <row r="11534">
          <cell r="A11534" t="str">
            <v>76-01-03</v>
          </cell>
          <cell r="B11534">
            <v>0</v>
          </cell>
          <cell r="C11534" t="str">
            <v>***LOADING AND UNLOADING CHARGES</v>
          </cell>
          <cell r="D11534">
            <v>2834130</v>
          </cell>
          <cell r="E11534">
            <v>0</v>
          </cell>
          <cell r="F11534">
            <v>2834130</v>
          </cell>
          <cell r="G11534">
            <v>0</v>
          </cell>
        </row>
        <row r="11535">
          <cell r="A11535" t="str">
            <v>76-01-03-0001</v>
          </cell>
          <cell r="B11535">
            <v>0</v>
          </cell>
          <cell r="C11535" t="str">
            <v xml:space="preserve">  LOADING AND UNLOADING CHARGES MILL # 0</v>
          </cell>
          <cell r="D11535">
            <v>622507</v>
          </cell>
          <cell r="E11535">
            <v>0</v>
          </cell>
          <cell r="F11535">
            <v>0</v>
          </cell>
          <cell r="G11535">
            <v>0</v>
          </cell>
        </row>
        <row r="11536">
          <cell r="A11536" t="str">
            <v>76-01-03-0002</v>
          </cell>
          <cell r="B11536">
            <v>0</v>
          </cell>
          <cell r="C11536" t="str">
            <v xml:space="preserve">  LOADING AND UNLOADING CHARGES MILL # 0</v>
          </cell>
          <cell r="D11536">
            <v>457733</v>
          </cell>
          <cell r="E11536">
            <v>0</v>
          </cell>
          <cell r="F11536">
            <v>0</v>
          </cell>
          <cell r="G11536">
            <v>0</v>
          </cell>
        </row>
        <row r="11537">
          <cell r="A11537" t="str">
            <v>76-01-03-0003</v>
          </cell>
          <cell r="B11537">
            <v>0</v>
          </cell>
          <cell r="C11537" t="str">
            <v xml:space="preserve">  LOADING AND UNLOADING CHARGES MILL # 0</v>
          </cell>
          <cell r="D11537">
            <v>581426</v>
          </cell>
          <cell r="E11537">
            <v>0</v>
          </cell>
          <cell r="F11537">
            <v>0</v>
          </cell>
          <cell r="G11537">
            <v>0</v>
          </cell>
        </row>
        <row r="11538">
          <cell r="A11538" t="str">
            <v>76-01-03-0004</v>
          </cell>
          <cell r="B11538">
            <v>0</v>
          </cell>
          <cell r="C11538" t="str">
            <v xml:space="preserve">  LOADING AND UNLOADING CHARGES MILL # 0</v>
          </cell>
          <cell r="D11538">
            <v>886112</v>
          </cell>
          <cell r="E11538">
            <v>0</v>
          </cell>
          <cell r="F11538">
            <v>0</v>
          </cell>
          <cell r="G11538">
            <v>0</v>
          </cell>
        </row>
        <row r="11539">
          <cell r="A11539" t="str">
            <v>76-01-03-0005</v>
          </cell>
          <cell r="B11539">
            <v>0</v>
          </cell>
          <cell r="C11539" t="str">
            <v xml:space="preserve">  LOADING AND UNLOADING CHARGES GENERAL</v>
          </cell>
          <cell r="D11539">
            <v>139568</v>
          </cell>
          <cell r="E11539">
            <v>0</v>
          </cell>
          <cell r="F11539">
            <v>0</v>
          </cell>
          <cell r="G11539">
            <v>0</v>
          </cell>
        </row>
        <row r="11540">
          <cell r="A11540" t="str">
            <v>76-01-03-0007</v>
          </cell>
          <cell r="B11540">
            <v>0</v>
          </cell>
          <cell r="C11540" t="str">
            <v xml:space="preserve">  LOADING AND UNLOADING CHARGES MILL # 0</v>
          </cell>
          <cell r="D11540">
            <v>146784</v>
          </cell>
          <cell r="E11540">
            <v>0</v>
          </cell>
          <cell r="F11540">
            <v>0</v>
          </cell>
          <cell r="G11540">
            <v>0</v>
          </cell>
        </row>
        <row r="11541">
          <cell r="A11541" t="str">
            <v>76-01-04</v>
          </cell>
          <cell r="B11541">
            <v>0</v>
          </cell>
          <cell r="C11541" t="str">
            <v>***R M FORK LIFTER</v>
          </cell>
          <cell r="D11541">
            <v>34706</v>
          </cell>
          <cell r="E11541">
            <v>0</v>
          </cell>
          <cell r="F11541">
            <v>34706</v>
          </cell>
          <cell r="G11541">
            <v>0</v>
          </cell>
        </row>
        <row r="11542">
          <cell r="A11542" t="str">
            <v>76-01-04-0001</v>
          </cell>
          <cell r="B11542">
            <v>0</v>
          </cell>
          <cell r="C11542" t="str">
            <v xml:space="preserve">  R M FORK LIFTER TCM NEW ENG # C 240</v>
          </cell>
          <cell r="D11542">
            <v>11451</v>
          </cell>
          <cell r="E11542">
            <v>0</v>
          </cell>
          <cell r="F11542">
            <v>0</v>
          </cell>
          <cell r="G11542">
            <v>0</v>
          </cell>
        </row>
        <row r="11543">
          <cell r="A11543" t="str">
            <v>76-01-04-0002</v>
          </cell>
          <cell r="B11543">
            <v>0</v>
          </cell>
          <cell r="C11543" t="str">
            <v xml:space="preserve">  R M FORK LIFTER TCM OLD</v>
          </cell>
          <cell r="D11543">
            <v>80</v>
          </cell>
          <cell r="E11543">
            <v>0</v>
          </cell>
          <cell r="F11543">
            <v>0</v>
          </cell>
          <cell r="G11543">
            <v>0</v>
          </cell>
        </row>
        <row r="11544">
          <cell r="A11544" t="str">
            <v>76-01-04-0003</v>
          </cell>
          <cell r="B11544">
            <v>0</v>
          </cell>
          <cell r="C11544" t="str">
            <v xml:space="preserve">  R M FORK LIFTER TOYOTA ENG # 1 DZ-0056</v>
          </cell>
          <cell r="D11544">
            <v>4050</v>
          </cell>
          <cell r="E11544">
            <v>0</v>
          </cell>
          <cell r="F11544">
            <v>0</v>
          </cell>
          <cell r="G11544">
            <v>0</v>
          </cell>
        </row>
        <row r="11545">
          <cell r="A11545" t="str">
            <v>76-01-04-0004</v>
          </cell>
          <cell r="B11545">
            <v>0</v>
          </cell>
          <cell r="C11545" t="str">
            <v xml:space="preserve">  R M FORK LIFTER TCM 2000</v>
          </cell>
          <cell r="D11545">
            <v>19125</v>
          </cell>
          <cell r="E11545">
            <v>0</v>
          </cell>
          <cell r="F11545">
            <v>0</v>
          </cell>
          <cell r="G11545">
            <v>0</v>
          </cell>
        </row>
        <row r="11546">
          <cell r="A11546" t="str">
            <v>76-01-05</v>
          </cell>
          <cell r="B11546">
            <v>0</v>
          </cell>
          <cell r="C11546" t="str">
            <v>***R M BUILDING</v>
          </cell>
          <cell r="D11546">
            <v>6264180</v>
          </cell>
          <cell r="E11546">
            <v>0</v>
          </cell>
          <cell r="F11546">
            <v>6264180</v>
          </cell>
          <cell r="G11546">
            <v>0</v>
          </cell>
        </row>
        <row r="11547">
          <cell r="A11547" t="str">
            <v>76-01-05-0001</v>
          </cell>
          <cell r="B11547">
            <v>0</v>
          </cell>
          <cell r="C11547" t="str">
            <v xml:space="preserve">  REPAIR &amp; MAINTENANCE BUILDING</v>
          </cell>
          <cell r="D11547">
            <v>4116485</v>
          </cell>
          <cell r="E11547">
            <v>0</v>
          </cell>
          <cell r="F11547">
            <v>0</v>
          </cell>
          <cell r="G11547">
            <v>0</v>
          </cell>
        </row>
        <row r="11548">
          <cell r="A11548" t="str">
            <v>76-01-05-0002</v>
          </cell>
          <cell r="B11548">
            <v>0</v>
          </cell>
          <cell r="C11548" t="str">
            <v xml:space="preserve">  REPAIR &amp; MAINTAINENCE-BUILDING MILL #</v>
          </cell>
          <cell r="D11548">
            <v>356995</v>
          </cell>
          <cell r="E11548">
            <v>0</v>
          </cell>
          <cell r="F11548">
            <v>0</v>
          </cell>
          <cell r="G11548">
            <v>0</v>
          </cell>
        </row>
        <row r="11549">
          <cell r="A11549" t="str">
            <v>76-01-05-0003</v>
          </cell>
          <cell r="B11549">
            <v>0</v>
          </cell>
          <cell r="C11549" t="str">
            <v xml:space="preserve">  REPAIR &amp; MAINTENANCE BUILDING MILL # 0</v>
          </cell>
          <cell r="D11549">
            <v>802348</v>
          </cell>
          <cell r="E11549">
            <v>0</v>
          </cell>
          <cell r="F11549">
            <v>0</v>
          </cell>
          <cell r="G11549">
            <v>0</v>
          </cell>
        </row>
        <row r="11550">
          <cell r="A11550" t="str">
            <v>76-01-05-0004</v>
          </cell>
          <cell r="B11550">
            <v>0</v>
          </cell>
          <cell r="C11550" t="str">
            <v xml:space="preserve">  REPAIR &amp; MAINTENANCE BUILDING MILL # 0</v>
          </cell>
          <cell r="D11550">
            <v>241902</v>
          </cell>
          <cell r="E11550">
            <v>0</v>
          </cell>
          <cell r="F11550">
            <v>0</v>
          </cell>
          <cell r="G11550">
            <v>0</v>
          </cell>
        </row>
        <row r="11551">
          <cell r="A11551" t="str">
            <v>76-01-05-0005</v>
          </cell>
          <cell r="B11551">
            <v>0</v>
          </cell>
          <cell r="C11551" t="str">
            <v xml:space="preserve">  REPAIR &amp; MAINTENANCE BUILDING MILL -04</v>
          </cell>
          <cell r="D11551">
            <v>70756</v>
          </cell>
          <cell r="E11551">
            <v>0</v>
          </cell>
          <cell r="F11551">
            <v>0</v>
          </cell>
          <cell r="G11551">
            <v>0</v>
          </cell>
        </row>
        <row r="11552">
          <cell r="A11552" t="str">
            <v>76-01-05-0006</v>
          </cell>
          <cell r="B11552">
            <v>0</v>
          </cell>
          <cell r="C11552" t="str">
            <v xml:space="preserve">  REPAIR &amp; MAINTENANCE BUILDING MILL # 0</v>
          </cell>
          <cell r="D11552">
            <v>0</v>
          </cell>
          <cell r="E11552">
            <v>0</v>
          </cell>
          <cell r="F11552">
            <v>0</v>
          </cell>
          <cell r="G11552">
            <v>0</v>
          </cell>
        </row>
        <row r="11553">
          <cell r="A11553" t="str">
            <v>76-01-05-0007</v>
          </cell>
          <cell r="B11553">
            <v>0</v>
          </cell>
          <cell r="C11553" t="str">
            <v xml:space="preserve">  REPAIR &amp; MAINTENANCE BUILDING MILL # 0</v>
          </cell>
          <cell r="D11553">
            <v>365742</v>
          </cell>
          <cell r="E11553">
            <v>0</v>
          </cell>
          <cell r="F11553">
            <v>0</v>
          </cell>
          <cell r="G11553">
            <v>0</v>
          </cell>
        </row>
        <row r="11554">
          <cell r="A11554" t="str">
            <v>76-01-05-0008</v>
          </cell>
          <cell r="B11554">
            <v>0</v>
          </cell>
          <cell r="C11554" t="str">
            <v xml:space="preserve">  REPAIR &amp; MAINTENANCE BUILDING MILL # 0</v>
          </cell>
          <cell r="D11554">
            <v>235011</v>
          </cell>
          <cell r="E11554">
            <v>0</v>
          </cell>
          <cell r="F11554">
            <v>0</v>
          </cell>
          <cell r="G11554">
            <v>0</v>
          </cell>
        </row>
        <row r="11555">
          <cell r="A11555" t="str">
            <v>76-01-05-0009</v>
          </cell>
          <cell r="B11555">
            <v>0</v>
          </cell>
          <cell r="C11555" t="str">
            <v xml:space="preserve">  REPAIR AND MAINTENANCE BLDG.-POWER PLA</v>
          </cell>
          <cell r="D11555">
            <v>74941</v>
          </cell>
          <cell r="E11555">
            <v>0</v>
          </cell>
          <cell r="F11555">
            <v>0</v>
          </cell>
          <cell r="G11555">
            <v>0</v>
          </cell>
        </row>
        <row r="11556">
          <cell r="A11556" t="str">
            <v>76-01-06</v>
          </cell>
          <cell r="B11556">
            <v>0</v>
          </cell>
          <cell r="C11556" t="str">
            <v>***R M PLANT AND MACHINERY</v>
          </cell>
          <cell r="D11556">
            <v>1889935</v>
          </cell>
          <cell r="E11556">
            <v>0</v>
          </cell>
          <cell r="F11556">
            <v>1889935</v>
          </cell>
          <cell r="G11556">
            <v>0</v>
          </cell>
        </row>
        <row r="11557">
          <cell r="A11557" t="str">
            <v>76-01-06-0001</v>
          </cell>
          <cell r="B11557">
            <v>0</v>
          </cell>
          <cell r="C11557" t="str">
            <v xml:space="preserve">  R M PLANT AND MACHINERY</v>
          </cell>
          <cell r="D11557">
            <v>1889935</v>
          </cell>
          <cell r="E11557">
            <v>0</v>
          </cell>
          <cell r="F11557">
            <v>0</v>
          </cell>
          <cell r="G11557">
            <v>0</v>
          </cell>
        </row>
        <row r="11558">
          <cell r="A11558" t="str">
            <v>76-01-07</v>
          </cell>
          <cell r="B11558">
            <v>0</v>
          </cell>
          <cell r="C11558" t="str">
            <v>***R M GENERAL</v>
          </cell>
          <cell r="D11558">
            <v>2680899</v>
          </cell>
          <cell r="E11558">
            <v>0</v>
          </cell>
          <cell r="F11558">
            <v>2680899</v>
          </cell>
          <cell r="G11558">
            <v>0</v>
          </cell>
        </row>
        <row r="11559">
          <cell r="A11559" t="str">
            <v>76-01-07-0001</v>
          </cell>
          <cell r="B11559">
            <v>0</v>
          </cell>
          <cell r="C11559" t="str">
            <v xml:space="preserve">  R M GENERAL</v>
          </cell>
          <cell r="D11559">
            <v>510095</v>
          </cell>
          <cell r="E11559">
            <v>0</v>
          </cell>
          <cell r="F11559">
            <v>0</v>
          </cell>
          <cell r="G11559">
            <v>0</v>
          </cell>
        </row>
        <row r="11560">
          <cell r="A11560" t="str">
            <v>76-01-07-0002</v>
          </cell>
          <cell r="B11560">
            <v>0</v>
          </cell>
          <cell r="C11560" t="str">
            <v xml:space="preserve">  REPAIR MAINTANANCE OFFICE EQUIPMENT.</v>
          </cell>
          <cell r="D11560">
            <v>25688</v>
          </cell>
          <cell r="E11560">
            <v>0</v>
          </cell>
          <cell r="F11560">
            <v>0</v>
          </cell>
          <cell r="G11560">
            <v>0</v>
          </cell>
        </row>
        <row r="11561">
          <cell r="A11561" t="str">
            <v>76-01-07-0003</v>
          </cell>
          <cell r="B11561">
            <v>0</v>
          </cell>
          <cell r="C11561" t="str">
            <v xml:space="preserve">  WATER CHARGES  FACTORY</v>
          </cell>
          <cell r="D11561">
            <v>387094</v>
          </cell>
          <cell r="E11561">
            <v>0</v>
          </cell>
          <cell r="F11561">
            <v>0</v>
          </cell>
          <cell r="G11561">
            <v>0</v>
          </cell>
        </row>
        <row r="11562">
          <cell r="A11562" t="str">
            <v>76-01-07-0004</v>
          </cell>
          <cell r="B11562">
            <v>0</v>
          </cell>
          <cell r="C11562" t="str">
            <v xml:space="preserve">  SANITATION &amp; SWEEPING EXPENSES  FACTOR</v>
          </cell>
          <cell r="D11562">
            <v>483667</v>
          </cell>
          <cell r="E11562">
            <v>0</v>
          </cell>
          <cell r="F11562">
            <v>0</v>
          </cell>
          <cell r="G11562">
            <v>0</v>
          </cell>
        </row>
        <row r="11563">
          <cell r="A11563" t="str">
            <v>76-01-07-0005</v>
          </cell>
          <cell r="B11563">
            <v>0</v>
          </cell>
          <cell r="C11563" t="str">
            <v xml:space="preserve">  R M GENERAL POWER PLANT</v>
          </cell>
          <cell r="D11563">
            <v>1271055</v>
          </cell>
          <cell r="E11563">
            <v>0</v>
          </cell>
          <cell r="F11563">
            <v>0</v>
          </cell>
          <cell r="G11563">
            <v>0</v>
          </cell>
        </row>
        <row r="11564">
          <cell r="A11564" t="str">
            <v>76-01-07-0006</v>
          </cell>
          <cell r="B11564">
            <v>0</v>
          </cell>
          <cell r="C11564" t="str">
            <v xml:space="preserve">  R M GENERATOR</v>
          </cell>
          <cell r="D11564">
            <v>0</v>
          </cell>
          <cell r="E11564">
            <v>0</v>
          </cell>
          <cell r="F11564">
            <v>0</v>
          </cell>
          <cell r="G11564">
            <v>0</v>
          </cell>
        </row>
        <row r="11565">
          <cell r="A11565" t="str">
            <v>76-01-07-0007</v>
          </cell>
          <cell r="B11565">
            <v>0</v>
          </cell>
          <cell r="C11565" t="str">
            <v xml:space="preserve">  WATER CHARGES (POWER PLANT)</v>
          </cell>
          <cell r="D11565">
            <v>3300</v>
          </cell>
          <cell r="E11565">
            <v>0</v>
          </cell>
          <cell r="F11565">
            <v>0</v>
          </cell>
          <cell r="G11565">
            <v>0</v>
          </cell>
        </row>
        <row r="11566">
          <cell r="A11566" t="str">
            <v>76-01-08</v>
          </cell>
          <cell r="B11566">
            <v>0</v>
          </cell>
          <cell r="C11566" t="str">
            <v>***DEPRECIATION</v>
          </cell>
          <cell r="D11566">
            <v>0</v>
          </cell>
          <cell r="E11566">
            <v>332140</v>
          </cell>
          <cell r="F11566">
            <v>0</v>
          </cell>
          <cell r="G11566">
            <v>332140</v>
          </cell>
        </row>
        <row r="11567">
          <cell r="A11567" t="str">
            <v>76-01-08-0001</v>
          </cell>
          <cell r="B11567">
            <v>332140</v>
          </cell>
          <cell r="C11567" t="str">
            <v xml:space="preserve">  DEPRECIATION</v>
          </cell>
          <cell r="D11567">
            <v>0</v>
          </cell>
          <cell r="E11567">
            <v>332140</v>
          </cell>
          <cell r="F11567">
            <v>0</v>
          </cell>
          <cell r="G11567">
            <v>0</v>
          </cell>
        </row>
        <row r="11568">
          <cell r="A11568" t="str">
            <v>76-01-09</v>
          </cell>
          <cell r="B11568">
            <v>0</v>
          </cell>
          <cell r="C11568" t="str">
            <v>***POSTAGE AND TELEGRAM  FACTORY</v>
          </cell>
          <cell r="D11568">
            <v>545543</v>
          </cell>
          <cell r="E11568">
            <v>0</v>
          </cell>
          <cell r="F11568">
            <v>545543</v>
          </cell>
          <cell r="G11568">
            <v>0</v>
          </cell>
        </row>
        <row r="11569">
          <cell r="A11569" t="str">
            <v>76-01-09-0001</v>
          </cell>
          <cell r="B11569">
            <v>0</v>
          </cell>
          <cell r="C11569" t="str">
            <v xml:space="preserve">  POSTAGE AND TELEGRAM  FACTORY</v>
          </cell>
          <cell r="D11569">
            <v>545287</v>
          </cell>
          <cell r="E11569">
            <v>0</v>
          </cell>
          <cell r="F11569">
            <v>0</v>
          </cell>
          <cell r="G11569">
            <v>0</v>
          </cell>
        </row>
        <row r="11570">
          <cell r="A11570" t="str">
            <v>76-01-09-0002</v>
          </cell>
          <cell r="B11570">
            <v>0</v>
          </cell>
          <cell r="C11570" t="str">
            <v xml:space="preserve">  POSTAGE AND TELEGRAM  FACTORY POWER PL</v>
          </cell>
          <cell r="D11570">
            <v>256</v>
          </cell>
          <cell r="E11570">
            <v>0</v>
          </cell>
          <cell r="F11570">
            <v>0</v>
          </cell>
          <cell r="G11570">
            <v>0</v>
          </cell>
        </row>
        <row r="11571">
          <cell r="A11571" t="str">
            <v>76-01-10</v>
          </cell>
          <cell r="B11571">
            <v>0</v>
          </cell>
          <cell r="C11571" t="str">
            <v>***TRAVELLING AND CONVEYANCE FACTORY.</v>
          </cell>
          <cell r="D11571">
            <v>1708224</v>
          </cell>
          <cell r="E11571">
            <v>0</v>
          </cell>
          <cell r="F11571">
            <v>1708224</v>
          </cell>
          <cell r="G11571">
            <v>0</v>
          </cell>
        </row>
        <row r="11572">
          <cell r="A11572" t="str">
            <v>76-01-10-0001</v>
          </cell>
          <cell r="B11572">
            <v>0</v>
          </cell>
          <cell r="C11572" t="str">
            <v xml:space="preserve">  TRAVELLING AND CONVEYANCE FACTORY</v>
          </cell>
          <cell r="D11572">
            <v>1576383</v>
          </cell>
          <cell r="E11572">
            <v>0</v>
          </cell>
          <cell r="F11572">
            <v>0</v>
          </cell>
          <cell r="G11572">
            <v>0</v>
          </cell>
        </row>
        <row r="11573">
          <cell r="A11573" t="str">
            <v>76-01-10-0002</v>
          </cell>
          <cell r="B11573">
            <v>0</v>
          </cell>
          <cell r="C11573" t="str">
            <v xml:space="preserve">  TRAVELLING AND CONVENYANCE (POWER PLAN</v>
          </cell>
          <cell r="D11573">
            <v>27800</v>
          </cell>
          <cell r="E11573">
            <v>0</v>
          </cell>
          <cell r="F11573">
            <v>0</v>
          </cell>
          <cell r="G11573">
            <v>0</v>
          </cell>
        </row>
        <row r="11574">
          <cell r="A11574" t="str">
            <v>76-01-10-0003</v>
          </cell>
          <cell r="B11574">
            <v>0</v>
          </cell>
          <cell r="C11574" t="str">
            <v xml:space="preserve">  HOTELING CHARGES-FACTORY</v>
          </cell>
          <cell r="D11574">
            <v>104041</v>
          </cell>
          <cell r="E11574">
            <v>0</v>
          </cell>
          <cell r="F11574">
            <v>0</v>
          </cell>
          <cell r="G11574">
            <v>0</v>
          </cell>
        </row>
        <row r="11575">
          <cell r="A11575" t="str">
            <v>76-01-11</v>
          </cell>
          <cell r="B11575">
            <v>0</v>
          </cell>
          <cell r="C11575" t="str">
            <v>***MESSING EXPENSES  FACTORY</v>
          </cell>
          <cell r="D11575">
            <v>1505219</v>
          </cell>
          <cell r="E11575">
            <v>0</v>
          </cell>
          <cell r="F11575">
            <v>1505219</v>
          </cell>
          <cell r="G11575">
            <v>0</v>
          </cell>
        </row>
        <row r="11576">
          <cell r="A11576" t="str">
            <v>76-01-11-0001</v>
          </cell>
          <cell r="B11576">
            <v>0</v>
          </cell>
          <cell r="C11576" t="str">
            <v xml:space="preserve">  MESSING EXPENSES  FACTORY</v>
          </cell>
          <cell r="D11576">
            <v>829645</v>
          </cell>
          <cell r="E11576">
            <v>0</v>
          </cell>
          <cell r="F11576">
            <v>0</v>
          </cell>
          <cell r="G11576">
            <v>0</v>
          </cell>
        </row>
        <row r="11577">
          <cell r="A11577" t="str">
            <v>76-01-11-0002</v>
          </cell>
          <cell r="B11577">
            <v>0</v>
          </cell>
          <cell r="C11577" t="str">
            <v xml:space="preserve">  ENTERTAINMENT  EXPENSES (POWER PLANT)</v>
          </cell>
          <cell r="D11577">
            <v>2115</v>
          </cell>
          <cell r="E11577">
            <v>0</v>
          </cell>
          <cell r="F11577">
            <v>0</v>
          </cell>
          <cell r="G11577">
            <v>0</v>
          </cell>
        </row>
        <row r="11578">
          <cell r="A11578" t="str">
            <v>76-01-11-0003</v>
          </cell>
          <cell r="B11578">
            <v>0</v>
          </cell>
          <cell r="C11578" t="str">
            <v xml:space="preserve">  ENTERTAINMENT  FACTORY</v>
          </cell>
          <cell r="D11578">
            <v>673459</v>
          </cell>
          <cell r="E11578">
            <v>0</v>
          </cell>
          <cell r="F11578">
            <v>0</v>
          </cell>
          <cell r="G11578">
            <v>0</v>
          </cell>
        </row>
        <row r="11579">
          <cell r="A11579" t="str">
            <v>76-01-12</v>
          </cell>
          <cell r="B11579">
            <v>0</v>
          </cell>
          <cell r="C11579" t="str">
            <v>***GENERAL EXPENSES  FACTORY</v>
          </cell>
          <cell r="D11579">
            <v>575418</v>
          </cell>
          <cell r="E11579">
            <v>0</v>
          </cell>
          <cell r="F11579">
            <v>575418</v>
          </cell>
          <cell r="G11579">
            <v>0</v>
          </cell>
        </row>
        <row r="11580">
          <cell r="A11580" t="str">
            <v>76-01-12-0001</v>
          </cell>
          <cell r="B11580">
            <v>0</v>
          </cell>
          <cell r="C11580" t="str">
            <v xml:space="preserve">  GENERAL EXPENSES  FACTORY</v>
          </cell>
          <cell r="D11580">
            <v>4353</v>
          </cell>
          <cell r="E11580">
            <v>0</v>
          </cell>
          <cell r="F11580">
            <v>0</v>
          </cell>
          <cell r="G11580">
            <v>0</v>
          </cell>
        </row>
        <row r="11581">
          <cell r="A11581" t="str">
            <v>76-01-12-0002</v>
          </cell>
          <cell r="B11581">
            <v>0</v>
          </cell>
          <cell r="C11581" t="str">
            <v xml:space="preserve">  LEGAL &amp; PROFESSIONAL CHARGES &amp; STAMPDU</v>
          </cell>
          <cell r="D11581">
            <v>277275</v>
          </cell>
          <cell r="E11581">
            <v>0</v>
          </cell>
          <cell r="F11581">
            <v>0</v>
          </cell>
          <cell r="G11581">
            <v>0</v>
          </cell>
        </row>
        <row r="11582">
          <cell r="A11582" t="str">
            <v>76-01-12-0003</v>
          </cell>
          <cell r="B11582">
            <v>0</v>
          </cell>
          <cell r="C11582" t="str">
            <v xml:space="preserve">  SECURITY EXPENSES-CASH CARRY BRINKS</v>
          </cell>
          <cell r="D11582">
            <v>251825</v>
          </cell>
          <cell r="E11582">
            <v>0</v>
          </cell>
          <cell r="F11582">
            <v>0</v>
          </cell>
          <cell r="G11582">
            <v>0</v>
          </cell>
        </row>
        <row r="11583">
          <cell r="A11583" t="str">
            <v>76-01-12-0004</v>
          </cell>
          <cell r="B11583">
            <v>0</v>
          </cell>
          <cell r="C11583" t="str">
            <v xml:space="preserve">  SAMPLING AND TESTING-FACTORY</v>
          </cell>
          <cell r="D11583">
            <v>41965</v>
          </cell>
          <cell r="E11583">
            <v>0</v>
          </cell>
          <cell r="F11583">
            <v>0</v>
          </cell>
          <cell r="G11583">
            <v>0</v>
          </cell>
        </row>
        <row r="11584">
          <cell r="A11584" t="str">
            <v>76-01-13</v>
          </cell>
          <cell r="B11584">
            <v>0</v>
          </cell>
          <cell r="C11584" t="str">
            <v>***PRINTING AND STATIONERY FACTORY</v>
          </cell>
          <cell r="D11584">
            <v>40074</v>
          </cell>
          <cell r="E11584">
            <v>0</v>
          </cell>
          <cell r="F11584">
            <v>40074</v>
          </cell>
          <cell r="G11584">
            <v>0</v>
          </cell>
        </row>
        <row r="11585">
          <cell r="A11585" t="str">
            <v>76-01-13-0001</v>
          </cell>
          <cell r="B11585">
            <v>0</v>
          </cell>
          <cell r="C11585" t="str">
            <v xml:space="preserve">  PRINTING AND STATIONERY FACTORY</v>
          </cell>
          <cell r="D11585">
            <v>37306</v>
          </cell>
          <cell r="E11585">
            <v>0</v>
          </cell>
          <cell r="F11585">
            <v>0</v>
          </cell>
          <cell r="G11585">
            <v>0</v>
          </cell>
        </row>
        <row r="11586">
          <cell r="A11586" t="str">
            <v>76-01-13-0002</v>
          </cell>
          <cell r="B11586">
            <v>0</v>
          </cell>
          <cell r="C11586" t="str">
            <v xml:space="preserve">  PRINTING AND STATIONERY POWER PLANT</v>
          </cell>
          <cell r="D11586">
            <v>2768</v>
          </cell>
          <cell r="E11586">
            <v>0</v>
          </cell>
          <cell r="F11586">
            <v>0</v>
          </cell>
          <cell r="G11586">
            <v>0</v>
          </cell>
        </row>
        <row r="11587">
          <cell r="A11587" t="str">
            <v>76-01-14</v>
          </cell>
          <cell r="B11587">
            <v>0</v>
          </cell>
          <cell r="C11587" t="str">
            <v>***TELEPHONE AND FAX EXPENSES  FACTORY</v>
          </cell>
          <cell r="D11587">
            <v>1005662</v>
          </cell>
          <cell r="E11587">
            <v>0</v>
          </cell>
          <cell r="F11587">
            <v>1005662</v>
          </cell>
          <cell r="G11587">
            <v>0</v>
          </cell>
        </row>
        <row r="11588">
          <cell r="A11588" t="str">
            <v>76-01-14-0001</v>
          </cell>
          <cell r="B11588">
            <v>0</v>
          </cell>
          <cell r="C11588" t="str">
            <v xml:space="preserve">  TELEPHONE AND FAX EXPENSES  FACTORY</v>
          </cell>
          <cell r="D11588">
            <v>810425</v>
          </cell>
          <cell r="E11588">
            <v>0</v>
          </cell>
          <cell r="F11588">
            <v>0</v>
          </cell>
          <cell r="G11588">
            <v>0</v>
          </cell>
        </row>
        <row r="11589">
          <cell r="A11589" t="str">
            <v>76-01-14-0002</v>
          </cell>
          <cell r="B11589">
            <v>0</v>
          </cell>
          <cell r="C11589" t="str">
            <v xml:space="preserve">  TELEPHONE AND FAX EXPENSES  POWER PLAN</v>
          </cell>
          <cell r="D11589">
            <v>149502</v>
          </cell>
          <cell r="E11589">
            <v>0</v>
          </cell>
          <cell r="F11589">
            <v>0</v>
          </cell>
          <cell r="G11589">
            <v>0</v>
          </cell>
        </row>
        <row r="11590">
          <cell r="A11590" t="str">
            <v>76-01-14-0003</v>
          </cell>
          <cell r="B11590">
            <v>0</v>
          </cell>
          <cell r="C11590" t="str">
            <v xml:space="preserve">  INTERNET EXPENSES</v>
          </cell>
          <cell r="D11590">
            <v>45735</v>
          </cell>
          <cell r="E11590">
            <v>0</v>
          </cell>
          <cell r="F11590">
            <v>0</v>
          </cell>
          <cell r="G11590">
            <v>0</v>
          </cell>
        </row>
        <row r="11591">
          <cell r="A11591" t="str">
            <v>76-01-15</v>
          </cell>
          <cell r="B11591">
            <v>0</v>
          </cell>
          <cell r="C11591" t="str">
            <v>***CHARITY AND DONATION  FACTORY</v>
          </cell>
          <cell r="D11591">
            <v>5000</v>
          </cell>
          <cell r="E11591">
            <v>0</v>
          </cell>
          <cell r="F11591">
            <v>5000</v>
          </cell>
          <cell r="G11591">
            <v>0</v>
          </cell>
        </row>
        <row r="11592">
          <cell r="A11592" t="str">
            <v>76-01-15-0001</v>
          </cell>
          <cell r="B11592">
            <v>0</v>
          </cell>
          <cell r="C11592" t="str">
            <v xml:space="preserve">  CHARITY AND DONATION  FACTORY</v>
          </cell>
          <cell r="D11592">
            <v>5000</v>
          </cell>
          <cell r="E11592">
            <v>0</v>
          </cell>
          <cell r="F11592">
            <v>0</v>
          </cell>
          <cell r="G11592">
            <v>0</v>
          </cell>
        </row>
        <row r="11593">
          <cell r="A11593" t="str">
            <v>76-01-16</v>
          </cell>
          <cell r="B11593">
            <v>0</v>
          </cell>
          <cell r="C11593" t="str">
            <v>***BOOKS AND PERIODICALS  FACTORY</v>
          </cell>
          <cell r="D11593">
            <v>7295</v>
          </cell>
          <cell r="E11593">
            <v>0</v>
          </cell>
          <cell r="F11593">
            <v>7295</v>
          </cell>
          <cell r="G11593">
            <v>0</v>
          </cell>
        </row>
        <row r="11594">
          <cell r="A11594" t="str">
            <v>76-01-16-0001</v>
          </cell>
          <cell r="B11594">
            <v>0</v>
          </cell>
          <cell r="C11594" t="str">
            <v xml:space="preserve">  BOOKS AND PERIODICALS  FACTORY</v>
          </cell>
          <cell r="D11594">
            <v>7295</v>
          </cell>
          <cell r="E11594">
            <v>0</v>
          </cell>
          <cell r="F11594">
            <v>0</v>
          </cell>
          <cell r="G11594">
            <v>0</v>
          </cell>
        </row>
        <row r="11595">
          <cell r="A11595" t="str">
            <v>76-01-16-0002</v>
          </cell>
          <cell r="B11595">
            <v>0</v>
          </cell>
          <cell r="C11595" t="str">
            <v xml:space="preserve">  BOOKS AND PERIODICALS  POWER PLANT</v>
          </cell>
          <cell r="D11595">
            <v>0</v>
          </cell>
          <cell r="E11595">
            <v>0</v>
          </cell>
          <cell r="F11595">
            <v>0</v>
          </cell>
          <cell r="G11595">
            <v>0</v>
          </cell>
        </row>
        <row r="11596">
          <cell r="A11596" t="str">
            <v>76-01-17</v>
          </cell>
          <cell r="B11596">
            <v>0</v>
          </cell>
          <cell r="C11596" t="str">
            <v>***OFFICE EXPENSES  FACTORY</v>
          </cell>
          <cell r="D11596">
            <v>22007</v>
          </cell>
          <cell r="E11596">
            <v>0</v>
          </cell>
          <cell r="F11596">
            <v>22007</v>
          </cell>
          <cell r="G11596">
            <v>0</v>
          </cell>
        </row>
        <row r="11597">
          <cell r="A11597" t="str">
            <v>76-01-17-0001</v>
          </cell>
          <cell r="B11597">
            <v>0</v>
          </cell>
          <cell r="C11597" t="str">
            <v xml:space="preserve">  OFFICE EXPENSES  FACTORY</v>
          </cell>
          <cell r="D11597">
            <v>22007</v>
          </cell>
          <cell r="E11597">
            <v>0</v>
          </cell>
          <cell r="F11597">
            <v>0</v>
          </cell>
          <cell r="G11597">
            <v>0</v>
          </cell>
        </row>
        <row r="11598">
          <cell r="A11598" t="str">
            <v>76-01-17-0002</v>
          </cell>
          <cell r="B11598">
            <v>0</v>
          </cell>
          <cell r="C11598" t="str">
            <v xml:space="preserve">  OFFICE EXPENSES  POWER PLANT</v>
          </cell>
          <cell r="D11598">
            <v>0</v>
          </cell>
          <cell r="E11598">
            <v>0</v>
          </cell>
          <cell r="F11598">
            <v>0</v>
          </cell>
          <cell r="G11598">
            <v>0</v>
          </cell>
        </row>
        <row r="11599">
          <cell r="A11599" t="str">
            <v>76-01-18</v>
          </cell>
          <cell r="B11599">
            <v>0</v>
          </cell>
          <cell r="C11599" t="str">
            <v>***ADVERTISEMENT  FACTORY</v>
          </cell>
          <cell r="D11599">
            <v>25000</v>
          </cell>
          <cell r="E11599">
            <v>0</v>
          </cell>
          <cell r="F11599">
            <v>25000</v>
          </cell>
          <cell r="G11599">
            <v>0</v>
          </cell>
        </row>
        <row r="11600">
          <cell r="A11600" t="str">
            <v>76-01-18-0001</v>
          </cell>
          <cell r="B11600">
            <v>0</v>
          </cell>
          <cell r="C11600" t="str">
            <v xml:space="preserve">  ADVERTISEMENT  FACTORY</v>
          </cell>
          <cell r="D11600">
            <v>25000</v>
          </cell>
          <cell r="E11600">
            <v>0</v>
          </cell>
          <cell r="F11600">
            <v>0</v>
          </cell>
          <cell r="G11600">
            <v>0</v>
          </cell>
        </row>
        <row r="11601">
          <cell r="A11601" t="str">
            <v>76-01-19</v>
          </cell>
          <cell r="B11601">
            <v>0</v>
          </cell>
          <cell r="C11601" t="str">
            <v>***RENT RATES &amp; TAXES   FACTORY</v>
          </cell>
          <cell r="D11601">
            <v>202500</v>
          </cell>
          <cell r="E11601">
            <v>0</v>
          </cell>
          <cell r="F11601">
            <v>202500</v>
          </cell>
          <cell r="G11601">
            <v>0</v>
          </cell>
        </row>
        <row r="11602">
          <cell r="A11602" t="str">
            <v>76-01-19-0001</v>
          </cell>
          <cell r="B11602">
            <v>0</v>
          </cell>
          <cell r="C11602" t="str">
            <v xml:space="preserve">  RENT RATES &amp; TAXES   FACTORY</v>
          </cell>
          <cell r="D11602">
            <v>108750</v>
          </cell>
          <cell r="E11602">
            <v>0</v>
          </cell>
          <cell r="F11602">
            <v>0</v>
          </cell>
          <cell r="G11602">
            <v>0</v>
          </cell>
        </row>
        <row r="11603">
          <cell r="A11603" t="str">
            <v>76-01-19-0002</v>
          </cell>
          <cell r="B11603">
            <v>0</v>
          </cell>
          <cell r="C11603" t="str">
            <v xml:space="preserve">  RENT RATE AND TAXES (POWER PLANT)</v>
          </cell>
          <cell r="D11603">
            <v>93750</v>
          </cell>
          <cell r="E11603">
            <v>0</v>
          </cell>
          <cell r="F11603">
            <v>0</v>
          </cell>
          <cell r="G11603">
            <v>0</v>
          </cell>
        </row>
        <row r="11604">
          <cell r="A11604" t="str">
            <v>76-01-19-0003</v>
          </cell>
          <cell r="B11604">
            <v>0</v>
          </cell>
          <cell r="C11604" t="str">
            <v xml:space="preserve">  RENT RATES &amp; TAXES PURCHASE OFFICE-PIN</v>
          </cell>
          <cell r="D11604">
            <v>0</v>
          </cell>
          <cell r="E11604">
            <v>0</v>
          </cell>
          <cell r="F11604">
            <v>0</v>
          </cell>
          <cell r="G11604">
            <v>0</v>
          </cell>
        </row>
        <row r="11605">
          <cell r="A11605" t="str">
            <v>76-01-20</v>
          </cell>
          <cell r="B11605">
            <v>0</v>
          </cell>
          <cell r="C11605" t="str">
            <v>***FEE AND SUBCRIPTION  FACTORY</v>
          </cell>
          <cell r="D11605">
            <v>1740514</v>
          </cell>
          <cell r="E11605">
            <v>0</v>
          </cell>
          <cell r="F11605">
            <v>1740514</v>
          </cell>
          <cell r="G11605">
            <v>0</v>
          </cell>
        </row>
        <row r="11606">
          <cell r="A11606" t="str">
            <v>76-01-20-0001</v>
          </cell>
          <cell r="B11606">
            <v>0</v>
          </cell>
          <cell r="C11606" t="str">
            <v xml:space="preserve">  FEE AND SUBCRIPTION  FACTORY</v>
          </cell>
          <cell r="D11606">
            <v>415060</v>
          </cell>
          <cell r="E11606">
            <v>0</v>
          </cell>
          <cell r="F11606">
            <v>0</v>
          </cell>
          <cell r="G11606">
            <v>0</v>
          </cell>
        </row>
        <row r="11607">
          <cell r="A11607" t="str">
            <v>76-01-20-0002</v>
          </cell>
          <cell r="B11607">
            <v>0</v>
          </cell>
          <cell r="C11607" t="str">
            <v xml:space="preserve">  COTTON CESS</v>
          </cell>
          <cell r="D11607">
            <v>323840</v>
          </cell>
          <cell r="E11607">
            <v>0</v>
          </cell>
          <cell r="F11607">
            <v>0</v>
          </cell>
          <cell r="G11607">
            <v>0</v>
          </cell>
        </row>
        <row r="11608">
          <cell r="A11608" t="str">
            <v>76-01-20-0003</v>
          </cell>
          <cell r="B11608">
            <v>0</v>
          </cell>
          <cell r="C11608" t="str">
            <v xml:space="preserve">  AUDITORS EXPENSES FACTORY</v>
          </cell>
          <cell r="D11608">
            <v>0</v>
          </cell>
          <cell r="E11608">
            <v>0</v>
          </cell>
          <cell r="F11608">
            <v>0</v>
          </cell>
          <cell r="G11608">
            <v>0</v>
          </cell>
        </row>
        <row r="11609">
          <cell r="A11609" t="str">
            <v>76-01-20-0004</v>
          </cell>
          <cell r="B11609">
            <v>0</v>
          </cell>
          <cell r="C11609" t="str">
            <v xml:space="preserve">  FEE AND SUBSCRIPTION POWER PLANT</v>
          </cell>
          <cell r="D11609">
            <v>819638</v>
          </cell>
          <cell r="E11609">
            <v>0</v>
          </cell>
          <cell r="F11609">
            <v>0</v>
          </cell>
          <cell r="G11609">
            <v>0</v>
          </cell>
        </row>
        <row r="11610">
          <cell r="A11610" t="str">
            <v>76-01-20-0005</v>
          </cell>
          <cell r="B11610">
            <v>0</v>
          </cell>
          <cell r="C11610" t="str">
            <v xml:space="preserve">  CESS ON WORKING SPINDLES</v>
          </cell>
          <cell r="D11610">
            <v>181976</v>
          </cell>
          <cell r="E11610">
            <v>0</v>
          </cell>
          <cell r="F11610">
            <v>0</v>
          </cell>
          <cell r="G11610">
            <v>0</v>
          </cell>
        </row>
        <row r="11611">
          <cell r="A11611" t="str">
            <v>76-01-21</v>
          </cell>
          <cell r="B11611">
            <v>0</v>
          </cell>
          <cell r="C11611" t="str">
            <v>***GARDENING EXPENSES  FACTORY</v>
          </cell>
          <cell r="D11611">
            <v>12677</v>
          </cell>
          <cell r="E11611">
            <v>0</v>
          </cell>
          <cell r="F11611">
            <v>12677</v>
          </cell>
          <cell r="G11611">
            <v>0</v>
          </cell>
        </row>
        <row r="11612">
          <cell r="A11612" t="str">
            <v>76-01-21-0001</v>
          </cell>
          <cell r="B11612">
            <v>0</v>
          </cell>
          <cell r="C11612" t="str">
            <v xml:space="preserve">  GARDENING EXPENSES  FACTORY</v>
          </cell>
          <cell r="D11612">
            <v>12677</v>
          </cell>
          <cell r="E11612">
            <v>0</v>
          </cell>
          <cell r="F11612">
            <v>0</v>
          </cell>
          <cell r="G11612">
            <v>0</v>
          </cell>
        </row>
        <row r="11613">
          <cell r="A11613" t="str">
            <v>76-01-22</v>
          </cell>
          <cell r="B11613">
            <v>0</v>
          </cell>
          <cell r="C11613" t="str">
            <v>***V R M EXPENSES</v>
          </cell>
          <cell r="D11613">
            <v>2639561.7999999998</v>
          </cell>
          <cell r="E11613">
            <v>0</v>
          </cell>
          <cell r="F11613">
            <v>2639561.7999999998</v>
          </cell>
          <cell r="G11613">
            <v>0</v>
          </cell>
        </row>
        <row r="11614">
          <cell r="A11614" t="str">
            <v>76-01-22-0001</v>
          </cell>
          <cell r="B11614">
            <v>0</v>
          </cell>
          <cell r="C11614" t="str">
            <v xml:space="preserve">  D-3791 MITSUBISHI LANCER (FOR GUEST)</v>
          </cell>
          <cell r="D11614">
            <v>0</v>
          </cell>
          <cell r="E11614">
            <v>0</v>
          </cell>
          <cell r="F11614">
            <v>0</v>
          </cell>
          <cell r="G11614">
            <v>0</v>
          </cell>
        </row>
        <row r="11615">
          <cell r="A11615" t="str">
            <v>76-01-22-0002</v>
          </cell>
          <cell r="B11615">
            <v>0</v>
          </cell>
          <cell r="C11615" t="str">
            <v xml:space="preserve">  D-3796 TOYOTA COROLLA (FOR GUEST)</v>
          </cell>
          <cell r="D11615">
            <v>205872</v>
          </cell>
          <cell r="E11615">
            <v>0</v>
          </cell>
          <cell r="F11615">
            <v>0</v>
          </cell>
          <cell r="G11615">
            <v>0</v>
          </cell>
        </row>
        <row r="11616">
          <cell r="A11616" t="str">
            <v>76-01-22-0003</v>
          </cell>
          <cell r="B11616">
            <v>0</v>
          </cell>
          <cell r="C11616" t="str">
            <v xml:space="preserve">  D-3792 SUZUKI SWIFT (GENERAL)</v>
          </cell>
          <cell r="D11616">
            <v>0</v>
          </cell>
          <cell r="E11616">
            <v>0</v>
          </cell>
          <cell r="F11616">
            <v>0</v>
          </cell>
          <cell r="G11616">
            <v>0</v>
          </cell>
        </row>
        <row r="11617">
          <cell r="A11617" t="str">
            <v>76-01-22-0004</v>
          </cell>
          <cell r="B11617">
            <v>0</v>
          </cell>
          <cell r="C11617" t="str">
            <v xml:space="preserve">  D-3795 SUZUKI KHYBER (GENERAL)</v>
          </cell>
          <cell r="D11617">
            <v>144995</v>
          </cell>
          <cell r="E11617">
            <v>0</v>
          </cell>
          <cell r="F11617">
            <v>0</v>
          </cell>
          <cell r="G11617">
            <v>0</v>
          </cell>
        </row>
        <row r="11618">
          <cell r="A11618" t="str">
            <v>76-01-22-0005</v>
          </cell>
          <cell r="B11618">
            <v>0</v>
          </cell>
          <cell r="C11618" t="str">
            <v xml:space="preserve">  D-3794 SUZUKI 800 CC (GENERAL)</v>
          </cell>
          <cell r="D11618">
            <v>0</v>
          </cell>
          <cell r="E11618">
            <v>0</v>
          </cell>
          <cell r="F11618">
            <v>0</v>
          </cell>
          <cell r="G11618">
            <v>0</v>
          </cell>
        </row>
        <row r="11619">
          <cell r="A11619" t="str">
            <v>76-01-22-0006</v>
          </cell>
          <cell r="B11619">
            <v>0</v>
          </cell>
          <cell r="C11619" t="str">
            <v xml:space="preserve">  D-3797 SUZUKI KHYBER 1000 (I.MEHMOOD)</v>
          </cell>
          <cell r="D11619">
            <v>0</v>
          </cell>
          <cell r="E11619">
            <v>0</v>
          </cell>
          <cell r="F11619">
            <v>0</v>
          </cell>
          <cell r="G11619">
            <v>0</v>
          </cell>
        </row>
        <row r="11620">
          <cell r="A11620" t="str">
            <v>76-01-22-0007</v>
          </cell>
          <cell r="B11620">
            <v>0</v>
          </cell>
          <cell r="C11620" t="str">
            <v xml:space="preserve">  D-3793 SUZUKI KHYBER 1000 (LIAQAT ALI)</v>
          </cell>
          <cell r="D11620">
            <v>0</v>
          </cell>
          <cell r="E11620">
            <v>0</v>
          </cell>
          <cell r="F11620">
            <v>0</v>
          </cell>
          <cell r="G11620">
            <v>0</v>
          </cell>
        </row>
        <row r="11621">
          <cell r="A11621" t="str">
            <v>76-01-22-0008</v>
          </cell>
          <cell r="B11621">
            <v>0</v>
          </cell>
          <cell r="C11621" t="str">
            <v xml:space="preserve">  ABM-853 TOYOTA COROLLA (KHALID RASHEED</v>
          </cell>
          <cell r="D11621">
            <v>235769</v>
          </cell>
          <cell r="E11621">
            <v>0</v>
          </cell>
          <cell r="F11621">
            <v>0</v>
          </cell>
          <cell r="G11621">
            <v>0</v>
          </cell>
        </row>
        <row r="11622">
          <cell r="A11622" t="str">
            <v>76-01-22-0009</v>
          </cell>
          <cell r="B11622">
            <v>0</v>
          </cell>
          <cell r="C11622" t="str">
            <v xml:space="preserve">  ABW 582 TOYATA COROLLA (IFTIKHAR AHMED</v>
          </cell>
          <cell r="D11622">
            <v>12100</v>
          </cell>
          <cell r="E11622">
            <v>0</v>
          </cell>
          <cell r="F11622">
            <v>0</v>
          </cell>
          <cell r="G11622">
            <v>0</v>
          </cell>
        </row>
        <row r="11623">
          <cell r="A11623" t="str">
            <v>76-01-22-0010</v>
          </cell>
          <cell r="B11623">
            <v>0</v>
          </cell>
          <cell r="C11623" t="str">
            <v xml:space="preserve">  AEZ-067 IMTIAZ AHMED TM-067</v>
          </cell>
          <cell r="D11623">
            <v>0</v>
          </cell>
          <cell r="E11623">
            <v>0</v>
          </cell>
          <cell r="F11623">
            <v>0</v>
          </cell>
          <cell r="G11623">
            <v>0</v>
          </cell>
        </row>
        <row r="11624">
          <cell r="A11624" t="str">
            <v>76-01-22-0011</v>
          </cell>
          <cell r="B11624">
            <v>0</v>
          </cell>
          <cell r="C11624" t="str">
            <v xml:space="preserve">  ACH-924 TOYOTA COROLLA ASHRAF JAMAL GM</v>
          </cell>
          <cell r="D11624">
            <v>0</v>
          </cell>
          <cell r="E11624">
            <v>0</v>
          </cell>
          <cell r="F11624">
            <v>0</v>
          </cell>
          <cell r="G11624">
            <v>0</v>
          </cell>
        </row>
        <row r="11625">
          <cell r="A11625" t="str">
            <v>76-01-22-0012</v>
          </cell>
          <cell r="B11625">
            <v>0</v>
          </cell>
          <cell r="C11625" t="str">
            <v xml:space="preserve">  ACM 340 TOYOTA COROLLA (AZAM AKBAR)</v>
          </cell>
          <cell r="D11625">
            <v>0</v>
          </cell>
          <cell r="E11625">
            <v>0</v>
          </cell>
          <cell r="F11625">
            <v>0</v>
          </cell>
          <cell r="G11625">
            <v>0</v>
          </cell>
        </row>
        <row r="11626">
          <cell r="A11626" t="str">
            <v>76-01-22-0013</v>
          </cell>
          <cell r="B11626">
            <v>0</v>
          </cell>
          <cell r="C11626" t="str">
            <v xml:space="preserve">  RPT 5688 HYUNDAI SHAHZORE H-100 2600 C</v>
          </cell>
          <cell r="D11626">
            <v>149311</v>
          </cell>
          <cell r="E11626">
            <v>0</v>
          </cell>
          <cell r="F11626">
            <v>0</v>
          </cell>
          <cell r="G11626">
            <v>0</v>
          </cell>
        </row>
        <row r="11627">
          <cell r="A11627" t="str">
            <v>76-01-22-0014</v>
          </cell>
          <cell r="B11627">
            <v>0</v>
          </cell>
          <cell r="C11627" t="str">
            <v xml:space="preserve">  ACW-935 SENIOR TECHNICAL MANAGER M. #</v>
          </cell>
          <cell r="D11627">
            <v>0</v>
          </cell>
          <cell r="E11627">
            <v>0</v>
          </cell>
          <cell r="F11627">
            <v>0</v>
          </cell>
          <cell r="G11627">
            <v>0</v>
          </cell>
        </row>
        <row r="11628">
          <cell r="A11628" t="str">
            <v>76-01-22-0015</v>
          </cell>
          <cell r="B11628">
            <v>0</v>
          </cell>
          <cell r="C11628" t="str">
            <v xml:space="preserve">  ACZ-897 TOYOTA COROLLA (FOR GUEST)</v>
          </cell>
          <cell r="D11628">
            <v>0</v>
          </cell>
          <cell r="E11628">
            <v>0</v>
          </cell>
          <cell r="F11628">
            <v>0</v>
          </cell>
          <cell r="G11628">
            <v>0</v>
          </cell>
        </row>
        <row r="11629">
          <cell r="A11629" t="str">
            <v>76-01-22-0016</v>
          </cell>
          <cell r="B11629">
            <v>0</v>
          </cell>
          <cell r="C11629" t="str">
            <v xml:space="preserve">  ADC-329 TOYOTA COROLLA (VIQAR AHMAD)</v>
          </cell>
          <cell r="D11629">
            <v>962</v>
          </cell>
          <cell r="E11629">
            <v>0</v>
          </cell>
          <cell r="F11629">
            <v>0</v>
          </cell>
          <cell r="G11629">
            <v>0</v>
          </cell>
        </row>
        <row r="11630">
          <cell r="A11630" t="str">
            <v>76-01-22-0017</v>
          </cell>
          <cell r="B11630">
            <v>0</v>
          </cell>
          <cell r="C11630" t="str">
            <v xml:space="preserve">  ADM-144 TOYOTA COROLLA XEG</v>
          </cell>
          <cell r="D11630">
            <v>55996</v>
          </cell>
          <cell r="E11630">
            <v>0</v>
          </cell>
          <cell r="F11630">
            <v>0</v>
          </cell>
          <cell r="G11630">
            <v>0</v>
          </cell>
        </row>
        <row r="11631">
          <cell r="A11631" t="str">
            <v>76-01-22-0018</v>
          </cell>
          <cell r="B11631">
            <v>0</v>
          </cell>
          <cell r="C11631" t="str">
            <v xml:space="preserve">  ADY-267 KIA NGV</v>
          </cell>
          <cell r="D11631">
            <v>18525</v>
          </cell>
          <cell r="E11631">
            <v>0</v>
          </cell>
          <cell r="F11631">
            <v>0</v>
          </cell>
          <cell r="G11631">
            <v>0</v>
          </cell>
        </row>
        <row r="11632">
          <cell r="A11632" t="str">
            <v>76-01-22-0019</v>
          </cell>
          <cell r="B11632">
            <v>0</v>
          </cell>
          <cell r="C11632" t="str">
            <v xml:space="preserve">  JEEP BC-6325</v>
          </cell>
          <cell r="D11632">
            <v>29101</v>
          </cell>
          <cell r="E11632">
            <v>0</v>
          </cell>
          <cell r="F11632">
            <v>0</v>
          </cell>
          <cell r="G11632">
            <v>0</v>
          </cell>
        </row>
        <row r="11633">
          <cell r="A11633" t="str">
            <v>76-01-22-0020</v>
          </cell>
          <cell r="B11633">
            <v>0</v>
          </cell>
          <cell r="C11633" t="str">
            <v xml:space="preserve">  CH.MUHAMMAD SADIQ ALI G.M # 1</v>
          </cell>
          <cell r="D11633">
            <v>0</v>
          </cell>
          <cell r="E11633">
            <v>0</v>
          </cell>
          <cell r="F11633">
            <v>0</v>
          </cell>
          <cell r="G11633">
            <v>0</v>
          </cell>
        </row>
        <row r="11634">
          <cell r="A11634" t="str">
            <v>76-01-22-0021</v>
          </cell>
          <cell r="B11634">
            <v>0</v>
          </cell>
          <cell r="C11634" t="str">
            <v xml:space="preserve">  ACW-935 SUZUKI CALTUS SHAHBAZ AHMED MM</v>
          </cell>
          <cell r="D11634">
            <v>78522</v>
          </cell>
          <cell r="E11634">
            <v>0</v>
          </cell>
          <cell r="F11634">
            <v>0</v>
          </cell>
          <cell r="G11634">
            <v>0</v>
          </cell>
        </row>
        <row r="11635">
          <cell r="A11635" t="str">
            <v>76-01-22-0022</v>
          </cell>
          <cell r="B11635">
            <v>0</v>
          </cell>
          <cell r="C11635" t="str">
            <v xml:space="preserve">  AEH-251 SUZUKI ALTO (ABDUL MOIN RAVASI</v>
          </cell>
          <cell r="D11635">
            <v>37500</v>
          </cell>
          <cell r="E11635">
            <v>0</v>
          </cell>
          <cell r="F11635">
            <v>0</v>
          </cell>
          <cell r="G11635">
            <v>0</v>
          </cell>
        </row>
        <row r="11636">
          <cell r="A11636" t="str">
            <v>76-01-22-0023</v>
          </cell>
          <cell r="B11636">
            <v>0</v>
          </cell>
          <cell r="C11636" t="str">
            <v xml:space="preserve">  ABM-4507 MIRZA AHMED HUSSAIN</v>
          </cell>
          <cell r="D11636">
            <v>116600</v>
          </cell>
          <cell r="E11636">
            <v>0</v>
          </cell>
          <cell r="F11636">
            <v>0</v>
          </cell>
          <cell r="G11636">
            <v>0</v>
          </cell>
        </row>
        <row r="11637">
          <cell r="A11637" t="str">
            <v>76-01-22-0024</v>
          </cell>
          <cell r="B11637">
            <v>0</v>
          </cell>
          <cell r="C11637" t="str">
            <v xml:space="preserve">  AEK 336 TOYOTA COROLLA AZAM AKBAR</v>
          </cell>
          <cell r="D11637">
            <v>46099</v>
          </cell>
          <cell r="E11637">
            <v>0</v>
          </cell>
          <cell r="F11637">
            <v>0</v>
          </cell>
          <cell r="G11637">
            <v>0</v>
          </cell>
        </row>
        <row r="11638">
          <cell r="A11638" t="str">
            <v>76-01-22-0025</v>
          </cell>
          <cell r="B11638">
            <v>0</v>
          </cell>
          <cell r="C11638" t="str">
            <v xml:space="preserve">  AEK 335 TOYOTA COROLLA IQBAL MEHMOOD</v>
          </cell>
          <cell r="D11638">
            <v>140991</v>
          </cell>
          <cell r="E11638">
            <v>0</v>
          </cell>
          <cell r="F11638">
            <v>0</v>
          </cell>
          <cell r="G11638">
            <v>0</v>
          </cell>
        </row>
        <row r="11639">
          <cell r="A11639" t="str">
            <v>76-01-22-0026</v>
          </cell>
          <cell r="B11639">
            <v>0</v>
          </cell>
          <cell r="C11639" t="str">
            <v xml:space="preserve">  AEZ-067 IMTIAZ AHMED TM-3</v>
          </cell>
          <cell r="D11639">
            <v>64772</v>
          </cell>
          <cell r="E11639">
            <v>0</v>
          </cell>
          <cell r="F11639">
            <v>0</v>
          </cell>
          <cell r="G11639">
            <v>0</v>
          </cell>
        </row>
        <row r="11640">
          <cell r="A11640" t="str">
            <v>76-01-22-0027</v>
          </cell>
          <cell r="B11640">
            <v>0</v>
          </cell>
          <cell r="C11640" t="str">
            <v xml:space="preserve">  ACM 340 TOYOTA COROLLA (WIQAR KHAN)</v>
          </cell>
          <cell r="D11640">
            <v>52987</v>
          </cell>
          <cell r="E11640">
            <v>0</v>
          </cell>
          <cell r="F11640">
            <v>0</v>
          </cell>
          <cell r="G11640">
            <v>0</v>
          </cell>
        </row>
        <row r="11641">
          <cell r="A11641" t="str">
            <v>76-01-22-0028</v>
          </cell>
          <cell r="B11641">
            <v>0</v>
          </cell>
          <cell r="C11641" t="str">
            <v xml:space="preserve">  ADC 329 GENERAL USE</v>
          </cell>
          <cell r="D11641">
            <v>286810.8</v>
          </cell>
          <cell r="E11641">
            <v>0</v>
          </cell>
          <cell r="F11641">
            <v>0</v>
          </cell>
          <cell r="G11641">
            <v>0</v>
          </cell>
        </row>
        <row r="11642">
          <cell r="A11642" t="str">
            <v>76-01-22-0029</v>
          </cell>
          <cell r="B11642">
            <v>0</v>
          </cell>
          <cell r="C11642" t="str">
            <v xml:space="preserve">  ACH-924 TOYOTA COROLLA YOUSAF ALI HASH</v>
          </cell>
          <cell r="D11642">
            <v>150763</v>
          </cell>
          <cell r="E11642">
            <v>0</v>
          </cell>
          <cell r="F11642">
            <v>0</v>
          </cell>
          <cell r="G11642">
            <v>0</v>
          </cell>
        </row>
        <row r="11643">
          <cell r="A11643" t="str">
            <v>76-01-22-0030</v>
          </cell>
          <cell r="B11643">
            <v>0</v>
          </cell>
          <cell r="C11643" t="str">
            <v xml:space="preserve">  AFE-213 MUHAMMAD NADEEM RIAZ DY G. M 0</v>
          </cell>
          <cell r="D11643">
            <v>134146</v>
          </cell>
          <cell r="E11643">
            <v>0</v>
          </cell>
          <cell r="F11643">
            <v>0</v>
          </cell>
          <cell r="G11643">
            <v>0</v>
          </cell>
        </row>
        <row r="11644">
          <cell r="A11644" t="str">
            <v>76-01-22-0031</v>
          </cell>
          <cell r="B11644">
            <v>0</v>
          </cell>
          <cell r="C11644" t="str">
            <v xml:space="preserve">  AFF-983 SUKUZI ALTO (USMAN GUL)</v>
          </cell>
          <cell r="D11644">
            <v>43044</v>
          </cell>
          <cell r="E11644">
            <v>0</v>
          </cell>
          <cell r="F11644">
            <v>0</v>
          </cell>
          <cell r="G11644">
            <v>0</v>
          </cell>
        </row>
        <row r="11645">
          <cell r="A11645" t="str">
            <v>76-01-22-0032</v>
          </cell>
          <cell r="B11645">
            <v>0</v>
          </cell>
          <cell r="C11645" t="str">
            <v xml:space="preserve">  AFG-593 TOYOTA CORORLLA IFTIKHAR SB.</v>
          </cell>
          <cell r="D11645">
            <v>150191</v>
          </cell>
          <cell r="E11645">
            <v>0</v>
          </cell>
          <cell r="F11645">
            <v>0</v>
          </cell>
          <cell r="G11645">
            <v>0</v>
          </cell>
        </row>
        <row r="11646">
          <cell r="A11646" t="str">
            <v>76-01-22-0033</v>
          </cell>
          <cell r="B11646">
            <v>0</v>
          </cell>
          <cell r="C11646" t="str">
            <v xml:space="preserve">  SHAFAQAT MUMTAZ T-M MILL # 06</v>
          </cell>
          <cell r="D11646">
            <v>53911</v>
          </cell>
          <cell r="E11646">
            <v>0</v>
          </cell>
          <cell r="F11646">
            <v>0</v>
          </cell>
          <cell r="G11646">
            <v>0</v>
          </cell>
        </row>
        <row r="11647">
          <cell r="A11647" t="str">
            <v>76-01-22-0034</v>
          </cell>
          <cell r="B11647">
            <v>0</v>
          </cell>
          <cell r="C11647" t="str">
            <v xml:space="preserve">  ADM-144 MUHAMMAD ASHRAF</v>
          </cell>
          <cell r="D11647">
            <v>51744</v>
          </cell>
          <cell r="E11647">
            <v>0</v>
          </cell>
          <cell r="F11647">
            <v>0</v>
          </cell>
          <cell r="G11647">
            <v>0</v>
          </cell>
        </row>
        <row r="11648">
          <cell r="A11648" t="str">
            <v>76-01-22-0035</v>
          </cell>
          <cell r="B11648">
            <v>0</v>
          </cell>
          <cell r="C11648" t="str">
            <v xml:space="preserve">  ACM-340 TOYOTA COROLLA (GENERAL DUTY)</v>
          </cell>
          <cell r="D11648">
            <v>91021</v>
          </cell>
          <cell r="E11648">
            <v>0</v>
          </cell>
          <cell r="F11648">
            <v>0</v>
          </cell>
          <cell r="G11648">
            <v>0</v>
          </cell>
        </row>
        <row r="11649">
          <cell r="A11649" t="str">
            <v>76-01-22-0036</v>
          </cell>
          <cell r="B11649">
            <v>0</v>
          </cell>
          <cell r="C11649" t="str">
            <v xml:space="preserve">  AEK-336 TOYOTA COROLLA VIQAR AHMED</v>
          </cell>
          <cell r="D11649">
            <v>141757</v>
          </cell>
          <cell r="E11649">
            <v>0</v>
          </cell>
          <cell r="F11649">
            <v>0</v>
          </cell>
          <cell r="G11649">
            <v>0</v>
          </cell>
        </row>
        <row r="11650">
          <cell r="A11650" t="str">
            <v>76-01-22-0037</v>
          </cell>
          <cell r="B11650">
            <v>0</v>
          </cell>
          <cell r="C11650" t="str">
            <v xml:space="preserve">  BC-5166 JEEP F0R SETH SB.</v>
          </cell>
          <cell r="D11650">
            <v>93082</v>
          </cell>
          <cell r="E11650">
            <v>0</v>
          </cell>
          <cell r="F11650">
            <v>0</v>
          </cell>
          <cell r="G11650">
            <v>0</v>
          </cell>
        </row>
        <row r="11651">
          <cell r="A11651" t="str">
            <v>76-01-22-0038</v>
          </cell>
          <cell r="B11651">
            <v>0</v>
          </cell>
          <cell r="C11651" t="str">
            <v xml:space="preserve">  AFS-859 SUZUKI ALTO JAWAID ZIA</v>
          </cell>
          <cell r="D11651">
            <v>27820</v>
          </cell>
          <cell r="E11651">
            <v>0</v>
          </cell>
          <cell r="F11651">
            <v>0</v>
          </cell>
          <cell r="G11651">
            <v>0</v>
          </cell>
        </row>
        <row r="11652">
          <cell r="A11652" t="str">
            <v>76-01-22-0039</v>
          </cell>
          <cell r="B11652">
            <v>0</v>
          </cell>
          <cell r="C11652" t="str">
            <v xml:space="preserve">  GOLF CAR FOR SEITH SOHAIL SB</v>
          </cell>
          <cell r="D11652">
            <v>8500</v>
          </cell>
          <cell r="E11652">
            <v>0</v>
          </cell>
          <cell r="F11652">
            <v>0</v>
          </cell>
          <cell r="G11652">
            <v>0</v>
          </cell>
        </row>
        <row r="11653">
          <cell r="A11653" t="str">
            <v>76-01-22-0040</v>
          </cell>
          <cell r="B11653">
            <v>0</v>
          </cell>
          <cell r="C11653" t="str">
            <v xml:space="preserve">  AFX- 267 SUZUKI CULTUS TARIQ ASHFAQ</v>
          </cell>
          <cell r="D11653">
            <v>6900</v>
          </cell>
          <cell r="E11653">
            <v>0</v>
          </cell>
          <cell r="F11653">
            <v>0</v>
          </cell>
          <cell r="G11653">
            <v>0</v>
          </cell>
        </row>
        <row r="11654">
          <cell r="A11654" t="str">
            <v>76-01-22-0041</v>
          </cell>
          <cell r="B11654">
            <v>0</v>
          </cell>
          <cell r="C11654" t="str">
            <v xml:space="preserve">  AGP-716 HONDA CITY ASHRAF G.M MILL # 1</v>
          </cell>
          <cell r="D11654">
            <v>9770</v>
          </cell>
          <cell r="E11654">
            <v>0</v>
          </cell>
          <cell r="F11654">
            <v>0</v>
          </cell>
          <cell r="G11654">
            <v>0</v>
          </cell>
        </row>
        <row r="11655">
          <cell r="A11655" t="str">
            <v>76-01-23</v>
          </cell>
          <cell r="B11655">
            <v>0</v>
          </cell>
          <cell r="C11655" t="str">
            <v>***BAILING PRESS CHARGES</v>
          </cell>
          <cell r="D11655">
            <v>1406644</v>
          </cell>
          <cell r="E11655">
            <v>0</v>
          </cell>
          <cell r="F11655">
            <v>1406644</v>
          </cell>
          <cell r="G11655">
            <v>0</v>
          </cell>
        </row>
        <row r="11656">
          <cell r="A11656" t="str">
            <v>76-01-23-0001</v>
          </cell>
          <cell r="B11656">
            <v>0</v>
          </cell>
          <cell r="C11656" t="str">
            <v xml:space="preserve">  BAILING PRESS CHARGES EXPORT</v>
          </cell>
          <cell r="D11656">
            <v>779661</v>
          </cell>
          <cell r="E11656">
            <v>0</v>
          </cell>
          <cell r="F11656">
            <v>0</v>
          </cell>
          <cell r="G11656">
            <v>0</v>
          </cell>
        </row>
        <row r="11657">
          <cell r="A11657" t="str">
            <v>76-01-23-0002</v>
          </cell>
          <cell r="B11657">
            <v>0</v>
          </cell>
          <cell r="C11657" t="str">
            <v xml:space="preserve">  BAILING CHARGES-WEST.</v>
          </cell>
          <cell r="D11657">
            <v>626983</v>
          </cell>
          <cell r="E11657">
            <v>0</v>
          </cell>
          <cell r="F11657">
            <v>0</v>
          </cell>
          <cell r="G11657">
            <v>0</v>
          </cell>
        </row>
        <row r="11658">
          <cell r="A11658" t="str">
            <v>76-01-24</v>
          </cell>
          <cell r="B11658">
            <v>0</v>
          </cell>
          <cell r="C11658" t="str">
            <v>***DOUBLING CHARGES</v>
          </cell>
          <cell r="D11658">
            <v>2734982</v>
          </cell>
          <cell r="E11658">
            <v>0</v>
          </cell>
          <cell r="F11658">
            <v>2734982</v>
          </cell>
          <cell r="G11658">
            <v>0</v>
          </cell>
        </row>
        <row r="11659">
          <cell r="A11659" t="str">
            <v>76-01-24-0001</v>
          </cell>
          <cell r="B11659">
            <v>0</v>
          </cell>
          <cell r="C11659" t="str">
            <v xml:space="preserve">  DOUBLING CHARGES.</v>
          </cell>
          <cell r="D11659">
            <v>2734982</v>
          </cell>
          <cell r="E11659">
            <v>0</v>
          </cell>
          <cell r="F11659">
            <v>0</v>
          </cell>
          <cell r="G11659">
            <v>0</v>
          </cell>
        </row>
        <row r="11660">
          <cell r="A11660" t="str">
            <v>76-01-25</v>
          </cell>
          <cell r="B11660">
            <v>0</v>
          </cell>
          <cell r="C11660" t="str">
            <v>***R M TRACTOR</v>
          </cell>
          <cell r="D11660">
            <v>7028</v>
          </cell>
          <cell r="E11660">
            <v>0</v>
          </cell>
          <cell r="F11660">
            <v>7028</v>
          </cell>
          <cell r="G11660">
            <v>0</v>
          </cell>
        </row>
        <row r="11661">
          <cell r="A11661" t="str">
            <v>76-01-25-0001</v>
          </cell>
          <cell r="B11661">
            <v>0</v>
          </cell>
          <cell r="C11661" t="str">
            <v xml:space="preserve">  R M TRACTOR # 01</v>
          </cell>
          <cell r="D11661">
            <v>7028</v>
          </cell>
          <cell r="E11661">
            <v>0</v>
          </cell>
          <cell r="F11661">
            <v>0</v>
          </cell>
          <cell r="G11661">
            <v>0</v>
          </cell>
        </row>
        <row r="11662">
          <cell r="A11662" t="str">
            <v>77</v>
          </cell>
          <cell r="B11662">
            <v>0</v>
          </cell>
          <cell r="C11662" t="str">
            <v>*STORES CONSUMED</v>
          </cell>
          <cell r="D11662">
            <v>242513824.03999999</v>
          </cell>
          <cell r="E11662">
            <v>0</v>
          </cell>
          <cell r="F11662">
            <v>242513824.03999999</v>
          </cell>
          <cell r="G11662">
            <v>0</v>
          </cell>
        </row>
        <row r="11663">
          <cell r="A11663" t="str">
            <v>77-01</v>
          </cell>
          <cell r="B11663">
            <v>0</v>
          </cell>
          <cell r="C11663" t="str">
            <v>**STORES CONSUMED</v>
          </cell>
          <cell r="D11663">
            <v>242513824.03999999</v>
          </cell>
          <cell r="E11663">
            <v>0</v>
          </cell>
          <cell r="F11663">
            <v>242513824.03999999</v>
          </cell>
          <cell r="G11663">
            <v>0</v>
          </cell>
        </row>
        <row r="11664">
          <cell r="A11664" t="str">
            <v>77-01-01</v>
          </cell>
          <cell r="B11664">
            <v>0</v>
          </cell>
          <cell r="C11664" t="str">
            <v>***STORES CONSUMED</v>
          </cell>
          <cell r="D11664">
            <v>232740870.71000001</v>
          </cell>
          <cell r="E11664">
            <v>0</v>
          </cell>
          <cell r="F11664">
            <v>232740870.71000001</v>
          </cell>
          <cell r="G11664">
            <v>0</v>
          </cell>
        </row>
        <row r="11665">
          <cell r="A11665" t="str">
            <v>77-01-01-0001</v>
          </cell>
          <cell r="B11665">
            <v>0</v>
          </cell>
          <cell r="C11665" t="str">
            <v xml:space="preserve">  STORE CONSUMED BLOW ROOM</v>
          </cell>
          <cell r="D11665">
            <v>7654167.3200000003</v>
          </cell>
          <cell r="E11665">
            <v>0</v>
          </cell>
          <cell r="F11665">
            <v>0</v>
          </cell>
          <cell r="G11665">
            <v>0</v>
          </cell>
        </row>
        <row r="11666">
          <cell r="A11666" t="str">
            <v>77-01-01-0002</v>
          </cell>
          <cell r="B11666">
            <v>0</v>
          </cell>
          <cell r="C11666" t="str">
            <v xml:space="preserve">  STORE CONSUMED CARDING</v>
          </cell>
          <cell r="D11666">
            <v>16899317.23</v>
          </cell>
          <cell r="E11666">
            <v>0</v>
          </cell>
          <cell r="F11666">
            <v>0</v>
          </cell>
          <cell r="G11666">
            <v>0</v>
          </cell>
        </row>
        <row r="11667">
          <cell r="A11667" t="str">
            <v>77-01-01-0003</v>
          </cell>
          <cell r="B11667">
            <v>0</v>
          </cell>
          <cell r="C11667" t="str">
            <v xml:space="preserve">  STORE CONSUMED D/SIMPLEX</v>
          </cell>
          <cell r="D11667">
            <v>13032037.130000001</v>
          </cell>
          <cell r="E11667">
            <v>0</v>
          </cell>
          <cell r="F11667">
            <v>0</v>
          </cell>
          <cell r="G11667">
            <v>0</v>
          </cell>
        </row>
        <row r="11668">
          <cell r="A11668" t="str">
            <v>77-01-01-0004</v>
          </cell>
          <cell r="B11668">
            <v>0</v>
          </cell>
          <cell r="C11668" t="str">
            <v xml:space="preserve">  STORE CONSUMED RING</v>
          </cell>
          <cell r="D11668">
            <v>63530819.5</v>
          </cell>
          <cell r="E11668">
            <v>0</v>
          </cell>
          <cell r="F11668">
            <v>0</v>
          </cell>
          <cell r="G11668">
            <v>0</v>
          </cell>
        </row>
        <row r="11669">
          <cell r="A11669" t="str">
            <v>77-01-01-0005</v>
          </cell>
          <cell r="B11669">
            <v>0</v>
          </cell>
          <cell r="C11669" t="str">
            <v xml:space="preserve">  STORE CONSUMED R.C SHOP</v>
          </cell>
          <cell r="D11669">
            <v>822140</v>
          </cell>
          <cell r="E11669">
            <v>0</v>
          </cell>
          <cell r="F11669">
            <v>0</v>
          </cell>
          <cell r="G11669">
            <v>0</v>
          </cell>
        </row>
        <row r="11670">
          <cell r="A11670" t="str">
            <v>77-01-01-0006</v>
          </cell>
          <cell r="B11670">
            <v>0</v>
          </cell>
          <cell r="C11670" t="str">
            <v xml:space="preserve">  STORE CONSUMED AUTO CONE</v>
          </cell>
          <cell r="D11670">
            <v>8101630.8799999999</v>
          </cell>
          <cell r="E11670">
            <v>0</v>
          </cell>
          <cell r="F11670">
            <v>0</v>
          </cell>
          <cell r="G11670">
            <v>0</v>
          </cell>
        </row>
        <row r="11671">
          <cell r="A11671" t="str">
            <v>77-01-01-0007</v>
          </cell>
          <cell r="B11671">
            <v>0</v>
          </cell>
          <cell r="C11671" t="str">
            <v xml:space="preserve">  STORE CONSUMED PACKING</v>
          </cell>
          <cell r="D11671">
            <v>85540566.060000002</v>
          </cell>
          <cell r="E11671">
            <v>0</v>
          </cell>
          <cell r="F11671">
            <v>0</v>
          </cell>
          <cell r="G11671">
            <v>0</v>
          </cell>
        </row>
        <row r="11672">
          <cell r="A11672" t="str">
            <v>77-01-01-0008</v>
          </cell>
          <cell r="B11672">
            <v>0</v>
          </cell>
          <cell r="C11672" t="str">
            <v xml:space="preserve">  STORE CONSUMED AIR CONDITION</v>
          </cell>
          <cell r="D11672">
            <v>2604822</v>
          </cell>
          <cell r="E11672">
            <v>0</v>
          </cell>
          <cell r="F11672">
            <v>0</v>
          </cell>
          <cell r="G11672">
            <v>0</v>
          </cell>
        </row>
        <row r="11673">
          <cell r="A11673" t="str">
            <v>77-01-01-0009</v>
          </cell>
          <cell r="B11673">
            <v>0</v>
          </cell>
          <cell r="C11673" t="str">
            <v xml:space="preserve">  STORE CONSUMED ELECTRIC SHOP</v>
          </cell>
          <cell r="D11673">
            <v>2037675</v>
          </cell>
          <cell r="E11673">
            <v>0</v>
          </cell>
          <cell r="F11673">
            <v>0</v>
          </cell>
          <cell r="G11673">
            <v>0</v>
          </cell>
        </row>
        <row r="11674">
          <cell r="A11674" t="str">
            <v>77-01-01-0010</v>
          </cell>
          <cell r="B11674">
            <v>0</v>
          </cell>
          <cell r="C11674" t="str">
            <v xml:space="preserve">  STORE CONSUMED LABORATORY</v>
          </cell>
          <cell r="D11674">
            <v>3157797</v>
          </cell>
          <cell r="E11674">
            <v>0</v>
          </cell>
          <cell r="F11674">
            <v>0</v>
          </cell>
          <cell r="G11674">
            <v>0</v>
          </cell>
        </row>
        <row r="11675">
          <cell r="A11675" t="str">
            <v>77-01-01-0011</v>
          </cell>
          <cell r="B11675">
            <v>0</v>
          </cell>
          <cell r="C11675" t="str">
            <v xml:space="preserve">  STORE CONSUMED ACCOUNTS</v>
          </cell>
          <cell r="D11675">
            <v>1174638</v>
          </cell>
          <cell r="E11675">
            <v>0</v>
          </cell>
          <cell r="F11675">
            <v>0</v>
          </cell>
          <cell r="G11675">
            <v>0</v>
          </cell>
        </row>
        <row r="11676">
          <cell r="A11676" t="str">
            <v>77-01-01-0012</v>
          </cell>
          <cell r="B11676">
            <v>0</v>
          </cell>
          <cell r="C11676" t="str">
            <v xml:space="preserve">  STORE CONSUMED ADMIN/SECURITY</v>
          </cell>
          <cell r="D11676">
            <v>4296307.2</v>
          </cell>
          <cell r="E11676">
            <v>0</v>
          </cell>
          <cell r="F11676">
            <v>0</v>
          </cell>
          <cell r="G11676">
            <v>0</v>
          </cell>
        </row>
        <row r="11677">
          <cell r="A11677" t="str">
            <v>77-01-01-0013</v>
          </cell>
          <cell r="B11677">
            <v>0</v>
          </cell>
          <cell r="C11677" t="str">
            <v xml:space="preserve">  STORE CONSUMED MAIN STORE</v>
          </cell>
          <cell r="D11677">
            <v>313952</v>
          </cell>
          <cell r="E11677">
            <v>0</v>
          </cell>
          <cell r="F11677">
            <v>0</v>
          </cell>
          <cell r="G11677">
            <v>0</v>
          </cell>
        </row>
        <row r="11678">
          <cell r="A11678" t="str">
            <v>77-01-01-0014</v>
          </cell>
          <cell r="B11678">
            <v>0</v>
          </cell>
          <cell r="C11678" t="str">
            <v xml:space="preserve">  STORE CONSUMED WORK SHOP</v>
          </cell>
          <cell r="D11678">
            <v>930024</v>
          </cell>
          <cell r="E11678">
            <v>0</v>
          </cell>
          <cell r="F11678">
            <v>0</v>
          </cell>
          <cell r="G11678">
            <v>0</v>
          </cell>
        </row>
        <row r="11679">
          <cell r="A11679" t="str">
            <v>77-01-01-0015</v>
          </cell>
          <cell r="B11679">
            <v>0</v>
          </cell>
          <cell r="C11679" t="str">
            <v xml:space="preserve">  STORE CONSUMED MILLS GENERAL</v>
          </cell>
          <cell r="D11679">
            <v>539405</v>
          </cell>
          <cell r="E11679">
            <v>0</v>
          </cell>
          <cell r="F11679">
            <v>0</v>
          </cell>
          <cell r="G11679">
            <v>0</v>
          </cell>
        </row>
        <row r="11680">
          <cell r="A11680" t="str">
            <v>77-01-01-0016</v>
          </cell>
          <cell r="B11680">
            <v>0</v>
          </cell>
          <cell r="C11680" t="str">
            <v xml:space="preserve">  STORE CONSUMED BACHLER HOSTEL GENERAL</v>
          </cell>
          <cell r="D11680">
            <v>138525</v>
          </cell>
          <cell r="E11680">
            <v>0</v>
          </cell>
          <cell r="F11680">
            <v>0</v>
          </cell>
          <cell r="G11680">
            <v>0</v>
          </cell>
        </row>
        <row r="11681">
          <cell r="A11681" t="str">
            <v>77-01-01-0017</v>
          </cell>
          <cell r="B11681">
            <v>0</v>
          </cell>
          <cell r="C11681" t="str">
            <v xml:space="preserve">  STORE CONSUMED LABOUR COLONY GENERAL</v>
          </cell>
          <cell r="D11681">
            <v>477227</v>
          </cell>
          <cell r="E11681">
            <v>0</v>
          </cell>
          <cell r="F11681">
            <v>0</v>
          </cell>
          <cell r="G11681">
            <v>0</v>
          </cell>
        </row>
        <row r="11682">
          <cell r="A11682" t="str">
            <v>77-01-01-0018</v>
          </cell>
          <cell r="B11682">
            <v>0</v>
          </cell>
          <cell r="C11682" t="str">
            <v xml:space="preserve">  STORE CONSUMED MIXING DEPTT</v>
          </cell>
          <cell r="D11682">
            <v>835477</v>
          </cell>
          <cell r="E11682">
            <v>0</v>
          </cell>
          <cell r="F11682">
            <v>0</v>
          </cell>
          <cell r="G11682">
            <v>0</v>
          </cell>
        </row>
        <row r="11683">
          <cell r="A11683" t="str">
            <v>77-01-01-0019</v>
          </cell>
          <cell r="B11683">
            <v>0</v>
          </cell>
          <cell r="C11683" t="str">
            <v xml:space="preserve">  STORE CONSUMED COMBER</v>
          </cell>
          <cell r="D11683">
            <v>4310033</v>
          </cell>
          <cell r="E11683">
            <v>0</v>
          </cell>
          <cell r="F11683">
            <v>0</v>
          </cell>
          <cell r="G11683">
            <v>0</v>
          </cell>
        </row>
        <row r="11684">
          <cell r="A11684" t="str">
            <v>77-01-01-0020</v>
          </cell>
          <cell r="B11684">
            <v>0</v>
          </cell>
          <cell r="C11684" t="str">
            <v xml:space="preserve">  STORE CONSUMED FAMILY QUARTERS</v>
          </cell>
          <cell r="D11684">
            <v>85811</v>
          </cell>
          <cell r="E11684">
            <v>0</v>
          </cell>
          <cell r="F11684">
            <v>0</v>
          </cell>
          <cell r="G11684">
            <v>0</v>
          </cell>
        </row>
        <row r="11685">
          <cell r="A11685" t="str">
            <v>77-01-01-0021</v>
          </cell>
          <cell r="B11685">
            <v>0</v>
          </cell>
          <cell r="C11685" t="str">
            <v xml:space="preserve">  STORE CONSUMED EXECUTIVE BANGLOWS</v>
          </cell>
          <cell r="D11685">
            <v>140254</v>
          </cell>
          <cell r="E11685">
            <v>0</v>
          </cell>
          <cell r="F11685">
            <v>0</v>
          </cell>
          <cell r="G11685">
            <v>0</v>
          </cell>
        </row>
        <row r="11686">
          <cell r="A11686" t="str">
            <v>77-01-01-0022</v>
          </cell>
          <cell r="B11686">
            <v>0</v>
          </cell>
          <cell r="C11686" t="str">
            <v xml:space="preserve">  STORE CONSUMED BAILING PRESS</v>
          </cell>
          <cell r="D11686">
            <v>4681932</v>
          </cell>
          <cell r="E11686">
            <v>0</v>
          </cell>
          <cell r="F11686">
            <v>0</v>
          </cell>
          <cell r="G11686">
            <v>0</v>
          </cell>
        </row>
        <row r="11687">
          <cell r="A11687" t="str">
            <v>77-01-01-0023</v>
          </cell>
          <cell r="B11687">
            <v>0</v>
          </cell>
          <cell r="C11687" t="str">
            <v xml:space="preserve">  STORE CONSUMED CIVIL</v>
          </cell>
          <cell r="D11687">
            <v>1960729.04</v>
          </cell>
          <cell r="E11687">
            <v>0</v>
          </cell>
          <cell r="F11687">
            <v>0</v>
          </cell>
          <cell r="G11687">
            <v>0</v>
          </cell>
        </row>
        <row r="11688">
          <cell r="A11688" t="str">
            <v>77-01-01-0024</v>
          </cell>
          <cell r="B11688">
            <v>0</v>
          </cell>
          <cell r="C11688" t="str">
            <v xml:space="preserve">  STORE CONSUMED MISCELLANEOUS</v>
          </cell>
          <cell r="D11688">
            <v>0</v>
          </cell>
          <cell r="E11688">
            <v>0</v>
          </cell>
          <cell r="F11688">
            <v>0</v>
          </cell>
          <cell r="G11688">
            <v>0</v>
          </cell>
        </row>
        <row r="11689">
          <cell r="A11689" t="str">
            <v>77-01-01-0025</v>
          </cell>
          <cell r="B11689">
            <v>0</v>
          </cell>
          <cell r="C11689" t="str">
            <v xml:space="preserve">  STORES CONSUMED MOULDING SHOP</v>
          </cell>
          <cell r="D11689">
            <v>0</v>
          </cell>
          <cell r="E11689">
            <v>0</v>
          </cell>
          <cell r="F11689">
            <v>0</v>
          </cell>
          <cell r="G11689">
            <v>0</v>
          </cell>
        </row>
        <row r="11690">
          <cell r="A11690" t="str">
            <v>77-01-01-0026</v>
          </cell>
          <cell r="B11690">
            <v>0</v>
          </cell>
          <cell r="C11690" t="str">
            <v xml:space="preserve">  STORE CONSUMED N/WORKER COLONY GENERAL</v>
          </cell>
          <cell r="D11690">
            <v>122052</v>
          </cell>
          <cell r="E11690">
            <v>0</v>
          </cell>
          <cell r="F11690">
            <v>0</v>
          </cell>
          <cell r="G11690">
            <v>0</v>
          </cell>
        </row>
        <row r="11691">
          <cell r="A11691" t="str">
            <v>77-01-01-0027</v>
          </cell>
          <cell r="B11691">
            <v>0</v>
          </cell>
          <cell r="C11691" t="str">
            <v xml:space="preserve">  STORE CONSUMED FORK LIFTER</v>
          </cell>
          <cell r="D11691">
            <v>469508</v>
          </cell>
          <cell r="E11691">
            <v>0</v>
          </cell>
          <cell r="F11691">
            <v>0</v>
          </cell>
          <cell r="G11691">
            <v>0</v>
          </cell>
        </row>
        <row r="11692">
          <cell r="A11692" t="str">
            <v>77-01-01-0028</v>
          </cell>
          <cell r="B11692">
            <v>0</v>
          </cell>
          <cell r="C11692" t="str">
            <v xml:space="preserve">  STORE CONSUMED DOUBLING HALL.</v>
          </cell>
          <cell r="D11692">
            <v>3091097</v>
          </cell>
          <cell r="E11692">
            <v>0</v>
          </cell>
          <cell r="F11692">
            <v>0</v>
          </cell>
          <cell r="G11692">
            <v>0</v>
          </cell>
        </row>
        <row r="11693">
          <cell r="A11693" t="str">
            <v>77-01-01-0029</v>
          </cell>
          <cell r="B11693">
            <v>0</v>
          </cell>
          <cell r="C11693" t="str">
            <v xml:space="preserve">  STORE CONSUMED GUEST HOUSE</v>
          </cell>
          <cell r="D11693">
            <v>26845</v>
          </cell>
          <cell r="E11693">
            <v>0</v>
          </cell>
          <cell r="F11693">
            <v>0</v>
          </cell>
          <cell r="G11693">
            <v>0</v>
          </cell>
        </row>
        <row r="11694">
          <cell r="A11694" t="str">
            <v>77-01-01-0030</v>
          </cell>
          <cell r="B11694">
            <v>0</v>
          </cell>
          <cell r="C11694" t="str">
            <v xml:space="preserve">  STORE CONSUMED MAZDA BUS</v>
          </cell>
          <cell r="D11694">
            <v>132716</v>
          </cell>
          <cell r="E11694">
            <v>0</v>
          </cell>
          <cell r="F11694">
            <v>0</v>
          </cell>
          <cell r="G11694">
            <v>0</v>
          </cell>
        </row>
        <row r="11695">
          <cell r="A11695" t="str">
            <v>77-01-01-0031</v>
          </cell>
          <cell r="B11695">
            <v>0</v>
          </cell>
          <cell r="C11695" t="str">
            <v xml:space="preserve">  STORE CONSUMED TRACTOR</v>
          </cell>
          <cell r="D11695">
            <v>41445</v>
          </cell>
          <cell r="E11695">
            <v>0</v>
          </cell>
          <cell r="F11695">
            <v>0</v>
          </cell>
          <cell r="G11695">
            <v>0</v>
          </cell>
        </row>
        <row r="11696">
          <cell r="A11696" t="str">
            <v>77-01-01-0032</v>
          </cell>
          <cell r="B11696">
            <v>0</v>
          </cell>
          <cell r="C11696" t="str">
            <v xml:space="preserve">  NEW ERRECTION</v>
          </cell>
          <cell r="D11696">
            <v>827528.35</v>
          </cell>
          <cell r="E11696">
            <v>0</v>
          </cell>
          <cell r="F11696">
            <v>0</v>
          </cell>
          <cell r="G11696">
            <v>0</v>
          </cell>
        </row>
        <row r="11697">
          <cell r="A11697" t="str">
            <v>77-01-01-0033</v>
          </cell>
          <cell r="B11697">
            <v>0</v>
          </cell>
          <cell r="C11697" t="str">
            <v xml:space="preserve">  STORE CONSUMED WASTE/SCRAPE</v>
          </cell>
          <cell r="D11697">
            <v>87643</v>
          </cell>
          <cell r="E11697">
            <v>0</v>
          </cell>
          <cell r="F11697">
            <v>0</v>
          </cell>
          <cell r="G11697">
            <v>0</v>
          </cell>
        </row>
        <row r="11698">
          <cell r="A11698" t="str">
            <v>77-01-01-0034</v>
          </cell>
          <cell r="B11698">
            <v>0</v>
          </cell>
          <cell r="C11698" t="str">
            <v xml:space="preserve">  STORE CONSUMED WEIGH BRIDGE</v>
          </cell>
          <cell r="D11698">
            <v>15429</v>
          </cell>
          <cell r="E11698">
            <v>0</v>
          </cell>
          <cell r="F11698">
            <v>0</v>
          </cell>
          <cell r="G11698">
            <v>0</v>
          </cell>
        </row>
        <row r="11699">
          <cell r="A11699" t="str">
            <v>77-01-01-0035</v>
          </cell>
          <cell r="B11699">
            <v>0</v>
          </cell>
          <cell r="C11699" t="str">
            <v xml:space="preserve">  STORE CONSUMED FAMILY COLONY 2 BED ROO</v>
          </cell>
          <cell r="D11699">
            <v>100166</v>
          </cell>
          <cell r="E11699">
            <v>0</v>
          </cell>
          <cell r="F11699">
            <v>0</v>
          </cell>
          <cell r="G11699">
            <v>0</v>
          </cell>
        </row>
        <row r="11700">
          <cell r="A11700" t="str">
            <v>77-01-01-0036</v>
          </cell>
          <cell r="B11700">
            <v>0</v>
          </cell>
          <cell r="C11700" t="str">
            <v xml:space="preserve">  STORE CONSUMED FIRE FIGHTING</v>
          </cell>
          <cell r="D11700">
            <v>510557</v>
          </cell>
          <cell r="E11700">
            <v>0</v>
          </cell>
          <cell r="F11700">
            <v>0</v>
          </cell>
          <cell r="G11700">
            <v>0</v>
          </cell>
        </row>
        <row r="11701">
          <cell r="A11701" t="str">
            <v>77-01-01-0037</v>
          </cell>
          <cell r="B11701">
            <v>0</v>
          </cell>
          <cell r="C11701" t="str">
            <v xml:space="preserve">  STORE CONSUMED GODOWN</v>
          </cell>
          <cell r="D11701">
            <v>0</v>
          </cell>
          <cell r="E11701">
            <v>0</v>
          </cell>
          <cell r="F11701">
            <v>0</v>
          </cell>
          <cell r="G11701">
            <v>0</v>
          </cell>
        </row>
        <row r="11702">
          <cell r="A11702" t="str">
            <v>77-01-01-0038</v>
          </cell>
          <cell r="B11702">
            <v>0</v>
          </cell>
          <cell r="C11702" t="str">
            <v xml:space="preserve">  STORE CONSUMED PURCHASE DEPARTMENT</v>
          </cell>
          <cell r="D11702">
            <v>185439</v>
          </cell>
          <cell r="E11702">
            <v>0</v>
          </cell>
          <cell r="F11702">
            <v>0</v>
          </cell>
          <cell r="G11702">
            <v>0</v>
          </cell>
        </row>
        <row r="11703">
          <cell r="A11703" t="str">
            <v>77-01-01-0039</v>
          </cell>
          <cell r="B11703">
            <v>0</v>
          </cell>
          <cell r="C11703" t="str">
            <v xml:space="preserve">  STORE CONSUMED LYCRA</v>
          </cell>
          <cell r="D11703">
            <v>2770639</v>
          </cell>
          <cell r="E11703">
            <v>0</v>
          </cell>
          <cell r="F11703">
            <v>0</v>
          </cell>
          <cell r="G11703">
            <v>0</v>
          </cell>
        </row>
        <row r="11704">
          <cell r="A11704" t="str">
            <v>77-01-01-0040</v>
          </cell>
          <cell r="B11704">
            <v>0</v>
          </cell>
          <cell r="C11704" t="str">
            <v xml:space="preserve">  STORE CONSUMED C/EXE.OFFICE</v>
          </cell>
          <cell r="D11704">
            <v>1094520</v>
          </cell>
          <cell r="E11704">
            <v>0</v>
          </cell>
          <cell r="F11704">
            <v>0</v>
          </cell>
          <cell r="G11704">
            <v>0</v>
          </cell>
        </row>
        <row r="11705">
          <cell r="A11705" t="str">
            <v>77-01-02</v>
          </cell>
          <cell r="B11705">
            <v>0</v>
          </cell>
          <cell r="C11705" t="str">
            <v>***EXPENSES FOR PURCHASE OF STORE &amp; SPAR</v>
          </cell>
          <cell r="D11705">
            <v>9772953.3300000001</v>
          </cell>
          <cell r="E11705">
            <v>0</v>
          </cell>
          <cell r="F11705">
            <v>9772953.3300000001</v>
          </cell>
          <cell r="G11705">
            <v>0</v>
          </cell>
        </row>
        <row r="11706">
          <cell r="A11706" t="str">
            <v>77-01-02-0001</v>
          </cell>
          <cell r="B11706">
            <v>0</v>
          </cell>
          <cell r="C11706" t="str">
            <v xml:space="preserve">  FREIGHT AND OCTROI ION STORE &amp; SPARES</v>
          </cell>
          <cell r="D11706">
            <v>9718877.3300000001</v>
          </cell>
          <cell r="E11706">
            <v>0</v>
          </cell>
          <cell r="F11706">
            <v>0</v>
          </cell>
          <cell r="G11706">
            <v>0</v>
          </cell>
        </row>
        <row r="11707">
          <cell r="A11707" t="str">
            <v>77-01-02-0002</v>
          </cell>
          <cell r="B11707">
            <v>0</v>
          </cell>
          <cell r="C11707" t="str">
            <v xml:space="preserve">  EXPENSES FOR PURCHASE OF STORE &amp; SPARE</v>
          </cell>
          <cell r="D11707">
            <v>0</v>
          </cell>
          <cell r="E11707">
            <v>0</v>
          </cell>
          <cell r="F11707">
            <v>0</v>
          </cell>
          <cell r="G11707">
            <v>0</v>
          </cell>
        </row>
        <row r="11708">
          <cell r="A11708" t="str">
            <v>77-01-02-0003</v>
          </cell>
          <cell r="B11708">
            <v>0</v>
          </cell>
          <cell r="C11708" t="str">
            <v xml:space="preserve">  LOADING &amp; UNLOADING CHARGES OF STORE D</v>
          </cell>
          <cell r="D11708">
            <v>54076</v>
          </cell>
          <cell r="E11708">
            <v>0</v>
          </cell>
          <cell r="F11708">
            <v>0</v>
          </cell>
          <cell r="G11708">
            <v>0</v>
          </cell>
        </row>
        <row r="11709">
          <cell r="A11709" t="str">
            <v>81</v>
          </cell>
          <cell r="B11709">
            <v>0</v>
          </cell>
          <cell r="C11709" t="str">
            <v>*ADMIN EXPENSES HEAD OFFICE KARACHI.</v>
          </cell>
          <cell r="D11709">
            <v>29086686.140000001</v>
          </cell>
          <cell r="E11709">
            <v>0</v>
          </cell>
          <cell r="F11709">
            <v>29087186.140000001</v>
          </cell>
          <cell r="G11709">
            <v>500</v>
          </cell>
        </row>
        <row r="11710">
          <cell r="A11710" t="str">
            <v>81-01</v>
          </cell>
          <cell r="B11710">
            <v>500</v>
          </cell>
          <cell r="C11710" t="str">
            <v>**ADMIN EXPENSES KARACHI OFFICE</v>
          </cell>
          <cell r="D11710">
            <v>26995337.640000001</v>
          </cell>
          <cell r="E11710">
            <v>0</v>
          </cell>
          <cell r="F11710">
            <v>26995837.640000001</v>
          </cell>
          <cell r="G11710">
            <v>500</v>
          </cell>
        </row>
        <row r="11711">
          <cell r="A11711" t="str">
            <v>81-01-01</v>
          </cell>
          <cell r="B11711">
            <v>500</v>
          </cell>
          <cell r="C11711" t="str">
            <v>***SALARIES AND BENEFITS (KARACHI)</v>
          </cell>
          <cell r="D11711">
            <v>11873617</v>
          </cell>
          <cell r="E11711">
            <v>0</v>
          </cell>
          <cell r="F11711">
            <v>11874117</v>
          </cell>
          <cell r="G11711">
            <v>500</v>
          </cell>
        </row>
        <row r="11712">
          <cell r="A11712" t="str">
            <v>81-01-01-0001</v>
          </cell>
          <cell r="B11712">
            <v>500</v>
          </cell>
          <cell r="C11712" t="str">
            <v xml:space="preserve">  SALARIES AND WAGES ADMIN  KARACHI</v>
          </cell>
          <cell r="D11712">
            <v>7531388</v>
          </cell>
          <cell r="E11712">
            <v>0</v>
          </cell>
          <cell r="F11712">
            <v>0</v>
          </cell>
          <cell r="G11712">
            <v>0</v>
          </cell>
        </row>
        <row r="11713">
          <cell r="A11713" t="str">
            <v>81-01-01-0002</v>
          </cell>
          <cell r="B11713">
            <v>0</v>
          </cell>
          <cell r="C11713" t="str">
            <v xml:space="preserve">  LEAVE ENCASHMENT          KARACHI</v>
          </cell>
          <cell r="D11713">
            <v>485307</v>
          </cell>
          <cell r="E11713">
            <v>0</v>
          </cell>
          <cell r="F11713">
            <v>0</v>
          </cell>
          <cell r="G11713">
            <v>0</v>
          </cell>
        </row>
        <row r="11714">
          <cell r="A11714" t="str">
            <v>81-01-01-0003</v>
          </cell>
          <cell r="B11714">
            <v>0</v>
          </cell>
          <cell r="C11714" t="str">
            <v xml:space="preserve">  STAFF WELFARE             KARACHI</v>
          </cell>
          <cell r="D11714">
            <v>0</v>
          </cell>
          <cell r="E11714">
            <v>500</v>
          </cell>
          <cell r="F11714">
            <v>0</v>
          </cell>
          <cell r="G11714">
            <v>0</v>
          </cell>
        </row>
        <row r="11715">
          <cell r="A11715" t="str">
            <v>81-01-01-0005</v>
          </cell>
          <cell r="B11715">
            <v>0</v>
          </cell>
          <cell r="C11715" t="str">
            <v xml:space="preserve">  BONUS ADMIN               KARACHI</v>
          </cell>
          <cell r="D11715">
            <v>547496</v>
          </cell>
          <cell r="E11715">
            <v>0</v>
          </cell>
          <cell r="F11715">
            <v>0</v>
          </cell>
          <cell r="G11715">
            <v>0</v>
          </cell>
        </row>
        <row r="11716">
          <cell r="A11716" t="str">
            <v>81-01-01-0006</v>
          </cell>
          <cell r="B11716">
            <v>0</v>
          </cell>
          <cell r="C11716" t="str">
            <v xml:space="preserve">  EX-GRATIA                 KARACHI</v>
          </cell>
          <cell r="D11716">
            <v>20000</v>
          </cell>
          <cell r="E11716">
            <v>0</v>
          </cell>
          <cell r="F11716">
            <v>0</v>
          </cell>
          <cell r="G11716">
            <v>0</v>
          </cell>
        </row>
        <row r="11717">
          <cell r="A11717" t="str">
            <v>81-01-01-0007</v>
          </cell>
          <cell r="B11717">
            <v>0</v>
          </cell>
          <cell r="C11717" t="str">
            <v xml:space="preserve">  E.O.B.I.                  KARACHI</v>
          </cell>
          <cell r="D11717">
            <v>62850</v>
          </cell>
          <cell r="E11717">
            <v>0</v>
          </cell>
          <cell r="F11717">
            <v>0</v>
          </cell>
          <cell r="G11717">
            <v>0</v>
          </cell>
        </row>
        <row r="11718">
          <cell r="A11718" t="str">
            <v>81-01-01-0008</v>
          </cell>
          <cell r="B11718">
            <v>0</v>
          </cell>
          <cell r="C11718" t="str">
            <v xml:space="preserve">  GRATUITY ADMIN            KARACHI</v>
          </cell>
          <cell r="D11718">
            <v>771076</v>
          </cell>
          <cell r="E11718">
            <v>0</v>
          </cell>
          <cell r="F11718">
            <v>0</v>
          </cell>
          <cell r="G11718">
            <v>0</v>
          </cell>
        </row>
        <row r="11719">
          <cell r="A11719" t="str">
            <v>81-01-01-0009</v>
          </cell>
          <cell r="B11719">
            <v>0</v>
          </cell>
          <cell r="C11719" t="str">
            <v xml:space="preserve">  DIRECTOR'S FEES</v>
          </cell>
          <cell r="D11719">
            <v>56000</v>
          </cell>
          <cell r="E11719">
            <v>0</v>
          </cell>
          <cell r="F11719">
            <v>0</v>
          </cell>
          <cell r="G11719">
            <v>0</v>
          </cell>
        </row>
        <row r="11720">
          <cell r="A11720" t="str">
            <v>81-01-01-0010</v>
          </cell>
          <cell r="B11720">
            <v>0</v>
          </cell>
          <cell r="C11720" t="str">
            <v xml:space="preserve">  DIRECTOR'S REMUNERATION.</v>
          </cell>
          <cell r="D11720">
            <v>2400000</v>
          </cell>
          <cell r="E11720">
            <v>0</v>
          </cell>
          <cell r="F11720">
            <v>0</v>
          </cell>
          <cell r="G11720">
            <v>0</v>
          </cell>
        </row>
        <row r="11721">
          <cell r="A11721" t="str">
            <v>81-01-01-0011</v>
          </cell>
          <cell r="B11721">
            <v>0</v>
          </cell>
          <cell r="C11721" t="str">
            <v xml:space="preserve">  E.O.B.I. CONTRIBUTION BY STAFF</v>
          </cell>
          <cell r="D11721">
            <v>0</v>
          </cell>
          <cell r="E11721">
            <v>0</v>
          </cell>
          <cell r="F11721">
            <v>0</v>
          </cell>
          <cell r="G11721">
            <v>0</v>
          </cell>
        </row>
        <row r="11722">
          <cell r="A11722" t="str">
            <v>81-01-02</v>
          </cell>
          <cell r="B11722">
            <v>0</v>
          </cell>
          <cell r="C11722" t="str">
            <v>***V R M  EXPENSES</v>
          </cell>
          <cell r="D11722">
            <v>534175</v>
          </cell>
          <cell r="E11722">
            <v>0</v>
          </cell>
          <cell r="F11722">
            <v>534175</v>
          </cell>
          <cell r="G11722">
            <v>0</v>
          </cell>
        </row>
        <row r="11723">
          <cell r="A11723" t="str">
            <v>81-01-02-0001</v>
          </cell>
          <cell r="B11723">
            <v>0</v>
          </cell>
          <cell r="C11723" t="str">
            <v xml:space="preserve">   W-7413 TOYOTA COROLLA (A.RAUF KHANANI</v>
          </cell>
          <cell r="D11723">
            <v>0</v>
          </cell>
          <cell r="E11723">
            <v>0</v>
          </cell>
          <cell r="F11723">
            <v>0</v>
          </cell>
          <cell r="G11723">
            <v>0</v>
          </cell>
        </row>
        <row r="11724">
          <cell r="A11724" t="str">
            <v>81-01-02-0002</v>
          </cell>
          <cell r="B11724">
            <v>0</v>
          </cell>
          <cell r="C11724" t="str">
            <v xml:space="preserve">  W -6164 TOYOTA COROLLA MUHAMMAD SALEEM</v>
          </cell>
          <cell r="D11724">
            <v>67500</v>
          </cell>
          <cell r="E11724">
            <v>0</v>
          </cell>
          <cell r="F11724">
            <v>0</v>
          </cell>
          <cell r="G11724">
            <v>0</v>
          </cell>
        </row>
        <row r="11725">
          <cell r="A11725" t="str">
            <v>81-01-02-0003</v>
          </cell>
          <cell r="B11725">
            <v>0</v>
          </cell>
          <cell r="C11725" t="str">
            <v xml:space="preserve">  V-3005 SUZUKI MEHRAN (ASIF RAFIQ)</v>
          </cell>
          <cell r="D11725">
            <v>0</v>
          </cell>
          <cell r="E11725">
            <v>0</v>
          </cell>
          <cell r="F11725">
            <v>0</v>
          </cell>
          <cell r="G11725">
            <v>0</v>
          </cell>
        </row>
        <row r="11726">
          <cell r="A11726" t="str">
            <v>81-01-02-0004</v>
          </cell>
          <cell r="B11726">
            <v>0</v>
          </cell>
          <cell r="C11726" t="str">
            <v xml:space="preserve">  AB 0376 TOYOTA COROLLA (A.RAUF KHANANI</v>
          </cell>
          <cell r="D11726">
            <v>0</v>
          </cell>
          <cell r="E11726">
            <v>0</v>
          </cell>
          <cell r="F11726">
            <v>0</v>
          </cell>
          <cell r="G11726">
            <v>0</v>
          </cell>
        </row>
        <row r="11727">
          <cell r="A11727" t="str">
            <v>81-01-02-0005</v>
          </cell>
          <cell r="B11727">
            <v>0</v>
          </cell>
          <cell r="C11727" t="str">
            <v xml:space="preserve">  AAJ-507 SUZUKI KHYBER (MR.RAFIQ KHIMAN</v>
          </cell>
          <cell r="D11727">
            <v>0</v>
          </cell>
          <cell r="E11727">
            <v>0</v>
          </cell>
          <cell r="F11727">
            <v>0</v>
          </cell>
          <cell r="G11727">
            <v>0</v>
          </cell>
        </row>
        <row r="11728">
          <cell r="A11728" t="str">
            <v>81-01-02-0006</v>
          </cell>
          <cell r="B11728">
            <v>0</v>
          </cell>
          <cell r="C11728" t="str">
            <v xml:space="preserve">  ABU-671 SUZUKI KHYBER (MR.SIDDIQ TABBA</v>
          </cell>
          <cell r="D11728">
            <v>20000</v>
          </cell>
          <cell r="E11728">
            <v>0</v>
          </cell>
          <cell r="F11728">
            <v>0</v>
          </cell>
          <cell r="G11728">
            <v>0</v>
          </cell>
        </row>
        <row r="11729">
          <cell r="A11729" t="str">
            <v>81-01-02-0007</v>
          </cell>
          <cell r="B11729">
            <v>0</v>
          </cell>
          <cell r="C11729" t="str">
            <v xml:space="preserve">  ACF-584 TOYATA COROLLA (DIRECTOR)</v>
          </cell>
          <cell r="D11729">
            <v>0</v>
          </cell>
          <cell r="E11729">
            <v>0</v>
          </cell>
          <cell r="F11729">
            <v>0</v>
          </cell>
          <cell r="G11729">
            <v>0</v>
          </cell>
        </row>
        <row r="11730">
          <cell r="A11730" t="str">
            <v>81-01-02-0008</v>
          </cell>
          <cell r="B11730">
            <v>0</v>
          </cell>
          <cell r="C11730" t="str">
            <v xml:space="preserve">  ACL-228- HONDA CIVIC SILVER</v>
          </cell>
          <cell r="D11730">
            <v>0</v>
          </cell>
          <cell r="E11730">
            <v>0</v>
          </cell>
          <cell r="F11730">
            <v>0</v>
          </cell>
          <cell r="G11730">
            <v>0</v>
          </cell>
        </row>
        <row r="11731">
          <cell r="A11731" t="str">
            <v>81-01-02-0009</v>
          </cell>
          <cell r="B11731">
            <v>0</v>
          </cell>
          <cell r="C11731" t="str">
            <v xml:space="preserve">  ACP-802 SUZUKI KHYBER (ASIF AMAN)</v>
          </cell>
          <cell r="D11731">
            <v>0</v>
          </cell>
          <cell r="E11731">
            <v>0</v>
          </cell>
          <cell r="F11731">
            <v>0</v>
          </cell>
          <cell r="G11731">
            <v>0</v>
          </cell>
        </row>
        <row r="11732">
          <cell r="A11732" t="str">
            <v>81-01-02-0010</v>
          </cell>
          <cell r="B11732">
            <v>0</v>
          </cell>
          <cell r="C11732" t="str">
            <v xml:space="preserve">  ACP-794 SUZUKI KHYBER (ASIF RAFIQUE)</v>
          </cell>
          <cell r="D11732">
            <v>62200</v>
          </cell>
          <cell r="E11732">
            <v>0</v>
          </cell>
          <cell r="F11732">
            <v>0</v>
          </cell>
          <cell r="G11732">
            <v>0</v>
          </cell>
        </row>
        <row r="11733">
          <cell r="A11733" t="str">
            <v>81-01-02-0011</v>
          </cell>
          <cell r="B11733">
            <v>0</v>
          </cell>
          <cell r="C11733" t="str">
            <v xml:space="preserve">  AAF-991 TOYOTA COROLLA.</v>
          </cell>
          <cell r="D11733">
            <v>0</v>
          </cell>
          <cell r="E11733">
            <v>0</v>
          </cell>
          <cell r="F11733">
            <v>0</v>
          </cell>
          <cell r="G11733">
            <v>0</v>
          </cell>
        </row>
        <row r="11734">
          <cell r="A11734" t="str">
            <v>81-01-02-0012</v>
          </cell>
          <cell r="B11734">
            <v>0</v>
          </cell>
          <cell r="C11734" t="str">
            <v xml:space="preserve">  ADD-412 SUZUKI ALTO 1000 CC ZAKIR TABB</v>
          </cell>
          <cell r="D11734">
            <v>48500</v>
          </cell>
          <cell r="E11734">
            <v>0</v>
          </cell>
          <cell r="F11734">
            <v>0</v>
          </cell>
          <cell r="G11734">
            <v>0</v>
          </cell>
        </row>
        <row r="11735">
          <cell r="A11735" t="str">
            <v>81-01-02-0013</v>
          </cell>
          <cell r="B11735">
            <v>0</v>
          </cell>
          <cell r="C11735" t="str">
            <v xml:space="preserve">  ADF 802 TOYOTA COROLLA SILVER METALLIC</v>
          </cell>
          <cell r="D11735">
            <v>5100</v>
          </cell>
          <cell r="E11735">
            <v>0</v>
          </cell>
          <cell r="F11735">
            <v>0</v>
          </cell>
          <cell r="G11735">
            <v>0</v>
          </cell>
        </row>
        <row r="11736">
          <cell r="A11736" t="str">
            <v>81-01-02-0014</v>
          </cell>
          <cell r="B11736">
            <v>0</v>
          </cell>
          <cell r="C11736" t="str">
            <v xml:space="preserve">  AEF-736 SUZUKI ALTO (MR.OWAIS)</v>
          </cell>
          <cell r="D11736">
            <v>50475</v>
          </cell>
          <cell r="E11736">
            <v>0</v>
          </cell>
          <cell r="F11736">
            <v>0</v>
          </cell>
          <cell r="G11736">
            <v>0</v>
          </cell>
        </row>
        <row r="11737">
          <cell r="A11737" t="str">
            <v>81-01-02-0015</v>
          </cell>
          <cell r="B11737">
            <v>0</v>
          </cell>
          <cell r="C11737" t="str">
            <v xml:space="preserve">  AEK-644 SUZUKI CULTUS VXR ABDUL AZIZ</v>
          </cell>
          <cell r="D11737">
            <v>68400</v>
          </cell>
          <cell r="E11737">
            <v>0</v>
          </cell>
          <cell r="F11737">
            <v>0</v>
          </cell>
          <cell r="G11737">
            <v>0</v>
          </cell>
        </row>
        <row r="11738">
          <cell r="A11738" t="str">
            <v>81-01-02-0016</v>
          </cell>
          <cell r="B11738">
            <v>0</v>
          </cell>
          <cell r="C11738" t="str">
            <v xml:space="preserve">  AEN-948 SUZUKI ALTO RAFIQ KHIMANI</v>
          </cell>
          <cell r="D11738">
            <v>50600</v>
          </cell>
          <cell r="E11738">
            <v>0</v>
          </cell>
          <cell r="F11738">
            <v>0</v>
          </cell>
          <cell r="G11738">
            <v>0</v>
          </cell>
        </row>
        <row r="11739">
          <cell r="A11739" t="str">
            <v>81-01-02-0017</v>
          </cell>
          <cell r="B11739">
            <v>0</v>
          </cell>
          <cell r="C11739" t="str">
            <v xml:space="preserve">  YAMAHA M/CYCLE YD-100CC KAY-3012 JAMIL</v>
          </cell>
          <cell r="D11739">
            <v>0</v>
          </cell>
          <cell r="E11739">
            <v>0</v>
          </cell>
          <cell r="F11739">
            <v>0</v>
          </cell>
          <cell r="G11739">
            <v>0</v>
          </cell>
        </row>
        <row r="11740">
          <cell r="A11740" t="str">
            <v>81-01-02-0018</v>
          </cell>
          <cell r="B11740">
            <v>0</v>
          </cell>
          <cell r="C11740" t="str">
            <v xml:space="preserve">  YAMAHA M/CYCLE YD-100CC KAY 3013 FAISA</v>
          </cell>
          <cell r="D11740">
            <v>0</v>
          </cell>
          <cell r="E11740">
            <v>0</v>
          </cell>
          <cell r="F11740">
            <v>0</v>
          </cell>
          <cell r="G11740">
            <v>0</v>
          </cell>
        </row>
        <row r="11741">
          <cell r="A11741" t="str">
            <v>81-01-02-0019</v>
          </cell>
          <cell r="B11741">
            <v>0</v>
          </cell>
          <cell r="C11741" t="str">
            <v xml:space="preserve">  TOYOTA COROLLA AEE-917</v>
          </cell>
          <cell r="D11741">
            <v>5100</v>
          </cell>
          <cell r="E11741">
            <v>0</v>
          </cell>
          <cell r="F11741">
            <v>0</v>
          </cell>
          <cell r="G11741">
            <v>0</v>
          </cell>
        </row>
        <row r="11742">
          <cell r="A11742" t="str">
            <v>81-01-02-0020</v>
          </cell>
          <cell r="B11742">
            <v>0</v>
          </cell>
          <cell r="C11742" t="str">
            <v xml:space="preserve">  KHALID RAFIQUE</v>
          </cell>
          <cell r="D11742">
            <v>35000</v>
          </cell>
          <cell r="E11742">
            <v>0</v>
          </cell>
          <cell r="F11742">
            <v>0</v>
          </cell>
          <cell r="G11742">
            <v>0</v>
          </cell>
        </row>
        <row r="11743">
          <cell r="A11743" t="str">
            <v>81-01-02-0021</v>
          </cell>
          <cell r="B11743">
            <v>0</v>
          </cell>
          <cell r="C11743" t="str">
            <v xml:space="preserve">  CIVIC EXI AFB-062 ASIF AMAN</v>
          </cell>
          <cell r="D11743">
            <v>75800</v>
          </cell>
          <cell r="E11743">
            <v>0</v>
          </cell>
          <cell r="F11743">
            <v>0</v>
          </cell>
          <cell r="G11743">
            <v>0</v>
          </cell>
        </row>
        <row r="11744">
          <cell r="A11744" t="str">
            <v>81-01-02-0022</v>
          </cell>
          <cell r="B11744">
            <v>0</v>
          </cell>
          <cell r="C11744" t="str">
            <v xml:space="preserve">  AFX-266 SALMAN LAKHANI (PURCHASE MANGE</v>
          </cell>
          <cell r="D11744">
            <v>45500</v>
          </cell>
          <cell r="E11744">
            <v>0</v>
          </cell>
          <cell r="F11744">
            <v>0</v>
          </cell>
          <cell r="G11744">
            <v>0</v>
          </cell>
        </row>
        <row r="11745">
          <cell r="A11745" t="str">
            <v>81-01-03</v>
          </cell>
          <cell r="B11745">
            <v>0</v>
          </cell>
          <cell r="C11745" t="str">
            <v>***OTHER ADMIN. EXPENSES (KARACHI)</v>
          </cell>
          <cell r="D11745">
            <v>14587545.640000001</v>
          </cell>
          <cell r="E11745">
            <v>0</v>
          </cell>
          <cell r="F11745">
            <v>14587545.640000001</v>
          </cell>
          <cell r="G11745">
            <v>0</v>
          </cell>
        </row>
        <row r="11746">
          <cell r="A11746" t="str">
            <v>81-01-03-0001</v>
          </cell>
          <cell r="B11746">
            <v>0</v>
          </cell>
          <cell r="C11746" t="str">
            <v xml:space="preserve">  POSTAGE AND TELEGRAM      KARACHI</v>
          </cell>
          <cell r="D11746">
            <v>495824.5</v>
          </cell>
          <cell r="E11746">
            <v>0</v>
          </cell>
          <cell r="F11746">
            <v>0</v>
          </cell>
          <cell r="G11746">
            <v>0</v>
          </cell>
        </row>
        <row r="11747">
          <cell r="A11747" t="str">
            <v>81-01-03-0002</v>
          </cell>
          <cell r="B11747">
            <v>0</v>
          </cell>
          <cell r="C11747" t="str">
            <v xml:space="preserve">  TRAVELLING EXP ADMIN      KARACHI</v>
          </cell>
          <cell r="D11747">
            <v>4184386.6</v>
          </cell>
          <cell r="E11747">
            <v>0</v>
          </cell>
          <cell r="F11747">
            <v>0</v>
          </cell>
          <cell r="G11747">
            <v>0</v>
          </cell>
        </row>
        <row r="11748">
          <cell r="A11748" t="str">
            <v>81-01-03-0003</v>
          </cell>
          <cell r="B11748">
            <v>0</v>
          </cell>
          <cell r="C11748" t="str">
            <v xml:space="preserve">  LOCAL CONVEYANCE          KARACHI</v>
          </cell>
          <cell r="D11748">
            <v>105939</v>
          </cell>
          <cell r="E11748">
            <v>0</v>
          </cell>
          <cell r="F11748">
            <v>0</v>
          </cell>
          <cell r="G11748">
            <v>0</v>
          </cell>
        </row>
        <row r="11749">
          <cell r="A11749" t="str">
            <v>81-01-03-0004</v>
          </cell>
          <cell r="B11749">
            <v>0</v>
          </cell>
          <cell r="C11749" t="str">
            <v xml:space="preserve">  ENTERTAINMENT             KARACHI</v>
          </cell>
          <cell r="D11749">
            <v>192</v>
          </cell>
          <cell r="E11749">
            <v>0</v>
          </cell>
          <cell r="F11749">
            <v>0</v>
          </cell>
          <cell r="G11749">
            <v>0</v>
          </cell>
        </row>
        <row r="11750">
          <cell r="A11750" t="str">
            <v>81-01-03-0005</v>
          </cell>
          <cell r="B11750">
            <v>0</v>
          </cell>
          <cell r="C11750" t="str">
            <v xml:space="preserve">  MISC CHARGES              KARACHI</v>
          </cell>
          <cell r="D11750">
            <v>16625.34</v>
          </cell>
          <cell r="E11750">
            <v>0</v>
          </cell>
          <cell r="F11750">
            <v>0</v>
          </cell>
          <cell r="G11750">
            <v>0</v>
          </cell>
        </row>
        <row r="11751">
          <cell r="A11751" t="str">
            <v>81-01-03-0006</v>
          </cell>
          <cell r="B11751">
            <v>0</v>
          </cell>
          <cell r="C11751" t="str">
            <v xml:space="preserve">  ELECTRICITY CHARGES       KARACHI</v>
          </cell>
          <cell r="D11751">
            <v>630500</v>
          </cell>
          <cell r="E11751">
            <v>0</v>
          </cell>
          <cell r="F11751">
            <v>0</v>
          </cell>
          <cell r="G11751">
            <v>0</v>
          </cell>
        </row>
        <row r="11752">
          <cell r="A11752" t="str">
            <v>81-01-03-0007</v>
          </cell>
          <cell r="B11752">
            <v>0</v>
          </cell>
          <cell r="C11752" t="str">
            <v xml:space="preserve">  PRINTING AND STATIONERY   KARACHI</v>
          </cell>
          <cell r="D11752">
            <v>155267.4</v>
          </cell>
          <cell r="E11752">
            <v>0</v>
          </cell>
          <cell r="F11752">
            <v>0</v>
          </cell>
          <cell r="G11752">
            <v>0</v>
          </cell>
        </row>
        <row r="11753">
          <cell r="A11753" t="str">
            <v>81-01-03-0008</v>
          </cell>
          <cell r="B11753">
            <v>0</v>
          </cell>
          <cell r="C11753" t="str">
            <v xml:space="preserve">  TELEPHONE EXP             KARACHI</v>
          </cell>
          <cell r="D11753">
            <v>861630.99</v>
          </cell>
          <cell r="E11753">
            <v>0</v>
          </cell>
          <cell r="F11753">
            <v>0</v>
          </cell>
          <cell r="G11753">
            <v>0</v>
          </cell>
        </row>
        <row r="11754">
          <cell r="A11754" t="str">
            <v>81-01-03-0009</v>
          </cell>
          <cell r="B11754">
            <v>0</v>
          </cell>
          <cell r="C11754" t="str">
            <v xml:space="preserve">  COMPANY LAW REQUIREMENT   KARACHI</v>
          </cell>
          <cell r="D11754">
            <v>533873.5</v>
          </cell>
          <cell r="E11754">
            <v>0</v>
          </cell>
          <cell r="F11754">
            <v>0</v>
          </cell>
          <cell r="G11754">
            <v>0</v>
          </cell>
        </row>
        <row r="11755">
          <cell r="A11755" t="str">
            <v>81-01-03-0010</v>
          </cell>
          <cell r="B11755">
            <v>0</v>
          </cell>
          <cell r="C11755" t="str">
            <v xml:space="preserve">  CHARITY AND DONATION      KARACHI</v>
          </cell>
          <cell r="D11755">
            <v>100000</v>
          </cell>
          <cell r="E11755">
            <v>0</v>
          </cell>
          <cell r="F11755">
            <v>0</v>
          </cell>
          <cell r="G11755">
            <v>0</v>
          </cell>
        </row>
        <row r="11756">
          <cell r="A11756" t="str">
            <v>81-01-03-0011</v>
          </cell>
          <cell r="B11756">
            <v>0</v>
          </cell>
          <cell r="C11756" t="str">
            <v xml:space="preserve">  BOOKS AND PERIODICALS     KARACHI</v>
          </cell>
          <cell r="D11756">
            <v>9486</v>
          </cell>
          <cell r="E11756">
            <v>0</v>
          </cell>
          <cell r="F11756">
            <v>0</v>
          </cell>
          <cell r="G11756">
            <v>0</v>
          </cell>
        </row>
        <row r="11757">
          <cell r="A11757" t="str">
            <v>81-01-03-0012</v>
          </cell>
          <cell r="B11757">
            <v>0</v>
          </cell>
          <cell r="C11757" t="str">
            <v xml:space="preserve">  AUDIT FEE                 KARACHI</v>
          </cell>
          <cell r="D11757">
            <v>250000</v>
          </cell>
          <cell r="E11757">
            <v>0</v>
          </cell>
          <cell r="F11757">
            <v>0</v>
          </cell>
          <cell r="G11757">
            <v>0</v>
          </cell>
        </row>
        <row r="11758">
          <cell r="A11758" t="str">
            <v>81-01-03-0013</v>
          </cell>
          <cell r="B11758">
            <v>0</v>
          </cell>
          <cell r="C11758" t="str">
            <v xml:space="preserve">  LEGAL &amp; PROFESSIONAL CHRG KARACHI</v>
          </cell>
          <cell r="D11758">
            <v>746860</v>
          </cell>
          <cell r="E11758">
            <v>0</v>
          </cell>
          <cell r="F11758">
            <v>0</v>
          </cell>
          <cell r="G11758">
            <v>0</v>
          </cell>
        </row>
        <row r="11759">
          <cell r="A11759" t="str">
            <v>81-01-03-0014</v>
          </cell>
          <cell r="B11759">
            <v>0</v>
          </cell>
          <cell r="C11759" t="str">
            <v xml:space="preserve">  OFFICE EXPENSES           KARACHI</v>
          </cell>
          <cell r="D11759">
            <v>33368</v>
          </cell>
          <cell r="E11759">
            <v>0</v>
          </cell>
          <cell r="F11759">
            <v>0</v>
          </cell>
          <cell r="G11759">
            <v>0</v>
          </cell>
        </row>
        <row r="11760">
          <cell r="A11760" t="str">
            <v>81-01-03-0015</v>
          </cell>
          <cell r="B11760">
            <v>0</v>
          </cell>
          <cell r="C11760" t="str">
            <v xml:space="preserve">  OFFICE RENT               KARACHI</v>
          </cell>
          <cell r="D11760">
            <v>0</v>
          </cell>
          <cell r="E11760">
            <v>0</v>
          </cell>
          <cell r="F11760">
            <v>0</v>
          </cell>
          <cell r="G11760">
            <v>0</v>
          </cell>
        </row>
        <row r="11761">
          <cell r="A11761" t="str">
            <v>81-01-03-0016</v>
          </cell>
          <cell r="B11761">
            <v>0</v>
          </cell>
          <cell r="C11761" t="str">
            <v xml:space="preserve">  AUDITORS EXPENSES         KARACHI</v>
          </cell>
          <cell r="D11761">
            <v>34760</v>
          </cell>
          <cell r="E11761">
            <v>0</v>
          </cell>
          <cell r="F11761">
            <v>0</v>
          </cell>
          <cell r="G11761">
            <v>0</v>
          </cell>
        </row>
        <row r="11762">
          <cell r="A11762" t="str">
            <v>81-01-03-0017</v>
          </cell>
          <cell r="B11762">
            <v>0</v>
          </cell>
          <cell r="C11762" t="str">
            <v xml:space="preserve">  ADMIN INSURANCE           KARACHI</v>
          </cell>
          <cell r="D11762">
            <v>3691812</v>
          </cell>
          <cell r="E11762">
            <v>0</v>
          </cell>
          <cell r="F11762">
            <v>0</v>
          </cell>
          <cell r="G11762">
            <v>0</v>
          </cell>
        </row>
        <row r="11763">
          <cell r="A11763" t="str">
            <v>81-01-03-0018</v>
          </cell>
          <cell r="B11763">
            <v>0</v>
          </cell>
          <cell r="C11763" t="str">
            <v xml:space="preserve">  DONATION-NATIONAL DEBT RETIREMENT FUND</v>
          </cell>
          <cell r="D11763">
            <v>0</v>
          </cell>
          <cell r="E11763">
            <v>0</v>
          </cell>
          <cell r="F11763">
            <v>0</v>
          </cell>
          <cell r="G11763">
            <v>0</v>
          </cell>
        </row>
        <row r="11764">
          <cell r="A11764" t="str">
            <v>81-01-03-0019</v>
          </cell>
          <cell r="B11764">
            <v>0</v>
          </cell>
          <cell r="C11764" t="str">
            <v xml:space="preserve">  DEFERRED COST AMORTIZED</v>
          </cell>
          <cell r="D11764">
            <v>0</v>
          </cell>
          <cell r="E11764">
            <v>0</v>
          </cell>
          <cell r="F11764">
            <v>0</v>
          </cell>
          <cell r="G11764">
            <v>0</v>
          </cell>
        </row>
        <row r="11765">
          <cell r="A11765" t="str">
            <v>81-01-03-0020</v>
          </cell>
          <cell r="B11765">
            <v>0</v>
          </cell>
          <cell r="C11765" t="str">
            <v xml:space="preserve">  ADVERTISEMENT             KARACHI</v>
          </cell>
          <cell r="D11765">
            <v>112950</v>
          </cell>
          <cell r="E11765">
            <v>0</v>
          </cell>
          <cell r="F11765">
            <v>0</v>
          </cell>
          <cell r="G11765">
            <v>0</v>
          </cell>
        </row>
        <row r="11766">
          <cell r="A11766" t="str">
            <v>81-01-03-0021</v>
          </cell>
          <cell r="B11766">
            <v>0</v>
          </cell>
          <cell r="C11766" t="str">
            <v xml:space="preserve">  GAS CHARGES               KARACHI</v>
          </cell>
          <cell r="D11766">
            <v>31350</v>
          </cell>
          <cell r="E11766">
            <v>0</v>
          </cell>
          <cell r="F11766">
            <v>0</v>
          </cell>
          <cell r="G11766">
            <v>0</v>
          </cell>
        </row>
        <row r="11767">
          <cell r="A11767" t="str">
            <v>81-01-03-0022</v>
          </cell>
          <cell r="B11767">
            <v>0</v>
          </cell>
          <cell r="C11767" t="str">
            <v xml:space="preserve">  OFFICE SHIFTING EXPENSE (KARACHI )</v>
          </cell>
          <cell r="D11767">
            <v>0</v>
          </cell>
          <cell r="E11767">
            <v>0</v>
          </cell>
          <cell r="F11767">
            <v>0</v>
          </cell>
          <cell r="G11767">
            <v>0</v>
          </cell>
        </row>
        <row r="11768">
          <cell r="A11768" t="str">
            <v>81-01-03-0023</v>
          </cell>
          <cell r="B11768">
            <v>0</v>
          </cell>
          <cell r="C11768" t="str">
            <v xml:space="preserve">  LEGAL &amp; PROFESSIONAL FEE  KARACHI</v>
          </cell>
          <cell r="D11768">
            <v>946000</v>
          </cell>
          <cell r="E11768">
            <v>0</v>
          </cell>
          <cell r="F11768">
            <v>0</v>
          </cell>
          <cell r="G11768">
            <v>0</v>
          </cell>
        </row>
        <row r="11769">
          <cell r="A11769" t="str">
            <v>81-01-03-0024</v>
          </cell>
          <cell r="B11769">
            <v>0</v>
          </cell>
          <cell r="C11769" t="str">
            <v xml:space="preserve">  FEES &amp; SUBSCRIPTION       KARACHI</v>
          </cell>
          <cell r="D11769">
            <v>630860</v>
          </cell>
          <cell r="E11769">
            <v>0</v>
          </cell>
          <cell r="F11769">
            <v>0</v>
          </cell>
          <cell r="G11769">
            <v>0</v>
          </cell>
        </row>
        <row r="11770">
          <cell r="A11770" t="str">
            <v>81-01-03-0025</v>
          </cell>
          <cell r="B11770">
            <v>0</v>
          </cell>
          <cell r="C11770" t="str">
            <v xml:space="preserve">  MEDICAL EXPENSES          KARACHI</v>
          </cell>
          <cell r="D11770">
            <v>3128</v>
          </cell>
          <cell r="E11770">
            <v>0</v>
          </cell>
          <cell r="F11770">
            <v>0</v>
          </cell>
          <cell r="G11770">
            <v>0</v>
          </cell>
        </row>
        <row r="11771">
          <cell r="A11771" t="str">
            <v>81-01-03-0026</v>
          </cell>
          <cell r="B11771">
            <v>0</v>
          </cell>
          <cell r="C11771" t="str">
            <v xml:space="preserve">  GARDENING EXPNESES        KARACHI</v>
          </cell>
          <cell r="D11771">
            <v>7087</v>
          </cell>
          <cell r="E11771">
            <v>0</v>
          </cell>
          <cell r="F11771">
            <v>0</v>
          </cell>
          <cell r="G11771">
            <v>0</v>
          </cell>
        </row>
        <row r="11772">
          <cell r="A11772" t="str">
            <v>81-01-03-0027</v>
          </cell>
          <cell r="B11772">
            <v>0</v>
          </cell>
          <cell r="C11772" t="str">
            <v xml:space="preserve">  WATER CHARGES             KARACHI</v>
          </cell>
          <cell r="D11772">
            <v>1760</v>
          </cell>
          <cell r="E11772">
            <v>0</v>
          </cell>
          <cell r="F11772">
            <v>0</v>
          </cell>
          <cell r="G11772">
            <v>0</v>
          </cell>
        </row>
        <row r="11773">
          <cell r="A11773" t="str">
            <v>81-01-03-0028</v>
          </cell>
          <cell r="B11773">
            <v>0</v>
          </cell>
          <cell r="C11773" t="str">
            <v xml:space="preserve">  REPAIR &amp; MAINTANANCE      KARACHI</v>
          </cell>
          <cell r="D11773">
            <v>279387.5</v>
          </cell>
          <cell r="E11773">
            <v>0</v>
          </cell>
          <cell r="F11773">
            <v>0</v>
          </cell>
          <cell r="G11773">
            <v>0</v>
          </cell>
        </row>
        <row r="11774">
          <cell r="A11774" t="str">
            <v>81-01-03-0029</v>
          </cell>
          <cell r="B11774">
            <v>0</v>
          </cell>
          <cell r="C11774" t="str">
            <v xml:space="preserve">  INTERNET EXPENSES         KARACHI</v>
          </cell>
          <cell r="D11774">
            <v>30638</v>
          </cell>
          <cell r="E11774">
            <v>0</v>
          </cell>
          <cell r="F11774">
            <v>0</v>
          </cell>
          <cell r="G11774">
            <v>0</v>
          </cell>
        </row>
        <row r="11775">
          <cell r="A11775" t="str">
            <v>81-01-03-0030</v>
          </cell>
          <cell r="B11775">
            <v>0</v>
          </cell>
          <cell r="C11775" t="str">
            <v xml:space="preserve">  WEALTH TAX OF VEHICLE</v>
          </cell>
          <cell r="D11775">
            <v>0</v>
          </cell>
          <cell r="E11775">
            <v>0</v>
          </cell>
          <cell r="F11775">
            <v>0</v>
          </cell>
          <cell r="G11775">
            <v>0</v>
          </cell>
        </row>
        <row r="11776">
          <cell r="A11776" t="str">
            <v>81-01-03-0031</v>
          </cell>
          <cell r="B11776">
            <v>0</v>
          </cell>
          <cell r="C11776" t="str">
            <v xml:space="preserve">  ISO 9000 EXPENSES</v>
          </cell>
          <cell r="D11776">
            <v>0</v>
          </cell>
          <cell r="E11776">
            <v>0</v>
          </cell>
          <cell r="F11776">
            <v>0</v>
          </cell>
          <cell r="G11776">
            <v>0</v>
          </cell>
        </row>
        <row r="11777">
          <cell r="A11777" t="str">
            <v>81-01-03-0032</v>
          </cell>
          <cell r="B11777">
            <v>0</v>
          </cell>
          <cell r="C11777" t="str">
            <v xml:space="preserve">  MESSING EXPENSES          KARACHI</v>
          </cell>
          <cell r="D11777">
            <v>135096</v>
          </cell>
          <cell r="E11777">
            <v>0</v>
          </cell>
          <cell r="F11777">
            <v>0</v>
          </cell>
          <cell r="G11777">
            <v>0</v>
          </cell>
        </row>
        <row r="11778">
          <cell r="A11778" t="str">
            <v>81-01-03-0033</v>
          </cell>
          <cell r="B11778">
            <v>0</v>
          </cell>
          <cell r="C11778" t="str">
            <v xml:space="preserve">  HOTELING CHARGES          KARACHI</v>
          </cell>
          <cell r="D11778">
            <v>315253.81</v>
          </cell>
          <cell r="E11778">
            <v>0</v>
          </cell>
          <cell r="F11778">
            <v>0</v>
          </cell>
          <cell r="G11778">
            <v>0</v>
          </cell>
        </row>
        <row r="11779">
          <cell r="A11779" t="str">
            <v>81-01-03-0034</v>
          </cell>
          <cell r="B11779">
            <v>0</v>
          </cell>
          <cell r="C11779" t="str">
            <v xml:space="preserve">  DEPRECIATION EXPENSES (ADMN)</v>
          </cell>
          <cell r="D11779">
            <v>0</v>
          </cell>
          <cell r="E11779">
            <v>0</v>
          </cell>
          <cell r="F11779">
            <v>0</v>
          </cell>
          <cell r="G11779">
            <v>0</v>
          </cell>
        </row>
        <row r="11780">
          <cell r="A11780" t="str">
            <v>81-01-03-0035</v>
          </cell>
          <cell r="B11780">
            <v>0</v>
          </cell>
          <cell r="C11780" t="str">
            <v xml:space="preserve">  PROPERTY TAX OFFICE</v>
          </cell>
          <cell r="D11780">
            <v>24158</v>
          </cell>
          <cell r="E11780">
            <v>0</v>
          </cell>
          <cell r="F11780">
            <v>0</v>
          </cell>
          <cell r="G11780">
            <v>0</v>
          </cell>
        </row>
        <row r="11781">
          <cell r="A11781" t="str">
            <v>81-01-03-0036</v>
          </cell>
          <cell r="B11781">
            <v>0</v>
          </cell>
          <cell r="C11781" t="str">
            <v xml:space="preserve">  BROKERAGE ON SALE OF SHARES</v>
          </cell>
          <cell r="D11781">
            <v>0</v>
          </cell>
          <cell r="E11781">
            <v>0</v>
          </cell>
          <cell r="F11781">
            <v>0</v>
          </cell>
          <cell r="G11781">
            <v>0</v>
          </cell>
        </row>
        <row r="11782">
          <cell r="A11782" t="str">
            <v>81-01-03-0037</v>
          </cell>
          <cell r="B11782">
            <v>0</v>
          </cell>
          <cell r="C11782" t="str">
            <v xml:space="preserve">  CARTAGE EXPENSES      (KARACHI)</v>
          </cell>
          <cell r="D11782">
            <v>132346</v>
          </cell>
          <cell r="E11782">
            <v>0</v>
          </cell>
          <cell r="F11782">
            <v>0</v>
          </cell>
          <cell r="G11782">
            <v>0</v>
          </cell>
        </row>
        <row r="11783">
          <cell r="A11783" t="str">
            <v>81-01-03-0038</v>
          </cell>
          <cell r="B11783">
            <v>0</v>
          </cell>
          <cell r="C11783" t="str">
            <v xml:space="preserve">  EXPENSES ON SALE OF SHARES</v>
          </cell>
          <cell r="D11783">
            <v>0</v>
          </cell>
          <cell r="E11783">
            <v>0</v>
          </cell>
          <cell r="F11783">
            <v>0</v>
          </cell>
          <cell r="G11783">
            <v>0</v>
          </cell>
        </row>
        <row r="11784">
          <cell r="A11784" t="str">
            <v>81-01-03-0039</v>
          </cell>
          <cell r="B11784">
            <v>0</v>
          </cell>
          <cell r="C11784" t="str">
            <v xml:space="preserve">  COMPUTER STATIONERY</v>
          </cell>
          <cell r="D11784">
            <v>82322</v>
          </cell>
          <cell r="E11784">
            <v>0</v>
          </cell>
          <cell r="F11784">
            <v>0</v>
          </cell>
          <cell r="G11784">
            <v>0</v>
          </cell>
        </row>
        <row r="11785">
          <cell r="A11785" t="str">
            <v>81-01-03-0040</v>
          </cell>
          <cell r="B11785">
            <v>0</v>
          </cell>
          <cell r="C11785" t="str">
            <v xml:space="preserve">  PACKING CHARGES-KARACHI</v>
          </cell>
          <cell r="D11785">
            <v>4684</v>
          </cell>
          <cell r="E11785">
            <v>0</v>
          </cell>
          <cell r="F11785">
            <v>0</v>
          </cell>
          <cell r="G11785">
            <v>0</v>
          </cell>
        </row>
        <row r="11786">
          <cell r="A11786" t="str">
            <v>81-02</v>
          </cell>
          <cell r="B11786">
            <v>0</v>
          </cell>
          <cell r="C11786" t="str">
            <v>**ADMIN EXPENSES PESHAWAR OFFICE</v>
          </cell>
          <cell r="D11786">
            <v>910911</v>
          </cell>
          <cell r="E11786">
            <v>0</v>
          </cell>
          <cell r="F11786">
            <v>910911</v>
          </cell>
          <cell r="G11786">
            <v>0</v>
          </cell>
        </row>
        <row r="11787">
          <cell r="A11787" t="str">
            <v>81-02-01</v>
          </cell>
          <cell r="B11787">
            <v>0</v>
          </cell>
          <cell r="C11787" t="str">
            <v>***SALARIES AND BENEFITS (PESHAWAR)</v>
          </cell>
          <cell r="D11787">
            <v>187177</v>
          </cell>
          <cell r="E11787">
            <v>0</v>
          </cell>
          <cell r="F11787">
            <v>187177</v>
          </cell>
          <cell r="G11787">
            <v>0</v>
          </cell>
        </row>
        <row r="11788">
          <cell r="A11788" t="str">
            <v>81-02-01-0001</v>
          </cell>
          <cell r="B11788">
            <v>0</v>
          </cell>
          <cell r="C11788" t="str">
            <v xml:space="preserve">  SALARIES AND WAGES ADMIN  PESHAWAR</v>
          </cell>
          <cell r="D11788">
            <v>149150</v>
          </cell>
          <cell r="E11788">
            <v>0</v>
          </cell>
          <cell r="F11788">
            <v>0</v>
          </cell>
          <cell r="G11788">
            <v>0</v>
          </cell>
        </row>
        <row r="11789">
          <cell r="A11789" t="str">
            <v>81-02-01-0002</v>
          </cell>
          <cell r="B11789">
            <v>0</v>
          </cell>
          <cell r="C11789" t="str">
            <v xml:space="preserve">  LEAVE ENCASHMENT          PESHAWAR</v>
          </cell>
          <cell r="D11789">
            <v>11000</v>
          </cell>
          <cell r="E11789">
            <v>0</v>
          </cell>
          <cell r="F11789">
            <v>0</v>
          </cell>
          <cell r="G11789">
            <v>0</v>
          </cell>
        </row>
        <row r="11790">
          <cell r="A11790" t="str">
            <v>81-02-01-0003</v>
          </cell>
          <cell r="B11790">
            <v>0</v>
          </cell>
          <cell r="C11790" t="str">
            <v xml:space="preserve">  STAFF WELFARE  PESHAWAR</v>
          </cell>
          <cell r="D11790">
            <v>0</v>
          </cell>
          <cell r="E11790">
            <v>0</v>
          </cell>
          <cell r="F11790">
            <v>0</v>
          </cell>
          <cell r="G11790">
            <v>0</v>
          </cell>
        </row>
        <row r="11791">
          <cell r="A11791" t="str">
            <v>81-02-01-0004</v>
          </cell>
          <cell r="B11791">
            <v>0</v>
          </cell>
          <cell r="C11791" t="str">
            <v xml:space="preserve">  GUEST HOUSE RENT PESHAWAR</v>
          </cell>
          <cell r="D11791">
            <v>0</v>
          </cell>
          <cell r="E11791">
            <v>0</v>
          </cell>
          <cell r="F11791">
            <v>0</v>
          </cell>
          <cell r="G11791">
            <v>0</v>
          </cell>
        </row>
        <row r="11792">
          <cell r="A11792" t="str">
            <v>81-02-01-0005</v>
          </cell>
          <cell r="B11792">
            <v>0</v>
          </cell>
          <cell r="C11792" t="str">
            <v xml:space="preserve">  BONUS ADMIN  PESHAWAR</v>
          </cell>
          <cell r="D11792">
            <v>11000</v>
          </cell>
          <cell r="E11792">
            <v>0</v>
          </cell>
          <cell r="F11792">
            <v>0</v>
          </cell>
          <cell r="G11792">
            <v>0</v>
          </cell>
        </row>
        <row r="11793">
          <cell r="A11793" t="str">
            <v>81-02-01-0006</v>
          </cell>
          <cell r="B11793">
            <v>0</v>
          </cell>
          <cell r="C11793" t="str">
            <v xml:space="preserve">  EX-GRATIA &amp; REWARD        PESHAWAR</v>
          </cell>
          <cell r="D11793">
            <v>1800</v>
          </cell>
          <cell r="E11793">
            <v>0</v>
          </cell>
          <cell r="F11793">
            <v>0</v>
          </cell>
          <cell r="G11793">
            <v>0</v>
          </cell>
        </row>
        <row r="11794">
          <cell r="A11794" t="str">
            <v>81-02-01-0007</v>
          </cell>
          <cell r="B11794">
            <v>0</v>
          </cell>
          <cell r="C11794" t="str">
            <v xml:space="preserve">  E.O.B.I. PESHAWAR STAFF</v>
          </cell>
          <cell r="D11794">
            <v>0</v>
          </cell>
          <cell r="E11794">
            <v>0</v>
          </cell>
          <cell r="F11794">
            <v>0</v>
          </cell>
          <cell r="G11794">
            <v>0</v>
          </cell>
        </row>
        <row r="11795">
          <cell r="A11795" t="str">
            <v>81-02-01-0008</v>
          </cell>
          <cell r="B11795">
            <v>0</v>
          </cell>
          <cell r="C11795" t="str">
            <v xml:space="preserve">  GRATUITY ADMIN - PESHAWAR</v>
          </cell>
          <cell r="D11795">
            <v>14227</v>
          </cell>
          <cell r="E11795">
            <v>0</v>
          </cell>
          <cell r="F11795">
            <v>0</v>
          </cell>
          <cell r="G11795">
            <v>0</v>
          </cell>
        </row>
        <row r="11796">
          <cell r="A11796" t="str">
            <v>81-02-03</v>
          </cell>
          <cell r="B11796">
            <v>0</v>
          </cell>
          <cell r="C11796" t="str">
            <v>***OTHER ADMIN. EXPENSES (PESHAWAR)</v>
          </cell>
          <cell r="D11796">
            <v>723734</v>
          </cell>
          <cell r="E11796">
            <v>0</v>
          </cell>
          <cell r="F11796">
            <v>723734</v>
          </cell>
          <cell r="G11796">
            <v>0</v>
          </cell>
        </row>
        <row r="11797">
          <cell r="A11797" t="str">
            <v>81-02-03-0001</v>
          </cell>
          <cell r="B11797">
            <v>0</v>
          </cell>
          <cell r="C11797" t="str">
            <v xml:space="preserve">  POSTAGE AND TELEGRAM      PESHAWAR</v>
          </cell>
          <cell r="D11797">
            <v>44118</v>
          </cell>
          <cell r="E11797">
            <v>0</v>
          </cell>
          <cell r="F11797">
            <v>0</v>
          </cell>
          <cell r="G11797">
            <v>0</v>
          </cell>
        </row>
        <row r="11798">
          <cell r="A11798" t="str">
            <v>81-02-03-0002</v>
          </cell>
          <cell r="B11798">
            <v>0</v>
          </cell>
          <cell r="C11798" t="str">
            <v xml:space="preserve">  TRAVELING EXP ADMIN       PESHAWAR</v>
          </cell>
          <cell r="D11798">
            <v>0</v>
          </cell>
          <cell r="E11798">
            <v>0</v>
          </cell>
          <cell r="F11798">
            <v>0</v>
          </cell>
          <cell r="G11798">
            <v>0</v>
          </cell>
        </row>
        <row r="11799">
          <cell r="A11799" t="str">
            <v>81-02-03-0003</v>
          </cell>
          <cell r="B11799">
            <v>0</v>
          </cell>
          <cell r="C11799" t="str">
            <v xml:space="preserve">  LOCAL CONVEYANCE          PESHAWAR</v>
          </cell>
          <cell r="D11799">
            <v>17090</v>
          </cell>
          <cell r="E11799">
            <v>0</v>
          </cell>
          <cell r="F11799">
            <v>0</v>
          </cell>
          <cell r="G11799">
            <v>0</v>
          </cell>
        </row>
        <row r="11800">
          <cell r="A11800" t="str">
            <v>81-02-03-0004</v>
          </cell>
          <cell r="B11800">
            <v>0</v>
          </cell>
          <cell r="C11800" t="str">
            <v xml:space="preserve">  ENTERTAINMENT  PESHAWAR</v>
          </cell>
          <cell r="D11800">
            <v>0</v>
          </cell>
          <cell r="E11800">
            <v>0</v>
          </cell>
          <cell r="F11800">
            <v>0</v>
          </cell>
          <cell r="G11800">
            <v>0</v>
          </cell>
        </row>
        <row r="11801">
          <cell r="A11801" t="str">
            <v>81-02-03-0005</v>
          </cell>
          <cell r="B11801">
            <v>0</v>
          </cell>
          <cell r="C11801" t="str">
            <v xml:space="preserve">  MISC CHARGES   PESHAWAR</v>
          </cell>
          <cell r="D11801">
            <v>18700</v>
          </cell>
          <cell r="E11801">
            <v>0</v>
          </cell>
          <cell r="F11801">
            <v>0</v>
          </cell>
          <cell r="G11801">
            <v>0</v>
          </cell>
        </row>
        <row r="11802">
          <cell r="A11802" t="str">
            <v>81-02-03-0006</v>
          </cell>
          <cell r="B11802">
            <v>0</v>
          </cell>
          <cell r="C11802" t="str">
            <v xml:space="preserve">  ELECTRICITY CHARGES       PESHAWAR</v>
          </cell>
          <cell r="D11802">
            <v>60000</v>
          </cell>
          <cell r="E11802">
            <v>0</v>
          </cell>
          <cell r="F11802">
            <v>0</v>
          </cell>
          <cell r="G11802">
            <v>0</v>
          </cell>
        </row>
        <row r="11803">
          <cell r="A11803" t="str">
            <v>81-02-03-0007</v>
          </cell>
          <cell r="B11803">
            <v>0</v>
          </cell>
          <cell r="C11803" t="str">
            <v xml:space="preserve">  PRINTING AND STATIONERY   PESHAWAR</v>
          </cell>
          <cell r="D11803">
            <v>30585</v>
          </cell>
          <cell r="E11803">
            <v>0</v>
          </cell>
          <cell r="F11803">
            <v>0</v>
          </cell>
          <cell r="G11803">
            <v>0</v>
          </cell>
        </row>
        <row r="11804">
          <cell r="A11804" t="str">
            <v>81-02-03-0008</v>
          </cell>
          <cell r="B11804">
            <v>0</v>
          </cell>
          <cell r="C11804" t="str">
            <v xml:space="preserve">  TELEPHONE EXPENSES        PESHAWAR</v>
          </cell>
          <cell r="D11804">
            <v>263539</v>
          </cell>
          <cell r="E11804">
            <v>0</v>
          </cell>
          <cell r="F11804">
            <v>0</v>
          </cell>
          <cell r="G11804">
            <v>0</v>
          </cell>
        </row>
        <row r="11805">
          <cell r="A11805" t="str">
            <v>81-02-03-0009</v>
          </cell>
          <cell r="B11805">
            <v>0</v>
          </cell>
          <cell r="C11805" t="str">
            <v xml:space="preserve">  COMPANY LAW REQUIRMENT    PESHAWAR</v>
          </cell>
          <cell r="D11805">
            <v>0</v>
          </cell>
          <cell r="E11805">
            <v>0</v>
          </cell>
          <cell r="F11805">
            <v>0</v>
          </cell>
          <cell r="G11805">
            <v>0</v>
          </cell>
        </row>
        <row r="11806">
          <cell r="A11806" t="str">
            <v>81-02-03-0010</v>
          </cell>
          <cell r="B11806">
            <v>0</v>
          </cell>
          <cell r="C11806" t="str">
            <v xml:space="preserve">  CHARITY AND DONATION      PESHAWAR</v>
          </cell>
          <cell r="D11806">
            <v>0</v>
          </cell>
          <cell r="E11806">
            <v>0</v>
          </cell>
          <cell r="F11806">
            <v>0</v>
          </cell>
          <cell r="G11806">
            <v>0</v>
          </cell>
        </row>
        <row r="11807">
          <cell r="A11807" t="str">
            <v>81-02-03-0011</v>
          </cell>
          <cell r="B11807">
            <v>0</v>
          </cell>
          <cell r="C11807" t="str">
            <v xml:space="preserve">  BOOKS AND PERIODICALS     PESHAWAR</v>
          </cell>
          <cell r="D11807">
            <v>2440</v>
          </cell>
          <cell r="E11807">
            <v>0</v>
          </cell>
          <cell r="F11807">
            <v>0</v>
          </cell>
          <cell r="G11807">
            <v>0</v>
          </cell>
        </row>
        <row r="11808">
          <cell r="A11808" t="str">
            <v>81-02-03-0012</v>
          </cell>
          <cell r="B11808">
            <v>0</v>
          </cell>
          <cell r="C11808" t="str">
            <v xml:space="preserve">  AUDIT FEE    PESHAWAR</v>
          </cell>
          <cell r="D11808">
            <v>0</v>
          </cell>
          <cell r="E11808">
            <v>0</v>
          </cell>
          <cell r="F11808">
            <v>0</v>
          </cell>
          <cell r="G11808">
            <v>0</v>
          </cell>
        </row>
        <row r="11809">
          <cell r="A11809" t="str">
            <v>81-02-03-0013</v>
          </cell>
          <cell r="B11809">
            <v>0</v>
          </cell>
          <cell r="C11809" t="str">
            <v xml:space="preserve">  LEGAL &amp; PROFESSIONAL CHRG PESHAWAR</v>
          </cell>
          <cell r="D11809">
            <v>36345</v>
          </cell>
          <cell r="E11809">
            <v>0</v>
          </cell>
          <cell r="F11809">
            <v>0</v>
          </cell>
          <cell r="G11809">
            <v>0</v>
          </cell>
        </row>
        <row r="11810">
          <cell r="A11810" t="str">
            <v>81-02-03-0014</v>
          </cell>
          <cell r="B11810">
            <v>0</v>
          </cell>
          <cell r="C11810" t="str">
            <v xml:space="preserve">  OFFICE EXPENSES   PESHAWAR</v>
          </cell>
          <cell r="D11810">
            <v>1695</v>
          </cell>
          <cell r="E11810">
            <v>0</v>
          </cell>
          <cell r="F11810">
            <v>0</v>
          </cell>
          <cell r="G11810">
            <v>0</v>
          </cell>
        </row>
        <row r="11811">
          <cell r="A11811" t="str">
            <v>81-02-03-0015</v>
          </cell>
          <cell r="B11811">
            <v>0</v>
          </cell>
          <cell r="C11811" t="str">
            <v xml:space="preserve">  OFFICE RENT               PESHAWAR</v>
          </cell>
          <cell r="D11811">
            <v>96000</v>
          </cell>
          <cell r="E11811">
            <v>0</v>
          </cell>
          <cell r="F11811">
            <v>0</v>
          </cell>
          <cell r="G11811">
            <v>0</v>
          </cell>
        </row>
        <row r="11812">
          <cell r="A11812" t="str">
            <v>81-02-03-0016</v>
          </cell>
          <cell r="B11812">
            <v>0</v>
          </cell>
          <cell r="C11812" t="str">
            <v xml:space="preserve">  AUDITORS EXPENSES PESHAWAR</v>
          </cell>
          <cell r="D11812">
            <v>0</v>
          </cell>
          <cell r="E11812">
            <v>0</v>
          </cell>
          <cell r="F11812">
            <v>0</v>
          </cell>
          <cell r="G11812">
            <v>0</v>
          </cell>
        </row>
        <row r="11813">
          <cell r="A11813" t="str">
            <v>81-02-03-0017</v>
          </cell>
          <cell r="B11813">
            <v>0</v>
          </cell>
          <cell r="C11813" t="str">
            <v xml:space="preserve">  ADMIN INSURANCE    PESHAWAR</v>
          </cell>
          <cell r="D11813">
            <v>0</v>
          </cell>
          <cell r="E11813">
            <v>0</v>
          </cell>
          <cell r="F11813">
            <v>0</v>
          </cell>
          <cell r="G11813">
            <v>0</v>
          </cell>
        </row>
        <row r="11814">
          <cell r="A11814" t="str">
            <v>81-02-03-0018</v>
          </cell>
          <cell r="B11814">
            <v>0</v>
          </cell>
          <cell r="C11814" t="str">
            <v xml:space="preserve">  DONATION-NATIONAL DEBT RETIREMENT FUND</v>
          </cell>
          <cell r="D11814">
            <v>0</v>
          </cell>
          <cell r="E11814">
            <v>0</v>
          </cell>
          <cell r="F11814">
            <v>0</v>
          </cell>
          <cell r="G11814">
            <v>0</v>
          </cell>
        </row>
        <row r="11815">
          <cell r="A11815" t="str">
            <v>81-02-03-0019</v>
          </cell>
          <cell r="B11815">
            <v>0</v>
          </cell>
          <cell r="C11815" t="str">
            <v xml:space="preserve">  DEFERRED COST AMORTIZED</v>
          </cell>
          <cell r="D11815">
            <v>0</v>
          </cell>
          <cell r="E11815">
            <v>0</v>
          </cell>
          <cell r="F11815">
            <v>0</v>
          </cell>
          <cell r="G11815">
            <v>0</v>
          </cell>
        </row>
        <row r="11816">
          <cell r="A11816" t="str">
            <v>81-02-03-0020</v>
          </cell>
          <cell r="B11816">
            <v>0</v>
          </cell>
          <cell r="C11816" t="str">
            <v xml:space="preserve">  ADVERTISEMENT   PESHAWAR</v>
          </cell>
          <cell r="D11816">
            <v>30000</v>
          </cell>
          <cell r="E11816">
            <v>0</v>
          </cell>
          <cell r="F11816">
            <v>0</v>
          </cell>
          <cell r="G11816">
            <v>0</v>
          </cell>
        </row>
        <row r="11817">
          <cell r="A11817" t="str">
            <v>81-02-03-0021</v>
          </cell>
          <cell r="B11817">
            <v>0</v>
          </cell>
          <cell r="C11817" t="str">
            <v xml:space="preserve">  GAS CHARGES   PESHAWAR</v>
          </cell>
          <cell r="D11817">
            <v>0</v>
          </cell>
          <cell r="E11817">
            <v>0</v>
          </cell>
          <cell r="F11817">
            <v>0</v>
          </cell>
          <cell r="G11817">
            <v>0</v>
          </cell>
        </row>
        <row r="11818">
          <cell r="A11818" t="str">
            <v>81-02-03-0022</v>
          </cell>
          <cell r="B11818">
            <v>0</v>
          </cell>
          <cell r="C11818" t="str">
            <v xml:space="preserve">  OFFICE SHIFTING EXPENSES  PESHAWAR</v>
          </cell>
          <cell r="D11818">
            <v>0</v>
          </cell>
          <cell r="E11818">
            <v>0</v>
          </cell>
          <cell r="F11818">
            <v>0</v>
          </cell>
          <cell r="G11818">
            <v>0</v>
          </cell>
        </row>
        <row r="11819">
          <cell r="A11819" t="str">
            <v>81-02-03-0023</v>
          </cell>
          <cell r="B11819">
            <v>0</v>
          </cell>
          <cell r="C11819" t="str">
            <v xml:space="preserve">  REPAIR &amp; MAINTENANCE OFFICE EQUIPMENT</v>
          </cell>
          <cell r="D11819">
            <v>1600</v>
          </cell>
          <cell r="E11819">
            <v>0</v>
          </cell>
          <cell r="F11819">
            <v>0</v>
          </cell>
          <cell r="G11819">
            <v>0</v>
          </cell>
        </row>
        <row r="11820">
          <cell r="A11820" t="str">
            <v>81-02-03-0024</v>
          </cell>
          <cell r="B11820">
            <v>0</v>
          </cell>
          <cell r="C11820" t="str">
            <v xml:space="preserve">  FEES &amp; SUBSCRIPTION   PESHAWAR</v>
          </cell>
          <cell r="D11820">
            <v>20000</v>
          </cell>
          <cell r="E11820">
            <v>0</v>
          </cell>
          <cell r="F11820">
            <v>0</v>
          </cell>
          <cell r="G11820">
            <v>0</v>
          </cell>
        </row>
        <row r="11821">
          <cell r="A11821" t="str">
            <v>81-02-03-0025</v>
          </cell>
          <cell r="B11821">
            <v>0</v>
          </cell>
          <cell r="C11821" t="str">
            <v xml:space="preserve">  MEDICAL EXPENSES PESHAWAR</v>
          </cell>
          <cell r="D11821">
            <v>20000</v>
          </cell>
          <cell r="E11821">
            <v>0</v>
          </cell>
          <cell r="F11821">
            <v>0</v>
          </cell>
          <cell r="G11821">
            <v>0</v>
          </cell>
        </row>
        <row r="11822">
          <cell r="A11822" t="str">
            <v>81-02-03-0026</v>
          </cell>
          <cell r="B11822">
            <v>0</v>
          </cell>
          <cell r="C11822" t="str">
            <v xml:space="preserve">  MESSING EXPENSE           PESHAWAR</v>
          </cell>
          <cell r="D11822">
            <v>21492</v>
          </cell>
          <cell r="E11822">
            <v>0</v>
          </cell>
          <cell r="F11822">
            <v>0</v>
          </cell>
          <cell r="G11822">
            <v>0</v>
          </cell>
        </row>
        <row r="11823">
          <cell r="A11823" t="str">
            <v>81-02-03-0027</v>
          </cell>
          <cell r="B11823">
            <v>0</v>
          </cell>
          <cell r="C11823" t="str">
            <v xml:space="preserve">  SECRETARIAL OFFICE WORKS  PESHAWAR</v>
          </cell>
          <cell r="D11823">
            <v>60000</v>
          </cell>
          <cell r="E11823">
            <v>0</v>
          </cell>
          <cell r="F11823">
            <v>0</v>
          </cell>
          <cell r="G11823">
            <v>0</v>
          </cell>
        </row>
        <row r="11824">
          <cell r="A11824" t="str">
            <v>81-02-03-0028</v>
          </cell>
          <cell r="B11824">
            <v>0</v>
          </cell>
          <cell r="C11824" t="str">
            <v xml:space="preserve">  COMPUTER STATIONERY</v>
          </cell>
          <cell r="D11824">
            <v>130</v>
          </cell>
          <cell r="E11824">
            <v>0</v>
          </cell>
          <cell r="F11824">
            <v>0</v>
          </cell>
          <cell r="G11824">
            <v>0</v>
          </cell>
        </row>
        <row r="11825">
          <cell r="A11825" t="str">
            <v>81-03</v>
          </cell>
          <cell r="B11825">
            <v>0</v>
          </cell>
          <cell r="C11825" t="str">
            <v>**ADMIN EXPENSES RAWALPINDI OFFICE</v>
          </cell>
          <cell r="D11825">
            <v>1180437.5</v>
          </cell>
          <cell r="E11825">
            <v>0</v>
          </cell>
          <cell r="F11825">
            <v>1180437.5</v>
          </cell>
          <cell r="G11825">
            <v>0</v>
          </cell>
        </row>
        <row r="11826">
          <cell r="A11826" t="str">
            <v>81-03-01</v>
          </cell>
          <cell r="B11826">
            <v>0</v>
          </cell>
          <cell r="C11826" t="str">
            <v>***SALARIES AND OTHER BENEFIT PINDI OFFI</v>
          </cell>
          <cell r="D11826">
            <v>149917.5</v>
          </cell>
          <cell r="E11826">
            <v>0</v>
          </cell>
          <cell r="F11826">
            <v>149917.5</v>
          </cell>
          <cell r="G11826">
            <v>0</v>
          </cell>
        </row>
        <row r="11827">
          <cell r="A11827" t="str">
            <v>81-03-01-0001</v>
          </cell>
          <cell r="B11827">
            <v>0</v>
          </cell>
          <cell r="C11827" t="str">
            <v xml:space="preserve">  SALARIES EXPENSES    PINDI OFFICE</v>
          </cell>
          <cell r="D11827">
            <v>147917.5</v>
          </cell>
          <cell r="E11827">
            <v>0</v>
          </cell>
          <cell r="F11827">
            <v>0</v>
          </cell>
          <cell r="G11827">
            <v>0</v>
          </cell>
        </row>
        <row r="11828">
          <cell r="A11828" t="str">
            <v>81-03-01-0002</v>
          </cell>
          <cell r="B11828">
            <v>0</v>
          </cell>
          <cell r="C11828" t="str">
            <v xml:space="preserve">  MEDICAL EXPENSES</v>
          </cell>
          <cell r="D11828">
            <v>0</v>
          </cell>
          <cell r="E11828">
            <v>0</v>
          </cell>
          <cell r="F11828">
            <v>0</v>
          </cell>
          <cell r="G11828">
            <v>0</v>
          </cell>
        </row>
        <row r="11829">
          <cell r="A11829" t="str">
            <v>81-03-01-0003</v>
          </cell>
          <cell r="B11829">
            <v>0</v>
          </cell>
          <cell r="C11829" t="str">
            <v xml:space="preserve">  EX-GRATIA AND REWARDS-PINDI</v>
          </cell>
          <cell r="D11829">
            <v>2000</v>
          </cell>
          <cell r="E11829">
            <v>0</v>
          </cell>
          <cell r="F11829">
            <v>0</v>
          </cell>
          <cell r="G11829">
            <v>0</v>
          </cell>
        </row>
        <row r="11830">
          <cell r="A11830" t="str">
            <v>81-03-03</v>
          </cell>
          <cell r="B11830">
            <v>0</v>
          </cell>
          <cell r="C11830" t="str">
            <v>***OTHER EXPENSES RAWALPINDI OFFICE</v>
          </cell>
          <cell r="D11830">
            <v>1030520</v>
          </cell>
          <cell r="E11830">
            <v>0</v>
          </cell>
          <cell r="F11830">
            <v>1030520</v>
          </cell>
          <cell r="G11830">
            <v>0</v>
          </cell>
        </row>
        <row r="11831">
          <cell r="A11831" t="str">
            <v>81-03-03-0001</v>
          </cell>
          <cell r="B11831">
            <v>0</v>
          </cell>
          <cell r="C11831" t="str">
            <v xml:space="preserve">  OFFICE/HOUSE RENT PINDI/LAHORE</v>
          </cell>
          <cell r="D11831">
            <v>362000</v>
          </cell>
          <cell r="E11831">
            <v>0</v>
          </cell>
          <cell r="F11831">
            <v>0</v>
          </cell>
          <cell r="G11831">
            <v>0</v>
          </cell>
        </row>
        <row r="11832">
          <cell r="A11832" t="str">
            <v>81-03-03-0002</v>
          </cell>
          <cell r="B11832">
            <v>0</v>
          </cell>
          <cell r="C11832" t="str">
            <v xml:space="preserve">  ELECTRICITY EXPENSES PINDI OFFICE</v>
          </cell>
          <cell r="D11832">
            <v>98399</v>
          </cell>
          <cell r="E11832">
            <v>0</v>
          </cell>
          <cell r="F11832">
            <v>0</v>
          </cell>
          <cell r="G11832">
            <v>0</v>
          </cell>
        </row>
        <row r="11833">
          <cell r="A11833" t="str">
            <v>81-03-03-0003</v>
          </cell>
          <cell r="B11833">
            <v>0</v>
          </cell>
          <cell r="C11833" t="str">
            <v xml:space="preserve">  GAS CHARGES          PINDI OFFICE</v>
          </cell>
          <cell r="D11833">
            <v>18457</v>
          </cell>
          <cell r="E11833">
            <v>0</v>
          </cell>
          <cell r="F11833">
            <v>0</v>
          </cell>
          <cell r="G11833">
            <v>0</v>
          </cell>
        </row>
        <row r="11834">
          <cell r="A11834" t="str">
            <v>81-03-03-0004</v>
          </cell>
          <cell r="B11834">
            <v>0</v>
          </cell>
          <cell r="C11834" t="str">
            <v xml:space="preserve">  TELEPHONE, FAX AND MOBILE EXPENSES PIN</v>
          </cell>
          <cell r="D11834">
            <v>224923</v>
          </cell>
          <cell r="E11834">
            <v>0</v>
          </cell>
          <cell r="F11834">
            <v>0</v>
          </cell>
          <cell r="G11834">
            <v>0</v>
          </cell>
        </row>
        <row r="11835">
          <cell r="A11835" t="str">
            <v>81-03-03-0005</v>
          </cell>
          <cell r="B11835">
            <v>0</v>
          </cell>
          <cell r="C11835" t="str">
            <v xml:space="preserve">  ENTERTAINMENT EXP    PINDI OFFICE</v>
          </cell>
          <cell r="D11835">
            <v>32324</v>
          </cell>
          <cell r="E11835">
            <v>0</v>
          </cell>
          <cell r="F11835">
            <v>0</v>
          </cell>
          <cell r="G11835">
            <v>0</v>
          </cell>
        </row>
        <row r="11836">
          <cell r="A11836" t="str">
            <v>81-03-03-0006</v>
          </cell>
          <cell r="B11836">
            <v>0</v>
          </cell>
          <cell r="C11836" t="str">
            <v xml:space="preserve">  REPAIR &amp; MAINT EXP.  PINDI OFFICE</v>
          </cell>
          <cell r="D11836">
            <v>22021</v>
          </cell>
          <cell r="E11836">
            <v>0</v>
          </cell>
          <cell r="F11836">
            <v>0</v>
          </cell>
          <cell r="G11836">
            <v>0</v>
          </cell>
        </row>
        <row r="11837">
          <cell r="A11837" t="str">
            <v>81-03-03-0007</v>
          </cell>
          <cell r="B11837">
            <v>0</v>
          </cell>
          <cell r="C11837" t="str">
            <v xml:space="preserve">  POSTAGE EXPENSES     PINDI OFFICE</v>
          </cell>
          <cell r="D11837">
            <v>64102</v>
          </cell>
          <cell r="E11837">
            <v>0</v>
          </cell>
          <cell r="F11837">
            <v>0</v>
          </cell>
          <cell r="G11837">
            <v>0</v>
          </cell>
        </row>
        <row r="11838">
          <cell r="A11838" t="str">
            <v>81-03-03-0008</v>
          </cell>
          <cell r="B11838">
            <v>0</v>
          </cell>
          <cell r="C11838" t="str">
            <v xml:space="preserve">  INTERNET EXPENSES    PINDI OFFICE</v>
          </cell>
          <cell r="D11838">
            <v>4900</v>
          </cell>
          <cell r="E11838">
            <v>0</v>
          </cell>
          <cell r="F11838">
            <v>0</v>
          </cell>
          <cell r="G11838">
            <v>0</v>
          </cell>
        </row>
        <row r="11839">
          <cell r="A11839" t="str">
            <v>81-03-03-0009</v>
          </cell>
          <cell r="B11839">
            <v>0</v>
          </cell>
          <cell r="C11839" t="str">
            <v xml:space="preserve">  CONVEYANCE EXPENSES  PINDI OFFICE</v>
          </cell>
          <cell r="D11839">
            <v>13015</v>
          </cell>
          <cell r="E11839">
            <v>0</v>
          </cell>
          <cell r="F11839">
            <v>0</v>
          </cell>
          <cell r="G11839">
            <v>0</v>
          </cell>
        </row>
        <row r="11840">
          <cell r="A11840" t="str">
            <v>81-03-03-0010</v>
          </cell>
          <cell r="B11840">
            <v>0</v>
          </cell>
          <cell r="C11840" t="str">
            <v xml:space="preserve">  TRAVELLING EXPENSES  PINDI OFFICE</v>
          </cell>
          <cell r="D11840">
            <v>54650</v>
          </cell>
          <cell r="E11840">
            <v>0</v>
          </cell>
          <cell r="F11840">
            <v>0</v>
          </cell>
          <cell r="G11840">
            <v>0</v>
          </cell>
        </row>
        <row r="11841">
          <cell r="A11841" t="str">
            <v>81-03-03-0011</v>
          </cell>
          <cell r="B11841">
            <v>0</v>
          </cell>
          <cell r="C11841" t="str">
            <v xml:space="preserve">  PRINTING &amp; STATIONRY PINDI OFFICE</v>
          </cell>
          <cell r="D11841">
            <v>4498</v>
          </cell>
          <cell r="E11841">
            <v>0</v>
          </cell>
          <cell r="F11841">
            <v>0</v>
          </cell>
          <cell r="G11841">
            <v>0</v>
          </cell>
        </row>
        <row r="11842">
          <cell r="A11842" t="str">
            <v>81-03-03-0012</v>
          </cell>
          <cell r="B11842">
            <v>0</v>
          </cell>
          <cell r="C11842" t="str">
            <v xml:space="preserve">  CARTAGE EXPENSE- PINDI OFFICE</v>
          </cell>
          <cell r="D11842">
            <v>16197</v>
          </cell>
          <cell r="E11842">
            <v>0</v>
          </cell>
          <cell r="F11842">
            <v>0</v>
          </cell>
          <cell r="G11842">
            <v>0</v>
          </cell>
        </row>
        <row r="11843">
          <cell r="A11843" t="str">
            <v>81-03-03-0013</v>
          </cell>
          <cell r="B11843">
            <v>0</v>
          </cell>
          <cell r="C11843" t="str">
            <v xml:space="preserve">  GENERAL EXPENSES     PINDI OFFICE</v>
          </cell>
          <cell r="D11843">
            <v>1003</v>
          </cell>
          <cell r="E11843">
            <v>0</v>
          </cell>
          <cell r="F11843">
            <v>0</v>
          </cell>
          <cell r="G11843">
            <v>0</v>
          </cell>
        </row>
        <row r="11844">
          <cell r="A11844" t="str">
            <v>81-03-03-0014</v>
          </cell>
          <cell r="B11844">
            <v>0</v>
          </cell>
          <cell r="C11844" t="str">
            <v xml:space="preserve">  FUEL AND MAINTENANCE RPT-8854 SHEHZOR</v>
          </cell>
          <cell r="D11844">
            <v>100396</v>
          </cell>
          <cell r="E11844">
            <v>0</v>
          </cell>
          <cell r="F11844">
            <v>0</v>
          </cell>
          <cell r="G11844">
            <v>0</v>
          </cell>
        </row>
        <row r="11845">
          <cell r="A11845" t="str">
            <v>81-03-03-0015</v>
          </cell>
          <cell r="B11845">
            <v>0</v>
          </cell>
          <cell r="C11845" t="str">
            <v xml:space="preserve">  BOOKS &amp; PERIODICALS  PINDI OFFICE</v>
          </cell>
          <cell r="D11845">
            <v>6996</v>
          </cell>
          <cell r="E11845">
            <v>0</v>
          </cell>
          <cell r="F11845">
            <v>0</v>
          </cell>
          <cell r="G11845">
            <v>0</v>
          </cell>
        </row>
        <row r="11846">
          <cell r="A11846" t="str">
            <v>81-03-03-0016</v>
          </cell>
          <cell r="B11846">
            <v>0</v>
          </cell>
          <cell r="C11846" t="str">
            <v xml:space="preserve">  WATER CHARGES   PINDI/LAHORE-OFFICE</v>
          </cell>
          <cell r="D11846">
            <v>3995</v>
          </cell>
          <cell r="E11846">
            <v>0</v>
          </cell>
          <cell r="F11846">
            <v>0</v>
          </cell>
          <cell r="G11846">
            <v>0</v>
          </cell>
        </row>
        <row r="11847">
          <cell r="A11847" t="str">
            <v>81-03-03-0017</v>
          </cell>
          <cell r="B11847">
            <v>0</v>
          </cell>
          <cell r="C11847" t="str">
            <v xml:space="preserve">  LEGAL AND PROFESSIONAL CHARGES.</v>
          </cell>
          <cell r="D11847">
            <v>2300</v>
          </cell>
          <cell r="E11847">
            <v>0</v>
          </cell>
          <cell r="F11847">
            <v>0</v>
          </cell>
          <cell r="G11847">
            <v>0</v>
          </cell>
        </row>
        <row r="11848">
          <cell r="A11848" t="str">
            <v>81-03-03-0018</v>
          </cell>
          <cell r="B11848">
            <v>0</v>
          </cell>
          <cell r="C11848" t="str">
            <v xml:space="preserve">  HOTELING CHARGES PINDI OFFICE</v>
          </cell>
          <cell r="D11848">
            <v>344</v>
          </cell>
          <cell r="E11848">
            <v>0</v>
          </cell>
          <cell r="F11848">
            <v>0</v>
          </cell>
          <cell r="G11848">
            <v>0</v>
          </cell>
        </row>
        <row r="11849">
          <cell r="A11849" t="str">
            <v>81-04</v>
          </cell>
          <cell r="B11849">
            <v>0</v>
          </cell>
          <cell r="C11849" t="str">
            <v>**ADMIN EXPENSES LAHORE OFFICE</v>
          </cell>
          <cell r="D11849">
            <v>0</v>
          </cell>
          <cell r="E11849">
            <v>0</v>
          </cell>
          <cell r="F11849">
            <v>0</v>
          </cell>
          <cell r="G11849">
            <v>0</v>
          </cell>
        </row>
        <row r="11850">
          <cell r="A11850" t="str">
            <v>81-04-03</v>
          </cell>
          <cell r="B11850">
            <v>0</v>
          </cell>
          <cell r="C11850" t="str">
            <v>***OTHER ADMIN EXPENSES</v>
          </cell>
          <cell r="D11850">
            <v>0</v>
          </cell>
          <cell r="E11850">
            <v>0</v>
          </cell>
          <cell r="F11850">
            <v>0</v>
          </cell>
          <cell r="G11850">
            <v>0</v>
          </cell>
        </row>
        <row r="11851">
          <cell r="A11851" t="str">
            <v>81-04-03-0001</v>
          </cell>
          <cell r="B11851">
            <v>0</v>
          </cell>
          <cell r="C11851" t="str">
            <v xml:space="preserve">  CONVENCE EXPENSES     LAHORE OFFICE</v>
          </cell>
          <cell r="D11851">
            <v>0</v>
          </cell>
          <cell r="E11851">
            <v>0</v>
          </cell>
          <cell r="F11851">
            <v>0</v>
          </cell>
          <cell r="G11851">
            <v>0</v>
          </cell>
        </row>
        <row r="11852">
          <cell r="A11852" t="str">
            <v>81-04-03-0002</v>
          </cell>
          <cell r="B11852">
            <v>0</v>
          </cell>
          <cell r="C11852" t="str">
            <v xml:space="preserve">  FREIGHT AND OCTROI     LAHORE OFFICE</v>
          </cell>
          <cell r="D11852">
            <v>0</v>
          </cell>
          <cell r="E11852">
            <v>0</v>
          </cell>
          <cell r="F11852">
            <v>0</v>
          </cell>
          <cell r="G11852">
            <v>0</v>
          </cell>
        </row>
        <row r="11853">
          <cell r="A11853" t="str">
            <v>81-04-03-0003</v>
          </cell>
          <cell r="B11853">
            <v>0</v>
          </cell>
          <cell r="C11853" t="str">
            <v xml:space="preserve">  POSTAGE EXPENSES</v>
          </cell>
          <cell r="D11853">
            <v>0</v>
          </cell>
          <cell r="E11853">
            <v>0</v>
          </cell>
          <cell r="F11853">
            <v>0</v>
          </cell>
          <cell r="G11853">
            <v>0</v>
          </cell>
        </row>
        <row r="11854">
          <cell r="A11854" t="str">
            <v>83</v>
          </cell>
          <cell r="B11854">
            <v>0</v>
          </cell>
          <cell r="C11854" t="str">
            <v>*INCOME TAX EXPENSES</v>
          </cell>
          <cell r="D11854">
            <v>0</v>
          </cell>
          <cell r="E11854">
            <v>0</v>
          </cell>
          <cell r="F11854">
            <v>0</v>
          </cell>
          <cell r="G11854">
            <v>0</v>
          </cell>
        </row>
        <row r="11855">
          <cell r="A11855" t="str">
            <v>83-01</v>
          </cell>
          <cell r="B11855">
            <v>0</v>
          </cell>
          <cell r="C11855" t="str">
            <v>**INCOME TAX</v>
          </cell>
          <cell r="D11855">
            <v>0</v>
          </cell>
          <cell r="E11855">
            <v>0</v>
          </cell>
          <cell r="F11855">
            <v>0</v>
          </cell>
          <cell r="G11855">
            <v>0</v>
          </cell>
        </row>
        <row r="11856">
          <cell r="A11856" t="str">
            <v>83-01-01</v>
          </cell>
          <cell r="B11856">
            <v>0</v>
          </cell>
          <cell r="C11856" t="str">
            <v>***INCOME TAX EXPENSES</v>
          </cell>
          <cell r="D11856">
            <v>0</v>
          </cell>
          <cell r="E11856">
            <v>0</v>
          </cell>
          <cell r="F11856">
            <v>0</v>
          </cell>
          <cell r="G11856">
            <v>0</v>
          </cell>
        </row>
        <row r="11857">
          <cell r="A11857" t="str">
            <v>83-01-01-0001</v>
          </cell>
          <cell r="B11857">
            <v>0</v>
          </cell>
          <cell r="C11857" t="str">
            <v xml:space="preserve">  INCOME TAX EXPENSES CURRENT YEAR</v>
          </cell>
          <cell r="D11857">
            <v>0</v>
          </cell>
          <cell r="E11857">
            <v>0</v>
          </cell>
          <cell r="F11857">
            <v>0</v>
          </cell>
          <cell r="G11857">
            <v>0</v>
          </cell>
        </row>
        <row r="11858">
          <cell r="A11858" t="str">
            <v>83-01-01-0002</v>
          </cell>
          <cell r="B11858">
            <v>0</v>
          </cell>
          <cell r="C11858" t="str">
            <v xml:space="preserve">  INCOME TAX EXPENSES PRIOR YEAR</v>
          </cell>
          <cell r="D11858">
            <v>0</v>
          </cell>
          <cell r="E11858">
            <v>0</v>
          </cell>
          <cell r="F11858">
            <v>0</v>
          </cell>
          <cell r="G11858">
            <v>0</v>
          </cell>
        </row>
        <row r="11859">
          <cell r="A11859" t="str">
            <v>83-02</v>
          </cell>
          <cell r="B11859">
            <v>0</v>
          </cell>
          <cell r="C11859" t="str">
            <v>**DEFEERED TAX</v>
          </cell>
          <cell r="D11859">
            <v>0</v>
          </cell>
          <cell r="E11859">
            <v>0</v>
          </cell>
          <cell r="F11859">
            <v>0</v>
          </cell>
          <cell r="G11859">
            <v>0</v>
          </cell>
        </row>
        <row r="11860">
          <cell r="A11860" t="str">
            <v>83-02-01</v>
          </cell>
          <cell r="B11860">
            <v>0</v>
          </cell>
          <cell r="C11860" t="str">
            <v>***DEFEERED TAX</v>
          </cell>
          <cell r="D11860">
            <v>0</v>
          </cell>
          <cell r="E11860">
            <v>0</v>
          </cell>
          <cell r="F11860">
            <v>0</v>
          </cell>
          <cell r="G11860">
            <v>0</v>
          </cell>
        </row>
        <row r="11861">
          <cell r="A11861" t="str">
            <v>83-02-01-0001</v>
          </cell>
          <cell r="B11861">
            <v>0</v>
          </cell>
          <cell r="C11861" t="str">
            <v xml:space="preserve">  DEFEERED TAX EXPENSES</v>
          </cell>
          <cell r="D11861">
            <v>0</v>
          </cell>
          <cell r="E11861">
            <v>0</v>
          </cell>
          <cell r="F11861">
            <v>0</v>
          </cell>
          <cell r="G11861">
            <v>0</v>
          </cell>
        </row>
        <row r="11862">
          <cell r="A11862" t="str">
            <v>84</v>
          </cell>
          <cell r="B11862">
            <v>0</v>
          </cell>
          <cell r="C11862" t="str">
            <v>*OTHER CHARGES</v>
          </cell>
          <cell r="D11862">
            <v>479745</v>
          </cell>
          <cell r="E11862">
            <v>0</v>
          </cell>
          <cell r="F11862">
            <v>479745</v>
          </cell>
          <cell r="G11862">
            <v>0</v>
          </cell>
        </row>
        <row r="11863">
          <cell r="A11863" t="str">
            <v>84-01</v>
          </cell>
          <cell r="B11863">
            <v>0</v>
          </cell>
          <cell r="C11863" t="str">
            <v>**OTHER CHARGES</v>
          </cell>
          <cell r="D11863">
            <v>479745</v>
          </cell>
          <cell r="E11863">
            <v>0</v>
          </cell>
          <cell r="F11863">
            <v>479745</v>
          </cell>
          <cell r="G11863">
            <v>0</v>
          </cell>
        </row>
        <row r="11864">
          <cell r="A11864" t="str">
            <v>84-01-01</v>
          </cell>
          <cell r="B11864">
            <v>0</v>
          </cell>
          <cell r="C11864" t="str">
            <v>***OTHER CHARGES</v>
          </cell>
          <cell r="D11864">
            <v>479745</v>
          </cell>
          <cell r="E11864">
            <v>0</v>
          </cell>
          <cell r="F11864">
            <v>479745</v>
          </cell>
          <cell r="G11864">
            <v>0</v>
          </cell>
        </row>
        <row r="11865">
          <cell r="A11865" t="str">
            <v>84-01-01-0001</v>
          </cell>
          <cell r="B11865">
            <v>0</v>
          </cell>
          <cell r="C11865" t="str">
            <v xml:space="preserve">  WORKER'S PROFIT PARTICIPATION FUND -PE</v>
          </cell>
          <cell r="D11865">
            <v>0</v>
          </cell>
          <cell r="E11865">
            <v>0</v>
          </cell>
          <cell r="F11865">
            <v>0</v>
          </cell>
          <cell r="G11865">
            <v>0</v>
          </cell>
        </row>
        <row r="11866">
          <cell r="A11866" t="str">
            <v>84-01-01-0002</v>
          </cell>
          <cell r="B11866">
            <v>0</v>
          </cell>
          <cell r="C11866" t="str">
            <v xml:space="preserve">  WORKER'S WELFARE FUND-PERIOR YEAR</v>
          </cell>
          <cell r="D11866">
            <v>479745</v>
          </cell>
          <cell r="E11866">
            <v>0</v>
          </cell>
          <cell r="F11866">
            <v>0</v>
          </cell>
          <cell r="G11866">
            <v>0</v>
          </cell>
        </row>
        <row r="11867">
          <cell r="A11867" t="str">
            <v>86</v>
          </cell>
          <cell r="B11867">
            <v>0</v>
          </cell>
          <cell r="C11867" t="str">
            <v>*FINANCIAL CHARGES</v>
          </cell>
          <cell r="D11867">
            <v>58925401.420000002</v>
          </cell>
          <cell r="E11867">
            <v>0</v>
          </cell>
          <cell r="F11867">
            <v>58929420.229999997</v>
          </cell>
          <cell r="G11867">
            <v>4018.81</v>
          </cell>
        </row>
        <row r="11868">
          <cell r="A11868" t="str">
            <v>86-01</v>
          </cell>
          <cell r="B11868">
            <v>4018.80859375</v>
          </cell>
          <cell r="C11868" t="str">
            <v>**MARK-UP ON LONG TERM</v>
          </cell>
          <cell r="D11868">
            <v>26262384.239999998</v>
          </cell>
          <cell r="E11868">
            <v>0</v>
          </cell>
          <cell r="F11868">
            <v>26262384.239999998</v>
          </cell>
          <cell r="G11868">
            <v>0</v>
          </cell>
        </row>
        <row r="11869">
          <cell r="A11869" t="str">
            <v>86-01-01</v>
          </cell>
          <cell r="B11869">
            <v>0</v>
          </cell>
          <cell r="C11869" t="str">
            <v>***MARK-UP ON LONG TERM H.B.L</v>
          </cell>
          <cell r="D11869">
            <v>0</v>
          </cell>
          <cell r="E11869">
            <v>0</v>
          </cell>
          <cell r="F11869">
            <v>0</v>
          </cell>
          <cell r="G11869">
            <v>0</v>
          </cell>
        </row>
        <row r="11870">
          <cell r="A11870" t="str">
            <v>86-01-01-0001</v>
          </cell>
          <cell r="B11870">
            <v>0</v>
          </cell>
          <cell r="C11870" t="str">
            <v xml:space="preserve">  MARK-UP ON F.A.F. LOAN HBL</v>
          </cell>
          <cell r="D11870">
            <v>0</v>
          </cell>
          <cell r="E11870">
            <v>0</v>
          </cell>
          <cell r="F11870">
            <v>0</v>
          </cell>
          <cell r="G11870">
            <v>0</v>
          </cell>
        </row>
        <row r="11871">
          <cell r="A11871" t="str">
            <v>86-01-02</v>
          </cell>
          <cell r="B11871">
            <v>0</v>
          </cell>
          <cell r="C11871" t="str">
            <v>***MARK-UP ON LONG TERM M.C.B</v>
          </cell>
          <cell r="D11871">
            <v>1106027</v>
          </cell>
          <cell r="E11871">
            <v>0</v>
          </cell>
          <cell r="F11871">
            <v>1106027</v>
          </cell>
          <cell r="G11871">
            <v>0</v>
          </cell>
        </row>
        <row r="11872">
          <cell r="A11872" t="str">
            <v>86-01-02-0001</v>
          </cell>
          <cell r="B11872">
            <v>0</v>
          </cell>
          <cell r="C11872" t="str">
            <v xml:space="preserve">  MARK-UP ON F.A.F. LOAN MCB ( 80 M.)</v>
          </cell>
          <cell r="D11872">
            <v>0</v>
          </cell>
          <cell r="E11872">
            <v>0</v>
          </cell>
          <cell r="F11872">
            <v>0</v>
          </cell>
          <cell r="G11872">
            <v>0</v>
          </cell>
        </row>
        <row r="11873">
          <cell r="A11873" t="str">
            <v>86-01-02-0002</v>
          </cell>
          <cell r="B11873">
            <v>0</v>
          </cell>
          <cell r="C11873" t="str">
            <v xml:space="preserve">  MARK-UP ON F.A.F. LOAN MCB (166 M.)</v>
          </cell>
          <cell r="D11873">
            <v>0</v>
          </cell>
          <cell r="E11873">
            <v>0</v>
          </cell>
          <cell r="F11873">
            <v>0</v>
          </cell>
          <cell r="G11873">
            <v>0</v>
          </cell>
        </row>
        <row r="11874">
          <cell r="A11874" t="str">
            <v>86-01-02-0003</v>
          </cell>
          <cell r="B11874">
            <v>0</v>
          </cell>
          <cell r="C11874" t="str">
            <v xml:space="preserve">  MARK UP ON LONG TERM LOAN MCB</v>
          </cell>
          <cell r="D11874">
            <v>1106027</v>
          </cell>
          <cell r="E11874">
            <v>0</v>
          </cell>
          <cell r="F11874">
            <v>0</v>
          </cell>
          <cell r="G11874">
            <v>0</v>
          </cell>
        </row>
        <row r="11875">
          <cell r="A11875" t="str">
            <v>86-01-03</v>
          </cell>
          <cell r="B11875">
            <v>0</v>
          </cell>
          <cell r="C11875" t="str">
            <v>***MARK-UP ON LONG TERM S.B.L</v>
          </cell>
          <cell r="D11875">
            <v>0</v>
          </cell>
          <cell r="E11875">
            <v>0</v>
          </cell>
          <cell r="F11875">
            <v>0</v>
          </cell>
          <cell r="G11875">
            <v>0</v>
          </cell>
        </row>
        <row r="11876">
          <cell r="A11876" t="str">
            <v>86-01-03-0001</v>
          </cell>
          <cell r="B11876">
            <v>0</v>
          </cell>
          <cell r="C11876" t="str">
            <v xml:space="preserve">  MARK-UP ON LONG TERM LOAN # 01</v>
          </cell>
          <cell r="D11876">
            <v>0</v>
          </cell>
          <cell r="E11876">
            <v>0</v>
          </cell>
          <cell r="F11876">
            <v>0</v>
          </cell>
          <cell r="G11876">
            <v>0</v>
          </cell>
        </row>
        <row r="11877">
          <cell r="A11877" t="str">
            <v>86-01-04</v>
          </cell>
          <cell r="B11877">
            <v>0</v>
          </cell>
          <cell r="C11877" t="str">
            <v>***MARK-UP ON LONG TERM CITI</v>
          </cell>
          <cell r="D11877">
            <v>3551785.07</v>
          </cell>
          <cell r="E11877">
            <v>0</v>
          </cell>
          <cell r="F11877">
            <v>3551785.07</v>
          </cell>
          <cell r="G11877">
            <v>0</v>
          </cell>
        </row>
        <row r="11878">
          <cell r="A11878" t="str">
            <v>86-01-04-0001</v>
          </cell>
          <cell r="B11878">
            <v>0</v>
          </cell>
          <cell r="C11878" t="str">
            <v xml:space="preserve">  MARK UP ON LONG TERM LOAN CITI (74.9 M</v>
          </cell>
          <cell r="D11878">
            <v>0</v>
          </cell>
          <cell r="E11878">
            <v>0</v>
          </cell>
          <cell r="F11878">
            <v>0</v>
          </cell>
          <cell r="G11878">
            <v>0</v>
          </cell>
        </row>
        <row r="11879">
          <cell r="A11879" t="str">
            <v>86-01-04-0002</v>
          </cell>
          <cell r="B11879">
            <v>0</v>
          </cell>
          <cell r="C11879" t="str">
            <v xml:space="preserve">  MARK-UP ON LONG TERM LOAN (200 M)</v>
          </cell>
          <cell r="D11879">
            <v>0</v>
          </cell>
          <cell r="E11879">
            <v>0</v>
          </cell>
          <cell r="F11879">
            <v>0</v>
          </cell>
          <cell r="G11879">
            <v>0</v>
          </cell>
        </row>
        <row r="11880">
          <cell r="A11880" t="str">
            <v>86-01-04-0003</v>
          </cell>
          <cell r="B11880">
            <v>0</v>
          </cell>
          <cell r="C11880" t="str">
            <v xml:space="preserve">  MARK UP ON LONG TERM CITI (500 M)</v>
          </cell>
          <cell r="D11880">
            <v>3551785.07</v>
          </cell>
          <cell r="E11880">
            <v>0</v>
          </cell>
          <cell r="F11880">
            <v>0</v>
          </cell>
          <cell r="G11880">
            <v>0</v>
          </cell>
        </row>
        <row r="11881">
          <cell r="A11881" t="str">
            <v>86-01-05</v>
          </cell>
          <cell r="B11881">
            <v>0</v>
          </cell>
          <cell r="C11881" t="str">
            <v>***MARK-UP ON LONG TERM MPBL</v>
          </cell>
          <cell r="D11881">
            <v>0</v>
          </cell>
          <cell r="E11881">
            <v>0</v>
          </cell>
          <cell r="F11881">
            <v>0</v>
          </cell>
          <cell r="G11881">
            <v>0</v>
          </cell>
        </row>
        <row r="11882">
          <cell r="A11882" t="str">
            <v>86-01-05-0001</v>
          </cell>
          <cell r="B11882">
            <v>0</v>
          </cell>
          <cell r="C11882" t="str">
            <v xml:space="preserve">  MARK UP ON TERM LOAN METROPOLITAN</v>
          </cell>
          <cell r="D11882">
            <v>0</v>
          </cell>
          <cell r="E11882">
            <v>0</v>
          </cell>
          <cell r="F11882">
            <v>0</v>
          </cell>
          <cell r="G11882">
            <v>0</v>
          </cell>
        </row>
        <row r="11883">
          <cell r="A11883" t="str">
            <v>86-01-06</v>
          </cell>
          <cell r="B11883">
            <v>0</v>
          </cell>
          <cell r="C11883" t="str">
            <v>***MARK-UP ON LONG TERM AG ZURICH</v>
          </cell>
          <cell r="D11883">
            <v>0</v>
          </cell>
          <cell r="E11883">
            <v>0</v>
          </cell>
          <cell r="F11883">
            <v>0</v>
          </cell>
          <cell r="G11883">
            <v>0</v>
          </cell>
        </row>
        <row r="11884">
          <cell r="A11884" t="str">
            <v>86-01-06-0001</v>
          </cell>
          <cell r="B11884">
            <v>0</v>
          </cell>
          <cell r="C11884" t="str">
            <v xml:space="preserve">  MARK-UP ON LONG TERM LOAN AG ZURICH</v>
          </cell>
          <cell r="D11884">
            <v>0</v>
          </cell>
          <cell r="E11884">
            <v>0</v>
          </cell>
          <cell r="F11884">
            <v>0</v>
          </cell>
          <cell r="G11884">
            <v>0</v>
          </cell>
        </row>
        <row r="11885">
          <cell r="A11885" t="str">
            <v>86-01-08</v>
          </cell>
          <cell r="B11885">
            <v>0</v>
          </cell>
          <cell r="C11885" t="str">
            <v>***MARK UP ON LONG TERM UNITED BANK LIMI</v>
          </cell>
          <cell r="D11885">
            <v>21604572.170000002</v>
          </cell>
          <cell r="E11885">
            <v>0</v>
          </cell>
          <cell r="F11885">
            <v>21604572.170000002</v>
          </cell>
          <cell r="G11885">
            <v>0</v>
          </cell>
        </row>
        <row r="11886">
          <cell r="A11886" t="str">
            <v>86-01-08-0001</v>
          </cell>
          <cell r="B11886">
            <v>0</v>
          </cell>
          <cell r="C11886" t="str">
            <v xml:space="preserve">  MARK UP ON LONG TERM NIDF U.B.L.</v>
          </cell>
          <cell r="D11886">
            <v>13317073.68</v>
          </cell>
          <cell r="E11886">
            <v>0</v>
          </cell>
          <cell r="F11886">
            <v>0</v>
          </cell>
          <cell r="G11886">
            <v>0</v>
          </cell>
        </row>
        <row r="11887">
          <cell r="A11887" t="str">
            <v>86-01-08-0002</v>
          </cell>
          <cell r="B11887">
            <v>0</v>
          </cell>
          <cell r="C11887" t="str">
            <v xml:space="preserve">  MARK UP ON LONG TERM U.B.L. (500 M)</v>
          </cell>
          <cell r="D11887">
            <v>8287498.4900000002</v>
          </cell>
          <cell r="E11887">
            <v>0</v>
          </cell>
          <cell r="F11887">
            <v>0</v>
          </cell>
          <cell r="G11887">
            <v>0</v>
          </cell>
        </row>
        <row r="11888">
          <cell r="A11888" t="str">
            <v>86-01-09</v>
          </cell>
          <cell r="B11888">
            <v>0</v>
          </cell>
          <cell r="C11888" t="str">
            <v>***MARK-UP ON LONG TERM LOAN ABN AMRO BA</v>
          </cell>
          <cell r="D11888">
            <v>0</v>
          </cell>
          <cell r="E11888">
            <v>0</v>
          </cell>
          <cell r="F11888">
            <v>0</v>
          </cell>
          <cell r="G11888">
            <v>0</v>
          </cell>
        </row>
        <row r="11889">
          <cell r="A11889" t="str">
            <v>86-01-09-0001</v>
          </cell>
          <cell r="B11889">
            <v>0</v>
          </cell>
          <cell r="C11889" t="str">
            <v xml:space="preserve">  MARK UP ON LONG TERM LOAN-ABN AMRO(150</v>
          </cell>
          <cell r="D11889">
            <v>0</v>
          </cell>
          <cell r="E11889">
            <v>0</v>
          </cell>
          <cell r="F11889">
            <v>0</v>
          </cell>
          <cell r="G11889">
            <v>0</v>
          </cell>
        </row>
        <row r="11890">
          <cell r="A11890" t="str">
            <v>86-01-10</v>
          </cell>
          <cell r="B11890">
            <v>0</v>
          </cell>
          <cell r="C11890" t="str">
            <v>***MARK-UP ON LEASED ASSET (NDLC)</v>
          </cell>
          <cell r="D11890">
            <v>0</v>
          </cell>
          <cell r="E11890">
            <v>0</v>
          </cell>
          <cell r="F11890">
            <v>0</v>
          </cell>
          <cell r="G11890">
            <v>0</v>
          </cell>
        </row>
        <row r="11891">
          <cell r="A11891" t="str">
            <v>86-01-10-0001</v>
          </cell>
          <cell r="B11891">
            <v>0</v>
          </cell>
          <cell r="C11891" t="str">
            <v xml:space="preserve">  MARK UP ON LEASED ASSET (NDLC)</v>
          </cell>
          <cell r="D11891">
            <v>0</v>
          </cell>
          <cell r="E11891">
            <v>0</v>
          </cell>
          <cell r="F11891">
            <v>0</v>
          </cell>
          <cell r="G11891">
            <v>0</v>
          </cell>
        </row>
        <row r="11892">
          <cell r="A11892" t="str">
            <v>86-01-11</v>
          </cell>
          <cell r="B11892">
            <v>0</v>
          </cell>
          <cell r="C11892" t="str">
            <v>***MARK UP ON LONG TERM LOAN N.I.D.F UBL</v>
          </cell>
          <cell r="D11892">
            <v>0</v>
          </cell>
          <cell r="E11892">
            <v>0</v>
          </cell>
          <cell r="F11892">
            <v>0</v>
          </cell>
          <cell r="G11892">
            <v>0</v>
          </cell>
        </row>
        <row r="11893">
          <cell r="A11893" t="str">
            <v>86-01-11-0001</v>
          </cell>
          <cell r="B11893">
            <v>0</v>
          </cell>
          <cell r="C11893" t="str">
            <v xml:space="preserve">  MARK UP ON LONG TERM LOAN N.I.D.F.UBL</v>
          </cell>
          <cell r="D11893">
            <v>0</v>
          </cell>
          <cell r="E11893">
            <v>0</v>
          </cell>
          <cell r="F11893">
            <v>0</v>
          </cell>
          <cell r="G11893">
            <v>0</v>
          </cell>
        </row>
        <row r="11894">
          <cell r="A11894" t="str">
            <v>86-02</v>
          </cell>
          <cell r="B11894">
            <v>0</v>
          </cell>
          <cell r="C11894" t="str">
            <v>**MARK-UP ON SHORT TERM</v>
          </cell>
          <cell r="D11894">
            <v>21070690.329999998</v>
          </cell>
          <cell r="E11894">
            <v>0</v>
          </cell>
          <cell r="F11894">
            <v>21074709.140000001</v>
          </cell>
          <cell r="G11894">
            <v>4018.81</v>
          </cell>
        </row>
        <row r="11895">
          <cell r="A11895" t="str">
            <v>86-02-01</v>
          </cell>
          <cell r="B11895">
            <v>4018.80859375</v>
          </cell>
          <cell r="C11895" t="str">
            <v>***MARK-UP ON SHORT TERM H.B.L</v>
          </cell>
          <cell r="D11895">
            <v>568406.18000000005</v>
          </cell>
          <cell r="E11895">
            <v>0</v>
          </cell>
          <cell r="F11895">
            <v>568406.18000000005</v>
          </cell>
          <cell r="G11895">
            <v>0</v>
          </cell>
        </row>
        <row r="11896">
          <cell r="A11896" t="str">
            <v>86-02-01-0001</v>
          </cell>
          <cell r="B11896">
            <v>0</v>
          </cell>
          <cell r="C11896" t="str">
            <v xml:space="preserve">  MARK UP ON CASH FINANCE HBL</v>
          </cell>
          <cell r="D11896">
            <v>0</v>
          </cell>
          <cell r="E11896">
            <v>0</v>
          </cell>
          <cell r="F11896">
            <v>0</v>
          </cell>
          <cell r="G11896">
            <v>0</v>
          </cell>
        </row>
        <row r="11897">
          <cell r="A11897" t="str">
            <v>86-02-01-0002</v>
          </cell>
          <cell r="B11897">
            <v>0</v>
          </cell>
          <cell r="C11897" t="str">
            <v xml:space="preserve">  MARK UP ON T.R. HBL</v>
          </cell>
          <cell r="D11897">
            <v>0</v>
          </cell>
          <cell r="E11897">
            <v>0</v>
          </cell>
          <cell r="F11897">
            <v>0</v>
          </cell>
          <cell r="G11897">
            <v>0</v>
          </cell>
        </row>
        <row r="11898">
          <cell r="A11898" t="str">
            <v>86-02-01-0003</v>
          </cell>
          <cell r="B11898">
            <v>0</v>
          </cell>
          <cell r="C11898" t="str">
            <v xml:space="preserve">  MARK UP ON PLEDGE HBL</v>
          </cell>
          <cell r="D11898">
            <v>0</v>
          </cell>
          <cell r="E11898">
            <v>0</v>
          </cell>
          <cell r="F11898">
            <v>0</v>
          </cell>
          <cell r="G11898">
            <v>0</v>
          </cell>
        </row>
        <row r="11899">
          <cell r="A11899" t="str">
            <v>86-02-01-0004</v>
          </cell>
          <cell r="B11899">
            <v>0</v>
          </cell>
          <cell r="C11899" t="str">
            <v xml:space="preserve">  MARK UP ON OFF SHORE TRADE FINANCE H.B</v>
          </cell>
          <cell r="D11899">
            <v>568377.66</v>
          </cell>
          <cell r="E11899">
            <v>0</v>
          </cell>
          <cell r="F11899">
            <v>0</v>
          </cell>
          <cell r="G11899">
            <v>0</v>
          </cell>
        </row>
        <row r="11900">
          <cell r="A11900" t="str">
            <v>86-02-01-0005</v>
          </cell>
          <cell r="B11900">
            <v>0</v>
          </cell>
          <cell r="C11900" t="str">
            <v xml:space="preserve">  MARK UP ON O.D H.B.L.</v>
          </cell>
          <cell r="D11900">
            <v>28.52</v>
          </cell>
          <cell r="E11900">
            <v>0</v>
          </cell>
          <cell r="F11900">
            <v>0</v>
          </cell>
          <cell r="G11900">
            <v>0</v>
          </cell>
        </row>
        <row r="11901">
          <cell r="A11901" t="str">
            <v>86-02-02</v>
          </cell>
          <cell r="B11901">
            <v>0</v>
          </cell>
          <cell r="C11901" t="str">
            <v>***MARK-UP ON SHORT TERM M.C.B</v>
          </cell>
          <cell r="D11901">
            <v>0</v>
          </cell>
          <cell r="E11901">
            <v>0</v>
          </cell>
          <cell r="F11901">
            <v>0</v>
          </cell>
          <cell r="G11901">
            <v>0</v>
          </cell>
        </row>
        <row r="11902">
          <cell r="A11902" t="str">
            <v>86-02-02-0001</v>
          </cell>
          <cell r="B11902">
            <v>0</v>
          </cell>
          <cell r="C11902" t="str">
            <v xml:space="preserve">  MARK UP ON RUNING FINANACE M.C.B</v>
          </cell>
          <cell r="D11902">
            <v>0</v>
          </cell>
          <cell r="E11902">
            <v>0</v>
          </cell>
          <cell r="F11902">
            <v>0</v>
          </cell>
          <cell r="G11902">
            <v>0</v>
          </cell>
        </row>
        <row r="11903">
          <cell r="A11903" t="str">
            <v>86-02-02-0002</v>
          </cell>
          <cell r="B11903">
            <v>0</v>
          </cell>
          <cell r="C11903" t="str">
            <v xml:space="preserve">  MARK UP ON T.R. MCB</v>
          </cell>
          <cell r="D11903">
            <v>0</v>
          </cell>
          <cell r="E11903">
            <v>0</v>
          </cell>
          <cell r="F11903">
            <v>0</v>
          </cell>
          <cell r="G11903">
            <v>0</v>
          </cell>
        </row>
        <row r="11904">
          <cell r="A11904" t="str">
            <v>86-02-03</v>
          </cell>
          <cell r="B11904">
            <v>0</v>
          </cell>
          <cell r="C11904" t="str">
            <v>***MARK-UP ON SHORT TERM S.B.L</v>
          </cell>
          <cell r="D11904">
            <v>0</v>
          </cell>
          <cell r="E11904">
            <v>0</v>
          </cell>
          <cell r="F11904">
            <v>0</v>
          </cell>
          <cell r="G11904">
            <v>0</v>
          </cell>
        </row>
        <row r="11905">
          <cell r="A11905" t="str">
            <v>86-02-03-0001</v>
          </cell>
          <cell r="B11905">
            <v>0</v>
          </cell>
          <cell r="C11905" t="str">
            <v xml:space="preserve">  MARK UP ON RUNING FINANACE S.B.L.</v>
          </cell>
          <cell r="D11905">
            <v>0</v>
          </cell>
          <cell r="E11905">
            <v>0</v>
          </cell>
          <cell r="F11905">
            <v>0</v>
          </cell>
          <cell r="G11905">
            <v>0</v>
          </cell>
        </row>
        <row r="11906">
          <cell r="A11906" t="str">
            <v>86-02-03-0002</v>
          </cell>
          <cell r="B11906">
            <v>0</v>
          </cell>
          <cell r="C11906" t="str">
            <v xml:space="preserve">  MARK UP ON T.R. SBL</v>
          </cell>
          <cell r="D11906">
            <v>0</v>
          </cell>
          <cell r="E11906">
            <v>0</v>
          </cell>
          <cell r="F11906">
            <v>0</v>
          </cell>
          <cell r="G11906">
            <v>0</v>
          </cell>
        </row>
        <row r="11907">
          <cell r="A11907" t="str">
            <v>86-02-04</v>
          </cell>
          <cell r="B11907">
            <v>0</v>
          </cell>
          <cell r="C11907" t="str">
            <v>***MARK- UP ON SHORT TERM CITI</v>
          </cell>
          <cell r="D11907">
            <v>2240504.13</v>
          </cell>
          <cell r="E11907">
            <v>0</v>
          </cell>
          <cell r="F11907">
            <v>2240504.13</v>
          </cell>
          <cell r="G11907">
            <v>0</v>
          </cell>
        </row>
        <row r="11908">
          <cell r="A11908" t="str">
            <v>86-02-04-0001</v>
          </cell>
          <cell r="B11908">
            <v>0</v>
          </cell>
          <cell r="C11908" t="str">
            <v xml:space="preserve">  MARK UP ON CITI BANK CURRENT A/C</v>
          </cell>
          <cell r="D11908">
            <v>15300.73</v>
          </cell>
          <cell r="E11908">
            <v>0</v>
          </cell>
          <cell r="F11908">
            <v>0</v>
          </cell>
          <cell r="G11908">
            <v>0</v>
          </cell>
        </row>
        <row r="11909">
          <cell r="A11909" t="str">
            <v>86-02-04-0002</v>
          </cell>
          <cell r="B11909">
            <v>0</v>
          </cell>
          <cell r="C11909" t="str">
            <v xml:space="preserve">  MARK UP ON CITI BANK PLEDGE ACCOUNT</v>
          </cell>
          <cell r="D11909">
            <v>0</v>
          </cell>
          <cell r="E11909">
            <v>0</v>
          </cell>
          <cell r="F11909">
            <v>0</v>
          </cell>
          <cell r="G11909">
            <v>0</v>
          </cell>
        </row>
        <row r="11910">
          <cell r="A11910" t="str">
            <v>86-02-04-0003</v>
          </cell>
          <cell r="B11910">
            <v>0</v>
          </cell>
          <cell r="C11910" t="str">
            <v xml:space="preserve">  MARK UP ON TERM LOAN CITI</v>
          </cell>
          <cell r="D11910">
            <v>320995</v>
          </cell>
          <cell r="E11910">
            <v>0</v>
          </cell>
          <cell r="F11910">
            <v>0</v>
          </cell>
          <cell r="G11910">
            <v>0</v>
          </cell>
        </row>
        <row r="11911">
          <cell r="A11911" t="str">
            <v>86-02-04-0004</v>
          </cell>
          <cell r="B11911">
            <v>0</v>
          </cell>
          <cell r="C11911" t="str">
            <v xml:space="preserve">  MARK UP ON OFF SHORE TRADE FINANCE CIT</v>
          </cell>
          <cell r="D11911">
            <v>1904208.4</v>
          </cell>
          <cell r="E11911">
            <v>0</v>
          </cell>
          <cell r="F11911">
            <v>0</v>
          </cell>
          <cell r="G11911">
            <v>0</v>
          </cell>
        </row>
        <row r="11912">
          <cell r="A11912" t="str">
            <v>86-02-05</v>
          </cell>
          <cell r="B11912">
            <v>0</v>
          </cell>
          <cell r="C11912" t="str">
            <v>***MARK- UP ON SHORT TERM MPBL</v>
          </cell>
          <cell r="D11912">
            <v>2058641.61</v>
          </cell>
          <cell r="E11912">
            <v>0</v>
          </cell>
          <cell r="F11912">
            <v>2058641.61</v>
          </cell>
          <cell r="G11912">
            <v>0</v>
          </cell>
        </row>
        <row r="11913">
          <cell r="A11913" t="str">
            <v>86-02-05-0001</v>
          </cell>
          <cell r="B11913">
            <v>0</v>
          </cell>
          <cell r="C11913" t="str">
            <v xml:space="preserve">  MARK UP ON RUNNING FINANCE MPB.</v>
          </cell>
          <cell r="D11913">
            <v>0</v>
          </cell>
          <cell r="E11913">
            <v>0</v>
          </cell>
          <cell r="F11913">
            <v>0</v>
          </cell>
          <cell r="G11913">
            <v>0</v>
          </cell>
        </row>
        <row r="11914">
          <cell r="A11914" t="str">
            <v>86-02-05-0002</v>
          </cell>
          <cell r="B11914">
            <v>0</v>
          </cell>
          <cell r="C11914" t="str">
            <v xml:space="preserve">  MARK UP ON PAD ON METROPOLITAN BANK</v>
          </cell>
          <cell r="D11914">
            <v>0</v>
          </cell>
          <cell r="E11914">
            <v>0</v>
          </cell>
          <cell r="F11914">
            <v>0</v>
          </cell>
          <cell r="G11914">
            <v>0</v>
          </cell>
        </row>
        <row r="11915">
          <cell r="A11915" t="str">
            <v>86-02-05-0003</v>
          </cell>
          <cell r="B11915">
            <v>0</v>
          </cell>
          <cell r="C11915" t="str">
            <v xml:space="preserve">  MARK UP ON MPB CURRENT A/C KARACHI</v>
          </cell>
          <cell r="D11915">
            <v>175950.55</v>
          </cell>
          <cell r="E11915">
            <v>0</v>
          </cell>
          <cell r="F11915">
            <v>0</v>
          </cell>
          <cell r="G11915">
            <v>0</v>
          </cell>
        </row>
        <row r="11916">
          <cell r="A11916" t="str">
            <v>86-02-05-0004</v>
          </cell>
          <cell r="B11916">
            <v>0</v>
          </cell>
          <cell r="C11916" t="str">
            <v xml:space="preserve">  MARK UP ON FATR METROPOLITAN BANK</v>
          </cell>
          <cell r="D11916">
            <v>0</v>
          </cell>
          <cell r="E11916">
            <v>0</v>
          </cell>
          <cell r="F11916">
            <v>0</v>
          </cell>
          <cell r="G11916">
            <v>0</v>
          </cell>
        </row>
        <row r="11917">
          <cell r="A11917" t="str">
            <v>86-02-05-0005</v>
          </cell>
          <cell r="B11917">
            <v>0</v>
          </cell>
          <cell r="C11917" t="str">
            <v xml:space="preserve">  MARK UP ON CURRENT A/C M.P.B-PESHAWAR.</v>
          </cell>
          <cell r="D11917">
            <v>0</v>
          </cell>
          <cell r="E11917">
            <v>0</v>
          </cell>
          <cell r="F11917">
            <v>0</v>
          </cell>
          <cell r="G11917">
            <v>0</v>
          </cell>
        </row>
        <row r="11918">
          <cell r="A11918" t="str">
            <v>86-02-05-0006</v>
          </cell>
          <cell r="B11918">
            <v>0</v>
          </cell>
          <cell r="C11918" t="str">
            <v xml:space="preserve">  MARK UP ON TERM  LOAN METROPOLITAN</v>
          </cell>
          <cell r="D11918">
            <v>131164.29999999999</v>
          </cell>
          <cell r="E11918">
            <v>0</v>
          </cell>
          <cell r="F11918">
            <v>0</v>
          </cell>
          <cell r="G11918">
            <v>0</v>
          </cell>
        </row>
        <row r="11919">
          <cell r="A11919" t="str">
            <v>86-02-05-0007</v>
          </cell>
          <cell r="B11919">
            <v>0</v>
          </cell>
          <cell r="C11919" t="str">
            <v xml:space="preserve">  MARK UP ON OFF SHORE TRADE FINANCE MPB</v>
          </cell>
          <cell r="D11919">
            <v>1751526.76</v>
          </cell>
          <cell r="E11919">
            <v>0</v>
          </cell>
          <cell r="F11919">
            <v>0</v>
          </cell>
          <cell r="G11919">
            <v>0</v>
          </cell>
        </row>
        <row r="11920">
          <cell r="A11920" t="str">
            <v>86-02-06</v>
          </cell>
          <cell r="B11920">
            <v>0</v>
          </cell>
          <cell r="C11920" t="str">
            <v>***MARK- UP ON SHORT TERM AG ZURICH</v>
          </cell>
          <cell r="D11920">
            <v>389006.03</v>
          </cell>
          <cell r="E11920">
            <v>0</v>
          </cell>
          <cell r="F11920">
            <v>389006.03</v>
          </cell>
          <cell r="G11920">
            <v>0</v>
          </cell>
        </row>
        <row r="11921">
          <cell r="A11921" t="str">
            <v>86-02-06-0001</v>
          </cell>
          <cell r="B11921">
            <v>0</v>
          </cell>
          <cell r="C11921" t="str">
            <v xml:space="preserve">  MARK UP ON O.D. HB-AGZ</v>
          </cell>
          <cell r="D11921">
            <v>16219.19</v>
          </cell>
          <cell r="E11921">
            <v>0</v>
          </cell>
          <cell r="F11921">
            <v>0</v>
          </cell>
          <cell r="G11921">
            <v>0</v>
          </cell>
        </row>
        <row r="11922">
          <cell r="A11922" t="str">
            <v>86-02-06-0002</v>
          </cell>
          <cell r="B11922">
            <v>0</v>
          </cell>
          <cell r="C11922" t="str">
            <v xml:space="preserve">  MARK UP ON SHORT TERM LOAN A.G.ZURICH</v>
          </cell>
          <cell r="D11922">
            <v>0</v>
          </cell>
          <cell r="E11922">
            <v>0</v>
          </cell>
          <cell r="F11922">
            <v>0</v>
          </cell>
          <cell r="G11922">
            <v>0</v>
          </cell>
        </row>
        <row r="11923">
          <cell r="A11923" t="str">
            <v>86-02-06-0003</v>
          </cell>
          <cell r="B11923">
            <v>0</v>
          </cell>
          <cell r="C11923" t="str">
            <v xml:space="preserve">  MARK UP ON OFFSHORE FINANCE AG ZURICH.</v>
          </cell>
          <cell r="D11923">
            <v>372786.84</v>
          </cell>
          <cell r="E11923">
            <v>0</v>
          </cell>
          <cell r="F11923">
            <v>0</v>
          </cell>
          <cell r="G11923">
            <v>0</v>
          </cell>
        </row>
        <row r="11924">
          <cell r="A11924" t="str">
            <v>86-02-07</v>
          </cell>
          <cell r="B11924">
            <v>0</v>
          </cell>
          <cell r="C11924" t="str">
            <v>***MARK UP ON OFF SHORE FINANCE-U.B.L.</v>
          </cell>
          <cell r="D11924">
            <v>5712185.2199999997</v>
          </cell>
          <cell r="E11924">
            <v>0</v>
          </cell>
          <cell r="F11924">
            <v>5712185.2199999997</v>
          </cell>
          <cell r="G11924">
            <v>0</v>
          </cell>
        </row>
        <row r="11925">
          <cell r="A11925" t="str">
            <v>86-02-07-0001</v>
          </cell>
          <cell r="B11925">
            <v>0</v>
          </cell>
          <cell r="C11925" t="str">
            <v xml:space="preserve">  MARK UP ON OFF SHORE FINANCE-U.B.L.</v>
          </cell>
          <cell r="D11925">
            <v>5450459.3600000003</v>
          </cell>
          <cell r="E11925">
            <v>0</v>
          </cell>
          <cell r="F11925">
            <v>0</v>
          </cell>
          <cell r="G11925">
            <v>0</v>
          </cell>
        </row>
        <row r="11926">
          <cell r="A11926" t="str">
            <v>86-02-07-0002</v>
          </cell>
          <cell r="B11926">
            <v>0</v>
          </cell>
          <cell r="C11926" t="str">
            <v xml:space="preserve">  MARK UP ON TERM LOAN U.B.L.</v>
          </cell>
          <cell r="D11926">
            <v>196613.67</v>
          </cell>
          <cell r="E11926">
            <v>0</v>
          </cell>
          <cell r="F11926">
            <v>0</v>
          </cell>
          <cell r="G11926">
            <v>0</v>
          </cell>
        </row>
        <row r="11927">
          <cell r="A11927" t="str">
            <v>86-02-07-0003</v>
          </cell>
          <cell r="B11927">
            <v>0</v>
          </cell>
          <cell r="C11927" t="str">
            <v xml:space="preserve">  MARK UP ON CURRENT ACCOUNT U.B.L N.I.C</v>
          </cell>
          <cell r="D11927">
            <v>65112.19</v>
          </cell>
          <cell r="E11927">
            <v>0</v>
          </cell>
          <cell r="F11927">
            <v>0</v>
          </cell>
          <cell r="G11927">
            <v>0</v>
          </cell>
        </row>
        <row r="11928">
          <cell r="A11928" t="str">
            <v>86-02-09</v>
          </cell>
          <cell r="B11928">
            <v>0</v>
          </cell>
          <cell r="C11928" t="str">
            <v>***MARK-UP ON SHORT TERM ABN AMRO BANK</v>
          </cell>
          <cell r="D11928">
            <v>5728034.4900000002</v>
          </cell>
          <cell r="E11928">
            <v>0</v>
          </cell>
          <cell r="F11928">
            <v>5728034.4900000002</v>
          </cell>
          <cell r="G11928">
            <v>0</v>
          </cell>
        </row>
        <row r="11929">
          <cell r="A11929" t="str">
            <v>86-02-09-0001</v>
          </cell>
          <cell r="B11929">
            <v>0</v>
          </cell>
          <cell r="C11929" t="str">
            <v xml:space="preserve">  MARK UP ON ABN AMRO CURRENT A/C OD</v>
          </cell>
          <cell r="D11929">
            <v>27934.98</v>
          </cell>
          <cell r="E11929">
            <v>0</v>
          </cell>
          <cell r="F11929">
            <v>0</v>
          </cell>
          <cell r="G11929">
            <v>0</v>
          </cell>
        </row>
        <row r="11930">
          <cell r="A11930" t="str">
            <v>86-02-09-0002</v>
          </cell>
          <cell r="B11930">
            <v>0</v>
          </cell>
          <cell r="C11930" t="str">
            <v xml:space="preserve">  MARK UP ON SHORT TERM LOAN ABN AMRO</v>
          </cell>
          <cell r="D11930">
            <v>1146000</v>
          </cell>
          <cell r="E11930">
            <v>0</v>
          </cell>
          <cell r="F11930">
            <v>0</v>
          </cell>
          <cell r="G11930">
            <v>0</v>
          </cell>
        </row>
        <row r="11931">
          <cell r="A11931" t="str">
            <v>86-02-09-0003</v>
          </cell>
          <cell r="B11931">
            <v>0</v>
          </cell>
          <cell r="C11931" t="str">
            <v xml:space="preserve">  MARK UP ON OFF SHORE TRADE FINANCE ABN</v>
          </cell>
          <cell r="D11931">
            <v>4554099.51</v>
          </cell>
          <cell r="E11931">
            <v>0</v>
          </cell>
          <cell r="F11931">
            <v>0</v>
          </cell>
          <cell r="G11931">
            <v>0</v>
          </cell>
        </row>
        <row r="11932">
          <cell r="A11932" t="str">
            <v>86-02-11</v>
          </cell>
          <cell r="B11932">
            <v>0</v>
          </cell>
          <cell r="C11932" t="str">
            <v>***MARK UP ON SHORT TERM LOAN UNION BANK</v>
          </cell>
          <cell r="D11932">
            <v>0</v>
          </cell>
          <cell r="E11932">
            <v>4018.81</v>
          </cell>
          <cell r="F11932">
            <v>0</v>
          </cell>
          <cell r="G11932">
            <v>4018.81</v>
          </cell>
        </row>
        <row r="11933">
          <cell r="A11933" t="str">
            <v>86-02-11-0001</v>
          </cell>
          <cell r="B11933">
            <v>4018.80859375</v>
          </cell>
          <cell r="C11933" t="str">
            <v xml:space="preserve">  MARK UP ON UNION BANK  (O.D )</v>
          </cell>
          <cell r="D11933">
            <v>0</v>
          </cell>
          <cell r="E11933">
            <v>4018.81</v>
          </cell>
          <cell r="F11933">
            <v>0</v>
          </cell>
          <cell r="G11933">
            <v>0</v>
          </cell>
        </row>
        <row r="11934">
          <cell r="A11934" t="str">
            <v>86-02-11-0002</v>
          </cell>
          <cell r="B11934">
            <v>0</v>
          </cell>
          <cell r="C11934" t="str">
            <v xml:space="preserve">  MARK UP ON SHORT TERM LOAN UNION BANK</v>
          </cell>
          <cell r="D11934">
            <v>0</v>
          </cell>
          <cell r="E11934">
            <v>0</v>
          </cell>
          <cell r="F11934">
            <v>0</v>
          </cell>
          <cell r="G11934">
            <v>0</v>
          </cell>
        </row>
        <row r="11935">
          <cell r="A11935" t="str">
            <v>86-02-12</v>
          </cell>
          <cell r="B11935">
            <v>0</v>
          </cell>
          <cell r="C11935" t="str">
            <v>***MARK UP ON SHORT TERM LOAN BANK AL HA</v>
          </cell>
          <cell r="D11935">
            <v>3974644.22</v>
          </cell>
          <cell r="E11935">
            <v>0</v>
          </cell>
          <cell r="F11935">
            <v>3974644.22</v>
          </cell>
          <cell r="G11935">
            <v>0</v>
          </cell>
        </row>
        <row r="11936">
          <cell r="A11936" t="str">
            <v>86-02-12-0001</v>
          </cell>
          <cell r="B11936">
            <v>0</v>
          </cell>
          <cell r="C11936" t="str">
            <v xml:space="preserve">  MARK UP ON OVER DRAFT BANK AL- HABIB</v>
          </cell>
          <cell r="D11936">
            <v>81070.789999999994</v>
          </cell>
          <cell r="E11936">
            <v>0</v>
          </cell>
          <cell r="F11936">
            <v>0</v>
          </cell>
          <cell r="G11936">
            <v>0</v>
          </cell>
        </row>
        <row r="11937">
          <cell r="A11937" t="str">
            <v>86-02-12-0002</v>
          </cell>
          <cell r="B11937">
            <v>0</v>
          </cell>
          <cell r="C11937" t="str">
            <v xml:space="preserve">  MARK UP ON SHORT TERM LOAN BANK AL HAB</v>
          </cell>
          <cell r="D11937">
            <v>1842134.43</v>
          </cell>
          <cell r="E11937">
            <v>0</v>
          </cell>
          <cell r="F11937">
            <v>0</v>
          </cell>
          <cell r="G11937">
            <v>0</v>
          </cell>
        </row>
        <row r="11938">
          <cell r="A11938" t="str">
            <v>86-02-12-0003</v>
          </cell>
          <cell r="B11938">
            <v>0</v>
          </cell>
          <cell r="C11938" t="str">
            <v xml:space="preserve">  MARK UP OFF SHORE TRADE FINANCE B.A.H.</v>
          </cell>
          <cell r="D11938">
            <v>2051439</v>
          </cell>
          <cell r="E11938">
            <v>0</v>
          </cell>
          <cell r="F11938">
            <v>0</v>
          </cell>
          <cell r="G11938">
            <v>0</v>
          </cell>
        </row>
        <row r="11939">
          <cell r="A11939" t="str">
            <v>86-02-13</v>
          </cell>
          <cell r="B11939">
            <v>0</v>
          </cell>
          <cell r="C11939" t="str">
            <v>***MARK UP ON SHORT TERM LOAN STANDARD C</v>
          </cell>
          <cell r="D11939">
            <v>403287.26</v>
          </cell>
          <cell r="E11939">
            <v>0</v>
          </cell>
          <cell r="F11939">
            <v>403287.26</v>
          </cell>
          <cell r="G11939">
            <v>0</v>
          </cell>
        </row>
        <row r="11940">
          <cell r="A11940" t="str">
            <v>86-02-13-0001</v>
          </cell>
          <cell r="B11940">
            <v>0</v>
          </cell>
          <cell r="C11940" t="str">
            <v xml:space="preserve">  MARK UP ON SHORT TERM LOAN STANDARD CH</v>
          </cell>
          <cell r="D11940">
            <v>403287.26</v>
          </cell>
          <cell r="E11940">
            <v>0</v>
          </cell>
          <cell r="F11940">
            <v>0</v>
          </cell>
          <cell r="G11940">
            <v>0</v>
          </cell>
        </row>
        <row r="11941">
          <cell r="A11941" t="str">
            <v>86-03</v>
          </cell>
          <cell r="B11941">
            <v>0</v>
          </cell>
          <cell r="C11941" t="str">
            <v>**MARK- UP ON REFINANCE LOAN</v>
          </cell>
          <cell r="D11941">
            <v>9113032.2699999996</v>
          </cell>
          <cell r="E11941">
            <v>0</v>
          </cell>
          <cell r="F11941">
            <v>9113032.2699999996</v>
          </cell>
          <cell r="G11941">
            <v>0</v>
          </cell>
        </row>
        <row r="11942">
          <cell r="A11942" t="str">
            <v>86-03-01</v>
          </cell>
          <cell r="B11942">
            <v>0</v>
          </cell>
          <cell r="C11942" t="str">
            <v>***MARK- UP ON REFINANACE H.B.L</v>
          </cell>
          <cell r="D11942">
            <v>836554.75</v>
          </cell>
          <cell r="E11942">
            <v>0</v>
          </cell>
          <cell r="F11942">
            <v>836554.75</v>
          </cell>
          <cell r="G11942">
            <v>0</v>
          </cell>
        </row>
        <row r="11943">
          <cell r="A11943" t="str">
            <v>86-03-01-0001</v>
          </cell>
          <cell r="B11943">
            <v>0</v>
          </cell>
          <cell r="C11943" t="str">
            <v xml:space="preserve">  MARK UP ON H.B.L. F.C LOAN</v>
          </cell>
          <cell r="D11943">
            <v>836554.75</v>
          </cell>
          <cell r="E11943">
            <v>0</v>
          </cell>
          <cell r="F11943">
            <v>0</v>
          </cell>
          <cell r="G11943">
            <v>0</v>
          </cell>
        </row>
        <row r="11944">
          <cell r="A11944" t="str">
            <v>86-03-02</v>
          </cell>
          <cell r="B11944">
            <v>0</v>
          </cell>
          <cell r="C11944" t="str">
            <v>***MARK- UP ON REFINANCE M.C.B</v>
          </cell>
          <cell r="D11944">
            <v>0</v>
          </cell>
          <cell r="E11944">
            <v>0</v>
          </cell>
          <cell r="F11944">
            <v>0</v>
          </cell>
          <cell r="G11944">
            <v>0</v>
          </cell>
        </row>
        <row r="11945">
          <cell r="A11945" t="str">
            <v>86-03-02-0001</v>
          </cell>
          <cell r="B11945">
            <v>0</v>
          </cell>
          <cell r="C11945" t="str">
            <v xml:space="preserve">  MARK UP ON REFINANACE M.C.B</v>
          </cell>
          <cell r="D11945">
            <v>0</v>
          </cell>
          <cell r="E11945">
            <v>0</v>
          </cell>
          <cell r="F11945">
            <v>0</v>
          </cell>
          <cell r="G11945">
            <v>0</v>
          </cell>
        </row>
        <row r="11946">
          <cell r="A11946" t="str">
            <v>86-03-03</v>
          </cell>
          <cell r="B11946">
            <v>0</v>
          </cell>
          <cell r="C11946" t="str">
            <v>***MARK- UP ON REFINANACE S.B.L</v>
          </cell>
          <cell r="D11946">
            <v>0</v>
          </cell>
          <cell r="E11946">
            <v>0</v>
          </cell>
          <cell r="F11946">
            <v>0</v>
          </cell>
          <cell r="G11946">
            <v>0</v>
          </cell>
        </row>
        <row r="11947">
          <cell r="A11947" t="str">
            <v>86-03-03-0001</v>
          </cell>
          <cell r="B11947">
            <v>0</v>
          </cell>
          <cell r="C11947" t="str">
            <v xml:space="preserve">  MARK UP ON REFINANCE LOAN SONERI BANK</v>
          </cell>
          <cell r="D11947">
            <v>0</v>
          </cell>
          <cell r="E11947">
            <v>0</v>
          </cell>
          <cell r="F11947">
            <v>0</v>
          </cell>
          <cell r="G11947">
            <v>0</v>
          </cell>
        </row>
        <row r="11948">
          <cell r="A11948" t="str">
            <v>86-03-04</v>
          </cell>
          <cell r="B11948">
            <v>0</v>
          </cell>
          <cell r="C11948" t="str">
            <v>***MARK- UP ON REFINANCE CITI</v>
          </cell>
          <cell r="D11948">
            <v>3066856.93</v>
          </cell>
          <cell r="E11948">
            <v>0</v>
          </cell>
          <cell r="F11948">
            <v>3066856.93</v>
          </cell>
          <cell r="G11948">
            <v>0</v>
          </cell>
        </row>
        <row r="11949">
          <cell r="A11949" t="str">
            <v>86-03-04-0001</v>
          </cell>
          <cell r="B11949">
            <v>0</v>
          </cell>
          <cell r="C11949" t="str">
            <v xml:space="preserve">  MARK UP ON REFINANACE CITI</v>
          </cell>
          <cell r="D11949">
            <v>0</v>
          </cell>
          <cell r="E11949">
            <v>0</v>
          </cell>
          <cell r="F11949">
            <v>0</v>
          </cell>
          <cell r="G11949">
            <v>0</v>
          </cell>
        </row>
        <row r="11950">
          <cell r="A11950" t="str">
            <v>86-03-04-0002</v>
          </cell>
          <cell r="B11950">
            <v>0</v>
          </cell>
          <cell r="C11950" t="str">
            <v xml:space="preserve">  MARK UP ON F.C LOAN-CITI.</v>
          </cell>
          <cell r="D11950">
            <v>3066856.93</v>
          </cell>
          <cell r="E11950">
            <v>0</v>
          </cell>
          <cell r="F11950">
            <v>0</v>
          </cell>
          <cell r="G11950">
            <v>0</v>
          </cell>
        </row>
        <row r="11951">
          <cell r="A11951" t="str">
            <v>86-03-05</v>
          </cell>
          <cell r="B11951">
            <v>0</v>
          </cell>
          <cell r="C11951" t="str">
            <v>***MARK- UP ON REFINANACE MPBL</v>
          </cell>
          <cell r="D11951">
            <v>0</v>
          </cell>
          <cell r="E11951">
            <v>0</v>
          </cell>
          <cell r="F11951">
            <v>0</v>
          </cell>
          <cell r="G11951">
            <v>0</v>
          </cell>
        </row>
        <row r="11952">
          <cell r="A11952" t="str">
            <v>86-03-05-0001</v>
          </cell>
          <cell r="B11952">
            <v>0</v>
          </cell>
          <cell r="C11952" t="str">
            <v xml:space="preserve">  MARK UP ON REFINANCE LOAN-METROPOLITAN</v>
          </cell>
          <cell r="D11952">
            <v>0</v>
          </cell>
          <cell r="E11952">
            <v>0</v>
          </cell>
          <cell r="F11952">
            <v>0</v>
          </cell>
          <cell r="G11952">
            <v>0</v>
          </cell>
        </row>
        <row r="11953">
          <cell r="A11953" t="str">
            <v>86-03-06</v>
          </cell>
          <cell r="B11953">
            <v>0</v>
          </cell>
          <cell r="C11953" t="str">
            <v>***MARK UP ON REFINANCE LOAN-AG ZURICH.</v>
          </cell>
          <cell r="D11953">
            <v>593682.25</v>
          </cell>
          <cell r="E11953">
            <v>0</v>
          </cell>
          <cell r="F11953">
            <v>593682.25</v>
          </cell>
          <cell r="G11953">
            <v>0</v>
          </cell>
        </row>
        <row r="11954">
          <cell r="A11954" t="str">
            <v>86-03-06-0001</v>
          </cell>
          <cell r="B11954">
            <v>0</v>
          </cell>
          <cell r="C11954" t="str">
            <v xml:space="preserve">  MARK UP ON REFINANACE A.G.ZURICH</v>
          </cell>
          <cell r="D11954">
            <v>0</v>
          </cell>
          <cell r="E11954">
            <v>0</v>
          </cell>
          <cell r="F11954">
            <v>0</v>
          </cell>
          <cell r="G11954">
            <v>0</v>
          </cell>
        </row>
        <row r="11955">
          <cell r="A11955" t="str">
            <v>86-03-06-0002</v>
          </cell>
          <cell r="B11955">
            <v>0</v>
          </cell>
          <cell r="C11955" t="str">
            <v xml:space="preserve">  MARK UP ON LAFB 14% AG ZURICH</v>
          </cell>
          <cell r="D11955">
            <v>0</v>
          </cell>
          <cell r="E11955">
            <v>0</v>
          </cell>
          <cell r="F11955">
            <v>0</v>
          </cell>
          <cell r="G11955">
            <v>0</v>
          </cell>
        </row>
        <row r="11956">
          <cell r="A11956" t="str">
            <v>86-03-06-0003</v>
          </cell>
          <cell r="B11956">
            <v>0</v>
          </cell>
          <cell r="C11956" t="str">
            <v xml:space="preserve">  MARK UP ON HB-AGZ F.C LOAN</v>
          </cell>
          <cell r="D11956">
            <v>593682.25</v>
          </cell>
          <cell r="E11956">
            <v>0</v>
          </cell>
          <cell r="F11956">
            <v>0</v>
          </cell>
          <cell r="G11956">
            <v>0</v>
          </cell>
        </row>
        <row r="11957">
          <cell r="A11957" t="str">
            <v>86-03-09</v>
          </cell>
          <cell r="B11957">
            <v>0</v>
          </cell>
          <cell r="C11957" t="str">
            <v>***MARK UP ON REFINANACE ABN AMRO BANK</v>
          </cell>
          <cell r="D11957">
            <v>1141213.8899999999</v>
          </cell>
          <cell r="E11957">
            <v>0</v>
          </cell>
          <cell r="F11957">
            <v>1141213.8899999999</v>
          </cell>
          <cell r="G11957">
            <v>0</v>
          </cell>
        </row>
        <row r="11958">
          <cell r="A11958" t="str">
            <v>86-03-09-0001</v>
          </cell>
          <cell r="B11958">
            <v>0</v>
          </cell>
          <cell r="C11958" t="str">
            <v xml:space="preserve">  MARK UP ON REFINANCE LOAN ABN AMRO</v>
          </cell>
          <cell r="D11958">
            <v>0</v>
          </cell>
          <cell r="E11958">
            <v>0</v>
          </cell>
          <cell r="F11958">
            <v>0</v>
          </cell>
          <cell r="G11958">
            <v>0</v>
          </cell>
        </row>
        <row r="11959">
          <cell r="A11959" t="str">
            <v>86-03-09-0002</v>
          </cell>
          <cell r="B11959">
            <v>0</v>
          </cell>
          <cell r="C11959" t="str">
            <v xml:space="preserve">  MARK UP ON OWN LOAN 14% ABN AMRO</v>
          </cell>
          <cell r="D11959">
            <v>0</v>
          </cell>
          <cell r="E11959">
            <v>0</v>
          </cell>
          <cell r="F11959">
            <v>0</v>
          </cell>
          <cell r="G11959">
            <v>0</v>
          </cell>
        </row>
        <row r="11960">
          <cell r="A11960" t="str">
            <v>86-03-09-0003</v>
          </cell>
          <cell r="B11960">
            <v>0</v>
          </cell>
          <cell r="C11960" t="str">
            <v xml:space="preserve">  MARK UP ON REFINANCE LAON 11% ABN AMRO</v>
          </cell>
          <cell r="D11960">
            <v>0</v>
          </cell>
          <cell r="E11960">
            <v>0</v>
          </cell>
          <cell r="F11960">
            <v>0</v>
          </cell>
          <cell r="G11960">
            <v>0</v>
          </cell>
        </row>
        <row r="11961">
          <cell r="A11961" t="str">
            <v>86-03-09-0004</v>
          </cell>
          <cell r="B11961">
            <v>0</v>
          </cell>
          <cell r="C11961" t="str">
            <v xml:space="preserve">  MARK UP ON F.C LOAN ABN AMRO</v>
          </cell>
          <cell r="D11961">
            <v>1141213.8899999999</v>
          </cell>
          <cell r="E11961">
            <v>0</v>
          </cell>
          <cell r="F11961">
            <v>0</v>
          </cell>
          <cell r="G11961">
            <v>0</v>
          </cell>
        </row>
        <row r="11962">
          <cell r="A11962" t="str">
            <v>86-03-11</v>
          </cell>
          <cell r="B11962">
            <v>0</v>
          </cell>
          <cell r="C11962" t="str">
            <v>***MARK UP ON UNION BANK REFINANCE</v>
          </cell>
          <cell r="D11962">
            <v>0</v>
          </cell>
          <cell r="E11962">
            <v>0</v>
          </cell>
          <cell r="F11962">
            <v>0</v>
          </cell>
          <cell r="G11962">
            <v>0</v>
          </cell>
        </row>
        <row r="11963">
          <cell r="A11963" t="str">
            <v>86-03-11-0001</v>
          </cell>
          <cell r="B11963">
            <v>0</v>
          </cell>
          <cell r="C11963" t="str">
            <v xml:space="preserve">  MARK UP ON UNION BANK REFINANCE</v>
          </cell>
          <cell r="D11963">
            <v>0</v>
          </cell>
          <cell r="E11963">
            <v>0</v>
          </cell>
          <cell r="F11963">
            <v>0</v>
          </cell>
          <cell r="G11963">
            <v>0</v>
          </cell>
        </row>
        <row r="11964">
          <cell r="A11964" t="str">
            <v>86-03-11-0002</v>
          </cell>
          <cell r="B11964">
            <v>0</v>
          </cell>
          <cell r="C11964" t="str">
            <v xml:space="preserve">  MARK UP ON F.C LOAN UNION BANK.</v>
          </cell>
          <cell r="D11964">
            <v>0</v>
          </cell>
          <cell r="E11964">
            <v>0</v>
          </cell>
          <cell r="F11964">
            <v>0</v>
          </cell>
          <cell r="G11964">
            <v>0</v>
          </cell>
        </row>
        <row r="11965">
          <cell r="A11965" t="str">
            <v>86-03-12</v>
          </cell>
          <cell r="B11965">
            <v>0</v>
          </cell>
          <cell r="C11965" t="str">
            <v>***MARK UP ON REFINANCE BANK AL-HABIB</v>
          </cell>
          <cell r="D11965">
            <v>3130558.97</v>
          </cell>
          <cell r="E11965">
            <v>0</v>
          </cell>
          <cell r="F11965">
            <v>3130558.97</v>
          </cell>
          <cell r="G11965">
            <v>0</v>
          </cell>
        </row>
        <row r="11966">
          <cell r="A11966" t="str">
            <v>86-03-12-0001</v>
          </cell>
          <cell r="B11966">
            <v>0</v>
          </cell>
          <cell r="C11966" t="str">
            <v xml:space="preserve">  MARK UP POST SHIPMENT LOAN-BANK AL-HAB</v>
          </cell>
          <cell r="D11966">
            <v>0</v>
          </cell>
          <cell r="E11966">
            <v>0</v>
          </cell>
          <cell r="F11966">
            <v>0</v>
          </cell>
          <cell r="G11966">
            <v>0</v>
          </cell>
        </row>
        <row r="11967">
          <cell r="A11967" t="str">
            <v>86-03-12-0002</v>
          </cell>
          <cell r="B11967">
            <v>0</v>
          </cell>
          <cell r="C11967" t="str">
            <v xml:space="preserve">  MARK UP ON BANK AL-HABIB F.C LOAN</v>
          </cell>
          <cell r="D11967">
            <v>3130558.97</v>
          </cell>
          <cell r="E11967">
            <v>0</v>
          </cell>
          <cell r="F11967">
            <v>0</v>
          </cell>
          <cell r="G11967">
            <v>0</v>
          </cell>
        </row>
        <row r="11968">
          <cell r="A11968" t="str">
            <v>86-03-13</v>
          </cell>
          <cell r="B11968">
            <v>0</v>
          </cell>
          <cell r="C11968" t="str">
            <v>***MARK UP ON F.C.UNION</v>
          </cell>
          <cell r="D11968">
            <v>344165.48</v>
          </cell>
          <cell r="E11968">
            <v>0</v>
          </cell>
          <cell r="F11968">
            <v>344165.48</v>
          </cell>
          <cell r="G11968">
            <v>0</v>
          </cell>
        </row>
        <row r="11969">
          <cell r="A11969" t="str">
            <v>86-03-13-0001</v>
          </cell>
          <cell r="B11969">
            <v>0</v>
          </cell>
          <cell r="C11969" t="str">
            <v xml:space="preserve">  MARK UP ON F.C LOAN UNION BANK</v>
          </cell>
          <cell r="D11969">
            <v>344165.48</v>
          </cell>
          <cell r="E11969">
            <v>0</v>
          </cell>
          <cell r="F11969">
            <v>0</v>
          </cell>
          <cell r="G11969">
            <v>0</v>
          </cell>
        </row>
        <row r="11970">
          <cell r="A11970" t="str">
            <v>86-04</v>
          </cell>
          <cell r="B11970">
            <v>0</v>
          </cell>
          <cell r="C11970" t="str">
            <v>**BANK CHARGES &amp; COMMISSION</v>
          </cell>
          <cell r="D11970">
            <v>2306738.58</v>
          </cell>
          <cell r="E11970">
            <v>0</v>
          </cell>
          <cell r="F11970">
            <v>2306738.58</v>
          </cell>
          <cell r="G11970">
            <v>0</v>
          </cell>
        </row>
        <row r="11971">
          <cell r="A11971" t="str">
            <v>86-04-01</v>
          </cell>
          <cell r="B11971">
            <v>0</v>
          </cell>
          <cell r="C11971" t="str">
            <v>***BANK CHARGES &amp; COMMISSION H.B.L</v>
          </cell>
          <cell r="D11971">
            <v>397860.32</v>
          </cell>
          <cell r="E11971">
            <v>0</v>
          </cell>
          <cell r="F11971">
            <v>397860.32</v>
          </cell>
          <cell r="G11971">
            <v>0</v>
          </cell>
        </row>
        <row r="11972">
          <cell r="A11972" t="str">
            <v>86-04-01-0001</v>
          </cell>
          <cell r="B11972">
            <v>0</v>
          </cell>
          <cell r="C11972" t="str">
            <v xml:space="preserve">  BANK CHARGES &amp; COMMISSION H.B.L.</v>
          </cell>
          <cell r="D11972">
            <v>121630.32</v>
          </cell>
          <cell r="E11972">
            <v>0</v>
          </cell>
          <cell r="F11972">
            <v>0</v>
          </cell>
          <cell r="G11972">
            <v>0</v>
          </cell>
        </row>
        <row r="11973">
          <cell r="A11973" t="str">
            <v>86-04-01-0002</v>
          </cell>
          <cell r="B11973">
            <v>0</v>
          </cell>
          <cell r="C11973" t="str">
            <v xml:space="preserve">  BANK CHARGES ON L.G COMMISSION H.B.L.</v>
          </cell>
          <cell r="D11973">
            <v>276230</v>
          </cell>
          <cell r="E11973">
            <v>0</v>
          </cell>
          <cell r="F11973">
            <v>0</v>
          </cell>
          <cell r="G11973">
            <v>0</v>
          </cell>
        </row>
        <row r="11974">
          <cell r="A11974" t="str">
            <v>86-04-02</v>
          </cell>
          <cell r="B11974">
            <v>0</v>
          </cell>
          <cell r="C11974" t="str">
            <v>***BANK CHARGES &amp; COMMISSION M.C.B</v>
          </cell>
          <cell r="D11974">
            <v>8102</v>
          </cell>
          <cell r="E11974">
            <v>0</v>
          </cell>
          <cell r="F11974">
            <v>8102</v>
          </cell>
          <cell r="G11974">
            <v>0</v>
          </cell>
        </row>
        <row r="11975">
          <cell r="A11975" t="str">
            <v>86-04-02-0001</v>
          </cell>
          <cell r="B11975">
            <v>0</v>
          </cell>
          <cell r="C11975" t="str">
            <v xml:space="preserve">  BANK CHARGES &amp; COMMISSION M.C.B</v>
          </cell>
          <cell r="D11975">
            <v>8102</v>
          </cell>
          <cell r="E11975">
            <v>0</v>
          </cell>
          <cell r="F11975">
            <v>0</v>
          </cell>
          <cell r="G11975">
            <v>0</v>
          </cell>
        </row>
        <row r="11976">
          <cell r="A11976" t="str">
            <v>86-04-03</v>
          </cell>
          <cell r="B11976">
            <v>0</v>
          </cell>
          <cell r="C11976" t="str">
            <v>***BANK CHARGES &amp; COMMISSION S.B.L</v>
          </cell>
          <cell r="D11976">
            <v>50</v>
          </cell>
          <cell r="E11976">
            <v>0</v>
          </cell>
          <cell r="F11976">
            <v>50</v>
          </cell>
          <cell r="G11976">
            <v>0</v>
          </cell>
        </row>
        <row r="11977">
          <cell r="A11977" t="str">
            <v>86-04-03-0001</v>
          </cell>
          <cell r="B11977">
            <v>0</v>
          </cell>
          <cell r="C11977" t="str">
            <v xml:space="preserve">  BANK CHARGES &amp; COMMISSION S.B.L</v>
          </cell>
          <cell r="D11977">
            <v>50</v>
          </cell>
          <cell r="E11977">
            <v>0</v>
          </cell>
          <cell r="F11977">
            <v>0</v>
          </cell>
          <cell r="G11977">
            <v>0</v>
          </cell>
        </row>
        <row r="11978">
          <cell r="A11978" t="str">
            <v>86-04-04</v>
          </cell>
          <cell r="B11978">
            <v>0</v>
          </cell>
          <cell r="C11978" t="str">
            <v>***BANK CHARGES &amp; COMMISSION CITI</v>
          </cell>
          <cell r="D11978">
            <v>127254</v>
          </cell>
          <cell r="E11978">
            <v>0</v>
          </cell>
          <cell r="F11978">
            <v>127254</v>
          </cell>
          <cell r="G11978">
            <v>0</v>
          </cell>
        </row>
        <row r="11979">
          <cell r="A11979" t="str">
            <v>86-04-04-0001</v>
          </cell>
          <cell r="B11979">
            <v>0</v>
          </cell>
          <cell r="C11979" t="str">
            <v xml:space="preserve">  BANK CHARGES &amp; COMMISSION CITI</v>
          </cell>
          <cell r="D11979">
            <v>127254</v>
          </cell>
          <cell r="E11979">
            <v>0</v>
          </cell>
          <cell r="F11979">
            <v>0</v>
          </cell>
          <cell r="G11979">
            <v>0</v>
          </cell>
        </row>
        <row r="11980">
          <cell r="A11980" t="str">
            <v>86-04-04-0002</v>
          </cell>
          <cell r="B11980">
            <v>0</v>
          </cell>
          <cell r="C11980" t="str">
            <v xml:space="preserve">  UPFRONT FEE (CITI BANK)</v>
          </cell>
          <cell r="D11980">
            <v>0</v>
          </cell>
          <cell r="E11980">
            <v>0</v>
          </cell>
          <cell r="F11980">
            <v>0</v>
          </cell>
          <cell r="G11980">
            <v>0</v>
          </cell>
        </row>
        <row r="11981">
          <cell r="A11981" t="str">
            <v>86-04-05</v>
          </cell>
          <cell r="B11981">
            <v>0</v>
          </cell>
          <cell r="C11981" t="str">
            <v>***BANK CHARGES &amp; COMMISSION MPBL</v>
          </cell>
          <cell r="D11981">
            <v>435651.57</v>
          </cell>
          <cell r="E11981">
            <v>0</v>
          </cell>
          <cell r="F11981">
            <v>435651.57</v>
          </cell>
          <cell r="G11981">
            <v>0</v>
          </cell>
        </row>
        <row r="11982">
          <cell r="A11982" t="str">
            <v>86-04-05-0001</v>
          </cell>
          <cell r="B11982">
            <v>0</v>
          </cell>
          <cell r="C11982" t="str">
            <v xml:space="preserve">  BANK CHARGES &amp; COMMISSION MPBL</v>
          </cell>
          <cell r="D11982">
            <v>324336.57</v>
          </cell>
          <cell r="E11982">
            <v>0</v>
          </cell>
          <cell r="F11982">
            <v>0</v>
          </cell>
          <cell r="G11982">
            <v>0</v>
          </cell>
        </row>
        <row r="11983">
          <cell r="A11983" t="str">
            <v>86-04-05-0002</v>
          </cell>
          <cell r="B11983">
            <v>0</v>
          </cell>
          <cell r="C11983" t="str">
            <v xml:space="preserve">  L.G COMMISSION AND CHARGES MPB</v>
          </cell>
          <cell r="D11983">
            <v>111315</v>
          </cell>
          <cell r="E11983">
            <v>0</v>
          </cell>
          <cell r="F11983">
            <v>0</v>
          </cell>
          <cell r="G11983">
            <v>0</v>
          </cell>
        </row>
        <row r="11984">
          <cell r="A11984" t="str">
            <v>86-04-06</v>
          </cell>
          <cell r="B11984">
            <v>0</v>
          </cell>
          <cell r="C11984" t="str">
            <v>***BANK CHARGES &amp; COMMISSION AG ZURICH</v>
          </cell>
          <cell r="D11984">
            <v>721537.77</v>
          </cell>
          <cell r="E11984">
            <v>0</v>
          </cell>
          <cell r="F11984">
            <v>721537.77</v>
          </cell>
          <cell r="G11984">
            <v>0</v>
          </cell>
        </row>
        <row r="11985">
          <cell r="A11985" t="str">
            <v>86-04-06-0001</v>
          </cell>
          <cell r="B11985">
            <v>0</v>
          </cell>
          <cell r="C11985" t="str">
            <v xml:space="preserve">  BANK CHARGES &amp; COMMISSION AG ZURICH</v>
          </cell>
          <cell r="D11985">
            <v>41753.769999999997</v>
          </cell>
          <cell r="E11985">
            <v>0</v>
          </cell>
          <cell r="F11985">
            <v>0</v>
          </cell>
          <cell r="G11985">
            <v>0</v>
          </cell>
        </row>
        <row r="11986">
          <cell r="A11986" t="str">
            <v>86-04-06-0002</v>
          </cell>
          <cell r="B11986">
            <v>0</v>
          </cell>
          <cell r="C11986" t="str">
            <v xml:space="preserve">  BANK CHARGES ON L.G.COMMISSION AG ZURI</v>
          </cell>
          <cell r="D11986">
            <v>679784</v>
          </cell>
          <cell r="E11986">
            <v>0</v>
          </cell>
          <cell r="F11986">
            <v>0</v>
          </cell>
          <cell r="G11986">
            <v>0</v>
          </cell>
        </row>
        <row r="11987">
          <cell r="A11987" t="str">
            <v>86-04-07</v>
          </cell>
          <cell r="B11987">
            <v>0</v>
          </cell>
          <cell r="C11987" t="str">
            <v>***BANK CHARGES &amp; COMMISSION ABN AMRO.</v>
          </cell>
          <cell r="D11987">
            <v>323284.86</v>
          </cell>
          <cell r="E11987">
            <v>0</v>
          </cell>
          <cell r="F11987">
            <v>323284.86</v>
          </cell>
          <cell r="G11987">
            <v>0</v>
          </cell>
        </row>
        <row r="11988">
          <cell r="A11988" t="str">
            <v>86-04-07-0001</v>
          </cell>
          <cell r="B11988">
            <v>0</v>
          </cell>
          <cell r="C11988" t="str">
            <v xml:space="preserve">  BANK CHARGES &amp; COMMISSION ABN AMRO.</v>
          </cell>
          <cell r="D11988">
            <v>323284.86</v>
          </cell>
          <cell r="E11988">
            <v>0</v>
          </cell>
          <cell r="F11988">
            <v>0</v>
          </cell>
          <cell r="G11988">
            <v>0</v>
          </cell>
        </row>
        <row r="11989">
          <cell r="A11989" t="str">
            <v>86-04-08</v>
          </cell>
          <cell r="B11989">
            <v>0</v>
          </cell>
          <cell r="C11989" t="str">
            <v>***BANK CHARGES &amp; COMMISSION BANK AL-HAB</v>
          </cell>
          <cell r="D11989">
            <v>251763.47</v>
          </cell>
          <cell r="E11989">
            <v>0</v>
          </cell>
          <cell r="F11989">
            <v>251763.47</v>
          </cell>
          <cell r="G11989">
            <v>0</v>
          </cell>
        </row>
        <row r="11990">
          <cell r="A11990" t="str">
            <v>86-04-08-0001</v>
          </cell>
          <cell r="B11990">
            <v>0</v>
          </cell>
          <cell r="C11990" t="str">
            <v xml:space="preserve">  BANK CHARGES &amp; COMMISSION BANK AL-HABI</v>
          </cell>
          <cell r="D11990">
            <v>162163.47</v>
          </cell>
          <cell r="E11990">
            <v>0</v>
          </cell>
          <cell r="F11990">
            <v>0</v>
          </cell>
          <cell r="G11990">
            <v>0</v>
          </cell>
        </row>
        <row r="11991">
          <cell r="A11991" t="str">
            <v>86-04-08-0002</v>
          </cell>
          <cell r="B11991">
            <v>0</v>
          </cell>
          <cell r="C11991" t="str">
            <v xml:space="preserve">  L.G CHARGES &amp; COMMISSION BANK AL-HABIB</v>
          </cell>
          <cell r="D11991">
            <v>89600</v>
          </cell>
          <cell r="E11991">
            <v>0</v>
          </cell>
          <cell r="F11991">
            <v>0</v>
          </cell>
          <cell r="G11991">
            <v>0</v>
          </cell>
        </row>
        <row r="11992">
          <cell r="A11992" t="str">
            <v>86-04-09</v>
          </cell>
          <cell r="B11992">
            <v>0</v>
          </cell>
          <cell r="C11992" t="str">
            <v>***BANK CHARGES &amp; COMMISSION U.B.L</v>
          </cell>
          <cell r="D11992">
            <v>34640</v>
          </cell>
          <cell r="E11992">
            <v>0</v>
          </cell>
          <cell r="F11992">
            <v>34640</v>
          </cell>
          <cell r="G11992">
            <v>0</v>
          </cell>
        </row>
        <row r="11993">
          <cell r="A11993" t="str">
            <v>86-04-09-0001</v>
          </cell>
          <cell r="B11993">
            <v>0</v>
          </cell>
          <cell r="C11993" t="str">
            <v xml:space="preserve">  BANK CHARGES &amp; COMMISSION U.B.L.</v>
          </cell>
          <cell r="D11993">
            <v>34640</v>
          </cell>
          <cell r="E11993">
            <v>0</v>
          </cell>
          <cell r="F11993">
            <v>0</v>
          </cell>
          <cell r="G11993">
            <v>0</v>
          </cell>
        </row>
        <row r="11994">
          <cell r="A11994" t="str">
            <v>86-04-10</v>
          </cell>
          <cell r="B11994">
            <v>0</v>
          </cell>
          <cell r="C11994" t="str">
            <v>***BANK CHARGES &amp; COMMISSION (ALLIED BAN</v>
          </cell>
          <cell r="D11994">
            <v>125</v>
          </cell>
          <cell r="E11994">
            <v>0</v>
          </cell>
          <cell r="F11994">
            <v>125</v>
          </cell>
          <cell r="G11994">
            <v>0</v>
          </cell>
        </row>
        <row r="11995">
          <cell r="A11995" t="str">
            <v>86-04-10-0001</v>
          </cell>
          <cell r="B11995">
            <v>0</v>
          </cell>
          <cell r="C11995" t="str">
            <v xml:space="preserve">  BANK CHARGES &amp; COMMISSION (ALLIED BANK</v>
          </cell>
          <cell r="D11995">
            <v>125</v>
          </cell>
          <cell r="E11995">
            <v>0</v>
          </cell>
          <cell r="F11995">
            <v>0</v>
          </cell>
          <cell r="G11995">
            <v>0</v>
          </cell>
        </row>
        <row r="11996">
          <cell r="A11996" t="str">
            <v>86-04-11</v>
          </cell>
          <cell r="B11996">
            <v>0</v>
          </cell>
          <cell r="C11996" t="str">
            <v>***BANK CHARGES &amp; COMMISSION UNION BANK.</v>
          </cell>
          <cell r="D11996">
            <v>5068.5</v>
          </cell>
          <cell r="E11996">
            <v>0</v>
          </cell>
          <cell r="F11996">
            <v>5068.5</v>
          </cell>
          <cell r="G11996">
            <v>0</v>
          </cell>
        </row>
        <row r="11997">
          <cell r="A11997" t="str">
            <v>86-04-11-0001</v>
          </cell>
          <cell r="B11997">
            <v>0</v>
          </cell>
          <cell r="C11997" t="str">
            <v xml:space="preserve">  BANK CHARGES &amp; COMMISSION UNION BANK.</v>
          </cell>
          <cell r="D11997">
            <v>5068.5</v>
          </cell>
          <cell r="E11997">
            <v>0</v>
          </cell>
          <cell r="F11997">
            <v>0</v>
          </cell>
          <cell r="G11997">
            <v>0</v>
          </cell>
        </row>
        <row r="11998">
          <cell r="A11998" t="str">
            <v>86-04-12</v>
          </cell>
          <cell r="B11998">
            <v>0</v>
          </cell>
          <cell r="C11998" t="str">
            <v>***BANK CHARGES &amp; COMMISSION N.B.P.</v>
          </cell>
          <cell r="D11998">
            <v>1000</v>
          </cell>
          <cell r="E11998">
            <v>0</v>
          </cell>
          <cell r="F11998">
            <v>1000</v>
          </cell>
          <cell r="G11998">
            <v>0</v>
          </cell>
        </row>
        <row r="11999">
          <cell r="A11999" t="str">
            <v>86-04-12-0001</v>
          </cell>
          <cell r="B11999">
            <v>0</v>
          </cell>
          <cell r="C11999" t="str">
            <v xml:space="preserve">  BANK CHARGES &amp; COMMISSION N.B.P.</v>
          </cell>
          <cell r="D11999">
            <v>1000</v>
          </cell>
          <cell r="E11999">
            <v>0</v>
          </cell>
          <cell r="F11999">
            <v>0</v>
          </cell>
          <cell r="G11999">
            <v>0</v>
          </cell>
        </row>
        <row r="12000">
          <cell r="A12000" t="str">
            <v>86-04-13</v>
          </cell>
          <cell r="B12000">
            <v>0</v>
          </cell>
          <cell r="C12000" t="str">
            <v>***BANK CHARGES &amp; COMMISSION STANDRD CHR</v>
          </cell>
          <cell r="D12000">
            <v>401.09</v>
          </cell>
          <cell r="E12000">
            <v>0</v>
          </cell>
          <cell r="F12000">
            <v>401.09</v>
          </cell>
          <cell r="G12000">
            <v>0</v>
          </cell>
        </row>
        <row r="12001">
          <cell r="A12001" t="str">
            <v>86-04-13-0001</v>
          </cell>
          <cell r="B12001">
            <v>0</v>
          </cell>
          <cell r="C12001" t="str">
            <v xml:space="preserve">  BANK CHARGS &amp; COMMISSION STANDRD CHRTR</v>
          </cell>
          <cell r="D12001">
            <v>401.09</v>
          </cell>
          <cell r="E12001">
            <v>0</v>
          </cell>
          <cell r="F12001">
            <v>0</v>
          </cell>
          <cell r="G12001">
            <v>0</v>
          </cell>
        </row>
        <row r="12002">
          <cell r="A12002" t="str">
            <v>86-05</v>
          </cell>
          <cell r="B12002">
            <v>0</v>
          </cell>
          <cell r="C12002" t="str">
            <v>**OTHER FINANCIAL CHARGES</v>
          </cell>
          <cell r="D12002">
            <v>172556</v>
          </cell>
          <cell r="E12002">
            <v>0</v>
          </cell>
          <cell r="F12002">
            <v>172556</v>
          </cell>
          <cell r="G12002">
            <v>0</v>
          </cell>
        </row>
        <row r="12003">
          <cell r="A12003" t="str">
            <v>86-05-01</v>
          </cell>
          <cell r="B12003">
            <v>0</v>
          </cell>
          <cell r="C12003" t="str">
            <v>***W.P.P.F</v>
          </cell>
          <cell r="D12003">
            <v>172556</v>
          </cell>
          <cell r="E12003">
            <v>0</v>
          </cell>
          <cell r="F12003">
            <v>172556</v>
          </cell>
          <cell r="G12003">
            <v>0</v>
          </cell>
        </row>
        <row r="12004">
          <cell r="A12004" t="str">
            <v>86-05-01-0001</v>
          </cell>
          <cell r="B12004">
            <v>0</v>
          </cell>
          <cell r="C12004" t="str">
            <v xml:space="preserve">  MARK-UP ON W.P.P.F.</v>
          </cell>
          <cell r="D12004">
            <v>172556</v>
          </cell>
          <cell r="E12004">
            <v>0</v>
          </cell>
          <cell r="F12004">
            <v>0</v>
          </cell>
          <cell r="G12004">
            <v>0</v>
          </cell>
        </row>
        <row r="12005">
          <cell r="A12005" t="str">
            <v>87</v>
          </cell>
          <cell r="B12005">
            <v>0</v>
          </cell>
          <cell r="C12005" t="str">
            <v>*OTHER INCOME</v>
          </cell>
          <cell r="D12005">
            <v>0</v>
          </cell>
          <cell r="E12005">
            <v>1029806.9</v>
          </cell>
          <cell r="F12005">
            <v>18783645.91</v>
          </cell>
          <cell r="G12005">
            <v>19813452.809999999</v>
          </cell>
        </row>
        <row r="12006">
          <cell r="A12006" t="str">
            <v>87-01</v>
          </cell>
          <cell r="B12006">
            <v>19813440</v>
          </cell>
          <cell r="C12006" t="str">
            <v>**SALES OF SCRAPE</v>
          </cell>
          <cell r="D12006">
            <v>0</v>
          </cell>
          <cell r="E12006">
            <v>12677917</v>
          </cell>
          <cell r="F12006">
            <v>0</v>
          </cell>
          <cell r="G12006">
            <v>12677917</v>
          </cell>
        </row>
        <row r="12007">
          <cell r="A12007" t="str">
            <v>87-01-01</v>
          </cell>
          <cell r="B12007">
            <v>12677912</v>
          </cell>
          <cell r="C12007" t="str">
            <v>***SALES OF SCRAPE STORE</v>
          </cell>
          <cell r="D12007">
            <v>0</v>
          </cell>
          <cell r="E12007">
            <v>12442520</v>
          </cell>
          <cell r="F12007">
            <v>0</v>
          </cell>
          <cell r="G12007">
            <v>12442520</v>
          </cell>
        </row>
        <row r="12008">
          <cell r="A12008" t="str">
            <v>87-01-01-0001</v>
          </cell>
          <cell r="B12008">
            <v>12442520</v>
          </cell>
          <cell r="C12008" t="str">
            <v xml:space="preserve">  SALES OF SCRAPE OF STORE</v>
          </cell>
          <cell r="D12008">
            <v>0</v>
          </cell>
          <cell r="E12008">
            <v>1027086</v>
          </cell>
          <cell r="F12008">
            <v>0</v>
          </cell>
          <cell r="G12008">
            <v>0</v>
          </cell>
        </row>
        <row r="12009">
          <cell r="A12009" t="str">
            <v>87-01-01-0002</v>
          </cell>
          <cell r="B12009">
            <v>0</v>
          </cell>
          <cell r="C12009" t="str">
            <v xml:space="preserve">  SALES OF EMPTY DRUM</v>
          </cell>
          <cell r="D12009">
            <v>0</v>
          </cell>
          <cell r="E12009">
            <v>386915</v>
          </cell>
          <cell r="F12009">
            <v>0</v>
          </cell>
          <cell r="G12009">
            <v>0</v>
          </cell>
        </row>
        <row r="12010">
          <cell r="A12010" t="str">
            <v>87-01-01-0003</v>
          </cell>
          <cell r="B12010">
            <v>0</v>
          </cell>
          <cell r="C12010" t="str">
            <v xml:space="preserve">  SALES OF IRON</v>
          </cell>
          <cell r="D12010">
            <v>0</v>
          </cell>
          <cell r="E12010">
            <v>4302638</v>
          </cell>
          <cell r="F12010">
            <v>0</v>
          </cell>
          <cell r="G12010">
            <v>0</v>
          </cell>
        </row>
        <row r="12011">
          <cell r="A12011" t="str">
            <v>87-01-01-0004</v>
          </cell>
          <cell r="B12011">
            <v>0</v>
          </cell>
          <cell r="C12011" t="str">
            <v xml:space="preserve">  SALES OF WOOD</v>
          </cell>
          <cell r="D12011">
            <v>0</v>
          </cell>
          <cell r="E12011">
            <v>119315</v>
          </cell>
          <cell r="F12011">
            <v>0</v>
          </cell>
          <cell r="G12011">
            <v>0</v>
          </cell>
        </row>
        <row r="12012">
          <cell r="A12012" t="str">
            <v>87-01-01-0005</v>
          </cell>
          <cell r="B12012">
            <v>0</v>
          </cell>
          <cell r="C12012" t="str">
            <v xml:space="preserve">  SALES OF POLYTHENE</v>
          </cell>
          <cell r="D12012">
            <v>0</v>
          </cell>
          <cell r="E12012">
            <v>3543</v>
          </cell>
          <cell r="F12012">
            <v>0</v>
          </cell>
          <cell r="G12012">
            <v>0</v>
          </cell>
        </row>
        <row r="12013">
          <cell r="A12013" t="str">
            <v>87-01-01-0006</v>
          </cell>
          <cell r="B12013">
            <v>0</v>
          </cell>
          <cell r="C12013" t="str">
            <v xml:space="preserve">  SALES OF PAPERCONE</v>
          </cell>
          <cell r="D12013">
            <v>0</v>
          </cell>
          <cell r="E12013">
            <v>147525</v>
          </cell>
          <cell r="F12013">
            <v>0</v>
          </cell>
          <cell r="G12013">
            <v>0</v>
          </cell>
        </row>
        <row r="12014">
          <cell r="A12014" t="str">
            <v>87-01-01-0007</v>
          </cell>
          <cell r="B12014">
            <v>0</v>
          </cell>
          <cell r="C12014" t="str">
            <v xml:space="preserve">  SALES OF P P BAGS</v>
          </cell>
          <cell r="D12014">
            <v>0</v>
          </cell>
          <cell r="E12014">
            <v>1976697</v>
          </cell>
          <cell r="F12014">
            <v>0</v>
          </cell>
          <cell r="G12014">
            <v>0</v>
          </cell>
        </row>
        <row r="12015">
          <cell r="A12015" t="str">
            <v>87-01-01-0008</v>
          </cell>
          <cell r="B12015">
            <v>0</v>
          </cell>
          <cell r="C12015" t="str">
            <v xml:space="preserve">  SALES OF BOBBIN</v>
          </cell>
          <cell r="D12015">
            <v>0</v>
          </cell>
          <cell r="E12015">
            <v>0</v>
          </cell>
          <cell r="F12015">
            <v>0</v>
          </cell>
          <cell r="G12015">
            <v>0</v>
          </cell>
        </row>
        <row r="12016">
          <cell r="A12016" t="str">
            <v>87-01-01-0009</v>
          </cell>
          <cell r="B12016">
            <v>0</v>
          </cell>
          <cell r="C12016" t="str">
            <v xml:space="preserve">  SALES OF COTTON BALES PACKING-PATSON T</v>
          </cell>
          <cell r="D12016">
            <v>0</v>
          </cell>
          <cell r="E12016">
            <v>74836</v>
          </cell>
          <cell r="F12016">
            <v>0</v>
          </cell>
          <cell r="G12016">
            <v>0</v>
          </cell>
        </row>
        <row r="12017">
          <cell r="A12017" t="str">
            <v>87-01-01-0010</v>
          </cell>
          <cell r="B12017">
            <v>0</v>
          </cell>
          <cell r="C12017" t="str">
            <v xml:space="preserve">  SALES OF EMPTY BOTTLES.</v>
          </cell>
          <cell r="D12017">
            <v>0</v>
          </cell>
          <cell r="E12017">
            <v>10900</v>
          </cell>
          <cell r="F12017">
            <v>0</v>
          </cell>
          <cell r="G12017">
            <v>0</v>
          </cell>
        </row>
        <row r="12018">
          <cell r="A12018" t="str">
            <v>87-01-01-0011</v>
          </cell>
          <cell r="B12018">
            <v>0</v>
          </cell>
          <cell r="C12018" t="str">
            <v xml:space="preserve">  SALES OF USED FURNACE OIL</v>
          </cell>
          <cell r="D12018">
            <v>0</v>
          </cell>
          <cell r="E12018">
            <v>1009480</v>
          </cell>
          <cell r="F12018">
            <v>0</v>
          </cell>
          <cell r="G12018">
            <v>0</v>
          </cell>
        </row>
        <row r="12019">
          <cell r="A12019" t="str">
            <v>87-01-01-0012</v>
          </cell>
          <cell r="B12019">
            <v>0</v>
          </cell>
          <cell r="C12019" t="str">
            <v xml:space="preserve">  -</v>
          </cell>
          <cell r="D12019">
            <v>0</v>
          </cell>
          <cell r="E12019">
            <v>0</v>
          </cell>
          <cell r="F12019">
            <v>0</v>
          </cell>
          <cell r="G12019">
            <v>0</v>
          </cell>
        </row>
        <row r="12020">
          <cell r="A12020" t="str">
            <v>87-01-01-0013</v>
          </cell>
          <cell r="B12020">
            <v>0</v>
          </cell>
          <cell r="C12020" t="str">
            <v xml:space="preserve">  SALES OF USED MOBIL OIL</v>
          </cell>
          <cell r="D12020">
            <v>0</v>
          </cell>
          <cell r="E12020">
            <v>0</v>
          </cell>
          <cell r="F12020">
            <v>0</v>
          </cell>
          <cell r="G12020">
            <v>0</v>
          </cell>
        </row>
        <row r="12021">
          <cell r="A12021" t="str">
            <v>87-01-01-0014</v>
          </cell>
          <cell r="B12021">
            <v>0</v>
          </cell>
          <cell r="C12021" t="str">
            <v xml:space="preserve">  SALES OF USED LUBE OIL</v>
          </cell>
          <cell r="D12021">
            <v>0</v>
          </cell>
          <cell r="E12021">
            <v>744937</v>
          </cell>
          <cell r="F12021">
            <v>0</v>
          </cell>
          <cell r="G12021">
            <v>0</v>
          </cell>
        </row>
        <row r="12022">
          <cell r="A12022" t="str">
            <v>87-01-01-0015</v>
          </cell>
          <cell r="B12022">
            <v>0</v>
          </cell>
          <cell r="C12022" t="str">
            <v xml:space="preserve">  SALE OF COMPRESSOR OIL (REJECTED)</v>
          </cell>
          <cell r="D12022">
            <v>0</v>
          </cell>
          <cell r="E12022">
            <v>9729</v>
          </cell>
          <cell r="F12022">
            <v>0</v>
          </cell>
          <cell r="G12022">
            <v>0</v>
          </cell>
        </row>
        <row r="12023">
          <cell r="A12023" t="str">
            <v>87-01-01-0016</v>
          </cell>
          <cell r="B12023">
            <v>0</v>
          </cell>
          <cell r="C12023" t="str">
            <v xml:space="preserve">  SALES OF WAX ROLL</v>
          </cell>
          <cell r="D12023">
            <v>0</v>
          </cell>
          <cell r="E12023">
            <v>16659</v>
          </cell>
          <cell r="F12023">
            <v>0</v>
          </cell>
          <cell r="G12023">
            <v>0</v>
          </cell>
        </row>
        <row r="12024">
          <cell r="A12024" t="str">
            <v>87-01-01-0017</v>
          </cell>
          <cell r="B12024">
            <v>0</v>
          </cell>
          <cell r="C12024" t="str">
            <v xml:space="preserve">  SALES OF BAILING HOOPS</v>
          </cell>
          <cell r="D12024">
            <v>0</v>
          </cell>
          <cell r="E12024">
            <v>1605048</v>
          </cell>
          <cell r="F12024">
            <v>0</v>
          </cell>
          <cell r="G12024">
            <v>0</v>
          </cell>
        </row>
        <row r="12025">
          <cell r="A12025" t="str">
            <v>87-01-01-0018</v>
          </cell>
          <cell r="B12025">
            <v>0</v>
          </cell>
          <cell r="C12025" t="str">
            <v xml:space="preserve">  SALES OF DEMAGE CARTON</v>
          </cell>
          <cell r="D12025">
            <v>0</v>
          </cell>
          <cell r="E12025">
            <v>105512</v>
          </cell>
          <cell r="F12025">
            <v>0</v>
          </cell>
          <cell r="G12025">
            <v>0</v>
          </cell>
        </row>
        <row r="12026">
          <cell r="A12026" t="str">
            <v>87-01-01-0019</v>
          </cell>
          <cell r="B12026">
            <v>0</v>
          </cell>
          <cell r="C12026" t="str">
            <v xml:space="preserve">  SALES OF ELECTRICAL SCRAPE</v>
          </cell>
          <cell r="D12026">
            <v>0</v>
          </cell>
          <cell r="E12026">
            <v>446715</v>
          </cell>
          <cell r="F12026">
            <v>0</v>
          </cell>
          <cell r="G12026">
            <v>0</v>
          </cell>
        </row>
        <row r="12027">
          <cell r="A12027" t="str">
            <v>87-01-01-0020</v>
          </cell>
          <cell r="B12027">
            <v>0</v>
          </cell>
          <cell r="C12027" t="str">
            <v xml:space="preserve">  SALES OF SCRAPE -OTHERS</v>
          </cell>
          <cell r="D12027">
            <v>0</v>
          </cell>
          <cell r="E12027">
            <v>454985</v>
          </cell>
          <cell r="F12027">
            <v>0</v>
          </cell>
          <cell r="G12027">
            <v>0</v>
          </cell>
        </row>
        <row r="12028">
          <cell r="A12028" t="str">
            <v>87-01-02</v>
          </cell>
          <cell r="B12028">
            <v>0</v>
          </cell>
          <cell r="C12028" t="str">
            <v>***SALES OF SCRAPE WORK SHOP</v>
          </cell>
          <cell r="D12028">
            <v>0</v>
          </cell>
          <cell r="E12028">
            <v>235397</v>
          </cell>
          <cell r="F12028">
            <v>0</v>
          </cell>
          <cell r="G12028">
            <v>235397</v>
          </cell>
        </row>
        <row r="12029">
          <cell r="A12029" t="str">
            <v>87-01-02-0001</v>
          </cell>
          <cell r="B12029">
            <v>235397</v>
          </cell>
          <cell r="C12029" t="str">
            <v xml:space="preserve">  SALES OF SCRAPE WORK SHOP</v>
          </cell>
          <cell r="D12029">
            <v>0</v>
          </cell>
          <cell r="E12029">
            <v>235397</v>
          </cell>
          <cell r="F12029">
            <v>0</v>
          </cell>
          <cell r="G12029">
            <v>0</v>
          </cell>
        </row>
        <row r="12030">
          <cell r="A12030" t="str">
            <v>87-02</v>
          </cell>
          <cell r="B12030">
            <v>0</v>
          </cell>
          <cell r="C12030" t="str">
            <v>**RENT INCOME</v>
          </cell>
          <cell r="D12030">
            <v>0</v>
          </cell>
          <cell r="E12030">
            <v>319200</v>
          </cell>
          <cell r="F12030">
            <v>0</v>
          </cell>
          <cell r="G12030">
            <v>319200</v>
          </cell>
        </row>
        <row r="12031">
          <cell r="A12031" t="str">
            <v>87-02-01</v>
          </cell>
          <cell r="B12031">
            <v>319200</v>
          </cell>
          <cell r="C12031" t="str">
            <v>***DEFERRED RENT INCOME</v>
          </cell>
          <cell r="D12031">
            <v>0</v>
          </cell>
          <cell r="E12031">
            <v>319200</v>
          </cell>
          <cell r="F12031">
            <v>0</v>
          </cell>
          <cell r="G12031">
            <v>319200</v>
          </cell>
        </row>
        <row r="12032">
          <cell r="A12032" t="str">
            <v>87-02-01-0001</v>
          </cell>
          <cell r="B12032">
            <v>319200</v>
          </cell>
          <cell r="C12032" t="str">
            <v xml:space="preserve">  RENTAL INCOME OF WORKERS COLONY (STML)</v>
          </cell>
          <cell r="D12032">
            <v>0</v>
          </cell>
          <cell r="E12032">
            <v>319200</v>
          </cell>
          <cell r="F12032">
            <v>0</v>
          </cell>
          <cell r="G12032">
            <v>0</v>
          </cell>
        </row>
        <row r="12033">
          <cell r="A12033" t="str">
            <v>87-03</v>
          </cell>
          <cell r="B12033">
            <v>0</v>
          </cell>
          <cell r="C12033" t="str">
            <v>**INCOME ON DEPOSIT</v>
          </cell>
          <cell r="D12033">
            <v>0</v>
          </cell>
          <cell r="E12033">
            <v>3058074.81</v>
          </cell>
          <cell r="F12033">
            <v>0</v>
          </cell>
          <cell r="G12033">
            <v>3058074.81</v>
          </cell>
        </row>
        <row r="12034">
          <cell r="A12034" t="str">
            <v>87-03-01</v>
          </cell>
          <cell r="B12034">
            <v>3058074</v>
          </cell>
          <cell r="C12034" t="str">
            <v>***INCOME ON DEPOSIT H.B.L</v>
          </cell>
          <cell r="D12034">
            <v>0</v>
          </cell>
          <cell r="E12034">
            <v>0</v>
          </cell>
          <cell r="F12034">
            <v>0</v>
          </cell>
          <cell r="G12034">
            <v>0</v>
          </cell>
        </row>
        <row r="12035">
          <cell r="A12035" t="str">
            <v>87-03-01-0001</v>
          </cell>
          <cell r="B12035">
            <v>0</v>
          </cell>
          <cell r="C12035" t="str">
            <v xml:space="preserve">  INCOME ON SNTD - HBL CANTT. PESHAWAR</v>
          </cell>
          <cell r="D12035">
            <v>0</v>
          </cell>
          <cell r="E12035">
            <v>0</v>
          </cell>
          <cell r="F12035">
            <v>0</v>
          </cell>
          <cell r="G12035">
            <v>0</v>
          </cell>
        </row>
        <row r="12036">
          <cell r="A12036" t="str">
            <v>87-03-01-0002</v>
          </cell>
          <cell r="B12036">
            <v>0</v>
          </cell>
          <cell r="C12036" t="str">
            <v xml:space="preserve">  PROFIT ON L/C MARGIN-HBL.</v>
          </cell>
          <cell r="D12036">
            <v>0</v>
          </cell>
          <cell r="E12036">
            <v>0</v>
          </cell>
          <cell r="F12036">
            <v>0</v>
          </cell>
          <cell r="G12036">
            <v>0</v>
          </cell>
        </row>
        <row r="12037">
          <cell r="A12037" t="str">
            <v>87-03-02</v>
          </cell>
          <cell r="B12037">
            <v>0</v>
          </cell>
          <cell r="C12037" t="str">
            <v>***INCOME ON DEPOSIT M.C.B</v>
          </cell>
          <cell r="D12037">
            <v>0</v>
          </cell>
          <cell r="E12037">
            <v>0</v>
          </cell>
          <cell r="F12037">
            <v>0</v>
          </cell>
          <cell r="G12037">
            <v>0</v>
          </cell>
        </row>
        <row r="12038">
          <cell r="A12038" t="str">
            <v>87-03-02-0001</v>
          </cell>
          <cell r="B12038">
            <v>0</v>
          </cell>
          <cell r="C12038" t="str">
            <v xml:space="preserve">  INCOME ON PLS A/C - MCB CANTT. PESHAWA</v>
          </cell>
          <cell r="D12038">
            <v>0</v>
          </cell>
          <cell r="E12038">
            <v>0</v>
          </cell>
          <cell r="F12038">
            <v>0</v>
          </cell>
          <cell r="G12038">
            <v>0</v>
          </cell>
        </row>
        <row r="12039">
          <cell r="A12039" t="str">
            <v>87-03-03</v>
          </cell>
          <cell r="B12039">
            <v>0</v>
          </cell>
          <cell r="C12039" t="str">
            <v>***INCOME ON DEPOSIT S.B.L</v>
          </cell>
          <cell r="D12039">
            <v>0</v>
          </cell>
          <cell r="E12039">
            <v>0</v>
          </cell>
          <cell r="F12039">
            <v>0</v>
          </cell>
          <cell r="G12039">
            <v>0</v>
          </cell>
        </row>
        <row r="12040">
          <cell r="A12040" t="str">
            <v>87-03-03-0001</v>
          </cell>
          <cell r="B12040">
            <v>0</v>
          </cell>
          <cell r="C12040" t="str">
            <v xml:space="preserve">  INCOME ON SNTD SBL CANTT PESHAWAR.</v>
          </cell>
          <cell r="D12040">
            <v>0</v>
          </cell>
          <cell r="E12040">
            <v>0</v>
          </cell>
          <cell r="F12040">
            <v>0</v>
          </cell>
          <cell r="G12040">
            <v>0</v>
          </cell>
        </row>
        <row r="12041">
          <cell r="A12041" t="str">
            <v>87-03-03-0002</v>
          </cell>
          <cell r="B12041">
            <v>0</v>
          </cell>
          <cell r="C12041" t="str">
            <v xml:space="preserve">  PROFIT ON MARGIN A/C ON SBL</v>
          </cell>
          <cell r="D12041">
            <v>0</v>
          </cell>
          <cell r="E12041">
            <v>0</v>
          </cell>
          <cell r="F12041">
            <v>0</v>
          </cell>
          <cell r="G12041">
            <v>0</v>
          </cell>
        </row>
        <row r="12042">
          <cell r="A12042" t="str">
            <v>87-03-04</v>
          </cell>
          <cell r="B12042">
            <v>0</v>
          </cell>
          <cell r="C12042" t="str">
            <v>***INCOME ON DEPOSIT CITI</v>
          </cell>
          <cell r="D12042">
            <v>0</v>
          </cell>
          <cell r="E12042">
            <v>0</v>
          </cell>
          <cell r="F12042">
            <v>0</v>
          </cell>
          <cell r="G12042">
            <v>0</v>
          </cell>
        </row>
        <row r="12043">
          <cell r="A12043" t="str">
            <v>87-03-04-0001</v>
          </cell>
          <cell r="B12043">
            <v>0</v>
          </cell>
          <cell r="C12043" t="str">
            <v xml:space="preserve">  INCOME ON DEPOSIT CITI</v>
          </cell>
          <cell r="D12043">
            <v>0</v>
          </cell>
          <cell r="E12043">
            <v>0</v>
          </cell>
          <cell r="F12043">
            <v>0</v>
          </cell>
          <cell r="G12043">
            <v>0</v>
          </cell>
        </row>
        <row r="12044">
          <cell r="A12044" t="str">
            <v>87-03-05</v>
          </cell>
          <cell r="B12044">
            <v>0</v>
          </cell>
          <cell r="C12044" t="str">
            <v>***INCOME ON DEPOSIT MPBL</v>
          </cell>
          <cell r="D12044">
            <v>0</v>
          </cell>
          <cell r="E12044">
            <v>998728.68</v>
          </cell>
          <cell r="F12044">
            <v>0</v>
          </cell>
          <cell r="G12044">
            <v>998728.68</v>
          </cell>
        </row>
        <row r="12045">
          <cell r="A12045" t="str">
            <v>87-03-05-0001</v>
          </cell>
          <cell r="B12045">
            <v>998728.5</v>
          </cell>
          <cell r="C12045" t="str">
            <v xml:space="preserve">  INCOME ON DEPOSIT MPBL</v>
          </cell>
          <cell r="D12045">
            <v>0</v>
          </cell>
          <cell r="E12045">
            <v>0</v>
          </cell>
          <cell r="F12045">
            <v>0</v>
          </cell>
          <cell r="G12045">
            <v>0</v>
          </cell>
        </row>
        <row r="12046">
          <cell r="A12046" t="str">
            <v>87-03-05-0002</v>
          </cell>
          <cell r="B12046">
            <v>0</v>
          </cell>
          <cell r="C12046" t="str">
            <v xml:space="preserve">  INCOME ON FDR METROPOLITIAN BANK KARAC</v>
          </cell>
          <cell r="D12046">
            <v>0</v>
          </cell>
          <cell r="E12046">
            <v>998728.68</v>
          </cell>
          <cell r="F12046">
            <v>0</v>
          </cell>
          <cell r="G12046">
            <v>0</v>
          </cell>
        </row>
        <row r="12047">
          <cell r="A12047" t="str">
            <v>87-03-06</v>
          </cell>
          <cell r="B12047">
            <v>0</v>
          </cell>
          <cell r="C12047" t="str">
            <v>***INCOME ON DEPOSIT AG ZURICH</v>
          </cell>
          <cell r="D12047">
            <v>0</v>
          </cell>
          <cell r="E12047">
            <v>2775.89</v>
          </cell>
          <cell r="F12047">
            <v>0</v>
          </cell>
          <cell r="G12047">
            <v>2775.89</v>
          </cell>
        </row>
        <row r="12048">
          <cell r="A12048" t="str">
            <v>87-03-06-0001</v>
          </cell>
          <cell r="B12048">
            <v>2775.888671875</v>
          </cell>
          <cell r="C12048" t="str">
            <v xml:space="preserve">  INCOME ON FDR HB AG ZURICH</v>
          </cell>
          <cell r="D12048">
            <v>0</v>
          </cell>
          <cell r="E12048">
            <v>2775.89</v>
          </cell>
          <cell r="F12048">
            <v>0</v>
          </cell>
          <cell r="G12048">
            <v>0</v>
          </cell>
        </row>
        <row r="12049">
          <cell r="A12049" t="str">
            <v>87-03-09</v>
          </cell>
          <cell r="B12049">
            <v>0</v>
          </cell>
          <cell r="C12049" t="str">
            <v>***INCOME ON DEPOSIT-ABN AMRO.</v>
          </cell>
          <cell r="D12049">
            <v>0</v>
          </cell>
          <cell r="E12049">
            <v>0</v>
          </cell>
          <cell r="F12049">
            <v>0</v>
          </cell>
          <cell r="G12049">
            <v>0</v>
          </cell>
        </row>
        <row r="12050">
          <cell r="A12050" t="str">
            <v>87-03-09-0001</v>
          </cell>
          <cell r="B12050">
            <v>0</v>
          </cell>
          <cell r="C12050" t="str">
            <v xml:space="preserve">  INCOME ON SAVING $ A/C -ABN AMRO.</v>
          </cell>
          <cell r="D12050">
            <v>0</v>
          </cell>
          <cell r="E12050">
            <v>0</v>
          </cell>
          <cell r="F12050">
            <v>0</v>
          </cell>
          <cell r="G12050">
            <v>0</v>
          </cell>
        </row>
        <row r="12051">
          <cell r="A12051" t="str">
            <v>87-03-12</v>
          </cell>
          <cell r="B12051">
            <v>0</v>
          </cell>
          <cell r="C12051" t="str">
            <v>***INCOME ON DEPOSIT BANK AL HABIB</v>
          </cell>
          <cell r="D12051">
            <v>0</v>
          </cell>
          <cell r="E12051">
            <v>156638.54999999999</v>
          </cell>
          <cell r="F12051">
            <v>0</v>
          </cell>
          <cell r="G12051">
            <v>156638.54999999999</v>
          </cell>
        </row>
        <row r="12052">
          <cell r="A12052" t="str">
            <v>87-03-12-0001</v>
          </cell>
          <cell r="B12052">
            <v>156638.5</v>
          </cell>
          <cell r="C12052" t="str">
            <v xml:space="preserve">  INCOME ON FDR-BANK AL- HABIB</v>
          </cell>
          <cell r="D12052">
            <v>0</v>
          </cell>
          <cell r="E12052">
            <v>156638.54999999999</v>
          </cell>
          <cell r="F12052">
            <v>0</v>
          </cell>
          <cell r="G12052">
            <v>0</v>
          </cell>
        </row>
        <row r="12053">
          <cell r="A12053" t="str">
            <v>87-03-15</v>
          </cell>
          <cell r="B12053">
            <v>0</v>
          </cell>
          <cell r="C12053" t="str">
            <v>***INCOME ON DEPOSIT WITH NDLC</v>
          </cell>
          <cell r="D12053">
            <v>0</v>
          </cell>
          <cell r="E12053">
            <v>1899931.69</v>
          </cell>
          <cell r="F12053">
            <v>0</v>
          </cell>
          <cell r="G12053">
            <v>1899931.69</v>
          </cell>
        </row>
        <row r="12054">
          <cell r="A12054" t="str">
            <v>87-03-15-0001</v>
          </cell>
          <cell r="B12054">
            <v>1899931</v>
          </cell>
          <cell r="C12054" t="str">
            <v xml:space="preserve">  INCOME ON NDLC DEPOSIT</v>
          </cell>
          <cell r="D12054">
            <v>0</v>
          </cell>
          <cell r="E12054">
            <v>1899931.69</v>
          </cell>
          <cell r="F12054">
            <v>0</v>
          </cell>
          <cell r="G12054">
            <v>0</v>
          </cell>
        </row>
        <row r="12055">
          <cell r="A12055" t="str">
            <v>87-04</v>
          </cell>
          <cell r="B12055">
            <v>0</v>
          </cell>
          <cell r="C12055" t="str">
            <v>**OTHER INCOME</v>
          </cell>
          <cell r="D12055">
            <v>15025384.91</v>
          </cell>
          <cell r="E12055">
            <v>0</v>
          </cell>
          <cell r="F12055">
            <v>18783645.91</v>
          </cell>
          <cell r="G12055">
            <v>3758261</v>
          </cell>
        </row>
        <row r="12056">
          <cell r="A12056" t="str">
            <v>87-04-01</v>
          </cell>
          <cell r="B12056">
            <v>3758260</v>
          </cell>
          <cell r="C12056" t="str">
            <v>***OTHER INCOME</v>
          </cell>
          <cell r="D12056">
            <v>15025384.91</v>
          </cell>
          <cell r="E12056">
            <v>0</v>
          </cell>
          <cell r="F12056">
            <v>18783645.91</v>
          </cell>
          <cell r="G12056">
            <v>3758261</v>
          </cell>
        </row>
        <row r="12057">
          <cell r="A12057" t="str">
            <v>87-04-01-0001</v>
          </cell>
          <cell r="B12057">
            <v>3758260</v>
          </cell>
          <cell r="C12057" t="str">
            <v xml:space="preserve">  EXCHANGE GAIN OR LOSS</v>
          </cell>
          <cell r="D12057">
            <v>4177601.91</v>
          </cell>
          <cell r="E12057">
            <v>0</v>
          </cell>
          <cell r="F12057">
            <v>0</v>
          </cell>
          <cell r="G12057">
            <v>0</v>
          </cell>
        </row>
        <row r="12058">
          <cell r="A12058" t="str">
            <v>87-04-01-0002</v>
          </cell>
          <cell r="B12058">
            <v>0</v>
          </cell>
          <cell r="C12058" t="str">
            <v xml:space="preserve">  PROFIT ON DIMINUTION ON INVESTMENT</v>
          </cell>
          <cell r="D12058">
            <v>0</v>
          </cell>
          <cell r="E12058">
            <v>0</v>
          </cell>
          <cell r="F12058">
            <v>0</v>
          </cell>
          <cell r="G12058">
            <v>0</v>
          </cell>
        </row>
        <row r="12059">
          <cell r="A12059" t="str">
            <v>87-04-01-0003</v>
          </cell>
          <cell r="B12059">
            <v>0</v>
          </cell>
          <cell r="C12059" t="str">
            <v xml:space="preserve">  GAIN OR LOSS ON SALE OF FIXED ASSET</v>
          </cell>
          <cell r="D12059">
            <v>2606044</v>
          </cell>
          <cell r="E12059">
            <v>0</v>
          </cell>
          <cell r="F12059">
            <v>0</v>
          </cell>
          <cell r="G12059">
            <v>0</v>
          </cell>
        </row>
        <row r="12060">
          <cell r="A12060" t="str">
            <v>87-04-01-0004</v>
          </cell>
          <cell r="B12060">
            <v>0</v>
          </cell>
          <cell r="C12060" t="str">
            <v xml:space="preserve">  GAIN/LOSS ON SALES OF INVESTMENT</v>
          </cell>
          <cell r="D12060">
            <v>12000000</v>
          </cell>
          <cell r="E12060">
            <v>0</v>
          </cell>
          <cell r="F12060">
            <v>0</v>
          </cell>
          <cell r="G12060">
            <v>0</v>
          </cell>
        </row>
        <row r="12061">
          <cell r="A12061" t="str">
            <v>87-04-01-0005</v>
          </cell>
          <cell r="B12061">
            <v>0</v>
          </cell>
          <cell r="C12061" t="str">
            <v xml:space="preserve">  DIVIDEND INCOME</v>
          </cell>
          <cell r="D12061">
            <v>0</v>
          </cell>
          <cell r="E12061">
            <v>3753750</v>
          </cell>
          <cell r="F12061">
            <v>0</v>
          </cell>
          <cell r="G12061">
            <v>0</v>
          </cell>
        </row>
        <row r="12062">
          <cell r="A12062" t="str">
            <v>87-04-01-0006</v>
          </cell>
          <cell r="B12062">
            <v>0</v>
          </cell>
          <cell r="C12062" t="str">
            <v xml:space="preserve">  OTHER INCOME</v>
          </cell>
          <cell r="D12062">
            <v>0</v>
          </cell>
          <cell r="E12062">
            <v>4511</v>
          </cell>
          <cell r="F12062">
            <v>0</v>
          </cell>
          <cell r="G12062">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Income Statement"/>
      <sheetName val="Cash Flow - Indirect Method"/>
      <sheetName val="Net Accounts Receivable"/>
      <sheetName val="Inventory Note"/>
      <sheetName val="Operating Expenses Note"/>
      <sheetName val="Reconciliation of Balance Sheet"/>
      <sheetName val="Cash Flow - CY Workings"/>
      <sheetName val="Cash Flow - PY Workings"/>
      <sheetName val="Notes"/>
    </sheetNames>
    <sheetDataSet>
      <sheetData sheetId="0"/>
      <sheetData sheetId="1"/>
      <sheetData sheetId="2"/>
      <sheetData sheetId="3"/>
      <sheetData sheetId="4"/>
      <sheetData sheetId="5"/>
      <sheetData sheetId="6"/>
      <sheetData sheetId="7">
        <row r="1">
          <cell r="D1" t="str">
            <v>#ACCOUNT</v>
          </cell>
          <cell r="E1" t="str">
            <v>#ACCOUNT</v>
          </cell>
          <cell r="F1" t="str">
            <v>#ACCOUNT</v>
          </cell>
          <cell r="G1" t="str">
            <v>#ACCOUNT</v>
          </cell>
          <cell r="H1" t="str">
            <v>#ACCOUNT</v>
          </cell>
          <cell r="I1" t="str">
            <v>#ACCOUNT</v>
          </cell>
          <cell r="J1" t="str">
            <v>#ACCOUNT</v>
          </cell>
          <cell r="K1" t="str">
            <v>#ACCOUNT</v>
          </cell>
          <cell r="N1" t="str">
            <v>#ACCOUNT</v>
          </cell>
          <cell r="P1" t="str">
            <v>#ACCOUNT</v>
          </cell>
          <cell r="S1" t="str">
            <v>#ACCOUNT</v>
          </cell>
        </row>
      </sheetData>
      <sheetData sheetId="8"/>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
      <sheetName val="Cash flow"/>
      <sheetName val="changes in equity"/>
      <sheetName val="F-ASSETS"/>
      <sheetName val="NOTES 1-18"/>
      <sheetName val="NOTES 19-29"/>
      <sheetName val="F.Instruments"/>
      <sheetName val="Deferred tax"/>
      <sheetName val="Taxation (2)"/>
      <sheetName val="Tax dep."/>
      <sheetName val="Lead"/>
      <sheetName val="Tickmarks"/>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alance"/>
      <sheetName val="SOFP"/>
      <sheetName val="SOMFP"/>
      <sheetName val="SOCI"/>
      <sheetName val="SOMCI"/>
      <sheetName val="Comparisons"/>
      <sheetName val="SOCF"/>
      <sheetName val="Budget variance"/>
      <sheetName val="Creditors aging"/>
      <sheetName val="BRS"/>
      <sheetName val="Notes-PE&amp;IA"/>
    </sheetNames>
    <sheetDataSet>
      <sheetData sheetId="0">
        <row r="5">
          <cell r="H5">
            <v>1</v>
          </cell>
          <cell r="I5">
            <v>2</v>
          </cell>
          <cell r="J5">
            <v>3</v>
          </cell>
          <cell r="K5">
            <v>4</v>
          </cell>
          <cell r="L5">
            <v>5</v>
          </cell>
          <cell r="M5">
            <v>6</v>
          </cell>
          <cell r="N5">
            <v>7</v>
          </cell>
          <cell r="O5">
            <v>8</v>
          </cell>
          <cell r="P5">
            <v>9</v>
          </cell>
          <cell r="Q5">
            <v>10</v>
          </cell>
          <cell r="R5">
            <v>11</v>
          </cell>
        </row>
        <row r="6">
          <cell r="J6" t="str">
            <v>Months</v>
          </cell>
          <cell r="K6" t="str">
            <v xml:space="preserve">Current </v>
          </cell>
          <cell r="L6" t="str">
            <v>Last Year</v>
          </cell>
          <cell r="N6" t="str">
            <v>Cummulative Months</v>
          </cell>
          <cell r="O6" t="str">
            <v>Days</v>
          </cell>
          <cell r="P6" t="str">
            <v xml:space="preserve">Cumm </v>
          </cell>
          <cell r="Q6" t="str">
            <v xml:space="preserve">Heading </v>
          </cell>
          <cell r="R6" t="str">
            <v>Budget</v>
          </cell>
        </row>
        <row r="7">
          <cell r="H7">
            <v>1</v>
          </cell>
          <cell r="J7" t="str">
            <v>Current Month - January</v>
          </cell>
          <cell r="K7">
            <v>42370</v>
          </cell>
          <cell r="L7">
            <v>42005</v>
          </cell>
          <cell r="M7" t="str">
            <v>12/11</v>
          </cell>
          <cell r="N7" t="str">
            <v xml:space="preserve">Cumulative 1 Months ended January </v>
          </cell>
          <cell r="O7">
            <v>31</v>
          </cell>
          <cell r="P7">
            <v>31</v>
          </cell>
          <cell r="Q7" t="str">
            <v>January-2016</v>
          </cell>
        </row>
        <row r="8">
          <cell r="H8">
            <v>2</v>
          </cell>
          <cell r="J8" t="str">
            <v>Current Month - February</v>
          </cell>
          <cell r="K8">
            <v>42401</v>
          </cell>
          <cell r="L8">
            <v>42036</v>
          </cell>
          <cell r="M8" t="str">
            <v>12/11</v>
          </cell>
          <cell r="N8" t="str">
            <v xml:space="preserve">Cumulative 2 Months ended February </v>
          </cell>
          <cell r="O8">
            <v>28</v>
          </cell>
          <cell r="P8">
            <v>59</v>
          </cell>
          <cell r="Q8" t="str">
            <v>February-2016</v>
          </cell>
          <cell r="R8">
            <v>2016</v>
          </cell>
        </row>
        <row r="9">
          <cell r="H9">
            <v>3</v>
          </cell>
          <cell r="J9" t="str">
            <v>Current Month - March</v>
          </cell>
          <cell r="K9">
            <v>42430</v>
          </cell>
          <cell r="L9">
            <v>42064</v>
          </cell>
          <cell r="M9" t="str">
            <v>12/11</v>
          </cell>
          <cell r="N9" t="str">
            <v xml:space="preserve">Cumulative 3 Months ended March </v>
          </cell>
          <cell r="O9">
            <v>31</v>
          </cell>
          <cell r="P9">
            <v>90</v>
          </cell>
          <cell r="Q9" t="str">
            <v>March-2016</v>
          </cell>
          <cell r="R9">
            <v>2016</v>
          </cell>
        </row>
        <row r="10">
          <cell r="H10">
            <v>4</v>
          </cell>
          <cell r="J10" t="str">
            <v>Current Month - April</v>
          </cell>
          <cell r="K10">
            <v>42461</v>
          </cell>
          <cell r="L10">
            <v>42095</v>
          </cell>
          <cell r="M10" t="str">
            <v>12/11</v>
          </cell>
          <cell r="N10" t="str">
            <v xml:space="preserve">Cumulative 4 Months ended April </v>
          </cell>
          <cell r="O10">
            <v>30</v>
          </cell>
          <cell r="P10">
            <v>120</v>
          </cell>
          <cell r="Q10" t="str">
            <v>April-2016</v>
          </cell>
          <cell r="R10">
            <v>2016</v>
          </cell>
        </row>
        <row r="11">
          <cell r="H11">
            <v>5</v>
          </cell>
          <cell r="J11" t="str">
            <v>Current Month - May</v>
          </cell>
          <cell r="K11">
            <v>42491</v>
          </cell>
          <cell r="L11">
            <v>42125</v>
          </cell>
          <cell r="M11" t="str">
            <v>12/11</v>
          </cell>
          <cell r="N11" t="str">
            <v xml:space="preserve">Cumulative 5 Months ended May </v>
          </cell>
          <cell r="O11">
            <v>31</v>
          </cell>
          <cell r="P11">
            <v>151</v>
          </cell>
          <cell r="Q11" t="str">
            <v>May-2016</v>
          </cell>
          <cell r="R11">
            <v>2016</v>
          </cell>
        </row>
        <row r="12">
          <cell r="H12">
            <v>6</v>
          </cell>
          <cell r="J12" t="str">
            <v>Current Month - June</v>
          </cell>
          <cell r="K12">
            <v>42522</v>
          </cell>
          <cell r="L12">
            <v>42156</v>
          </cell>
          <cell r="M12" t="str">
            <v>12/11</v>
          </cell>
          <cell r="N12" t="str">
            <v xml:space="preserve">Cumulative 6 Months ended June </v>
          </cell>
          <cell r="O12">
            <v>30</v>
          </cell>
          <cell r="P12">
            <v>181</v>
          </cell>
          <cell r="Q12" t="str">
            <v>June-2016</v>
          </cell>
          <cell r="R12">
            <v>2016</v>
          </cell>
        </row>
        <row r="13">
          <cell r="H13">
            <v>7</v>
          </cell>
          <cell r="J13" t="str">
            <v>Current Month - July</v>
          </cell>
          <cell r="K13">
            <v>42552</v>
          </cell>
          <cell r="L13">
            <v>42186</v>
          </cell>
          <cell r="M13" t="str">
            <v>12/11</v>
          </cell>
          <cell r="N13" t="str">
            <v xml:space="preserve">Cumulative 7 Months ended July </v>
          </cell>
          <cell r="O13">
            <v>31</v>
          </cell>
          <cell r="P13">
            <v>212</v>
          </cell>
          <cell r="Q13" t="str">
            <v>July-2016</v>
          </cell>
          <cell r="R13">
            <v>2016</v>
          </cell>
        </row>
        <row r="14">
          <cell r="H14">
            <v>8</v>
          </cell>
          <cell r="J14" t="str">
            <v>Current Month - August</v>
          </cell>
          <cell r="K14">
            <v>42583</v>
          </cell>
          <cell r="L14">
            <v>42217</v>
          </cell>
          <cell r="M14" t="str">
            <v>12/11</v>
          </cell>
          <cell r="N14" t="str">
            <v xml:space="preserve">Cumulative 8 Months ended August </v>
          </cell>
          <cell r="O14">
            <v>31</v>
          </cell>
          <cell r="P14">
            <v>243</v>
          </cell>
          <cell r="Q14" t="str">
            <v>August-2016</v>
          </cell>
          <cell r="R14">
            <v>2016</v>
          </cell>
        </row>
        <row r="15">
          <cell r="H15">
            <v>9</v>
          </cell>
          <cell r="J15" t="str">
            <v>Current Month - September</v>
          </cell>
          <cell r="K15">
            <v>42614</v>
          </cell>
          <cell r="L15">
            <v>42248</v>
          </cell>
          <cell r="M15" t="str">
            <v>12/11</v>
          </cell>
          <cell r="N15" t="str">
            <v xml:space="preserve">Cumulative 9 Months ended September </v>
          </cell>
          <cell r="O15">
            <v>30</v>
          </cell>
          <cell r="P15">
            <v>273</v>
          </cell>
          <cell r="Q15" t="str">
            <v>September-2016</v>
          </cell>
          <cell r="R15">
            <v>2016</v>
          </cell>
        </row>
        <row r="16">
          <cell r="H16">
            <v>10</v>
          </cell>
          <cell r="J16" t="str">
            <v>Current Month - October</v>
          </cell>
          <cell r="K16">
            <v>42644</v>
          </cell>
          <cell r="L16">
            <v>42278</v>
          </cell>
          <cell r="M16" t="str">
            <v>12/11</v>
          </cell>
          <cell r="N16" t="str">
            <v xml:space="preserve">Cumulative 10 Months ended October </v>
          </cell>
          <cell r="O16">
            <v>31</v>
          </cell>
          <cell r="P16">
            <v>304</v>
          </cell>
          <cell r="Q16" t="str">
            <v>October-2016</v>
          </cell>
          <cell r="R16">
            <v>2016</v>
          </cell>
        </row>
        <row r="17">
          <cell r="H17">
            <v>11</v>
          </cell>
          <cell r="J17" t="str">
            <v>Current Month - November</v>
          </cell>
          <cell r="K17">
            <v>42675</v>
          </cell>
          <cell r="L17">
            <v>42309</v>
          </cell>
          <cell r="M17" t="str">
            <v>12/11</v>
          </cell>
          <cell r="N17" t="str">
            <v xml:space="preserve">Cumulative 11 Months ended November </v>
          </cell>
          <cell r="O17">
            <v>30</v>
          </cell>
          <cell r="P17">
            <v>334</v>
          </cell>
          <cell r="Q17" t="str">
            <v>November-2016</v>
          </cell>
          <cell r="R17">
            <v>2016</v>
          </cell>
        </row>
        <row r="18">
          <cell r="H18">
            <v>12</v>
          </cell>
          <cell r="J18" t="str">
            <v>Current Month - December</v>
          </cell>
          <cell r="K18">
            <v>42705</v>
          </cell>
          <cell r="L18">
            <v>42339</v>
          </cell>
          <cell r="M18" t="str">
            <v>12/11</v>
          </cell>
          <cell r="N18" t="str">
            <v xml:space="preserve">Cumulative 12 Months ended December </v>
          </cell>
          <cell r="O18">
            <v>31</v>
          </cell>
          <cell r="P18">
            <v>365</v>
          </cell>
          <cell r="Q18" t="str">
            <v>December-2016</v>
          </cell>
          <cell r="R18">
            <v>2016</v>
          </cell>
        </row>
      </sheetData>
      <sheetData sheetId="1"/>
      <sheetData sheetId="2">
        <row r="23">
          <cell r="C23">
            <v>42675</v>
          </cell>
          <cell r="D23">
            <v>42644</v>
          </cell>
          <cell r="E23">
            <v>42614</v>
          </cell>
          <cell r="F23">
            <v>42583</v>
          </cell>
          <cell r="G23">
            <v>42552</v>
          </cell>
          <cell r="H23">
            <v>42522</v>
          </cell>
        </row>
        <row r="25">
          <cell r="B25" t="str">
            <v>Revenue</v>
          </cell>
          <cell r="C25">
            <v>129315</v>
          </cell>
          <cell r="D25">
            <v>162815</v>
          </cell>
          <cell r="E25">
            <v>108440</v>
          </cell>
          <cell r="F25">
            <v>0</v>
          </cell>
          <cell r="G25">
            <v>0</v>
          </cell>
          <cell r="H25">
            <v>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ortization Table"/>
    </sheetNames>
    <sheetDataSet>
      <sheetData sheetId="0">
        <row r="6">
          <cell r="D6">
            <v>453600</v>
          </cell>
        </row>
        <row r="7">
          <cell r="D7">
            <v>0.21579999999999999</v>
          </cell>
        </row>
        <row r="8">
          <cell r="D8">
            <v>5</v>
          </cell>
        </row>
        <row r="10">
          <cell r="D10">
            <v>38635</v>
          </cell>
        </row>
        <row r="18">
          <cell r="I18">
            <v>449337.37968713487</v>
          </cell>
        </row>
        <row r="19">
          <cell r="I19">
            <v>444998.10325231007</v>
          </cell>
        </row>
        <row r="20">
          <cell r="I20">
            <v>440580.79216293234</v>
          </cell>
        </row>
        <row r="21">
          <cell r="I21">
            <v>436084.0430957973</v>
          </cell>
        </row>
        <row r="22">
          <cell r="I22">
            <v>431506.42749127164</v>
          </cell>
        </row>
        <row r="23">
          <cell r="I23">
            <v>426846.4910994579</v>
          </cell>
        </row>
        <row r="24">
          <cell r="I24">
            <v>422102.75351819803</v>
          </cell>
        </row>
        <row r="25">
          <cell r="I25">
            <v>417273.70772276854</v>
          </cell>
        </row>
        <row r="26">
          <cell r="I26">
            <v>412357.81958711788</v>
          </cell>
        </row>
        <row r="27">
          <cell r="I27">
            <v>407353.52739649441</v>
          </cell>
        </row>
        <row r="28">
          <cell r="I28">
            <v>402259.24135130958</v>
          </cell>
        </row>
        <row r="29">
          <cell r="I29">
            <v>397073.34306207887</v>
          </cell>
        </row>
        <row r="30">
          <cell r="I30">
            <v>391794.18503528013</v>
          </cell>
        </row>
        <row r="31">
          <cell r="I31">
            <v>386420.09014996613</v>
          </cell>
        </row>
        <row r="32">
          <cell r="I32">
            <v>380949.3511249646</v>
          </cell>
        </row>
        <row r="33">
          <cell r="I33">
            <v>375380.22997649678</v>
          </cell>
        </row>
        <row r="34">
          <cell r="I34">
            <v>369710.95746604231</v>
          </cell>
        </row>
        <row r="35">
          <cell r="I35">
            <v>363939.73253827484</v>
          </cell>
        </row>
        <row r="36">
          <cell r="I36">
            <v>358064.72174888971</v>
          </cell>
        </row>
        <row r="37">
          <cell r="I37">
            <v>352084.05868214212</v>
          </cell>
        </row>
        <row r="38">
          <cell r="I38">
            <v>345995.84335791087</v>
          </cell>
        </row>
        <row r="39">
          <cell r="I39">
            <v>339798.14162809885</v>
          </cell>
        </row>
        <row r="40">
          <cell r="I40">
            <v>333488.98456217907</v>
          </cell>
        </row>
        <row r="41">
          <cell r="I41">
            <v>327066.36782169051</v>
          </cell>
        </row>
        <row r="42">
          <cell r="I42">
            <v>320528.25102348544</v>
          </cell>
        </row>
        <row r="43">
          <cell r="I43">
            <v>313872.55709152599</v>
          </cell>
        </row>
        <row r="44">
          <cell r="I44">
            <v>307097.17159702349</v>
          </cell>
        </row>
        <row r="45">
          <cell r="I45">
            <v>300199.94208671153</v>
          </cell>
        </row>
        <row r="46">
          <cell r="I46">
            <v>293178.67739903909</v>
          </cell>
        </row>
        <row r="47">
          <cell r="I47">
            <v>286031.14696806669</v>
          </cell>
        </row>
        <row r="48">
          <cell r="I48">
            <v>278755.08011484396</v>
          </cell>
        </row>
        <row r="49">
          <cell r="I49">
            <v>271348.16532604414</v>
          </cell>
        </row>
        <row r="50">
          <cell r="I50">
            <v>263808.04951962573</v>
          </cell>
        </row>
        <row r="51">
          <cell r="I51">
            <v>256132.33729728856</v>
          </cell>
        </row>
        <row r="52">
          <cell r="I52">
            <v>248318.59018348635</v>
          </cell>
        </row>
        <row r="53">
          <cell r="I53">
            <v>240364.32585075428</v>
          </cell>
        </row>
        <row r="54">
          <cell r="I54">
            <v>232267.01733110522</v>
          </cell>
        </row>
        <row r="55">
          <cell r="I55">
            <v>224024.0922132445</v>
          </cell>
        </row>
        <row r="56">
          <cell r="I56">
            <v>215632.93182534756</v>
          </cell>
        </row>
        <row r="57">
          <cell r="I57">
            <v>207090.87040314163</v>
          </cell>
        </row>
        <row r="58">
          <cell r="I58">
            <v>198395.19424302634</v>
          </cell>
        </row>
        <row r="59">
          <cell r="I59">
            <v>189543.140839965</v>
          </cell>
        </row>
        <row r="60">
          <cell r="I60">
            <v>180531.89800987192</v>
          </cell>
        </row>
        <row r="61">
          <cell r="I61">
            <v>171358.60299621767</v>
          </cell>
        </row>
        <row r="62">
          <cell r="I62">
            <v>162020.34156056787</v>
          </cell>
        </row>
        <row r="63">
          <cell r="I63">
            <v>152514.14705676699</v>
          </cell>
        </row>
        <row r="64">
          <cell r="I64">
            <v>142836.99948847273</v>
          </cell>
        </row>
        <row r="65">
          <cell r="I65">
            <v>132985.82454974198</v>
          </cell>
        </row>
        <row r="66">
          <cell r="I66">
            <v>122957.49264836307</v>
          </cell>
        </row>
        <row r="67">
          <cell r="I67">
            <v>112748.81791162436</v>
          </cell>
        </row>
        <row r="68">
          <cell r="I68">
            <v>102356.55717420329</v>
          </cell>
        </row>
        <row r="69">
          <cell r="I69">
            <v>91777.408947854274</v>
          </cell>
        </row>
        <row r="70">
          <cell r="I70">
            <v>81008.012372568075</v>
          </cell>
        </row>
        <row r="71">
          <cell r="I71">
            <v>70044.94614886964</v>
          </cell>
        </row>
        <row r="72">
          <cell r="I72">
            <v>58884.727450915037</v>
          </cell>
        </row>
        <row r="73">
          <cell r="I73">
            <v>47523.810820042214</v>
          </cell>
        </row>
        <row r="74">
          <cell r="I74">
            <v>35958.587038424193</v>
          </cell>
        </row>
        <row r="75">
          <cell r="I75">
            <v>24185.381982466744</v>
          </cell>
        </row>
        <row r="76">
          <cell r="I76">
            <v>12200.455455586327</v>
          </cell>
        </row>
        <row r="77">
          <cell r="I77">
            <v>0</v>
          </cell>
        </row>
        <row r="78">
          <cell r="I78">
            <v>0</v>
          </cell>
        </row>
        <row r="79">
          <cell r="I79">
            <v>0</v>
          </cell>
        </row>
        <row r="80">
          <cell r="I80">
            <v>0</v>
          </cell>
        </row>
        <row r="81">
          <cell r="I81">
            <v>0</v>
          </cell>
        </row>
        <row r="82">
          <cell r="I82">
            <v>0</v>
          </cell>
        </row>
        <row r="83">
          <cell r="I83">
            <v>0</v>
          </cell>
        </row>
        <row r="84">
          <cell r="I84">
            <v>0</v>
          </cell>
        </row>
        <row r="85">
          <cell r="I85">
            <v>0</v>
          </cell>
        </row>
        <row r="86">
          <cell r="I86">
            <v>0</v>
          </cell>
        </row>
        <row r="87">
          <cell r="I87">
            <v>0</v>
          </cell>
        </row>
        <row r="88">
          <cell r="I88">
            <v>0</v>
          </cell>
        </row>
        <row r="89">
          <cell r="I89">
            <v>0</v>
          </cell>
        </row>
        <row r="90">
          <cell r="I90">
            <v>0</v>
          </cell>
        </row>
        <row r="91">
          <cell r="I91">
            <v>0</v>
          </cell>
        </row>
        <row r="92">
          <cell r="I92">
            <v>0</v>
          </cell>
        </row>
        <row r="93">
          <cell r="I93">
            <v>0</v>
          </cell>
        </row>
        <row r="94">
          <cell r="I94">
            <v>0</v>
          </cell>
        </row>
        <row r="95">
          <cell r="I95">
            <v>0</v>
          </cell>
        </row>
        <row r="96">
          <cell r="I96">
            <v>0</v>
          </cell>
        </row>
        <row r="97">
          <cell r="I97">
            <v>0</v>
          </cell>
        </row>
        <row r="98">
          <cell r="I98">
            <v>0</v>
          </cell>
        </row>
        <row r="99">
          <cell r="I99">
            <v>0</v>
          </cell>
        </row>
        <row r="100">
          <cell r="I100">
            <v>0</v>
          </cell>
        </row>
        <row r="101">
          <cell r="I101">
            <v>0</v>
          </cell>
        </row>
        <row r="102">
          <cell r="I102">
            <v>0</v>
          </cell>
        </row>
        <row r="103">
          <cell r="I103">
            <v>0</v>
          </cell>
        </row>
        <row r="104">
          <cell r="I104">
            <v>0</v>
          </cell>
        </row>
        <row r="105">
          <cell r="I105">
            <v>0</v>
          </cell>
        </row>
        <row r="106">
          <cell r="I106">
            <v>0</v>
          </cell>
        </row>
        <row r="107">
          <cell r="I107">
            <v>0</v>
          </cell>
        </row>
        <row r="108">
          <cell r="I108">
            <v>0</v>
          </cell>
        </row>
        <row r="109">
          <cell r="I109">
            <v>0</v>
          </cell>
        </row>
        <row r="110">
          <cell r="I110">
            <v>0</v>
          </cell>
        </row>
        <row r="111">
          <cell r="I111">
            <v>0</v>
          </cell>
        </row>
        <row r="112">
          <cell r="I112">
            <v>0</v>
          </cell>
        </row>
        <row r="113">
          <cell r="I113">
            <v>0</v>
          </cell>
        </row>
        <row r="114">
          <cell r="I114">
            <v>0</v>
          </cell>
        </row>
        <row r="115">
          <cell r="I115">
            <v>0</v>
          </cell>
        </row>
        <row r="116">
          <cell r="I116">
            <v>0</v>
          </cell>
        </row>
        <row r="117">
          <cell r="I117">
            <v>0</v>
          </cell>
        </row>
        <row r="118">
          <cell r="I118">
            <v>0</v>
          </cell>
        </row>
        <row r="119">
          <cell r="I119">
            <v>0</v>
          </cell>
        </row>
        <row r="120">
          <cell r="I120">
            <v>0</v>
          </cell>
        </row>
        <row r="121">
          <cell r="I121">
            <v>0</v>
          </cell>
        </row>
        <row r="122">
          <cell r="I122">
            <v>0</v>
          </cell>
        </row>
        <row r="123">
          <cell r="I123">
            <v>0</v>
          </cell>
        </row>
        <row r="124">
          <cell r="I124">
            <v>0</v>
          </cell>
        </row>
        <row r="125">
          <cell r="I125">
            <v>0</v>
          </cell>
        </row>
        <row r="126">
          <cell r="I126">
            <v>0</v>
          </cell>
        </row>
        <row r="127">
          <cell r="I127">
            <v>0</v>
          </cell>
        </row>
        <row r="128">
          <cell r="I128">
            <v>0</v>
          </cell>
        </row>
        <row r="129">
          <cell r="I129">
            <v>0</v>
          </cell>
        </row>
        <row r="130">
          <cell r="I130">
            <v>0</v>
          </cell>
        </row>
        <row r="131">
          <cell r="I131">
            <v>0</v>
          </cell>
        </row>
        <row r="132">
          <cell r="I132">
            <v>0</v>
          </cell>
        </row>
        <row r="133">
          <cell r="I133">
            <v>0</v>
          </cell>
        </row>
        <row r="134">
          <cell r="I134">
            <v>0</v>
          </cell>
        </row>
        <row r="135">
          <cell r="I135">
            <v>0</v>
          </cell>
        </row>
        <row r="136">
          <cell r="I136">
            <v>0</v>
          </cell>
        </row>
        <row r="137">
          <cell r="I137">
            <v>0</v>
          </cell>
        </row>
        <row r="138">
          <cell r="I138">
            <v>0</v>
          </cell>
        </row>
        <row r="139">
          <cell r="I139">
            <v>0</v>
          </cell>
        </row>
        <row r="140">
          <cell r="I140">
            <v>0</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0</v>
          </cell>
        </row>
        <row r="152">
          <cell r="I152">
            <v>0</v>
          </cell>
        </row>
        <row r="153">
          <cell r="I153">
            <v>0</v>
          </cell>
        </row>
        <row r="154">
          <cell r="I154">
            <v>0</v>
          </cell>
        </row>
        <row r="155">
          <cell r="I155">
            <v>0</v>
          </cell>
        </row>
        <row r="156">
          <cell r="I156">
            <v>0</v>
          </cell>
        </row>
        <row r="157">
          <cell r="I157">
            <v>0</v>
          </cell>
        </row>
        <row r="158">
          <cell r="I158">
            <v>0</v>
          </cell>
        </row>
        <row r="159">
          <cell r="I159">
            <v>0</v>
          </cell>
        </row>
        <row r="160">
          <cell r="I160">
            <v>0</v>
          </cell>
        </row>
        <row r="161">
          <cell r="I161">
            <v>0</v>
          </cell>
        </row>
        <row r="162">
          <cell r="I162">
            <v>0</v>
          </cell>
        </row>
        <row r="163">
          <cell r="I163">
            <v>0</v>
          </cell>
        </row>
        <row r="164">
          <cell r="I164">
            <v>0</v>
          </cell>
        </row>
        <row r="165">
          <cell r="I165">
            <v>0</v>
          </cell>
        </row>
        <row r="166">
          <cell r="I166">
            <v>0</v>
          </cell>
        </row>
        <row r="167">
          <cell r="I167">
            <v>0</v>
          </cell>
        </row>
        <row r="168">
          <cell r="I168">
            <v>0</v>
          </cell>
        </row>
        <row r="169">
          <cell r="I169">
            <v>0</v>
          </cell>
        </row>
        <row r="170">
          <cell r="I170">
            <v>0</v>
          </cell>
        </row>
        <row r="171">
          <cell r="I171">
            <v>0</v>
          </cell>
        </row>
        <row r="172">
          <cell r="I172">
            <v>0</v>
          </cell>
        </row>
        <row r="173">
          <cell r="I173">
            <v>0</v>
          </cell>
        </row>
        <row r="174">
          <cell r="I174">
            <v>0</v>
          </cell>
        </row>
        <row r="175">
          <cell r="I175">
            <v>0</v>
          </cell>
        </row>
        <row r="176">
          <cell r="I176">
            <v>0</v>
          </cell>
        </row>
        <row r="177">
          <cell r="I177">
            <v>0</v>
          </cell>
        </row>
        <row r="178">
          <cell r="I178">
            <v>0</v>
          </cell>
        </row>
        <row r="179">
          <cell r="I179">
            <v>0</v>
          </cell>
        </row>
        <row r="180">
          <cell r="I180">
            <v>0</v>
          </cell>
        </row>
        <row r="181">
          <cell r="I181">
            <v>0</v>
          </cell>
        </row>
        <row r="182">
          <cell r="I182">
            <v>0</v>
          </cell>
        </row>
        <row r="183">
          <cell r="I183">
            <v>0</v>
          </cell>
        </row>
        <row r="184">
          <cell r="I184">
            <v>0</v>
          </cell>
        </row>
        <row r="185">
          <cell r="I185">
            <v>0</v>
          </cell>
        </row>
        <row r="186">
          <cell r="I186">
            <v>0</v>
          </cell>
        </row>
        <row r="187">
          <cell r="I187">
            <v>0</v>
          </cell>
        </row>
        <row r="188">
          <cell r="I188">
            <v>0</v>
          </cell>
        </row>
        <row r="189">
          <cell r="I189">
            <v>0</v>
          </cell>
        </row>
        <row r="190">
          <cell r="I190">
            <v>0</v>
          </cell>
        </row>
        <row r="191">
          <cell r="I191">
            <v>0</v>
          </cell>
        </row>
        <row r="192">
          <cell r="I192">
            <v>0</v>
          </cell>
        </row>
        <row r="193">
          <cell r="I193">
            <v>0</v>
          </cell>
        </row>
        <row r="194">
          <cell r="I194">
            <v>0</v>
          </cell>
        </row>
        <row r="195">
          <cell r="I195">
            <v>0</v>
          </cell>
        </row>
        <row r="196">
          <cell r="I196">
            <v>0</v>
          </cell>
        </row>
        <row r="197">
          <cell r="I197">
            <v>0</v>
          </cell>
        </row>
        <row r="198">
          <cell r="I198">
            <v>0</v>
          </cell>
        </row>
        <row r="199">
          <cell r="I199">
            <v>0</v>
          </cell>
        </row>
        <row r="200">
          <cell r="I200">
            <v>0</v>
          </cell>
        </row>
        <row r="201">
          <cell r="I201">
            <v>0</v>
          </cell>
        </row>
        <row r="202">
          <cell r="I202">
            <v>0</v>
          </cell>
        </row>
        <row r="203">
          <cell r="I203">
            <v>0</v>
          </cell>
        </row>
        <row r="204">
          <cell r="I204">
            <v>0</v>
          </cell>
        </row>
        <row r="205">
          <cell r="I205">
            <v>0</v>
          </cell>
        </row>
        <row r="206">
          <cell r="I206">
            <v>0</v>
          </cell>
        </row>
        <row r="207">
          <cell r="I207">
            <v>0</v>
          </cell>
        </row>
        <row r="208">
          <cell r="I208">
            <v>0</v>
          </cell>
        </row>
        <row r="209">
          <cell r="I209">
            <v>0</v>
          </cell>
        </row>
        <row r="210">
          <cell r="I210">
            <v>0</v>
          </cell>
        </row>
        <row r="211">
          <cell r="I211">
            <v>0</v>
          </cell>
        </row>
        <row r="212">
          <cell r="I212">
            <v>0</v>
          </cell>
        </row>
        <row r="213">
          <cell r="I213">
            <v>0</v>
          </cell>
        </row>
        <row r="214">
          <cell r="I214">
            <v>0</v>
          </cell>
        </row>
        <row r="215">
          <cell r="I215">
            <v>0</v>
          </cell>
        </row>
        <row r="216">
          <cell r="I216">
            <v>0</v>
          </cell>
        </row>
        <row r="217">
          <cell r="I217">
            <v>0</v>
          </cell>
        </row>
        <row r="218">
          <cell r="I218">
            <v>0</v>
          </cell>
        </row>
        <row r="219">
          <cell r="I219">
            <v>0</v>
          </cell>
        </row>
        <row r="220">
          <cell r="I220">
            <v>0</v>
          </cell>
        </row>
        <row r="221">
          <cell r="I221">
            <v>0</v>
          </cell>
        </row>
        <row r="222">
          <cell r="I222">
            <v>0</v>
          </cell>
        </row>
        <row r="223">
          <cell r="I223">
            <v>0</v>
          </cell>
        </row>
        <row r="224">
          <cell r="I224">
            <v>0</v>
          </cell>
        </row>
        <row r="225">
          <cell r="I225">
            <v>0</v>
          </cell>
        </row>
        <row r="226">
          <cell r="I226">
            <v>0</v>
          </cell>
        </row>
        <row r="227">
          <cell r="I227">
            <v>0</v>
          </cell>
        </row>
        <row r="228">
          <cell r="I228">
            <v>0</v>
          </cell>
        </row>
        <row r="229">
          <cell r="I229">
            <v>0</v>
          </cell>
        </row>
        <row r="230">
          <cell r="I230">
            <v>0</v>
          </cell>
        </row>
        <row r="231">
          <cell r="I231">
            <v>0</v>
          </cell>
        </row>
        <row r="232">
          <cell r="I232">
            <v>0</v>
          </cell>
        </row>
        <row r="233">
          <cell r="I233">
            <v>0</v>
          </cell>
        </row>
        <row r="234">
          <cell r="I234">
            <v>0</v>
          </cell>
        </row>
        <row r="235">
          <cell r="I235">
            <v>0</v>
          </cell>
        </row>
        <row r="236">
          <cell r="I236">
            <v>0</v>
          </cell>
        </row>
        <row r="237">
          <cell r="I237">
            <v>0</v>
          </cell>
        </row>
        <row r="238">
          <cell r="I238">
            <v>0</v>
          </cell>
        </row>
        <row r="239">
          <cell r="I239">
            <v>0</v>
          </cell>
        </row>
        <row r="240">
          <cell r="I240">
            <v>0</v>
          </cell>
        </row>
        <row r="241">
          <cell r="I241">
            <v>0</v>
          </cell>
        </row>
        <row r="242">
          <cell r="I242">
            <v>0</v>
          </cell>
        </row>
        <row r="243">
          <cell r="I243">
            <v>0</v>
          </cell>
        </row>
        <row r="244">
          <cell r="I244">
            <v>0</v>
          </cell>
        </row>
        <row r="245">
          <cell r="I245">
            <v>0</v>
          </cell>
        </row>
        <row r="246">
          <cell r="I246">
            <v>0</v>
          </cell>
        </row>
        <row r="247">
          <cell r="I247">
            <v>0</v>
          </cell>
        </row>
        <row r="248">
          <cell r="I248">
            <v>0</v>
          </cell>
        </row>
        <row r="249">
          <cell r="I249">
            <v>0</v>
          </cell>
        </row>
        <row r="250">
          <cell r="I250">
            <v>0</v>
          </cell>
        </row>
        <row r="251">
          <cell r="I251">
            <v>0</v>
          </cell>
        </row>
        <row r="252">
          <cell r="I252">
            <v>0</v>
          </cell>
        </row>
        <row r="253">
          <cell r="I253">
            <v>0</v>
          </cell>
        </row>
        <row r="254">
          <cell r="I254">
            <v>0</v>
          </cell>
        </row>
        <row r="255">
          <cell r="I255">
            <v>0</v>
          </cell>
        </row>
        <row r="256">
          <cell r="I256">
            <v>0</v>
          </cell>
        </row>
        <row r="257">
          <cell r="I257">
            <v>0</v>
          </cell>
        </row>
        <row r="258">
          <cell r="I258">
            <v>0</v>
          </cell>
        </row>
        <row r="259">
          <cell r="I259">
            <v>0</v>
          </cell>
        </row>
        <row r="260">
          <cell r="I260">
            <v>0</v>
          </cell>
        </row>
        <row r="261">
          <cell r="I261">
            <v>0</v>
          </cell>
        </row>
        <row r="262">
          <cell r="I262">
            <v>0</v>
          </cell>
        </row>
        <row r="263">
          <cell r="I263">
            <v>0</v>
          </cell>
        </row>
        <row r="264">
          <cell r="I264">
            <v>0</v>
          </cell>
        </row>
        <row r="265">
          <cell r="I265">
            <v>0</v>
          </cell>
        </row>
        <row r="266">
          <cell r="I266">
            <v>0</v>
          </cell>
        </row>
        <row r="267">
          <cell r="I267">
            <v>0</v>
          </cell>
        </row>
        <row r="268">
          <cell r="I268">
            <v>0</v>
          </cell>
        </row>
        <row r="269">
          <cell r="I269">
            <v>0</v>
          </cell>
        </row>
        <row r="270">
          <cell r="I270">
            <v>0</v>
          </cell>
        </row>
        <row r="271">
          <cell r="I271">
            <v>0</v>
          </cell>
        </row>
        <row r="272">
          <cell r="I272">
            <v>0</v>
          </cell>
        </row>
        <row r="273">
          <cell r="I273">
            <v>0</v>
          </cell>
        </row>
        <row r="274">
          <cell r="I274">
            <v>0</v>
          </cell>
        </row>
        <row r="275">
          <cell r="I275">
            <v>0</v>
          </cell>
        </row>
        <row r="276">
          <cell r="I276">
            <v>0</v>
          </cell>
        </row>
        <row r="277">
          <cell r="I277">
            <v>0</v>
          </cell>
        </row>
        <row r="278">
          <cell r="I278">
            <v>0</v>
          </cell>
        </row>
        <row r="279">
          <cell r="I279">
            <v>0</v>
          </cell>
        </row>
        <row r="280">
          <cell r="I280">
            <v>0</v>
          </cell>
        </row>
        <row r="281">
          <cell r="I281">
            <v>0</v>
          </cell>
        </row>
        <row r="282">
          <cell r="I282">
            <v>0</v>
          </cell>
        </row>
        <row r="283">
          <cell r="I283">
            <v>0</v>
          </cell>
        </row>
        <row r="284">
          <cell r="I284">
            <v>0</v>
          </cell>
        </row>
        <row r="285">
          <cell r="I285">
            <v>0</v>
          </cell>
        </row>
        <row r="286">
          <cell r="I286">
            <v>0</v>
          </cell>
        </row>
        <row r="287">
          <cell r="I287">
            <v>0</v>
          </cell>
        </row>
        <row r="288">
          <cell r="I288">
            <v>0</v>
          </cell>
        </row>
        <row r="289">
          <cell r="I289">
            <v>0</v>
          </cell>
        </row>
        <row r="290">
          <cell r="I290">
            <v>0</v>
          </cell>
        </row>
        <row r="291">
          <cell r="I291">
            <v>0</v>
          </cell>
        </row>
        <row r="292">
          <cell r="I292">
            <v>0</v>
          </cell>
        </row>
        <row r="293">
          <cell r="I293">
            <v>0</v>
          </cell>
        </row>
        <row r="294">
          <cell r="I294">
            <v>0</v>
          </cell>
        </row>
        <row r="295">
          <cell r="I295">
            <v>0</v>
          </cell>
        </row>
        <row r="296">
          <cell r="I296">
            <v>0</v>
          </cell>
        </row>
        <row r="297">
          <cell r="I297">
            <v>0</v>
          </cell>
        </row>
        <row r="298">
          <cell r="I298">
            <v>0</v>
          </cell>
        </row>
        <row r="299">
          <cell r="I299">
            <v>0</v>
          </cell>
        </row>
        <row r="300">
          <cell r="I300">
            <v>0</v>
          </cell>
        </row>
        <row r="301">
          <cell r="I301">
            <v>0</v>
          </cell>
        </row>
        <row r="302">
          <cell r="I302">
            <v>0</v>
          </cell>
        </row>
        <row r="303">
          <cell r="I303">
            <v>0</v>
          </cell>
        </row>
        <row r="304">
          <cell r="I304">
            <v>0</v>
          </cell>
        </row>
        <row r="305">
          <cell r="I305">
            <v>0</v>
          </cell>
        </row>
        <row r="306">
          <cell r="I306">
            <v>0</v>
          </cell>
        </row>
        <row r="307">
          <cell r="I307">
            <v>0</v>
          </cell>
        </row>
        <row r="308">
          <cell r="I308">
            <v>0</v>
          </cell>
        </row>
        <row r="309">
          <cell r="I309">
            <v>0</v>
          </cell>
        </row>
        <row r="310">
          <cell r="I310">
            <v>0</v>
          </cell>
        </row>
        <row r="311">
          <cell r="I311">
            <v>0</v>
          </cell>
        </row>
        <row r="312">
          <cell r="I312">
            <v>0</v>
          </cell>
        </row>
        <row r="313">
          <cell r="I313">
            <v>0</v>
          </cell>
        </row>
        <row r="314">
          <cell r="I314">
            <v>0</v>
          </cell>
        </row>
        <row r="315">
          <cell r="I315">
            <v>0</v>
          </cell>
        </row>
        <row r="316">
          <cell r="I316">
            <v>0</v>
          </cell>
        </row>
        <row r="317">
          <cell r="I317">
            <v>0</v>
          </cell>
        </row>
        <row r="318">
          <cell r="I318">
            <v>0</v>
          </cell>
        </row>
        <row r="319">
          <cell r="I319">
            <v>0</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0</v>
          </cell>
        </row>
        <row r="329">
          <cell r="I329">
            <v>0</v>
          </cell>
        </row>
        <row r="330">
          <cell r="I330">
            <v>0</v>
          </cell>
        </row>
        <row r="331">
          <cell r="I331">
            <v>0</v>
          </cell>
        </row>
        <row r="332">
          <cell r="I332">
            <v>0</v>
          </cell>
        </row>
        <row r="333">
          <cell r="I333">
            <v>0</v>
          </cell>
        </row>
        <row r="334">
          <cell r="I334">
            <v>0</v>
          </cell>
        </row>
        <row r="335">
          <cell r="I335">
            <v>0</v>
          </cell>
        </row>
        <row r="336">
          <cell r="I336">
            <v>0</v>
          </cell>
        </row>
        <row r="337">
          <cell r="I337">
            <v>0</v>
          </cell>
        </row>
        <row r="338">
          <cell r="I338">
            <v>0</v>
          </cell>
        </row>
        <row r="339">
          <cell r="I339">
            <v>0</v>
          </cell>
        </row>
        <row r="340">
          <cell r="I340">
            <v>0</v>
          </cell>
        </row>
        <row r="341">
          <cell r="I341">
            <v>0</v>
          </cell>
        </row>
        <row r="342">
          <cell r="I342">
            <v>0</v>
          </cell>
        </row>
        <row r="343">
          <cell r="I343">
            <v>0</v>
          </cell>
        </row>
        <row r="344">
          <cell r="I344">
            <v>0</v>
          </cell>
        </row>
        <row r="345">
          <cell r="I345">
            <v>0</v>
          </cell>
        </row>
        <row r="346">
          <cell r="I346">
            <v>0</v>
          </cell>
        </row>
        <row r="347">
          <cell r="I347">
            <v>0</v>
          </cell>
        </row>
        <row r="348">
          <cell r="I348">
            <v>0</v>
          </cell>
        </row>
        <row r="349">
          <cell r="I349">
            <v>0</v>
          </cell>
        </row>
        <row r="350">
          <cell r="I350">
            <v>0</v>
          </cell>
        </row>
        <row r="351">
          <cell r="I351">
            <v>0</v>
          </cell>
        </row>
        <row r="352">
          <cell r="I352">
            <v>0</v>
          </cell>
        </row>
        <row r="353">
          <cell r="I353">
            <v>0</v>
          </cell>
        </row>
        <row r="354">
          <cell r="I354">
            <v>0</v>
          </cell>
        </row>
        <row r="355">
          <cell r="I355">
            <v>0</v>
          </cell>
        </row>
        <row r="356">
          <cell r="I356">
            <v>0</v>
          </cell>
        </row>
        <row r="357">
          <cell r="I357">
            <v>0</v>
          </cell>
        </row>
        <row r="358">
          <cell r="I358">
            <v>0</v>
          </cell>
        </row>
        <row r="359">
          <cell r="I359">
            <v>0</v>
          </cell>
        </row>
        <row r="360">
          <cell r="I360">
            <v>0</v>
          </cell>
        </row>
        <row r="361">
          <cell r="I361">
            <v>0</v>
          </cell>
        </row>
        <row r="362">
          <cell r="I362">
            <v>0</v>
          </cell>
        </row>
        <row r="363">
          <cell r="I363">
            <v>0</v>
          </cell>
        </row>
        <row r="364">
          <cell r="I364">
            <v>0</v>
          </cell>
        </row>
        <row r="365">
          <cell r="I365">
            <v>0</v>
          </cell>
        </row>
        <row r="366">
          <cell r="I366">
            <v>0</v>
          </cell>
        </row>
        <row r="367">
          <cell r="I367">
            <v>0</v>
          </cell>
        </row>
        <row r="368">
          <cell r="I368">
            <v>0</v>
          </cell>
        </row>
        <row r="369">
          <cell r="I369">
            <v>0</v>
          </cell>
        </row>
        <row r="370">
          <cell r="I370">
            <v>0</v>
          </cell>
        </row>
        <row r="371">
          <cell r="I371">
            <v>0</v>
          </cell>
        </row>
        <row r="372">
          <cell r="I372">
            <v>0</v>
          </cell>
        </row>
        <row r="373">
          <cell r="I373">
            <v>0</v>
          </cell>
        </row>
        <row r="374">
          <cell r="I374">
            <v>0</v>
          </cell>
        </row>
        <row r="375">
          <cell r="I375">
            <v>0</v>
          </cell>
        </row>
        <row r="376">
          <cell r="I376">
            <v>0</v>
          </cell>
        </row>
        <row r="377">
          <cell r="I377">
            <v>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Note13,14,15"/>
      <sheetName val="Note13.4"/>
      <sheetName val="Note33to 39"/>
      <sheetName val="Note40"/>
      <sheetName val="CF"/>
      <sheetName val="Assumptions"/>
      <sheetName val="17.1-18"/>
      <sheetName val="Graph"/>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N"/>
      <sheetName val="LOOM"/>
      <sheetName val="QUALITY"/>
      <sheetName val="LOOM3"/>
      <sheetName val="SPIN3"/>
      <sheetName val="Graph"/>
      <sheetName val="Sheet1 (2)"/>
      <sheetName val="Sheet1"/>
      <sheetName val="Sheet2"/>
      <sheetName val="Sheet3"/>
      <sheetName val="Sheet4"/>
      <sheetName val="Sheet5"/>
      <sheetName val="Sheet6"/>
      <sheetName val="Sheet7"/>
      <sheetName val="Sheet8"/>
      <sheetName val="Sheet9"/>
      <sheetName val="Acct"/>
      <sheetName val="FEB 2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3 (2)"/>
      <sheetName val="Insurance "/>
      <sheetName val="Gratuity"/>
      <sheetName val="FEB 2000"/>
      <sheetName val="UNIT NO 1"/>
      <sheetName val="UNIT NO 2"/>
      <sheetName val="UNIT 4 "/>
      <sheetName val="Lycra"/>
      <sheetName val="Lycra (2)"/>
      <sheetName val="Purchases"/>
      <sheetName val="Tranfd From U3"/>
      <sheetName val="Issue"/>
      <sheetName val="Sheet4"/>
      <sheetName val="Quantitative"/>
      <sheetName val="Sale R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XL4Test5"/>
      <sheetName val="Note 8"/>
    </sheetNames>
    <sheetDataSet>
      <sheetData sheetId="0" refreshError="1">
        <row r="22">
          <cell r="C22" t="str">
            <v>SUN</v>
          </cell>
          <cell r="D22" t="str">
            <v>MON</v>
          </cell>
          <cell r="E22" t="str">
            <v>TUE</v>
          </cell>
          <cell r="F22" t="str">
            <v>WED</v>
          </cell>
          <cell r="G22" t="str">
            <v>THU</v>
          </cell>
          <cell r="H22" t="str">
            <v>FRI</v>
          </cell>
          <cell r="I22" t="str">
            <v>SAT</v>
          </cell>
          <cell r="L22" t="str">
            <v>SUN</v>
          </cell>
          <cell r="M22" t="str">
            <v>MON</v>
          </cell>
          <cell r="N22" t="str">
            <v>TUE</v>
          </cell>
          <cell r="O22" t="str">
            <v>WED</v>
          </cell>
          <cell r="P22" t="str">
            <v>THU</v>
          </cell>
          <cell r="Q22" t="str">
            <v>FRI</v>
          </cell>
          <cell r="R22" t="str">
            <v>SAT</v>
          </cell>
          <cell r="U22" t="str">
            <v>SUN</v>
          </cell>
          <cell r="V22" t="str">
            <v>MON</v>
          </cell>
          <cell r="W22" t="str">
            <v>TUE</v>
          </cell>
          <cell r="X22" t="str">
            <v>WED</v>
          </cell>
          <cell r="Y22" t="str">
            <v>THU</v>
          </cell>
          <cell r="Z22" t="str">
            <v>FRI</v>
          </cell>
          <cell r="AA22" t="str">
            <v>SAT</v>
          </cell>
        </row>
        <row r="23">
          <cell r="C23">
            <v>0</v>
          </cell>
          <cell r="D23">
            <v>0</v>
          </cell>
          <cell r="E23">
            <v>0</v>
          </cell>
          <cell r="F23">
            <v>1</v>
          </cell>
          <cell r="G23">
            <v>2</v>
          </cell>
          <cell r="H23">
            <v>3</v>
          </cell>
          <cell r="I23">
            <v>4</v>
          </cell>
          <cell r="L23">
            <v>0</v>
          </cell>
          <cell r="M23">
            <v>0</v>
          </cell>
          <cell r="N23">
            <v>0</v>
          </cell>
          <cell r="O23">
            <v>0</v>
          </cell>
          <cell r="P23">
            <v>0</v>
          </cell>
          <cell r="Q23">
            <v>0</v>
          </cell>
          <cell r="R23">
            <v>1</v>
          </cell>
          <cell r="U23">
            <v>0</v>
          </cell>
          <cell r="V23">
            <v>0</v>
          </cell>
          <cell r="W23">
            <v>0</v>
          </cell>
          <cell r="X23">
            <v>0</v>
          </cell>
          <cell r="Y23">
            <v>0</v>
          </cell>
          <cell r="Z23">
            <v>0</v>
          </cell>
          <cell r="AA23">
            <v>1</v>
          </cell>
        </row>
        <row r="24">
          <cell r="C24">
            <v>5</v>
          </cell>
          <cell r="D24">
            <v>6</v>
          </cell>
          <cell r="E24">
            <v>7</v>
          </cell>
          <cell r="F24">
            <v>8</v>
          </cell>
          <cell r="G24">
            <v>9</v>
          </cell>
          <cell r="H24">
            <v>10</v>
          </cell>
          <cell r="I24">
            <v>11</v>
          </cell>
          <cell r="L24">
            <v>2</v>
          </cell>
          <cell r="M24">
            <v>3</v>
          </cell>
          <cell r="N24">
            <v>4</v>
          </cell>
          <cell r="O24">
            <v>5</v>
          </cell>
          <cell r="P24">
            <v>6</v>
          </cell>
          <cell r="Q24">
            <v>7</v>
          </cell>
          <cell r="R24">
            <v>8</v>
          </cell>
          <cell r="U24">
            <v>2</v>
          </cell>
          <cell r="V24">
            <v>3</v>
          </cell>
          <cell r="W24">
            <v>4</v>
          </cell>
          <cell r="X24">
            <v>5</v>
          </cell>
          <cell r="Y24">
            <v>6</v>
          </cell>
          <cell r="Z24">
            <v>7</v>
          </cell>
          <cell r="AA24">
            <v>8</v>
          </cell>
        </row>
        <row r="25">
          <cell r="C25">
            <v>12</v>
          </cell>
          <cell r="D25">
            <v>13</v>
          </cell>
          <cell r="E25">
            <v>14</v>
          </cell>
          <cell r="F25">
            <v>15</v>
          </cell>
          <cell r="G25">
            <v>16</v>
          </cell>
          <cell r="H25">
            <v>17</v>
          </cell>
          <cell r="I25">
            <v>18</v>
          </cell>
          <cell r="L25">
            <v>9</v>
          </cell>
          <cell r="M25">
            <v>10</v>
          </cell>
          <cell r="N25">
            <v>11</v>
          </cell>
          <cell r="O25">
            <v>12</v>
          </cell>
          <cell r="P25">
            <v>13</v>
          </cell>
          <cell r="Q25">
            <v>14</v>
          </cell>
          <cell r="R25">
            <v>15</v>
          </cell>
          <cell r="U25">
            <v>9</v>
          </cell>
          <cell r="V25">
            <v>10</v>
          </cell>
          <cell r="W25">
            <v>11</v>
          </cell>
          <cell r="X25">
            <v>12</v>
          </cell>
          <cell r="Y25">
            <v>13</v>
          </cell>
          <cell r="Z25">
            <v>14</v>
          </cell>
          <cell r="AA25">
            <v>15</v>
          </cell>
        </row>
        <row r="26">
          <cell r="C26">
            <v>19</v>
          </cell>
          <cell r="D26">
            <v>20</v>
          </cell>
          <cell r="E26">
            <v>21</v>
          </cell>
          <cell r="F26">
            <v>22</v>
          </cell>
          <cell r="G26">
            <v>23</v>
          </cell>
          <cell r="H26">
            <v>24</v>
          </cell>
          <cell r="I26">
            <v>25</v>
          </cell>
          <cell r="L26">
            <v>16</v>
          </cell>
          <cell r="M26">
            <v>17</v>
          </cell>
          <cell r="N26">
            <v>18</v>
          </cell>
          <cell r="O26">
            <v>19</v>
          </cell>
          <cell r="P26">
            <v>20</v>
          </cell>
          <cell r="Q26">
            <v>21</v>
          </cell>
          <cell r="R26">
            <v>22</v>
          </cell>
          <cell r="U26">
            <v>16</v>
          </cell>
          <cell r="V26">
            <v>17</v>
          </cell>
          <cell r="W26">
            <v>18</v>
          </cell>
          <cell r="X26">
            <v>19</v>
          </cell>
          <cell r="Y26">
            <v>20</v>
          </cell>
          <cell r="Z26">
            <v>21</v>
          </cell>
          <cell r="AA26">
            <v>22</v>
          </cell>
        </row>
        <row r="27">
          <cell r="C27">
            <v>26</v>
          </cell>
          <cell r="D27">
            <v>27</v>
          </cell>
          <cell r="E27">
            <v>28</v>
          </cell>
          <cell r="F27">
            <v>29</v>
          </cell>
          <cell r="G27">
            <v>30</v>
          </cell>
          <cell r="H27">
            <v>31</v>
          </cell>
          <cell r="I27">
            <v>0</v>
          </cell>
          <cell r="L27">
            <v>23</v>
          </cell>
          <cell r="M27">
            <v>24</v>
          </cell>
          <cell r="N27">
            <v>25</v>
          </cell>
          <cell r="O27">
            <v>26</v>
          </cell>
          <cell r="P27">
            <v>27</v>
          </cell>
          <cell r="Q27">
            <v>28</v>
          </cell>
          <cell r="R27">
            <v>0</v>
          </cell>
          <cell r="U27">
            <v>23</v>
          </cell>
          <cell r="V27">
            <v>24</v>
          </cell>
          <cell r="W27">
            <v>25</v>
          </cell>
          <cell r="X27">
            <v>26</v>
          </cell>
          <cell r="Y27">
            <v>27</v>
          </cell>
          <cell r="Z27">
            <v>28</v>
          </cell>
          <cell r="AA27">
            <v>29</v>
          </cell>
        </row>
        <row r="28">
          <cell r="C28">
            <v>0</v>
          </cell>
          <cell r="D28">
            <v>0</v>
          </cell>
          <cell r="E28">
            <v>0</v>
          </cell>
          <cell r="F28">
            <v>0</v>
          </cell>
          <cell r="G28">
            <v>0</v>
          </cell>
          <cell r="H28">
            <v>0</v>
          </cell>
          <cell r="I28">
            <v>0</v>
          </cell>
          <cell r="L28">
            <v>0</v>
          </cell>
          <cell r="M28">
            <v>0</v>
          </cell>
          <cell r="N28">
            <v>0</v>
          </cell>
          <cell r="O28">
            <v>0</v>
          </cell>
          <cell r="P28">
            <v>0</v>
          </cell>
          <cell r="Q28">
            <v>0</v>
          </cell>
          <cell r="R28">
            <v>0</v>
          </cell>
          <cell r="U28">
            <v>30</v>
          </cell>
          <cell r="V28">
            <v>31</v>
          </cell>
          <cell r="W28">
            <v>0</v>
          </cell>
          <cell r="X28">
            <v>0</v>
          </cell>
          <cell r="Y28">
            <v>0</v>
          </cell>
          <cell r="Z28">
            <v>0</v>
          </cell>
          <cell r="AA28">
            <v>0</v>
          </cell>
        </row>
        <row r="36">
          <cell r="C36" t="str">
            <v>SUN</v>
          </cell>
          <cell r="D36" t="str">
            <v>MON</v>
          </cell>
          <cell r="E36" t="str">
            <v>TUE</v>
          </cell>
          <cell r="F36" t="str">
            <v>WED</v>
          </cell>
          <cell r="G36" t="str">
            <v>THU</v>
          </cell>
          <cell r="H36" t="str">
            <v>FRI</v>
          </cell>
          <cell r="I36" t="str">
            <v>SAT</v>
          </cell>
          <cell r="L36" t="str">
            <v>SUN</v>
          </cell>
          <cell r="M36" t="str">
            <v>MON</v>
          </cell>
          <cell r="N36" t="str">
            <v>TUE</v>
          </cell>
          <cell r="O36" t="str">
            <v>WED</v>
          </cell>
          <cell r="P36" t="str">
            <v>THU</v>
          </cell>
          <cell r="Q36" t="str">
            <v>FRI</v>
          </cell>
          <cell r="R36" t="str">
            <v>SAT</v>
          </cell>
          <cell r="U36" t="str">
            <v>SUN</v>
          </cell>
          <cell r="V36" t="str">
            <v>MON</v>
          </cell>
          <cell r="W36" t="str">
            <v>TUE</v>
          </cell>
          <cell r="X36" t="str">
            <v>WED</v>
          </cell>
          <cell r="Y36" t="str">
            <v>THU</v>
          </cell>
          <cell r="Z36" t="str">
            <v>FRI</v>
          </cell>
          <cell r="AA36" t="str">
            <v>SAT</v>
          </cell>
        </row>
        <row r="37">
          <cell r="C37">
            <v>0</v>
          </cell>
          <cell r="D37">
            <v>0</v>
          </cell>
          <cell r="E37">
            <v>1</v>
          </cell>
          <cell r="F37">
            <v>2</v>
          </cell>
          <cell r="G37">
            <v>3</v>
          </cell>
          <cell r="H37">
            <v>4</v>
          </cell>
          <cell r="I37">
            <v>5</v>
          </cell>
          <cell r="L37">
            <v>0</v>
          </cell>
          <cell r="M37">
            <v>0</v>
          </cell>
          <cell r="N37">
            <v>0</v>
          </cell>
          <cell r="O37">
            <v>0</v>
          </cell>
          <cell r="P37">
            <v>1</v>
          </cell>
          <cell r="Q37">
            <v>2</v>
          </cell>
          <cell r="R37">
            <v>3</v>
          </cell>
          <cell r="U37">
            <v>1</v>
          </cell>
          <cell r="V37">
            <v>2</v>
          </cell>
          <cell r="W37">
            <v>3</v>
          </cell>
          <cell r="X37">
            <v>4</v>
          </cell>
          <cell r="Y37">
            <v>5</v>
          </cell>
          <cell r="Z37">
            <v>6</v>
          </cell>
          <cell r="AA37">
            <v>7</v>
          </cell>
        </row>
        <row r="38">
          <cell r="C38">
            <v>6</v>
          </cell>
          <cell r="D38">
            <v>7</v>
          </cell>
          <cell r="E38">
            <v>8</v>
          </cell>
          <cell r="F38">
            <v>9</v>
          </cell>
          <cell r="G38">
            <v>10</v>
          </cell>
          <cell r="H38">
            <v>11</v>
          </cell>
          <cell r="I38">
            <v>12</v>
          </cell>
          <cell r="L38">
            <v>4</v>
          </cell>
          <cell r="M38">
            <v>5</v>
          </cell>
          <cell r="N38">
            <v>6</v>
          </cell>
          <cell r="O38">
            <v>7</v>
          </cell>
          <cell r="P38">
            <v>8</v>
          </cell>
          <cell r="Q38">
            <v>9</v>
          </cell>
          <cell r="R38">
            <v>10</v>
          </cell>
          <cell r="U38">
            <v>8</v>
          </cell>
          <cell r="V38">
            <v>9</v>
          </cell>
          <cell r="W38">
            <v>10</v>
          </cell>
          <cell r="X38">
            <v>11</v>
          </cell>
          <cell r="Y38">
            <v>12</v>
          </cell>
          <cell r="Z38">
            <v>13</v>
          </cell>
          <cell r="AA38">
            <v>14</v>
          </cell>
        </row>
        <row r="39">
          <cell r="C39">
            <v>13</v>
          </cell>
          <cell r="D39">
            <v>14</v>
          </cell>
          <cell r="E39">
            <v>15</v>
          </cell>
          <cell r="F39">
            <v>16</v>
          </cell>
          <cell r="G39">
            <v>17</v>
          </cell>
          <cell r="H39">
            <v>18</v>
          </cell>
          <cell r="I39">
            <v>19</v>
          </cell>
          <cell r="L39">
            <v>11</v>
          </cell>
          <cell r="M39">
            <v>12</v>
          </cell>
          <cell r="N39">
            <v>13</v>
          </cell>
          <cell r="O39">
            <v>14</v>
          </cell>
          <cell r="P39">
            <v>15</v>
          </cell>
          <cell r="Q39">
            <v>16</v>
          </cell>
          <cell r="R39">
            <v>17</v>
          </cell>
          <cell r="U39">
            <v>15</v>
          </cell>
          <cell r="V39">
            <v>16</v>
          </cell>
          <cell r="W39">
            <v>17</v>
          </cell>
          <cell r="X39">
            <v>18</v>
          </cell>
          <cell r="Y39">
            <v>19</v>
          </cell>
          <cell r="Z39">
            <v>20</v>
          </cell>
          <cell r="AA39">
            <v>21</v>
          </cell>
        </row>
        <row r="40">
          <cell r="C40">
            <v>20</v>
          </cell>
          <cell r="D40">
            <v>21</v>
          </cell>
          <cell r="E40">
            <v>22</v>
          </cell>
          <cell r="F40">
            <v>23</v>
          </cell>
          <cell r="G40">
            <v>24</v>
          </cell>
          <cell r="H40">
            <v>25</v>
          </cell>
          <cell r="I40">
            <v>26</v>
          </cell>
          <cell r="L40">
            <v>18</v>
          </cell>
          <cell r="M40">
            <v>19</v>
          </cell>
          <cell r="N40">
            <v>20</v>
          </cell>
          <cell r="O40">
            <v>21</v>
          </cell>
          <cell r="P40">
            <v>22</v>
          </cell>
          <cell r="Q40">
            <v>23</v>
          </cell>
          <cell r="R40">
            <v>24</v>
          </cell>
          <cell r="U40">
            <v>22</v>
          </cell>
          <cell r="V40">
            <v>23</v>
          </cell>
          <cell r="W40">
            <v>24</v>
          </cell>
          <cell r="X40">
            <v>25</v>
          </cell>
          <cell r="Y40">
            <v>26</v>
          </cell>
          <cell r="Z40">
            <v>27</v>
          </cell>
          <cell r="AA40">
            <v>28</v>
          </cell>
        </row>
        <row r="41">
          <cell r="C41">
            <v>27</v>
          </cell>
          <cell r="D41">
            <v>28</v>
          </cell>
          <cell r="E41">
            <v>29</v>
          </cell>
          <cell r="F41">
            <v>30</v>
          </cell>
          <cell r="G41">
            <v>0</v>
          </cell>
          <cell r="H41">
            <v>0</v>
          </cell>
          <cell r="I41">
            <v>0</v>
          </cell>
          <cell r="L41">
            <v>25</v>
          </cell>
          <cell r="M41">
            <v>26</v>
          </cell>
          <cell r="N41">
            <v>27</v>
          </cell>
          <cell r="O41">
            <v>28</v>
          </cell>
          <cell r="P41">
            <v>29</v>
          </cell>
          <cell r="Q41">
            <v>30</v>
          </cell>
          <cell r="R41">
            <v>31</v>
          </cell>
          <cell r="U41">
            <v>29</v>
          </cell>
          <cell r="V41">
            <v>30</v>
          </cell>
          <cell r="W41">
            <v>0</v>
          </cell>
          <cell r="X41">
            <v>0</v>
          </cell>
          <cell r="Y41">
            <v>0</v>
          </cell>
          <cell r="Z41">
            <v>0</v>
          </cell>
          <cell r="AA41">
            <v>0</v>
          </cell>
        </row>
        <row r="42">
          <cell r="C42">
            <v>0</v>
          </cell>
          <cell r="D42">
            <v>0</v>
          </cell>
          <cell r="E42">
            <v>0</v>
          </cell>
          <cell r="F42">
            <v>0</v>
          </cell>
          <cell r="G42">
            <v>0</v>
          </cell>
          <cell r="H42">
            <v>0</v>
          </cell>
          <cell r="I42">
            <v>0</v>
          </cell>
          <cell r="L42">
            <v>0</v>
          </cell>
          <cell r="M42">
            <v>0</v>
          </cell>
          <cell r="N42">
            <v>0</v>
          </cell>
          <cell r="O42">
            <v>0</v>
          </cell>
          <cell r="P42">
            <v>0</v>
          </cell>
          <cell r="Q42">
            <v>0</v>
          </cell>
          <cell r="R42">
            <v>0</v>
          </cell>
          <cell r="U42">
            <v>0</v>
          </cell>
          <cell r="V42">
            <v>0</v>
          </cell>
          <cell r="W42">
            <v>0</v>
          </cell>
          <cell r="X42">
            <v>0</v>
          </cell>
          <cell r="Y42">
            <v>0</v>
          </cell>
          <cell r="Z42">
            <v>0</v>
          </cell>
          <cell r="AA42">
            <v>0</v>
          </cell>
        </row>
        <row r="50">
          <cell r="C50" t="str">
            <v>SUN</v>
          </cell>
          <cell r="D50" t="str">
            <v>MON</v>
          </cell>
          <cell r="E50" t="str">
            <v>TUE</v>
          </cell>
          <cell r="F50" t="str">
            <v>WED</v>
          </cell>
          <cell r="G50" t="str">
            <v>THU</v>
          </cell>
          <cell r="H50" t="str">
            <v>FRI</v>
          </cell>
          <cell r="I50" t="str">
            <v>SAT</v>
          </cell>
          <cell r="L50" t="str">
            <v>SUN</v>
          </cell>
          <cell r="M50" t="str">
            <v>MON</v>
          </cell>
          <cell r="N50" t="str">
            <v>TUE</v>
          </cell>
          <cell r="O50" t="str">
            <v>WED</v>
          </cell>
          <cell r="P50" t="str">
            <v>THU</v>
          </cell>
          <cell r="Q50" t="str">
            <v>FRI</v>
          </cell>
          <cell r="R50" t="str">
            <v>SAT</v>
          </cell>
          <cell r="U50" t="str">
            <v>SUN</v>
          </cell>
          <cell r="V50" t="str">
            <v>MON</v>
          </cell>
          <cell r="W50" t="str">
            <v>TUE</v>
          </cell>
          <cell r="X50" t="str">
            <v>WED</v>
          </cell>
          <cell r="Y50" t="str">
            <v>THU</v>
          </cell>
          <cell r="Z50" t="str">
            <v>FRI</v>
          </cell>
          <cell r="AA50" t="str">
            <v>SAT</v>
          </cell>
        </row>
        <row r="51">
          <cell r="C51">
            <v>0</v>
          </cell>
          <cell r="D51">
            <v>0</v>
          </cell>
          <cell r="E51">
            <v>1</v>
          </cell>
          <cell r="F51">
            <v>2</v>
          </cell>
          <cell r="G51">
            <v>3</v>
          </cell>
          <cell r="H51">
            <v>4</v>
          </cell>
          <cell r="I51">
            <v>5</v>
          </cell>
          <cell r="L51">
            <v>0</v>
          </cell>
          <cell r="M51">
            <v>0</v>
          </cell>
          <cell r="N51">
            <v>0</v>
          </cell>
          <cell r="O51">
            <v>0</v>
          </cell>
          <cell r="P51">
            <v>0</v>
          </cell>
          <cell r="Q51">
            <v>1</v>
          </cell>
          <cell r="R51">
            <v>2</v>
          </cell>
          <cell r="U51">
            <v>0</v>
          </cell>
          <cell r="V51">
            <v>1</v>
          </cell>
          <cell r="W51">
            <v>2</v>
          </cell>
          <cell r="X51">
            <v>3</v>
          </cell>
          <cell r="Y51">
            <v>4</v>
          </cell>
          <cell r="Z51">
            <v>5</v>
          </cell>
          <cell r="AA51">
            <v>6</v>
          </cell>
        </row>
        <row r="52">
          <cell r="C52">
            <v>6</v>
          </cell>
          <cell r="D52">
            <v>7</v>
          </cell>
          <cell r="E52">
            <v>8</v>
          </cell>
          <cell r="F52">
            <v>9</v>
          </cell>
          <cell r="G52">
            <v>10</v>
          </cell>
          <cell r="H52">
            <v>11</v>
          </cell>
          <cell r="I52">
            <v>12</v>
          </cell>
          <cell r="L52">
            <v>3</v>
          </cell>
          <cell r="M52">
            <v>4</v>
          </cell>
          <cell r="N52">
            <v>5</v>
          </cell>
          <cell r="O52">
            <v>6</v>
          </cell>
          <cell r="P52">
            <v>7</v>
          </cell>
          <cell r="Q52">
            <v>8</v>
          </cell>
          <cell r="R52">
            <v>9</v>
          </cell>
          <cell r="U52">
            <v>7</v>
          </cell>
          <cell r="V52">
            <v>8</v>
          </cell>
          <cell r="W52">
            <v>9</v>
          </cell>
          <cell r="X52">
            <v>10</v>
          </cell>
          <cell r="Y52">
            <v>11</v>
          </cell>
          <cell r="Z52">
            <v>12</v>
          </cell>
          <cell r="AA52">
            <v>13</v>
          </cell>
        </row>
        <row r="53">
          <cell r="C53">
            <v>13</v>
          </cell>
          <cell r="D53">
            <v>14</v>
          </cell>
          <cell r="E53">
            <v>15</v>
          </cell>
          <cell r="F53">
            <v>16</v>
          </cell>
          <cell r="G53">
            <v>17</v>
          </cell>
          <cell r="H53">
            <v>18</v>
          </cell>
          <cell r="I53">
            <v>19</v>
          </cell>
          <cell r="L53">
            <v>10</v>
          </cell>
          <cell r="M53">
            <v>11</v>
          </cell>
          <cell r="N53">
            <v>12</v>
          </cell>
          <cell r="O53">
            <v>13</v>
          </cell>
          <cell r="P53">
            <v>14</v>
          </cell>
          <cell r="Q53">
            <v>15</v>
          </cell>
          <cell r="R53">
            <v>16</v>
          </cell>
          <cell r="U53">
            <v>14</v>
          </cell>
          <cell r="V53">
            <v>15</v>
          </cell>
          <cell r="W53">
            <v>16</v>
          </cell>
          <cell r="X53">
            <v>17</v>
          </cell>
          <cell r="Y53">
            <v>18</v>
          </cell>
          <cell r="Z53">
            <v>19</v>
          </cell>
          <cell r="AA53">
            <v>20</v>
          </cell>
        </row>
        <row r="54">
          <cell r="C54">
            <v>20</v>
          </cell>
          <cell r="D54">
            <v>21</v>
          </cell>
          <cell r="E54">
            <v>22</v>
          </cell>
          <cell r="F54">
            <v>23</v>
          </cell>
          <cell r="G54">
            <v>24</v>
          </cell>
          <cell r="H54">
            <v>25</v>
          </cell>
          <cell r="I54">
            <v>26</v>
          </cell>
          <cell r="L54">
            <v>17</v>
          </cell>
          <cell r="M54">
            <v>18</v>
          </cell>
          <cell r="N54">
            <v>19</v>
          </cell>
          <cell r="O54">
            <v>20</v>
          </cell>
          <cell r="P54">
            <v>21</v>
          </cell>
          <cell r="Q54">
            <v>22</v>
          </cell>
          <cell r="R54">
            <v>23</v>
          </cell>
          <cell r="U54">
            <v>21</v>
          </cell>
          <cell r="V54">
            <v>22</v>
          </cell>
          <cell r="W54">
            <v>23</v>
          </cell>
          <cell r="X54">
            <v>24</v>
          </cell>
          <cell r="Y54">
            <v>25</v>
          </cell>
          <cell r="Z54">
            <v>26</v>
          </cell>
          <cell r="AA54">
            <v>27</v>
          </cell>
        </row>
        <row r="55">
          <cell r="C55">
            <v>27</v>
          </cell>
          <cell r="D55">
            <v>28</v>
          </cell>
          <cell r="E55">
            <v>29</v>
          </cell>
          <cell r="F55">
            <v>30</v>
          </cell>
          <cell r="G55">
            <v>31</v>
          </cell>
          <cell r="H55">
            <v>0</v>
          </cell>
          <cell r="I55">
            <v>0</v>
          </cell>
          <cell r="L55">
            <v>24</v>
          </cell>
          <cell r="M55">
            <v>25</v>
          </cell>
          <cell r="N55">
            <v>26</v>
          </cell>
          <cell r="O55">
            <v>27</v>
          </cell>
          <cell r="P55">
            <v>28</v>
          </cell>
          <cell r="Q55">
            <v>29</v>
          </cell>
          <cell r="R55">
            <v>30</v>
          </cell>
          <cell r="U55">
            <v>28</v>
          </cell>
          <cell r="V55">
            <v>29</v>
          </cell>
          <cell r="W55">
            <v>30</v>
          </cell>
          <cell r="X55">
            <v>0</v>
          </cell>
          <cell r="Y55">
            <v>0</v>
          </cell>
          <cell r="Z55">
            <v>0</v>
          </cell>
          <cell r="AA55">
            <v>0</v>
          </cell>
        </row>
        <row r="56">
          <cell r="C56">
            <v>0</v>
          </cell>
          <cell r="D56">
            <v>0</v>
          </cell>
          <cell r="E56">
            <v>0</v>
          </cell>
          <cell r="F56">
            <v>0</v>
          </cell>
          <cell r="G56">
            <v>0</v>
          </cell>
          <cell r="H56">
            <v>0</v>
          </cell>
          <cell r="I56">
            <v>0</v>
          </cell>
          <cell r="L56">
            <v>31</v>
          </cell>
          <cell r="M56">
            <v>0</v>
          </cell>
          <cell r="N56">
            <v>0</v>
          </cell>
          <cell r="O56">
            <v>0</v>
          </cell>
          <cell r="P56">
            <v>0</v>
          </cell>
          <cell r="Q56">
            <v>0</v>
          </cell>
          <cell r="R56">
            <v>0</v>
          </cell>
          <cell r="U56">
            <v>0</v>
          </cell>
          <cell r="V56">
            <v>0</v>
          </cell>
          <cell r="W56">
            <v>0</v>
          </cell>
          <cell r="X56">
            <v>0</v>
          </cell>
          <cell r="Y56">
            <v>0</v>
          </cell>
          <cell r="Z56">
            <v>0</v>
          </cell>
          <cell r="AA56">
            <v>0</v>
          </cell>
        </row>
        <row r="64">
          <cell r="C64" t="str">
            <v>SUN</v>
          </cell>
          <cell r="D64" t="str">
            <v>MON</v>
          </cell>
          <cell r="E64" t="str">
            <v>TUE</v>
          </cell>
          <cell r="F64" t="str">
            <v>WED</v>
          </cell>
          <cell r="G64" t="str">
            <v>THU</v>
          </cell>
          <cell r="H64" t="str">
            <v>FRI</v>
          </cell>
          <cell r="I64" t="str">
            <v>SAT</v>
          </cell>
          <cell r="L64" t="str">
            <v>SUN</v>
          </cell>
          <cell r="M64" t="str">
            <v>MON</v>
          </cell>
          <cell r="N64" t="str">
            <v>TUE</v>
          </cell>
          <cell r="O64" t="str">
            <v>WED</v>
          </cell>
          <cell r="P64" t="str">
            <v>THU</v>
          </cell>
          <cell r="Q64" t="str">
            <v>FRI</v>
          </cell>
          <cell r="R64" t="str">
            <v>SAT</v>
          </cell>
          <cell r="U64" t="str">
            <v>SUN</v>
          </cell>
          <cell r="V64" t="str">
            <v>MON</v>
          </cell>
          <cell r="W64" t="str">
            <v>TUE</v>
          </cell>
          <cell r="X64" t="str">
            <v>WED</v>
          </cell>
          <cell r="Y64" t="str">
            <v>THU</v>
          </cell>
          <cell r="Z64" t="str">
            <v>FRI</v>
          </cell>
          <cell r="AA64" t="str">
            <v>SAT</v>
          </cell>
        </row>
        <row r="65">
          <cell r="C65">
            <v>0</v>
          </cell>
          <cell r="D65">
            <v>0</v>
          </cell>
          <cell r="E65">
            <v>0</v>
          </cell>
          <cell r="F65">
            <v>1</v>
          </cell>
          <cell r="G65">
            <v>2</v>
          </cell>
          <cell r="H65">
            <v>3</v>
          </cell>
          <cell r="I65">
            <v>4</v>
          </cell>
          <cell r="L65">
            <v>0</v>
          </cell>
          <cell r="M65">
            <v>0</v>
          </cell>
          <cell r="N65">
            <v>0</v>
          </cell>
          <cell r="O65">
            <v>0</v>
          </cell>
          <cell r="P65">
            <v>0</v>
          </cell>
          <cell r="Q65">
            <v>0</v>
          </cell>
          <cell r="R65">
            <v>1</v>
          </cell>
          <cell r="U65">
            <v>0</v>
          </cell>
          <cell r="V65">
            <v>1</v>
          </cell>
          <cell r="W65">
            <v>2</v>
          </cell>
          <cell r="X65">
            <v>3</v>
          </cell>
          <cell r="Y65">
            <v>4</v>
          </cell>
          <cell r="Z65">
            <v>5</v>
          </cell>
          <cell r="AA65">
            <v>6</v>
          </cell>
        </row>
        <row r="66">
          <cell r="C66">
            <v>5</v>
          </cell>
          <cell r="D66">
            <v>6</v>
          </cell>
          <cell r="E66">
            <v>7</v>
          </cell>
          <cell r="F66">
            <v>8</v>
          </cell>
          <cell r="G66">
            <v>9</v>
          </cell>
          <cell r="H66">
            <v>10</v>
          </cell>
          <cell r="I66">
            <v>11</v>
          </cell>
          <cell r="L66">
            <v>2</v>
          </cell>
          <cell r="M66">
            <v>3</v>
          </cell>
          <cell r="N66">
            <v>4</v>
          </cell>
          <cell r="O66">
            <v>5</v>
          </cell>
          <cell r="P66">
            <v>6</v>
          </cell>
          <cell r="Q66">
            <v>7</v>
          </cell>
          <cell r="R66">
            <v>8</v>
          </cell>
          <cell r="U66">
            <v>7</v>
          </cell>
          <cell r="V66">
            <v>8</v>
          </cell>
          <cell r="W66">
            <v>9</v>
          </cell>
          <cell r="X66">
            <v>10</v>
          </cell>
          <cell r="Y66">
            <v>11</v>
          </cell>
          <cell r="Z66">
            <v>12</v>
          </cell>
          <cell r="AA66">
            <v>13</v>
          </cell>
        </row>
        <row r="67">
          <cell r="C67">
            <v>12</v>
          </cell>
          <cell r="D67">
            <v>13</v>
          </cell>
          <cell r="E67">
            <v>14</v>
          </cell>
          <cell r="F67">
            <v>15</v>
          </cell>
          <cell r="G67">
            <v>16</v>
          </cell>
          <cell r="H67">
            <v>17</v>
          </cell>
          <cell r="I67">
            <v>18</v>
          </cell>
          <cell r="L67">
            <v>9</v>
          </cell>
          <cell r="M67">
            <v>10</v>
          </cell>
          <cell r="N67">
            <v>11</v>
          </cell>
          <cell r="O67">
            <v>12</v>
          </cell>
          <cell r="P67">
            <v>13</v>
          </cell>
          <cell r="Q67">
            <v>14</v>
          </cell>
          <cell r="R67">
            <v>15</v>
          </cell>
          <cell r="U67">
            <v>14</v>
          </cell>
          <cell r="V67">
            <v>15</v>
          </cell>
          <cell r="W67">
            <v>16</v>
          </cell>
          <cell r="X67">
            <v>17</v>
          </cell>
          <cell r="Y67">
            <v>18</v>
          </cell>
          <cell r="Z67">
            <v>19</v>
          </cell>
          <cell r="AA67">
            <v>20</v>
          </cell>
        </row>
        <row r="68">
          <cell r="C68">
            <v>19</v>
          </cell>
          <cell r="D68">
            <v>20</v>
          </cell>
          <cell r="E68">
            <v>21</v>
          </cell>
          <cell r="F68">
            <v>22</v>
          </cell>
          <cell r="G68">
            <v>23</v>
          </cell>
          <cell r="H68">
            <v>24</v>
          </cell>
          <cell r="I68">
            <v>25</v>
          </cell>
          <cell r="L68">
            <v>16</v>
          </cell>
          <cell r="M68">
            <v>17</v>
          </cell>
          <cell r="N68">
            <v>18</v>
          </cell>
          <cell r="O68">
            <v>19</v>
          </cell>
          <cell r="P68">
            <v>20</v>
          </cell>
          <cell r="Q68">
            <v>21</v>
          </cell>
          <cell r="R68">
            <v>22</v>
          </cell>
          <cell r="U68">
            <v>21</v>
          </cell>
          <cell r="V68">
            <v>22</v>
          </cell>
          <cell r="W68">
            <v>23</v>
          </cell>
          <cell r="X68">
            <v>24</v>
          </cell>
          <cell r="Y68">
            <v>25</v>
          </cell>
          <cell r="Z68">
            <v>26</v>
          </cell>
          <cell r="AA68">
            <v>27</v>
          </cell>
        </row>
        <row r="69">
          <cell r="C69">
            <v>26</v>
          </cell>
          <cell r="D69">
            <v>27</v>
          </cell>
          <cell r="E69">
            <v>28</v>
          </cell>
          <cell r="F69">
            <v>29</v>
          </cell>
          <cell r="G69">
            <v>30</v>
          </cell>
          <cell r="H69">
            <v>31</v>
          </cell>
          <cell r="I69">
            <v>0</v>
          </cell>
          <cell r="L69">
            <v>23</v>
          </cell>
          <cell r="M69">
            <v>24</v>
          </cell>
          <cell r="N69">
            <v>25</v>
          </cell>
          <cell r="O69">
            <v>26</v>
          </cell>
          <cell r="P69">
            <v>27</v>
          </cell>
          <cell r="Q69">
            <v>28</v>
          </cell>
          <cell r="R69">
            <v>29</v>
          </cell>
          <cell r="U69">
            <v>28</v>
          </cell>
          <cell r="V69">
            <v>29</v>
          </cell>
          <cell r="W69">
            <v>30</v>
          </cell>
          <cell r="X69">
            <v>31</v>
          </cell>
          <cell r="Y69">
            <v>0</v>
          </cell>
          <cell r="Z69">
            <v>0</v>
          </cell>
          <cell r="AA69">
            <v>0</v>
          </cell>
        </row>
        <row r="70">
          <cell r="C70">
            <v>0</v>
          </cell>
          <cell r="D70">
            <v>0</v>
          </cell>
          <cell r="E70">
            <v>0</v>
          </cell>
          <cell r="F70">
            <v>0</v>
          </cell>
          <cell r="G70">
            <v>0</v>
          </cell>
          <cell r="H70">
            <v>0</v>
          </cell>
          <cell r="I70">
            <v>0</v>
          </cell>
          <cell r="L70">
            <v>30</v>
          </cell>
          <cell r="M70">
            <v>0</v>
          </cell>
          <cell r="N70">
            <v>0</v>
          </cell>
          <cell r="O70">
            <v>0</v>
          </cell>
          <cell r="P70">
            <v>0</v>
          </cell>
          <cell r="Q70">
            <v>0</v>
          </cell>
          <cell r="R70">
            <v>0</v>
          </cell>
          <cell r="U70">
            <v>0</v>
          </cell>
          <cell r="V70">
            <v>0</v>
          </cell>
          <cell r="W70">
            <v>0</v>
          </cell>
          <cell r="X70">
            <v>0</v>
          </cell>
          <cell r="Y70">
            <v>0</v>
          </cell>
          <cell r="Z70">
            <v>0</v>
          </cell>
          <cell r="AA70">
            <v>0</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O-Point"/>
      <sheetName val="Out sta p"/>
      <sheetName val="Report"/>
      <sheetName val="B-SHEET"/>
      <sheetName val="P-LOSS"/>
      <sheetName val="NOTES"/>
      <sheetName val="cash flow"/>
      <sheetName val="Note 8"/>
      <sheetName val="Dep"/>
      <sheetName val="SubNote 8"/>
      <sheetName val="Report (2)"/>
      <sheetName val="NOTES (2)"/>
      <sheetName val="Graph"/>
      <sheetName val="Ac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ments"/>
      <sheetName val="Copy note"/>
      <sheetName val="Acct"/>
      <sheetName val="Equity"/>
      <sheetName val="6"/>
      <sheetName val="15"/>
      <sheetName val="16"/>
      <sheetName val="40"/>
      <sheetName val="C.Flow"/>
      <sheetName val="sub"/>
      <sheetName val="ratios"/>
      <sheetName val="Link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L.SALE LOCAL COTTON "/>
    </sheetNames>
    <sheetDataSet>
      <sheetData sheetId="0">
        <row r="1">
          <cell r="F1" t="str">
            <v>Preliminary</v>
          </cell>
        </row>
      </sheetData>
      <sheetData sheetId="1">
        <row r="1">
          <cell r="F1" t="str">
            <v>Preliminary</v>
          </cell>
          <cell r="G1" t="str">
            <v>AJE</v>
          </cell>
          <cell r="H1" t="str">
            <v>Adjusted</v>
          </cell>
          <cell r="I1" t="str">
            <v>RJE</v>
          </cell>
          <cell r="J1" t="str">
            <v>Final</v>
          </cell>
          <cell r="K1" t="str">
            <v>PY1</v>
          </cell>
        </row>
        <row r="3">
          <cell r="F3">
            <v>10806424</v>
          </cell>
          <cell r="G3">
            <v>0</v>
          </cell>
          <cell r="H3">
            <v>10806424</v>
          </cell>
          <cell r="I3">
            <v>0</v>
          </cell>
          <cell r="J3">
            <v>10806424</v>
          </cell>
          <cell r="K3">
            <v>9329708</v>
          </cell>
        </row>
        <row r="4">
          <cell r="F4">
            <v>97692654</v>
          </cell>
          <cell r="G4">
            <v>0</v>
          </cell>
          <cell r="H4">
            <v>97692654</v>
          </cell>
          <cell r="I4">
            <v>0</v>
          </cell>
          <cell r="J4">
            <v>97692654</v>
          </cell>
          <cell r="K4">
            <v>89041972</v>
          </cell>
        </row>
        <row r="5">
          <cell r="F5">
            <v>32100668</v>
          </cell>
          <cell r="G5">
            <v>0</v>
          </cell>
          <cell r="H5">
            <v>32100668</v>
          </cell>
          <cell r="I5">
            <v>0</v>
          </cell>
          <cell r="J5">
            <v>32100668</v>
          </cell>
          <cell r="K5">
            <v>28296596</v>
          </cell>
        </row>
        <row r="6">
          <cell r="F6">
            <v>662552046</v>
          </cell>
          <cell r="G6">
            <v>8166684</v>
          </cell>
          <cell r="H6">
            <v>670718730</v>
          </cell>
          <cell r="I6">
            <v>0</v>
          </cell>
          <cell r="J6">
            <v>670718730</v>
          </cell>
          <cell r="K6">
            <v>578601478</v>
          </cell>
        </row>
        <row r="7">
          <cell r="F7">
            <v>7105589</v>
          </cell>
          <cell r="G7">
            <v>0</v>
          </cell>
          <cell r="H7">
            <v>7105589</v>
          </cell>
          <cell r="I7">
            <v>0</v>
          </cell>
          <cell r="J7">
            <v>7105589</v>
          </cell>
          <cell r="K7">
            <v>7105589</v>
          </cell>
        </row>
        <row r="8">
          <cell r="F8">
            <v>12613611</v>
          </cell>
          <cell r="G8">
            <v>0</v>
          </cell>
          <cell r="H8">
            <v>12613611</v>
          </cell>
          <cell r="I8">
            <v>0</v>
          </cell>
          <cell r="J8">
            <v>12613611</v>
          </cell>
          <cell r="K8">
            <v>12613611</v>
          </cell>
        </row>
        <row r="9">
          <cell r="F9">
            <v>4900000</v>
          </cell>
          <cell r="G9">
            <v>0</v>
          </cell>
          <cell r="H9">
            <v>4900000</v>
          </cell>
          <cell r="I9">
            <v>0</v>
          </cell>
          <cell r="J9">
            <v>4900000</v>
          </cell>
          <cell r="K9">
            <v>4900000</v>
          </cell>
        </row>
        <row r="10">
          <cell r="F10">
            <v>47316959</v>
          </cell>
          <cell r="G10">
            <v>0</v>
          </cell>
          <cell r="H10">
            <v>47316959</v>
          </cell>
          <cell r="I10">
            <v>0</v>
          </cell>
          <cell r="J10">
            <v>47316959</v>
          </cell>
          <cell r="K10">
            <v>47316959</v>
          </cell>
        </row>
        <row r="11">
          <cell r="F11">
            <v>195500</v>
          </cell>
          <cell r="G11">
            <v>0</v>
          </cell>
          <cell r="H11">
            <v>195500</v>
          </cell>
          <cell r="I11">
            <v>0</v>
          </cell>
          <cell r="J11">
            <v>195500</v>
          </cell>
          <cell r="K11">
            <v>195500</v>
          </cell>
        </row>
        <row r="12">
          <cell r="F12">
            <v>285700</v>
          </cell>
          <cell r="G12">
            <v>0</v>
          </cell>
          <cell r="H12">
            <v>285700</v>
          </cell>
          <cell r="I12">
            <v>0</v>
          </cell>
          <cell r="J12">
            <v>285700</v>
          </cell>
          <cell r="K12">
            <v>207700</v>
          </cell>
        </row>
        <row r="13">
          <cell r="F13">
            <v>496901</v>
          </cell>
          <cell r="G13">
            <v>0</v>
          </cell>
          <cell r="H13">
            <v>496901</v>
          </cell>
          <cell r="I13">
            <v>0</v>
          </cell>
          <cell r="J13">
            <v>496901</v>
          </cell>
          <cell r="K13">
            <v>496901</v>
          </cell>
        </row>
        <row r="14">
          <cell r="F14">
            <v>6966222</v>
          </cell>
          <cell r="G14">
            <v>0</v>
          </cell>
          <cell r="H14">
            <v>6966222</v>
          </cell>
          <cell r="I14">
            <v>0</v>
          </cell>
          <cell r="J14">
            <v>6966222</v>
          </cell>
          <cell r="K14">
            <v>3901929</v>
          </cell>
        </row>
        <row r="15">
          <cell r="F15">
            <v>942965</v>
          </cell>
          <cell r="G15">
            <v>0</v>
          </cell>
          <cell r="H15">
            <v>942965</v>
          </cell>
          <cell r="I15">
            <v>0</v>
          </cell>
          <cell r="J15">
            <v>942965</v>
          </cell>
          <cell r="K15">
            <v>942965</v>
          </cell>
        </row>
        <row r="16">
          <cell r="F16">
            <v>142000</v>
          </cell>
          <cell r="G16">
            <v>0</v>
          </cell>
          <cell r="H16">
            <v>142000</v>
          </cell>
          <cell r="I16">
            <v>0</v>
          </cell>
          <cell r="J16">
            <v>142000</v>
          </cell>
          <cell r="K16">
            <v>0</v>
          </cell>
        </row>
        <row r="17">
          <cell r="F17">
            <v>1241624</v>
          </cell>
          <cell r="G17">
            <v>0</v>
          </cell>
          <cell r="H17">
            <v>1241624</v>
          </cell>
          <cell r="I17">
            <v>0</v>
          </cell>
          <cell r="J17">
            <v>1241624</v>
          </cell>
          <cell r="K17">
            <v>1210160</v>
          </cell>
        </row>
        <row r="18">
          <cell r="F18">
            <v>723302</v>
          </cell>
          <cell r="G18">
            <v>0</v>
          </cell>
          <cell r="H18">
            <v>723302</v>
          </cell>
          <cell r="I18">
            <v>0</v>
          </cell>
          <cell r="J18">
            <v>723302</v>
          </cell>
          <cell r="K18">
            <v>668702</v>
          </cell>
        </row>
        <row r="19">
          <cell r="F19">
            <v>706727</v>
          </cell>
          <cell r="G19">
            <v>0</v>
          </cell>
          <cell r="H19">
            <v>706727</v>
          </cell>
          <cell r="I19">
            <v>0</v>
          </cell>
          <cell r="J19">
            <v>706727</v>
          </cell>
          <cell r="K19">
            <v>706727</v>
          </cell>
        </row>
        <row r="20">
          <cell r="F20">
            <v>103500</v>
          </cell>
          <cell r="G20">
            <v>0</v>
          </cell>
          <cell r="H20">
            <v>103500</v>
          </cell>
          <cell r="I20">
            <v>0</v>
          </cell>
          <cell r="J20">
            <v>103500</v>
          </cell>
          <cell r="K20">
            <v>86500</v>
          </cell>
        </row>
        <row r="21">
          <cell r="F21">
            <v>361000</v>
          </cell>
          <cell r="G21">
            <v>0</v>
          </cell>
          <cell r="H21">
            <v>361000</v>
          </cell>
          <cell r="I21">
            <v>0</v>
          </cell>
          <cell r="J21">
            <v>361000</v>
          </cell>
          <cell r="K21">
            <v>361000</v>
          </cell>
        </row>
        <row r="22">
          <cell r="F22">
            <v>-50663933</v>
          </cell>
          <cell r="G22">
            <v>0</v>
          </cell>
          <cell r="H22">
            <v>-50663933</v>
          </cell>
          <cell r="I22">
            <v>0</v>
          </cell>
          <cell r="J22">
            <v>-50663933</v>
          </cell>
          <cell r="K22">
            <v>-50663933</v>
          </cell>
        </row>
        <row r="23">
          <cell r="F23">
            <v>-8229972</v>
          </cell>
          <cell r="G23">
            <v>0</v>
          </cell>
          <cell r="H23">
            <v>-8229972</v>
          </cell>
          <cell r="I23">
            <v>0</v>
          </cell>
          <cell r="J23">
            <v>-8229972</v>
          </cell>
          <cell r="K23">
            <v>-8229972</v>
          </cell>
        </row>
        <row r="24">
          <cell r="F24">
            <v>-258988244</v>
          </cell>
          <cell r="G24">
            <v>0</v>
          </cell>
          <cell r="H24">
            <v>-258988244</v>
          </cell>
          <cell r="I24">
            <v>0</v>
          </cell>
          <cell r="J24">
            <v>-258988244</v>
          </cell>
          <cell r="K24">
            <v>-258988244</v>
          </cell>
        </row>
        <row r="25">
          <cell r="F25">
            <v>-7650220</v>
          </cell>
          <cell r="G25">
            <v>0</v>
          </cell>
          <cell r="H25">
            <v>-7650220</v>
          </cell>
          <cell r="I25">
            <v>0</v>
          </cell>
          <cell r="J25">
            <v>-7650220</v>
          </cell>
          <cell r="K25">
            <v>-7650220</v>
          </cell>
        </row>
        <row r="26">
          <cell r="F26">
            <v>-3557588</v>
          </cell>
          <cell r="G26">
            <v>0</v>
          </cell>
          <cell r="H26">
            <v>-3557588</v>
          </cell>
          <cell r="I26">
            <v>0</v>
          </cell>
          <cell r="J26">
            <v>-3557588</v>
          </cell>
          <cell r="K26">
            <v>-3557588</v>
          </cell>
        </row>
        <row r="27">
          <cell r="F27">
            <v>-144020</v>
          </cell>
          <cell r="G27">
            <v>0</v>
          </cell>
          <cell r="H27">
            <v>-144020</v>
          </cell>
          <cell r="I27">
            <v>0</v>
          </cell>
          <cell r="J27">
            <v>-144020</v>
          </cell>
          <cell r="K27">
            <v>-144020</v>
          </cell>
        </row>
        <row r="28">
          <cell r="F28">
            <v>-61242</v>
          </cell>
          <cell r="G28">
            <v>0</v>
          </cell>
          <cell r="H28">
            <v>-61242</v>
          </cell>
          <cell r="I28">
            <v>0</v>
          </cell>
          <cell r="J28">
            <v>-61242</v>
          </cell>
          <cell r="K28">
            <v>-61242</v>
          </cell>
        </row>
        <row r="29">
          <cell r="F29">
            <v>-383508</v>
          </cell>
          <cell r="G29">
            <v>0</v>
          </cell>
          <cell r="H29">
            <v>-383508</v>
          </cell>
          <cell r="I29">
            <v>0</v>
          </cell>
          <cell r="J29">
            <v>-383508</v>
          </cell>
          <cell r="K29">
            <v>-383508</v>
          </cell>
        </row>
        <row r="30">
          <cell r="F30">
            <v>-1864224</v>
          </cell>
          <cell r="G30">
            <v>0</v>
          </cell>
          <cell r="H30">
            <v>-1864224</v>
          </cell>
          <cell r="I30">
            <v>0</v>
          </cell>
          <cell r="J30">
            <v>-1864224</v>
          </cell>
          <cell r="K30">
            <v>-2503748</v>
          </cell>
        </row>
        <row r="31">
          <cell r="F31">
            <v>-728619</v>
          </cell>
          <cell r="G31">
            <v>0</v>
          </cell>
          <cell r="H31">
            <v>-728619</v>
          </cell>
          <cell r="I31">
            <v>0</v>
          </cell>
          <cell r="J31">
            <v>-728619</v>
          </cell>
          <cell r="K31">
            <v>-728619</v>
          </cell>
        </row>
        <row r="32">
          <cell r="F32">
            <v>-3101</v>
          </cell>
          <cell r="G32">
            <v>0</v>
          </cell>
          <cell r="H32">
            <v>-3101</v>
          </cell>
          <cell r="I32">
            <v>0</v>
          </cell>
          <cell r="J32">
            <v>-3101</v>
          </cell>
          <cell r="K32">
            <v>-3101</v>
          </cell>
        </row>
        <row r="33">
          <cell r="F33">
            <v>-5231059</v>
          </cell>
          <cell r="G33">
            <v>0</v>
          </cell>
          <cell r="H33">
            <v>-5231059</v>
          </cell>
          <cell r="I33">
            <v>0</v>
          </cell>
          <cell r="J33">
            <v>-5231059</v>
          </cell>
          <cell r="K33">
            <v>-5231059</v>
          </cell>
        </row>
        <row r="34">
          <cell r="F34">
            <v>-329991</v>
          </cell>
          <cell r="G34">
            <v>0</v>
          </cell>
          <cell r="H34">
            <v>-329991</v>
          </cell>
          <cell r="I34">
            <v>0</v>
          </cell>
          <cell r="J34">
            <v>-329991</v>
          </cell>
          <cell r="K34">
            <v>-329991</v>
          </cell>
        </row>
        <row r="35">
          <cell r="F35">
            <v>-49763463</v>
          </cell>
          <cell r="G35">
            <v>-249025</v>
          </cell>
          <cell r="H35">
            <v>-50012488</v>
          </cell>
          <cell r="I35">
            <v>0</v>
          </cell>
          <cell r="J35">
            <v>-50012488</v>
          </cell>
          <cell r="K35">
            <v>0</v>
          </cell>
        </row>
        <row r="36">
          <cell r="F36">
            <v>499654208</v>
          </cell>
          <cell r="G36">
            <v>7917659</v>
          </cell>
          <cell r="H36">
            <v>507571867</v>
          </cell>
          <cell r="I36">
            <v>0</v>
          </cell>
          <cell r="J36">
            <v>507571867</v>
          </cell>
          <cell r="K36">
            <v>447508752</v>
          </cell>
        </row>
        <row r="38">
          <cell r="F38">
            <v>0</v>
          </cell>
          <cell r="G38">
            <v>0</v>
          </cell>
          <cell r="H38">
            <v>0</v>
          </cell>
          <cell r="I38">
            <v>0</v>
          </cell>
          <cell r="J38">
            <v>0</v>
          </cell>
          <cell r="K38">
            <v>6600</v>
          </cell>
        </row>
        <row r="39">
          <cell r="F39">
            <v>0</v>
          </cell>
          <cell r="G39">
            <v>0</v>
          </cell>
          <cell r="H39">
            <v>0</v>
          </cell>
          <cell r="I39">
            <v>0</v>
          </cell>
          <cell r="J39">
            <v>0</v>
          </cell>
          <cell r="K39">
            <v>2779665</v>
          </cell>
        </row>
        <row r="40">
          <cell r="F40">
            <v>0</v>
          </cell>
          <cell r="G40">
            <v>0</v>
          </cell>
          <cell r="H40">
            <v>0</v>
          </cell>
          <cell r="I40">
            <v>0</v>
          </cell>
          <cell r="J40">
            <v>0</v>
          </cell>
          <cell r="K40">
            <v>7574</v>
          </cell>
        </row>
        <row r="41">
          <cell r="F41">
            <v>0</v>
          </cell>
          <cell r="G41">
            <v>0</v>
          </cell>
          <cell r="H41">
            <v>0</v>
          </cell>
          <cell r="I41">
            <v>0</v>
          </cell>
          <cell r="J41">
            <v>0</v>
          </cell>
          <cell r="K41">
            <v>5003</v>
          </cell>
        </row>
        <row r="42">
          <cell r="F42">
            <v>0</v>
          </cell>
          <cell r="G42">
            <v>0</v>
          </cell>
          <cell r="H42">
            <v>0</v>
          </cell>
          <cell r="I42">
            <v>0</v>
          </cell>
          <cell r="J42">
            <v>0</v>
          </cell>
          <cell r="K42">
            <v>44839</v>
          </cell>
        </row>
        <row r="43">
          <cell r="F43">
            <v>0</v>
          </cell>
          <cell r="G43">
            <v>0</v>
          </cell>
          <cell r="H43">
            <v>0</v>
          </cell>
          <cell r="I43">
            <v>0</v>
          </cell>
          <cell r="J43">
            <v>0</v>
          </cell>
          <cell r="K43">
            <v>2843681</v>
          </cell>
        </row>
        <row r="45">
          <cell r="F45">
            <v>587689</v>
          </cell>
          <cell r="G45">
            <v>0</v>
          </cell>
          <cell r="H45">
            <v>587689</v>
          </cell>
          <cell r="I45">
            <v>0</v>
          </cell>
          <cell r="J45">
            <v>587689</v>
          </cell>
          <cell r="K45">
            <v>1698985</v>
          </cell>
        </row>
        <row r="46">
          <cell r="F46">
            <v>878624</v>
          </cell>
          <cell r="G46">
            <v>0</v>
          </cell>
          <cell r="H46">
            <v>878624</v>
          </cell>
          <cell r="I46">
            <v>0</v>
          </cell>
          <cell r="J46">
            <v>878624</v>
          </cell>
          <cell r="K46">
            <v>1940998</v>
          </cell>
        </row>
        <row r="47">
          <cell r="F47">
            <v>204809</v>
          </cell>
          <cell r="G47">
            <v>0</v>
          </cell>
          <cell r="H47">
            <v>204809</v>
          </cell>
          <cell r="I47">
            <v>0</v>
          </cell>
          <cell r="J47">
            <v>204809</v>
          </cell>
          <cell r="K47">
            <v>92674</v>
          </cell>
        </row>
        <row r="48">
          <cell r="F48">
            <v>-9130</v>
          </cell>
          <cell r="G48">
            <v>0</v>
          </cell>
          <cell r="H48">
            <v>-9130</v>
          </cell>
          <cell r="I48">
            <v>0</v>
          </cell>
          <cell r="J48">
            <v>-9130</v>
          </cell>
          <cell r="K48">
            <v>56605</v>
          </cell>
        </row>
        <row r="49">
          <cell r="F49">
            <v>0</v>
          </cell>
          <cell r="G49">
            <v>0</v>
          </cell>
          <cell r="H49">
            <v>0</v>
          </cell>
          <cell r="I49">
            <v>0</v>
          </cell>
          <cell r="J49">
            <v>0</v>
          </cell>
          <cell r="K49">
            <v>147044</v>
          </cell>
        </row>
        <row r="50">
          <cell r="F50">
            <v>1661992</v>
          </cell>
          <cell r="G50">
            <v>0</v>
          </cell>
          <cell r="H50">
            <v>1661992</v>
          </cell>
          <cell r="I50">
            <v>0</v>
          </cell>
          <cell r="J50">
            <v>1661992</v>
          </cell>
          <cell r="K50">
            <v>3936306</v>
          </cell>
        </row>
        <row r="52">
          <cell r="F52">
            <v>6472005</v>
          </cell>
          <cell r="G52">
            <v>0</v>
          </cell>
          <cell r="H52">
            <v>6472005</v>
          </cell>
          <cell r="I52">
            <v>0</v>
          </cell>
          <cell r="J52">
            <v>6472005</v>
          </cell>
          <cell r="K52">
            <v>7126316</v>
          </cell>
        </row>
        <row r="53">
          <cell r="F53">
            <v>6472005</v>
          </cell>
          <cell r="G53">
            <v>0</v>
          </cell>
          <cell r="H53">
            <v>6472005</v>
          </cell>
          <cell r="I53">
            <v>0</v>
          </cell>
          <cell r="J53">
            <v>6472005</v>
          </cell>
          <cell r="K53">
            <v>7126316</v>
          </cell>
        </row>
        <row r="55">
          <cell r="F55">
            <v>0</v>
          </cell>
          <cell r="G55">
            <v>0</v>
          </cell>
          <cell r="H55">
            <v>0</v>
          </cell>
          <cell r="I55">
            <v>0</v>
          </cell>
          <cell r="J55">
            <v>0</v>
          </cell>
          <cell r="K55">
            <v>1619500</v>
          </cell>
        </row>
        <row r="56">
          <cell r="F56">
            <v>1400163</v>
          </cell>
          <cell r="G56">
            <v>0</v>
          </cell>
          <cell r="H56">
            <v>1400163</v>
          </cell>
          <cell r="I56">
            <v>0</v>
          </cell>
          <cell r="J56">
            <v>1400163</v>
          </cell>
          <cell r="K56">
            <v>0</v>
          </cell>
        </row>
        <row r="57">
          <cell r="F57">
            <v>0</v>
          </cell>
          <cell r="G57">
            <v>0</v>
          </cell>
          <cell r="H57">
            <v>0</v>
          </cell>
          <cell r="I57">
            <v>0</v>
          </cell>
          <cell r="J57">
            <v>0</v>
          </cell>
          <cell r="K57">
            <v>1680000</v>
          </cell>
        </row>
        <row r="58">
          <cell r="F58">
            <v>1400163</v>
          </cell>
          <cell r="G58">
            <v>0</v>
          </cell>
          <cell r="H58">
            <v>1400163</v>
          </cell>
          <cell r="I58">
            <v>0</v>
          </cell>
          <cell r="J58">
            <v>1400163</v>
          </cell>
          <cell r="K58">
            <v>3299500</v>
          </cell>
        </row>
        <row r="60">
          <cell r="F60">
            <v>8166684</v>
          </cell>
          <cell r="G60">
            <v>-8166684</v>
          </cell>
          <cell r="H60">
            <v>0</v>
          </cell>
          <cell r="I60">
            <v>0</v>
          </cell>
          <cell r="J60">
            <v>0</v>
          </cell>
          <cell r="K60">
            <v>0</v>
          </cell>
        </row>
        <row r="61">
          <cell r="F61">
            <v>8166684</v>
          </cell>
          <cell r="G61">
            <v>-8166684</v>
          </cell>
          <cell r="H61">
            <v>0</v>
          </cell>
          <cell r="I61">
            <v>0</v>
          </cell>
          <cell r="J61">
            <v>0</v>
          </cell>
          <cell r="K61">
            <v>0</v>
          </cell>
        </row>
        <row r="63">
          <cell r="F63">
            <v>216980</v>
          </cell>
          <cell r="G63">
            <v>0</v>
          </cell>
          <cell r="H63">
            <v>216980</v>
          </cell>
          <cell r="I63">
            <v>0</v>
          </cell>
          <cell r="J63">
            <v>216980</v>
          </cell>
          <cell r="K63">
            <v>216980</v>
          </cell>
        </row>
        <row r="64">
          <cell r="F64">
            <v>2400</v>
          </cell>
          <cell r="G64">
            <v>0</v>
          </cell>
          <cell r="H64">
            <v>2400</v>
          </cell>
          <cell r="I64">
            <v>0</v>
          </cell>
          <cell r="J64">
            <v>2400</v>
          </cell>
          <cell r="K64">
            <v>2400</v>
          </cell>
        </row>
        <row r="65">
          <cell r="F65">
            <v>25000</v>
          </cell>
          <cell r="G65">
            <v>0</v>
          </cell>
          <cell r="H65">
            <v>25000</v>
          </cell>
          <cell r="I65">
            <v>0</v>
          </cell>
          <cell r="J65">
            <v>25000</v>
          </cell>
          <cell r="K65">
            <v>50000</v>
          </cell>
        </row>
        <row r="66">
          <cell r="F66">
            <v>48000</v>
          </cell>
          <cell r="G66">
            <v>0</v>
          </cell>
          <cell r="H66">
            <v>48000</v>
          </cell>
          <cell r="I66">
            <v>0</v>
          </cell>
          <cell r="J66">
            <v>48000</v>
          </cell>
          <cell r="K66">
            <v>48000</v>
          </cell>
        </row>
        <row r="67">
          <cell r="F67">
            <v>292380</v>
          </cell>
          <cell r="G67">
            <v>0</v>
          </cell>
          <cell r="H67">
            <v>292380</v>
          </cell>
          <cell r="I67">
            <v>0</v>
          </cell>
          <cell r="J67">
            <v>292380</v>
          </cell>
          <cell r="K67">
            <v>317380</v>
          </cell>
        </row>
        <row r="69">
          <cell r="F69">
            <v>2765686</v>
          </cell>
          <cell r="G69">
            <v>0</v>
          </cell>
          <cell r="H69">
            <v>2765686</v>
          </cell>
          <cell r="I69">
            <v>0</v>
          </cell>
          <cell r="J69">
            <v>2765686</v>
          </cell>
          <cell r="K69">
            <v>0</v>
          </cell>
        </row>
        <row r="70">
          <cell r="F70">
            <v>11458689</v>
          </cell>
          <cell r="G70">
            <v>0</v>
          </cell>
          <cell r="H70">
            <v>11458689</v>
          </cell>
          <cell r="I70">
            <v>0</v>
          </cell>
          <cell r="J70">
            <v>11458689</v>
          </cell>
          <cell r="K70">
            <v>8913715</v>
          </cell>
        </row>
        <row r="71">
          <cell r="F71">
            <v>4996957</v>
          </cell>
          <cell r="G71">
            <v>0</v>
          </cell>
          <cell r="H71">
            <v>4996957</v>
          </cell>
          <cell r="I71">
            <v>0</v>
          </cell>
          <cell r="J71">
            <v>4996957</v>
          </cell>
          <cell r="K71">
            <v>5473899</v>
          </cell>
        </row>
        <row r="72">
          <cell r="F72">
            <v>728348</v>
          </cell>
          <cell r="G72">
            <v>0</v>
          </cell>
          <cell r="H72">
            <v>728348</v>
          </cell>
          <cell r="I72">
            <v>0</v>
          </cell>
          <cell r="J72">
            <v>728348</v>
          </cell>
          <cell r="K72">
            <v>790283</v>
          </cell>
        </row>
        <row r="73">
          <cell r="F73">
            <v>0</v>
          </cell>
          <cell r="G73">
            <v>0</v>
          </cell>
          <cell r="H73">
            <v>0</v>
          </cell>
          <cell r="I73">
            <v>0</v>
          </cell>
          <cell r="J73">
            <v>0</v>
          </cell>
          <cell r="K73">
            <v>1002694</v>
          </cell>
        </row>
        <row r="74">
          <cell r="F74">
            <v>419924</v>
          </cell>
          <cell r="G74">
            <v>0</v>
          </cell>
          <cell r="H74">
            <v>419924</v>
          </cell>
          <cell r="I74">
            <v>0</v>
          </cell>
          <cell r="J74">
            <v>419924</v>
          </cell>
          <cell r="K74">
            <v>0</v>
          </cell>
        </row>
        <row r="75">
          <cell r="F75">
            <v>20369604</v>
          </cell>
          <cell r="G75">
            <v>0</v>
          </cell>
          <cell r="H75">
            <v>20369604</v>
          </cell>
          <cell r="I75">
            <v>0</v>
          </cell>
          <cell r="J75">
            <v>20369604</v>
          </cell>
          <cell r="K75">
            <v>16180591</v>
          </cell>
        </row>
        <row r="77">
          <cell r="F77">
            <v>0</v>
          </cell>
          <cell r="G77">
            <v>0</v>
          </cell>
          <cell r="H77">
            <v>0</v>
          </cell>
          <cell r="I77">
            <v>0</v>
          </cell>
          <cell r="J77">
            <v>0</v>
          </cell>
          <cell r="K77">
            <v>0</v>
          </cell>
        </row>
        <row r="79">
          <cell r="F79">
            <v>0</v>
          </cell>
          <cell r="G79">
            <v>0</v>
          </cell>
          <cell r="H79">
            <v>0</v>
          </cell>
          <cell r="I79">
            <v>0</v>
          </cell>
          <cell r="J79">
            <v>0</v>
          </cell>
          <cell r="K79">
            <v>0</v>
          </cell>
        </row>
        <row r="81">
          <cell r="F81">
            <v>106969281</v>
          </cell>
          <cell r="G81">
            <v>0</v>
          </cell>
          <cell r="H81">
            <v>106969281</v>
          </cell>
          <cell r="I81">
            <v>0</v>
          </cell>
          <cell r="J81">
            <v>106969281</v>
          </cell>
          <cell r="K81">
            <v>153155511</v>
          </cell>
        </row>
        <row r="82">
          <cell r="F82">
            <v>182578</v>
          </cell>
          <cell r="G82">
            <v>0</v>
          </cell>
          <cell r="H82">
            <v>182578</v>
          </cell>
          <cell r="I82">
            <v>0</v>
          </cell>
          <cell r="J82">
            <v>182578</v>
          </cell>
          <cell r="K82">
            <v>182578</v>
          </cell>
        </row>
        <row r="83">
          <cell r="F83">
            <v>54039751</v>
          </cell>
          <cell r="G83">
            <v>0</v>
          </cell>
          <cell r="H83">
            <v>54039751</v>
          </cell>
          <cell r="I83">
            <v>0</v>
          </cell>
          <cell r="J83">
            <v>54039751</v>
          </cell>
          <cell r="K83">
            <v>68249199</v>
          </cell>
        </row>
        <row r="84">
          <cell r="F84">
            <v>140290</v>
          </cell>
          <cell r="G84">
            <v>0</v>
          </cell>
          <cell r="H84">
            <v>140290</v>
          </cell>
          <cell r="I84">
            <v>0</v>
          </cell>
          <cell r="J84">
            <v>140290</v>
          </cell>
          <cell r="K84">
            <v>0</v>
          </cell>
        </row>
        <row r="85">
          <cell r="F85">
            <v>80798</v>
          </cell>
          <cell r="G85">
            <v>0</v>
          </cell>
          <cell r="H85">
            <v>80798</v>
          </cell>
          <cell r="I85">
            <v>0</v>
          </cell>
          <cell r="J85">
            <v>80798</v>
          </cell>
          <cell r="K85">
            <v>0</v>
          </cell>
        </row>
        <row r="86">
          <cell r="F86">
            <v>8227056</v>
          </cell>
          <cell r="G86">
            <v>0</v>
          </cell>
          <cell r="H86">
            <v>8227056</v>
          </cell>
          <cell r="I86">
            <v>0</v>
          </cell>
          <cell r="J86">
            <v>8227056</v>
          </cell>
          <cell r="K86">
            <v>0</v>
          </cell>
        </row>
        <row r="87">
          <cell r="F87">
            <v>10588958</v>
          </cell>
          <cell r="G87">
            <v>0</v>
          </cell>
          <cell r="H87">
            <v>10588958</v>
          </cell>
          <cell r="I87">
            <v>0</v>
          </cell>
          <cell r="J87">
            <v>10588958</v>
          </cell>
          <cell r="K87">
            <v>0</v>
          </cell>
        </row>
        <row r="88">
          <cell r="F88">
            <v>5216487</v>
          </cell>
          <cell r="G88">
            <v>0</v>
          </cell>
          <cell r="H88">
            <v>5216487</v>
          </cell>
          <cell r="I88">
            <v>0</v>
          </cell>
          <cell r="J88">
            <v>5216487</v>
          </cell>
          <cell r="K88">
            <v>0</v>
          </cell>
        </row>
        <row r="89">
          <cell r="F89">
            <v>185445199</v>
          </cell>
          <cell r="G89">
            <v>0</v>
          </cell>
          <cell r="H89">
            <v>185445199</v>
          </cell>
          <cell r="I89">
            <v>0</v>
          </cell>
          <cell r="J89">
            <v>185445199</v>
          </cell>
          <cell r="K89">
            <v>221587288</v>
          </cell>
        </row>
        <row r="91">
          <cell r="F91">
            <v>6750999</v>
          </cell>
          <cell r="G91">
            <v>0</v>
          </cell>
          <cell r="H91">
            <v>6750999</v>
          </cell>
          <cell r="I91">
            <v>0</v>
          </cell>
          <cell r="J91">
            <v>6750999</v>
          </cell>
          <cell r="K91">
            <v>10743000</v>
          </cell>
        </row>
        <row r="92">
          <cell r="F92">
            <v>7136001</v>
          </cell>
          <cell r="G92">
            <v>0</v>
          </cell>
          <cell r="H92">
            <v>7136001</v>
          </cell>
          <cell r="I92">
            <v>0</v>
          </cell>
          <cell r="J92">
            <v>7136001</v>
          </cell>
          <cell r="K92">
            <v>3962000</v>
          </cell>
        </row>
        <row r="93">
          <cell r="F93">
            <v>13887000</v>
          </cell>
          <cell r="G93">
            <v>0</v>
          </cell>
          <cell r="H93">
            <v>13887000</v>
          </cell>
          <cell r="I93">
            <v>0</v>
          </cell>
          <cell r="J93">
            <v>13887000</v>
          </cell>
          <cell r="K93">
            <v>14705000</v>
          </cell>
        </row>
        <row r="95">
          <cell r="F95">
            <v>102958000</v>
          </cell>
          <cell r="G95">
            <v>0</v>
          </cell>
          <cell r="H95">
            <v>102958000</v>
          </cell>
          <cell r="I95">
            <v>0</v>
          </cell>
          <cell r="J95">
            <v>102958000</v>
          </cell>
          <cell r="K95">
            <v>38781000</v>
          </cell>
        </row>
        <row r="96">
          <cell r="F96">
            <v>102958000</v>
          </cell>
          <cell r="G96">
            <v>0</v>
          </cell>
          <cell r="H96">
            <v>102958000</v>
          </cell>
          <cell r="I96">
            <v>0</v>
          </cell>
          <cell r="J96">
            <v>102958000</v>
          </cell>
          <cell r="K96">
            <v>38781000</v>
          </cell>
        </row>
        <row r="98">
          <cell r="F98">
            <v>847000</v>
          </cell>
          <cell r="G98">
            <v>0</v>
          </cell>
          <cell r="H98">
            <v>847000</v>
          </cell>
          <cell r="I98">
            <v>0</v>
          </cell>
          <cell r="J98">
            <v>847000</v>
          </cell>
          <cell r="K98">
            <v>2997000</v>
          </cell>
        </row>
        <row r="99">
          <cell r="F99">
            <v>847000</v>
          </cell>
          <cell r="G99">
            <v>0</v>
          </cell>
          <cell r="H99">
            <v>847000</v>
          </cell>
          <cell r="I99">
            <v>0</v>
          </cell>
          <cell r="J99">
            <v>847000</v>
          </cell>
          <cell r="K99">
            <v>2997000</v>
          </cell>
        </row>
        <row r="101">
          <cell r="F101">
            <v>0</v>
          </cell>
          <cell r="G101">
            <v>0</v>
          </cell>
          <cell r="H101">
            <v>0</v>
          </cell>
          <cell r="I101">
            <v>0</v>
          </cell>
          <cell r="J101">
            <v>0</v>
          </cell>
          <cell r="K101">
            <v>12903311</v>
          </cell>
        </row>
        <row r="102">
          <cell r="F102">
            <v>0</v>
          </cell>
          <cell r="G102">
            <v>0</v>
          </cell>
          <cell r="H102">
            <v>0</v>
          </cell>
          <cell r="I102">
            <v>0</v>
          </cell>
          <cell r="J102">
            <v>0</v>
          </cell>
          <cell r="K102">
            <v>537309</v>
          </cell>
        </row>
        <row r="103">
          <cell r="F103">
            <v>0</v>
          </cell>
          <cell r="G103">
            <v>0</v>
          </cell>
          <cell r="H103">
            <v>0</v>
          </cell>
          <cell r="I103">
            <v>0</v>
          </cell>
          <cell r="J103">
            <v>0</v>
          </cell>
          <cell r="K103">
            <v>434997</v>
          </cell>
        </row>
        <row r="104">
          <cell r="F104">
            <v>0</v>
          </cell>
          <cell r="G104">
            <v>0</v>
          </cell>
          <cell r="H104">
            <v>0</v>
          </cell>
          <cell r="I104">
            <v>0</v>
          </cell>
          <cell r="J104">
            <v>0</v>
          </cell>
          <cell r="K104">
            <v>244821</v>
          </cell>
        </row>
        <row r="105">
          <cell r="F105">
            <v>0</v>
          </cell>
          <cell r="G105">
            <v>0</v>
          </cell>
          <cell r="H105">
            <v>0</v>
          </cell>
          <cell r="I105">
            <v>0</v>
          </cell>
          <cell r="J105">
            <v>0</v>
          </cell>
          <cell r="K105">
            <v>6442832</v>
          </cell>
        </row>
        <row r="106">
          <cell r="F106">
            <v>0</v>
          </cell>
          <cell r="G106">
            <v>0</v>
          </cell>
          <cell r="H106">
            <v>0</v>
          </cell>
          <cell r="I106">
            <v>0</v>
          </cell>
          <cell r="J106">
            <v>0</v>
          </cell>
          <cell r="K106">
            <v>20563270</v>
          </cell>
        </row>
        <row r="108">
          <cell r="F108">
            <v>88374428</v>
          </cell>
          <cell r="G108">
            <v>0</v>
          </cell>
          <cell r="H108">
            <v>88374428</v>
          </cell>
          <cell r="I108">
            <v>0</v>
          </cell>
          <cell r="J108">
            <v>88374428</v>
          </cell>
          <cell r="K108">
            <v>126562787</v>
          </cell>
        </row>
        <row r="109">
          <cell r="F109">
            <v>6150</v>
          </cell>
          <cell r="G109">
            <v>0</v>
          </cell>
          <cell r="H109">
            <v>6150</v>
          </cell>
          <cell r="I109">
            <v>0</v>
          </cell>
          <cell r="J109">
            <v>6150</v>
          </cell>
          <cell r="K109">
            <v>-1</v>
          </cell>
        </row>
        <row r="110">
          <cell r="F110">
            <v>88380578</v>
          </cell>
          <cell r="G110">
            <v>0</v>
          </cell>
          <cell r="H110">
            <v>88380578</v>
          </cell>
          <cell r="I110">
            <v>0</v>
          </cell>
          <cell r="J110">
            <v>88380578</v>
          </cell>
          <cell r="K110">
            <v>126562786</v>
          </cell>
        </row>
        <row r="112">
          <cell r="F112">
            <v>0</v>
          </cell>
          <cell r="G112">
            <v>0</v>
          </cell>
          <cell r="H112">
            <v>0</v>
          </cell>
          <cell r="I112">
            <v>0</v>
          </cell>
          <cell r="J112">
            <v>0</v>
          </cell>
          <cell r="K112">
            <v>0</v>
          </cell>
        </row>
        <row r="114">
          <cell r="F114">
            <v>3504374</v>
          </cell>
          <cell r="G114">
            <v>0</v>
          </cell>
          <cell r="H114">
            <v>3504374</v>
          </cell>
          <cell r="I114">
            <v>0</v>
          </cell>
          <cell r="J114">
            <v>3504374</v>
          </cell>
          <cell r="K114">
            <v>1140985</v>
          </cell>
        </row>
        <row r="115">
          <cell r="F115">
            <v>79091768</v>
          </cell>
          <cell r="G115">
            <v>0</v>
          </cell>
          <cell r="H115">
            <v>79091768</v>
          </cell>
          <cell r="I115">
            <v>0</v>
          </cell>
          <cell r="J115">
            <v>79091768</v>
          </cell>
          <cell r="K115">
            <v>96128964</v>
          </cell>
        </row>
        <row r="116">
          <cell r="F116">
            <v>6023027</v>
          </cell>
          <cell r="G116">
            <v>0</v>
          </cell>
          <cell r="H116">
            <v>6023027</v>
          </cell>
          <cell r="I116">
            <v>0</v>
          </cell>
          <cell r="J116">
            <v>6023027</v>
          </cell>
          <cell r="K116">
            <v>771523</v>
          </cell>
        </row>
        <row r="117">
          <cell r="F117">
            <v>-957825</v>
          </cell>
          <cell r="G117">
            <v>0</v>
          </cell>
          <cell r="H117">
            <v>-957825</v>
          </cell>
          <cell r="I117">
            <v>0</v>
          </cell>
          <cell r="J117">
            <v>-957825</v>
          </cell>
          <cell r="K117">
            <v>0</v>
          </cell>
        </row>
        <row r="118">
          <cell r="F118">
            <v>-1146025</v>
          </cell>
          <cell r="G118">
            <v>0</v>
          </cell>
          <cell r="H118">
            <v>-1146025</v>
          </cell>
          <cell r="I118">
            <v>0</v>
          </cell>
          <cell r="J118">
            <v>-1146025</v>
          </cell>
          <cell r="K118">
            <v>0</v>
          </cell>
        </row>
        <row r="119">
          <cell r="F119">
            <v>86515319</v>
          </cell>
          <cell r="G119">
            <v>0</v>
          </cell>
          <cell r="H119">
            <v>86515319</v>
          </cell>
          <cell r="I119">
            <v>0</v>
          </cell>
          <cell r="J119">
            <v>86515319</v>
          </cell>
          <cell r="K119">
            <v>98041472</v>
          </cell>
        </row>
        <row r="121">
          <cell r="F121">
            <v>237050</v>
          </cell>
          <cell r="G121">
            <v>0</v>
          </cell>
          <cell r="H121">
            <v>237050</v>
          </cell>
          <cell r="I121">
            <v>0</v>
          </cell>
          <cell r="J121">
            <v>237050</v>
          </cell>
          <cell r="K121">
            <v>203900</v>
          </cell>
        </row>
        <row r="122">
          <cell r="F122">
            <v>150000</v>
          </cell>
          <cell r="G122">
            <v>0</v>
          </cell>
          <cell r="H122">
            <v>150000</v>
          </cell>
          <cell r="I122">
            <v>0</v>
          </cell>
          <cell r="J122">
            <v>150000</v>
          </cell>
          <cell r="K122">
            <v>100000</v>
          </cell>
        </row>
        <row r="123">
          <cell r="F123">
            <v>100000</v>
          </cell>
          <cell r="G123">
            <v>0</v>
          </cell>
          <cell r="H123">
            <v>100000</v>
          </cell>
          <cell r="I123">
            <v>0</v>
          </cell>
          <cell r="J123">
            <v>100000</v>
          </cell>
          <cell r="K123">
            <v>50000</v>
          </cell>
        </row>
        <row r="124">
          <cell r="F124">
            <v>487050</v>
          </cell>
          <cell r="G124">
            <v>0</v>
          </cell>
          <cell r="H124">
            <v>487050</v>
          </cell>
          <cell r="I124">
            <v>0</v>
          </cell>
          <cell r="J124">
            <v>487050</v>
          </cell>
          <cell r="K124">
            <v>353900</v>
          </cell>
        </row>
        <row r="126">
          <cell r="F126">
            <v>0</v>
          </cell>
          <cell r="G126">
            <v>0</v>
          </cell>
          <cell r="H126">
            <v>0</v>
          </cell>
          <cell r="I126">
            <v>0</v>
          </cell>
          <cell r="J126">
            <v>0</v>
          </cell>
          <cell r="K126">
            <v>296448</v>
          </cell>
        </row>
        <row r="127">
          <cell r="F127">
            <v>0</v>
          </cell>
          <cell r="G127">
            <v>0</v>
          </cell>
          <cell r="H127">
            <v>0</v>
          </cell>
          <cell r="I127">
            <v>0</v>
          </cell>
          <cell r="J127">
            <v>0</v>
          </cell>
          <cell r="K127">
            <v>435131</v>
          </cell>
        </row>
        <row r="128">
          <cell r="F128">
            <v>245700</v>
          </cell>
          <cell r="G128">
            <v>0</v>
          </cell>
          <cell r="H128">
            <v>245700</v>
          </cell>
          <cell r="I128">
            <v>0</v>
          </cell>
          <cell r="J128">
            <v>245700</v>
          </cell>
          <cell r="K128">
            <v>0</v>
          </cell>
        </row>
        <row r="129">
          <cell r="F129">
            <v>2384462</v>
          </cell>
          <cell r="G129">
            <v>0</v>
          </cell>
          <cell r="H129">
            <v>2384462</v>
          </cell>
          <cell r="I129">
            <v>0</v>
          </cell>
          <cell r="J129">
            <v>2384462</v>
          </cell>
          <cell r="K129">
            <v>0</v>
          </cell>
        </row>
        <row r="130">
          <cell r="F130">
            <v>0</v>
          </cell>
          <cell r="G130">
            <v>0</v>
          </cell>
          <cell r="H130">
            <v>0</v>
          </cell>
          <cell r="I130">
            <v>0</v>
          </cell>
          <cell r="J130">
            <v>0</v>
          </cell>
          <cell r="K130">
            <v>13800</v>
          </cell>
        </row>
        <row r="131">
          <cell r="F131">
            <v>520000</v>
          </cell>
          <cell r="G131">
            <v>0</v>
          </cell>
          <cell r="H131">
            <v>520000</v>
          </cell>
          <cell r="I131">
            <v>0</v>
          </cell>
          <cell r="J131">
            <v>520000</v>
          </cell>
          <cell r="K131">
            <v>0</v>
          </cell>
        </row>
        <row r="132">
          <cell r="F132">
            <v>3150162</v>
          </cell>
          <cell r="G132">
            <v>0</v>
          </cell>
          <cell r="H132">
            <v>3150162</v>
          </cell>
          <cell r="I132">
            <v>0</v>
          </cell>
          <cell r="J132">
            <v>3150162</v>
          </cell>
          <cell r="K132">
            <v>745379</v>
          </cell>
        </row>
        <row r="134">
          <cell r="F134">
            <v>0</v>
          </cell>
          <cell r="G134">
            <v>0</v>
          </cell>
          <cell r="H134">
            <v>0</v>
          </cell>
          <cell r="I134">
            <v>0</v>
          </cell>
          <cell r="J134">
            <v>0</v>
          </cell>
          <cell r="K134">
            <v>21129480</v>
          </cell>
        </row>
        <row r="135">
          <cell r="F135">
            <v>2410727</v>
          </cell>
          <cell r="G135">
            <v>0</v>
          </cell>
          <cell r="H135">
            <v>2410727</v>
          </cell>
          <cell r="I135">
            <v>0</v>
          </cell>
          <cell r="J135">
            <v>2410727</v>
          </cell>
          <cell r="K135">
            <v>100000</v>
          </cell>
        </row>
        <row r="136">
          <cell r="F136">
            <v>4028960</v>
          </cell>
          <cell r="G136">
            <v>0</v>
          </cell>
          <cell r="H136">
            <v>4028960</v>
          </cell>
          <cell r="I136">
            <v>0</v>
          </cell>
          <cell r="J136">
            <v>4028960</v>
          </cell>
          <cell r="K136">
            <v>0</v>
          </cell>
        </row>
        <row r="137">
          <cell r="F137">
            <v>131618</v>
          </cell>
          <cell r="G137">
            <v>0</v>
          </cell>
          <cell r="H137">
            <v>131618</v>
          </cell>
          <cell r="I137">
            <v>0</v>
          </cell>
          <cell r="J137">
            <v>131618</v>
          </cell>
          <cell r="K137">
            <v>0</v>
          </cell>
        </row>
        <row r="138">
          <cell r="F138">
            <v>1958698</v>
          </cell>
          <cell r="G138">
            <v>0</v>
          </cell>
          <cell r="H138">
            <v>1958698</v>
          </cell>
          <cell r="I138">
            <v>0</v>
          </cell>
          <cell r="J138">
            <v>1958698</v>
          </cell>
          <cell r="K138">
            <v>0</v>
          </cell>
        </row>
        <row r="139">
          <cell r="F139">
            <v>85217</v>
          </cell>
          <cell r="G139">
            <v>0</v>
          </cell>
          <cell r="H139">
            <v>85217</v>
          </cell>
          <cell r="I139">
            <v>0</v>
          </cell>
          <cell r="J139">
            <v>85217</v>
          </cell>
          <cell r="K139">
            <v>0</v>
          </cell>
        </row>
        <row r="140">
          <cell r="F140">
            <v>5852611</v>
          </cell>
          <cell r="G140">
            <v>0</v>
          </cell>
          <cell r="H140">
            <v>5852611</v>
          </cell>
          <cell r="I140">
            <v>0</v>
          </cell>
          <cell r="J140">
            <v>5852611</v>
          </cell>
          <cell r="K140">
            <v>0</v>
          </cell>
        </row>
        <row r="141">
          <cell r="F141">
            <v>10585</v>
          </cell>
          <cell r="G141">
            <v>0</v>
          </cell>
          <cell r="H141">
            <v>10585</v>
          </cell>
          <cell r="I141">
            <v>0</v>
          </cell>
          <cell r="J141">
            <v>10585</v>
          </cell>
          <cell r="K141">
            <v>0</v>
          </cell>
        </row>
        <row r="142">
          <cell r="F142">
            <v>411172</v>
          </cell>
          <cell r="G142">
            <v>0</v>
          </cell>
          <cell r="H142">
            <v>411172</v>
          </cell>
          <cell r="I142">
            <v>0</v>
          </cell>
          <cell r="J142">
            <v>411172</v>
          </cell>
          <cell r="K142">
            <v>0</v>
          </cell>
        </row>
        <row r="143">
          <cell r="F143">
            <v>518732</v>
          </cell>
          <cell r="G143">
            <v>0</v>
          </cell>
          <cell r="H143">
            <v>518732</v>
          </cell>
          <cell r="I143">
            <v>0</v>
          </cell>
          <cell r="J143">
            <v>518732</v>
          </cell>
          <cell r="K143">
            <v>0</v>
          </cell>
        </row>
        <row r="144">
          <cell r="F144">
            <v>20000</v>
          </cell>
          <cell r="G144">
            <v>0</v>
          </cell>
          <cell r="H144">
            <v>20000</v>
          </cell>
          <cell r="I144">
            <v>0</v>
          </cell>
          <cell r="J144">
            <v>20000</v>
          </cell>
          <cell r="K144">
            <v>0</v>
          </cell>
        </row>
        <row r="145">
          <cell r="F145">
            <v>16451</v>
          </cell>
          <cell r="G145">
            <v>0</v>
          </cell>
          <cell r="H145">
            <v>16451</v>
          </cell>
          <cell r="I145">
            <v>0</v>
          </cell>
          <cell r="J145">
            <v>16451</v>
          </cell>
          <cell r="K145">
            <v>0</v>
          </cell>
        </row>
        <row r="146">
          <cell r="F146">
            <v>736</v>
          </cell>
          <cell r="G146">
            <v>0</v>
          </cell>
          <cell r="H146">
            <v>736</v>
          </cell>
          <cell r="I146">
            <v>0</v>
          </cell>
          <cell r="J146">
            <v>736</v>
          </cell>
          <cell r="K146">
            <v>0</v>
          </cell>
        </row>
        <row r="147">
          <cell r="F147">
            <v>15445507</v>
          </cell>
          <cell r="G147">
            <v>0</v>
          </cell>
          <cell r="H147">
            <v>15445507</v>
          </cell>
          <cell r="I147">
            <v>0</v>
          </cell>
          <cell r="J147">
            <v>15445507</v>
          </cell>
          <cell r="K147">
            <v>21229480</v>
          </cell>
        </row>
        <row r="149">
          <cell r="F149">
            <v>173809</v>
          </cell>
          <cell r="G149">
            <v>0</v>
          </cell>
          <cell r="H149">
            <v>173809</v>
          </cell>
          <cell r="I149">
            <v>0</v>
          </cell>
          <cell r="J149">
            <v>173809</v>
          </cell>
          <cell r="K149">
            <v>173809</v>
          </cell>
        </row>
        <row r="150">
          <cell r="F150">
            <v>173809</v>
          </cell>
          <cell r="G150">
            <v>0</v>
          </cell>
          <cell r="H150">
            <v>173809</v>
          </cell>
          <cell r="I150">
            <v>0</v>
          </cell>
          <cell r="J150">
            <v>173809</v>
          </cell>
          <cell r="K150">
            <v>173809</v>
          </cell>
        </row>
        <row r="152">
          <cell r="F152">
            <v>2181</v>
          </cell>
          <cell r="G152">
            <v>0</v>
          </cell>
          <cell r="H152">
            <v>2181</v>
          </cell>
          <cell r="I152">
            <v>0</v>
          </cell>
          <cell r="J152">
            <v>2181</v>
          </cell>
          <cell r="K152">
            <v>0</v>
          </cell>
        </row>
        <row r="153">
          <cell r="F153">
            <v>2137</v>
          </cell>
          <cell r="G153">
            <v>0</v>
          </cell>
          <cell r="H153">
            <v>2137</v>
          </cell>
          <cell r="I153">
            <v>0</v>
          </cell>
          <cell r="J153">
            <v>2137</v>
          </cell>
          <cell r="K153">
            <v>0</v>
          </cell>
        </row>
        <row r="154">
          <cell r="F154">
            <v>2401</v>
          </cell>
          <cell r="G154">
            <v>0</v>
          </cell>
          <cell r="H154">
            <v>2401</v>
          </cell>
          <cell r="I154">
            <v>0</v>
          </cell>
          <cell r="J154">
            <v>2401</v>
          </cell>
          <cell r="K154">
            <v>0</v>
          </cell>
        </row>
        <row r="155">
          <cell r="F155">
            <v>6833</v>
          </cell>
          <cell r="G155">
            <v>0</v>
          </cell>
          <cell r="H155">
            <v>6833</v>
          </cell>
          <cell r="I155">
            <v>0</v>
          </cell>
          <cell r="J155">
            <v>6833</v>
          </cell>
          <cell r="K155">
            <v>0</v>
          </cell>
        </row>
        <row r="156">
          <cell r="F156">
            <v>17665</v>
          </cell>
          <cell r="G156">
            <v>0</v>
          </cell>
          <cell r="H156">
            <v>17665</v>
          </cell>
          <cell r="I156">
            <v>0</v>
          </cell>
          <cell r="J156">
            <v>17665</v>
          </cell>
          <cell r="K156">
            <v>0</v>
          </cell>
        </row>
        <row r="157">
          <cell r="F157">
            <v>0</v>
          </cell>
          <cell r="G157">
            <v>0</v>
          </cell>
          <cell r="H157">
            <v>0</v>
          </cell>
          <cell r="I157">
            <v>0</v>
          </cell>
          <cell r="J157">
            <v>0</v>
          </cell>
          <cell r="K157">
            <v>39075</v>
          </cell>
        </row>
        <row r="158">
          <cell r="F158">
            <v>0</v>
          </cell>
          <cell r="G158">
            <v>0</v>
          </cell>
          <cell r="H158">
            <v>0</v>
          </cell>
          <cell r="I158">
            <v>0</v>
          </cell>
          <cell r="J158">
            <v>0</v>
          </cell>
          <cell r="K158">
            <v>6032</v>
          </cell>
        </row>
        <row r="159">
          <cell r="F159">
            <v>0</v>
          </cell>
          <cell r="G159">
            <v>0</v>
          </cell>
          <cell r="H159">
            <v>0</v>
          </cell>
          <cell r="I159">
            <v>0</v>
          </cell>
          <cell r="J159">
            <v>0</v>
          </cell>
          <cell r="K159">
            <v>13799</v>
          </cell>
        </row>
        <row r="160">
          <cell r="F160">
            <v>4805</v>
          </cell>
          <cell r="G160">
            <v>0</v>
          </cell>
          <cell r="H160">
            <v>4805</v>
          </cell>
          <cell r="I160">
            <v>0</v>
          </cell>
          <cell r="J160">
            <v>4805</v>
          </cell>
          <cell r="K160">
            <v>0</v>
          </cell>
        </row>
        <row r="161">
          <cell r="F161">
            <v>4303</v>
          </cell>
          <cell r="G161">
            <v>0</v>
          </cell>
          <cell r="H161">
            <v>4303</v>
          </cell>
          <cell r="I161">
            <v>0</v>
          </cell>
          <cell r="J161">
            <v>4303</v>
          </cell>
          <cell r="K161">
            <v>0</v>
          </cell>
        </row>
        <row r="162">
          <cell r="F162">
            <v>14178</v>
          </cell>
          <cell r="G162">
            <v>0</v>
          </cell>
          <cell r="H162">
            <v>14178</v>
          </cell>
          <cell r="I162">
            <v>0</v>
          </cell>
          <cell r="J162">
            <v>14178</v>
          </cell>
          <cell r="K162">
            <v>0</v>
          </cell>
        </row>
        <row r="163">
          <cell r="F163">
            <v>54503</v>
          </cell>
          <cell r="G163">
            <v>0</v>
          </cell>
          <cell r="H163">
            <v>54503</v>
          </cell>
          <cell r="I163">
            <v>0</v>
          </cell>
          <cell r="J163">
            <v>54503</v>
          </cell>
          <cell r="K163">
            <v>58906</v>
          </cell>
        </row>
        <row r="165">
          <cell r="F165">
            <v>1703353</v>
          </cell>
          <cell r="G165">
            <v>0</v>
          </cell>
          <cell r="H165">
            <v>1703353</v>
          </cell>
          <cell r="I165">
            <v>0</v>
          </cell>
          <cell r="J165">
            <v>1703353</v>
          </cell>
          <cell r="K165">
            <v>13508600</v>
          </cell>
        </row>
        <row r="166">
          <cell r="F166">
            <v>1703353</v>
          </cell>
          <cell r="G166">
            <v>0</v>
          </cell>
          <cell r="H166">
            <v>1703353</v>
          </cell>
          <cell r="I166">
            <v>0</v>
          </cell>
          <cell r="J166">
            <v>1703353</v>
          </cell>
          <cell r="K166">
            <v>13508600</v>
          </cell>
        </row>
        <row r="168">
          <cell r="F168">
            <v>0</v>
          </cell>
          <cell r="G168">
            <v>0</v>
          </cell>
          <cell r="H168">
            <v>0</v>
          </cell>
          <cell r="I168">
            <v>0</v>
          </cell>
          <cell r="J168">
            <v>0</v>
          </cell>
          <cell r="K168">
            <v>0</v>
          </cell>
        </row>
        <row r="170">
          <cell r="F170">
            <v>0</v>
          </cell>
          <cell r="G170">
            <v>0</v>
          </cell>
          <cell r="H170">
            <v>0</v>
          </cell>
          <cell r="I170">
            <v>0</v>
          </cell>
          <cell r="J170">
            <v>0</v>
          </cell>
          <cell r="K170">
            <v>0</v>
          </cell>
        </row>
        <row r="172">
          <cell r="F172">
            <v>1739</v>
          </cell>
          <cell r="G172">
            <v>0</v>
          </cell>
          <cell r="H172">
            <v>1739</v>
          </cell>
          <cell r="I172">
            <v>0</v>
          </cell>
          <cell r="J172">
            <v>1739</v>
          </cell>
          <cell r="K172">
            <v>1739</v>
          </cell>
        </row>
        <row r="173">
          <cell r="F173">
            <v>143600</v>
          </cell>
          <cell r="G173">
            <v>0</v>
          </cell>
          <cell r="H173">
            <v>143600</v>
          </cell>
          <cell r="I173">
            <v>0</v>
          </cell>
          <cell r="J173">
            <v>143600</v>
          </cell>
          <cell r="K173">
            <v>143600</v>
          </cell>
        </row>
        <row r="174">
          <cell r="F174">
            <v>45165</v>
          </cell>
          <cell r="G174">
            <v>0</v>
          </cell>
          <cell r="H174">
            <v>45165</v>
          </cell>
          <cell r="I174">
            <v>0</v>
          </cell>
          <cell r="J174">
            <v>45165</v>
          </cell>
          <cell r="K174">
            <v>50000</v>
          </cell>
        </row>
        <row r="175">
          <cell r="F175">
            <v>14649</v>
          </cell>
          <cell r="G175">
            <v>0</v>
          </cell>
          <cell r="H175">
            <v>14649</v>
          </cell>
          <cell r="I175">
            <v>0</v>
          </cell>
          <cell r="J175">
            <v>14649</v>
          </cell>
          <cell r="K175">
            <v>14649</v>
          </cell>
        </row>
        <row r="176">
          <cell r="F176">
            <v>205153</v>
          </cell>
          <cell r="G176">
            <v>0</v>
          </cell>
          <cell r="H176">
            <v>205153</v>
          </cell>
          <cell r="I176">
            <v>0</v>
          </cell>
          <cell r="J176">
            <v>205153</v>
          </cell>
          <cell r="K176">
            <v>209988</v>
          </cell>
        </row>
        <row r="178">
          <cell r="F178">
            <v>-149480</v>
          </cell>
          <cell r="G178">
            <v>0</v>
          </cell>
          <cell r="H178">
            <v>-149480</v>
          </cell>
          <cell r="I178">
            <v>0</v>
          </cell>
          <cell r="J178">
            <v>-149480</v>
          </cell>
          <cell r="K178">
            <v>0</v>
          </cell>
        </row>
        <row r="179">
          <cell r="F179">
            <v>-33401</v>
          </cell>
          <cell r="G179">
            <v>0</v>
          </cell>
          <cell r="H179">
            <v>-33401</v>
          </cell>
          <cell r="I179">
            <v>0</v>
          </cell>
          <cell r="J179">
            <v>-33401</v>
          </cell>
          <cell r="K179">
            <v>0</v>
          </cell>
        </row>
        <row r="180">
          <cell r="F180">
            <v>-172688</v>
          </cell>
          <cell r="G180">
            <v>0</v>
          </cell>
          <cell r="H180">
            <v>-172688</v>
          </cell>
          <cell r="I180">
            <v>0</v>
          </cell>
          <cell r="J180">
            <v>-172688</v>
          </cell>
          <cell r="K180">
            <v>0</v>
          </cell>
        </row>
        <row r="181">
          <cell r="F181">
            <v>4988086</v>
          </cell>
          <cell r="G181">
            <v>0</v>
          </cell>
          <cell r="H181">
            <v>4988086</v>
          </cell>
          <cell r="I181">
            <v>0</v>
          </cell>
          <cell r="J181">
            <v>4988086</v>
          </cell>
          <cell r="K181">
            <v>0</v>
          </cell>
        </row>
        <row r="182">
          <cell r="F182">
            <v>2704857</v>
          </cell>
          <cell r="G182">
            <v>0</v>
          </cell>
          <cell r="H182">
            <v>2704857</v>
          </cell>
          <cell r="I182">
            <v>0</v>
          </cell>
          <cell r="J182">
            <v>2704857</v>
          </cell>
          <cell r="K182">
            <v>0</v>
          </cell>
        </row>
        <row r="183">
          <cell r="F183">
            <v>3298472</v>
          </cell>
          <cell r="G183">
            <v>0</v>
          </cell>
          <cell r="H183">
            <v>3298472</v>
          </cell>
          <cell r="I183">
            <v>0</v>
          </cell>
          <cell r="J183">
            <v>3298472</v>
          </cell>
          <cell r="K183">
            <v>32372733</v>
          </cell>
        </row>
        <row r="184">
          <cell r="F184">
            <v>154384</v>
          </cell>
          <cell r="G184">
            <v>0</v>
          </cell>
          <cell r="H184">
            <v>154384</v>
          </cell>
          <cell r="I184">
            <v>0</v>
          </cell>
          <cell r="J184">
            <v>154384</v>
          </cell>
          <cell r="K184">
            <v>0</v>
          </cell>
        </row>
        <row r="185">
          <cell r="F185">
            <v>74820</v>
          </cell>
          <cell r="G185">
            <v>0</v>
          </cell>
          <cell r="H185">
            <v>74820</v>
          </cell>
          <cell r="I185">
            <v>0</v>
          </cell>
          <cell r="J185">
            <v>74820</v>
          </cell>
          <cell r="K185">
            <v>0</v>
          </cell>
        </row>
        <row r="186">
          <cell r="F186">
            <v>686417</v>
          </cell>
          <cell r="G186">
            <v>0</v>
          </cell>
          <cell r="H186">
            <v>686417</v>
          </cell>
          <cell r="I186">
            <v>0</v>
          </cell>
          <cell r="J186">
            <v>686417</v>
          </cell>
          <cell r="K186">
            <v>0</v>
          </cell>
        </row>
        <row r="187">
          <cell r="F187">
            <v>1330519</v>
          </cell>
          <cell r="G187">
            <v>0</v>
          </cell>
          <cell r="H187">
            <v>1330519</v>
          </cell>
          <cell r="I187">
            <v>0</v>
          </cell>
          <cell r="J187">
            <v>1330519</v>
          </cell>
          <cell r="K187">
            <v>0</v>
          </cell>
        </row>
        <row r="188">
          <cell r="F188">
            <v>62014</v>
          </cell>
          <cell r="G188">
            <v>0</v>
          </cell>
          <cell r="H188">
            <v>62014</v>
          </cell>
          <cell r="I188">
            <v>0</v>
          </cell>
          <cell r="J188">
            <v>62014</v>
          </cell>
          <cell r="K188">
            <v>0</v>
          </cell>
        </row>
        <row r="189">
          <cell r="F189">
            <v>42447</v>
          </cell>
          <cell r="G189">
            <v>0</v>
          </cell>
          <cell r="H189">
            <v>42447</v>
          </cell>
          <cell r="I189">
            <v>0</v>
          </cell>
          <cell r="J189">
            <v>42447</v>
          </cell>
          <cell r="K189">
            <v>0</v>
          </cell>
        </row>
        <row r="190">
          <cell r="F190">
            <v>12986447</v>
          </cell>
          <cell r="G190">
            <v>0</v>
          </cell>
          <cell r="H190">
            <v>12986447</v>
          </cell>
          <cell r="I190">
            <v>0</v>
          </cell>
          <cell r="J190">
            <v>12986447</v>
          </cell>
          <cell r="K190">
            <v>32372733</v>
          </cell>
        </row>
        <row r="192">
          <cell r="F192">
            <v>7284333</v>
          </cell>
          <cell r="G192">
            <v>0</v>
          </cell>
          <cell r="H192">
            <v>7284333</v>
          </cell>
          <cell r="I192">
            <v>0</v>
          </cell>
          <cell r="J192">
            <v>7284333</v>
          </cell>
          <cell r="K192">
            <v>11540442</v>
          </cell>
        </row>
        <row r="193">
          <cell r="F193">
            <v>7284333</v>
          </cell>
          <cell r="G193">
            <v>0</v>
          </cell>
          <cell r="H193">
            <v>7284333</v>
          </cell>
          <cell r="I193">
            <v>0</v>
          </cell>
          <cell r="J193">
            <v>7284333</v>
          </cell>
          <cell r="K193">
            <v>11540442</v>
          </cell>
        </row>
        <row r="195">
          <cell r="F195">
            <v>50000</v>
          </cell>
          <cell r="G195">
            <v>0</v>
          </cell>
          <cell r="H195">
            <v>50000</v>
          </cell>
          <cell r="I195">
            <v>0</v>
          </cell>
          <cell r="J195">
            <v>50000</v>
          </cell>
          <cell r="K195">
            <v>50000</v>
          </cell>
        </row>
        <row r="196">
          <cell r="F196">
            <v>100000</v>
          </cell>
          <cell r="G196">
            <v>0</v>
          </cell>
          <cell r="H196">
            <v>100000</v>
          </cell>
          <cell r="I196">
            <v>0</v>
          </cell>
          <cell r="J196">
            <v>100000</v>
          </cell>
          <cell r="K196">
            <v>100000</v>
          </cell>
        </row>
        <row r="197">
          <cell r="F197">
            <v>462534</v>
          </cell>
          <cell r="G197">
            <v>0</v>
          </cell>
          <cell r="H197">
            <v>462534</v>
          </cell>
          <cell r="I197">
            <v>0</v>
          </cell>
          <cell r="J197">
            <v>462534</v>
          </cell>
          <cell r="K197">
            <v>18334</v>
          </cell>
        </row>
        <row r="198">
          <cell r="F198">
            <v>7000</v>
          </cell>
          <cell r="G198">
            <v>0</v>
          </cell>
          <cell r="H198">
            <v>7000</v>
          </cell>
          <cell r="I198">
            <v>0</v>
          </cell>
          <cell r="J198">
            <v>7000</v>
          </cell>
          <cell r="K198">
            <v>7000</v>
          </cell>
        </row>
        <row r="199">
          <cell r="F199">
            <v>619534</v>
          </cell>
          <cell r="G199">
            <v>0</v>
          </cell>
          <cell r="H199">
            <v>619534</v>
          </cell>
          <cell r="I199">
            <v>0</v>
          </cell>
          <cell r="J199">
            <v>619534</v>
          </cell>
          <cell r="K199">
            <v>175334</v>
          </cell>
        </row>
        <row r="201">
          <cell r="F201">
            <v>12650</v>
          </cell>
          <cell r="G201">
            <v>0</v>
          </cell>
          <cell r="H201">
            <v>12650</v>
          </cell>
          <cell r="I201">
            <v>0</v>
          </cell>
          <cell r="J201">
            <v>12650</v>
          </cell>
          <cell r="K201">
            <v>46200</v>
          </cell>
        </row>
        <row r="202">
          <cell r="F202">
            <v>47525</v>
          </cell>
          <cell r="G202">
            <v>0</v>
          </cell>
          <cell r="H202">
            <v>47525</v>
          </cell>
          <cell r="I202">
            <v>0</v>
          </cell>
          <cell r="J202">
            <v>47525</v>
          </cell>
          <cell r="K202">
            <v>5912</v>
          </cell>
        </row>
        <row r="203">
          <cell r="F203">
            <v>12937</v>
          </cell>
          <cell r="G203">
            <v>0</v>
          </cell>
          <cell r="H203">
            <v>12937</v>
          </cell>
          <cell r="I203">
            <v>0</v>
          </cell>
          <cell r="J203">
            <v>12937</v>
          </cell>
          <cell r="K203">
            <v>232762</v>
          </cell>
        </row>
        <row r="204">
          <cell r="F204">
            <v>15199</v>
          </cell>
          <cell r="G204">
            <v>0</v>
          </cell>
          <cell r="H204">
            <v>15199</v>
          </cell>
          <cell r="I204">
            <v>0</v>
          </cell>
          <cell r="J204">
            <v>15199</v>
          </cell>
          <cell r="K204">
            <v>9428</v>
          </cell>
        </row>
        <row r="205">
          <cell r="F205">
            <v>493083</v>
          </cell>
          <cell r="G205">
            <v>0</v>
          </cell>
          <cell r="H205">
            <v>493083</v>
          </cell>
          <cell r="I205">
            <v>0</v>
          </cell>
          <cell r="J205">
            <v>493083</v>
          </cell>
          <cell r="K205">
            <v>0</v>
          </cell>
        </row>
        <row r="206">
          <cell r="F206">
            <v>0</v>
          </cell>
          <cell r="G206">
            <v>0</v>
          </cell>
          <cell r="H206">
            <v>0</v>
          </cell>
          <cell r="I206">
            <v>0</v>
          </cell>
          <cell r="J206">
            <v>0</v>
          </cell>
          <cell r="K206">
            <v>132366</v>
          </cell>
        </row>
        <row r="207">
          <cell r="F207">
            <v>107789</v>
          </cell>
          <cell r="G207">
            <v>0</v>
          </cell>
          <cell r="H207">
            <v>107789</v>
          </cell>
          <cell r="I207">
            <v>0</v>
          </cell>
          <cell r="J207">
            <v>107789</v>
          </cell>
          <cell r="K207">
            <v>98268</v>
          </cell>
        </row>
        <row r="208">
          <cell r="F208">
            <v>142243</v>
          </cell>
          <cell r="G208">
            <v>0</v>
          </cell>
          <cell r="H208">
            <v>142243</v>
          </cell>
          <cell r="I208">
            <v>0</v>
          </cell>
          <cell r="J208">
            <v>142243</v>
          </cell>
          <cell r="K208">
            <v>15489</v>
          </cell>
        </row>
        <row r="209">
          <cell r="F209">
            <v>9206</v>
          </cell>
          <cell r="G209">
            <v>0</v>
          </cell>
          <cell r="H209">
            <v>9206</v>
          </cell>
          <cell r="I209">
            <v>0</v>
          </cell>
          <cell r="J209">
            <v>9206</v>
          </cell>
          <cell r="K209">
            <v>674895</v>
          </cell>
        </row>
        <row r="210">
          <cell r="F210">
            <v>42371</v>
          </cell>
          <cell r="G210">
            <v>0</v>
          </cell>
          <cell r="H210">
            <v>42371</v>
          </cell>
          <cell r="I210">
            <v>0</v>
          </cell>
          <cell r="J210">
            <v>42371</v>
          </cell>
          <cell r="K210">
            <v>45121</v>
          </cell>
        </row>
        <row r="211">
          <cell r="F211">
            <v>850626</v>
          </cell>
          <cell r="G211">
            <v>0</v>
          </cell>
          <cell r="H211">
            <v>850626</v>
          </cell>
          <cell r="I211">
            <v>0</v>
          </cell>
          <cell r="J211">
            <v>850626</v>
          </cell>
          <cell r="K211">
            <v>3214490</v>
          </cell>
        </row>
        <row r="212">
          <cell r="F212">
            <v>0</v>
          </cell>
          <cell r="G212">
            <v>0</v>
          </cell>
          <cell r="H212">
            <v>0</v>
          </cell>
          <cell r="I212">
            <v>0</v>
          </cell>
          <cell r="J212">
            <v>0</v>
          </cell>
          <cell r="K212">
            <v>50639</v>
          </cell>
        </row>
        <row r="213">
          <cell r="F213">
            <v>333445</v>
          </cell>
          <cell r="G213">
            <v>0</v>
          </cell>
          <cell r="H213">
            <v>333445</v>
          </cell>
          <cell r="I213">
            <v>0</v>
          </cell>
          <cell r="J213">
            <v>333445</v>
          </cell>
          <cell r="K213">
            <v>1556734</v>
          </cell>
        </row>
        <row r="214">
          <cell r="F214">
            <v>72575</v>
          </cell>
          <cell r="G214">
            <v>0</v>
          </cell>
          <cell r="H214">
            <v>72575</v>
          </cell>
          <cell r="I214">
            <v>0</v>
          </cell>
          <cell r="J214">
            <v>72575</v>
          </cell>
          <cell r="K214">
            <v>72575</v>
          </cell>
        </row>
        <row r="215">
          <cell r="F215">
            <v>387019</v>
          </cell>
          <cell r="G215">
            <v>0</v>
          </cell>
          <cell r="H215">
            <v>387019</v>
          </cell>
          <cell r="I215">
            <v>0</v>
          </cell>
          <cell r="J215">
            <v>387019</v>
          </cell>
          <cell r="K215">
            <v>0</v>
          </cell>
        </row>
        <row r="216">
          <cell r="F216">
            <v>179607</v>
          </cell>
          <cell r="G216">
            <v>0</v>
          </cell>
          <cell r="H216">
            <v>179607</v>
          </cell>
          <cell r="I216">
            <v>0</v>
          </cell>
          <cell r="J216">
            <v>179607</v>
          </cell>
          <cell r="K216">
            <v>0</v>
          </cell>
        </row>
        <row r="217">
          <cell r="F217">
            <v>60341</v>
          </cell>
          <cell r="G217">
            <v>0</v>
          </cell>
          <cell r="H217">
            <v>60341</v>
          </cell>
          <cell r="I217">
            <v>0</v>
          </cell>
          <cell r="J217">
            <v>60341</v>
          </cell>
          <cell r="K217">
            <v>65955</v>
          </cell>
        </row>
        <row r="218">
          <cell r="F218">
            <v>354433</v>
          </cell>
          <cell r="G218">
            <v>0</v>
          </cell>
          <cell r="H218">
            <v>354433</v>
          </cell>
          <cell r="I218">
            <v>0</v>
          </cell>
          <cell r="J218">
            <v>354433</v>
          </cell>
          <cell r="K218">
            <v>3037427</v>
          </cell>
        </row>
        <row r="219">
          <cell r="F219">
            <v>3121049</v>
          </cell>
          <cell r="G219">
            <v>0</v>
          </cell>
          <cell r="H219">
            <v>3121049</v>
          </cell>
          <cell r="I219">
            <v>0</v>
          </cell>
          <cell r="J219">
            <v>3121049</v>
          </cell>
          <cell r="K219">
            <v>9258261</v>
          </cell>
        </row>
        <row r="221">
          <cell r="F221">
            <v>-102920000</v>
          </cell>
          <cell r="G221">
            <v>0</v>
          </cell>
          <cell r="H221">
            <v>-102920000</v>
          </cell>
          <cell r="I221">
            <v>0</v>
          </cell>
          <cell r="J221">
            <v>-102920000</v>
          </cell>
          <cell r="K221">
            <v>-102920000</v>
          </cell>
        </row>
        <row r="222">
          <cell r="F222">
            <v>-102920000</v>
          </cell>
          <cell r="G222">
            <v>0</v>
          </cell>
          <cell r="H222">
            <v>-102920000</v>
          </cell>
          <cell r="I222">
            <v>0</v>
          </cell>
          <cell r="J222">
            <v>-102920000</v>
          </cell>
          <cell r="K222">
            <v>-102920000</v>
          </cell>
        </row>
        <row r="224">
          <cell r="F224">
            <v>-130000000</v>
          </cell>
          <cell r="G224">
            <v>0</v>
          </cell>
          <cell r="H224">
            <v>-130000000</v>
          </cell>
          <cell r="I224">
            <v>0</v>
          </cell>
          <cell r="J224">
            <v>-130000000</v>
          </cell>
          <cell r="K224">
            <v>-130000000</v>
          </cell>
        </row>
        <row r="225">
          <cell r="F225">
            <v>-130000000</v>
          </cell>
          <cell r="G225">
            <v>0</v>
          </cell>
          <cell r="H225">
            <v>-130000000</v>
          </cell>
          <cell r="I225">
            <v>0</v>
          </cell>
          <cell r="J225">
            <v>-130000000</v>
          </cell>
          <cell r="K225">
            <v>-130000000</v>
          </cell>
        </row>
        <row r="227">
          <cell r="F227">
            <v>0</v>
          </cell>
          <cell r="G227">
            <v>0</v>
          </cell>
          <cell r="H227">
            <v>0</v>
          </cell>
          <cell r="I227">
            <v>0</v>
          </cell>
          <cell r="J227">
            <v>0</v>
          </cell>
          <cell r="K227">
            <v>0</v>
          </cell>
        </row>
        <row r="229">
          <cell r="F229">
            <v>-145980328</v>
          </cell>
          <cell r="G229">
            <v>0</v>
          </cell>
          <cell r="H229">
            <v>-145980328</v>
          </cell>
          <cell r="I229">
            <v>0</v>
          </cell>
          <cell r="J229">
            <v>-145980328</v>
          </cell>
          <cell r="K229">
            <v>-110715465</v>
          </cell>
        </row>
        <row r="230">
          <cell r="F230">
            <v>12865000</v>
          </cell>
          <cell r="G230">
            <v>0</v>
          </cell>
          <cell r="H230">
            <v>12865000</v>
          </cell>
          <cell r="I230">
            <v>0</v>
          </cell>
          <cell r="J230">
            <v>12865000</v>
          </cell>
          <cell r="K230">
            <v>12865000</v>
          </cell>
        </row>
        <row r="231">
          <cell r="F231">
            <v>-133115328</v>
          </cell>
          <cell r="G231">
            <v>0</v>
          </cell>
          <cell r="H231">
            <v>-133115328</v>
          </cell>
          <cell r="I231">
            <v>0</v>
          </cell>
          <cell r="J231">
            <v>-133115328</v>
          </cell>
          <cell r="K231">
            <v>-97850465</v>
          </cell>
        </row>
        <row r="233">
          <cell r="F233">
            <v>0</v>
          </cell>
          <cell r="G233">
            <v>0</v>
          </cell>
          <cell r="H233">
            <v>0</v>
          </cell>
          <cell r="I233">
            <v>0</v>
          </cell>
          <cell r="J233">
            <v>0</v>
          </cell>
          <cell r="K233">
            <v>0</v>
          </cell>
        </row>
        <row r="235">
          <cell r="F235">
            <v>-100000000</v>
          </cell>
          <cell r="G235">
            <v>100000000</v>
          </cell>
          <cell r="H235">
            <v>0</v>
          </cell>
          <cell r="I235">
            <v>0</v>
          </cell>
          <cell r="J235">
            <v>0</v>
          </cell>
          <cell r="K235">
            <v>-100000000</v>
          </cell>
        </row>
        <row r="236">
          <cell r="F236">
            <v>-200000000</v>
          </cell>
          <cell r="G236">
            <v>40000000</v>
          </cell>
          <cell r="H236">
            <v>-160000000</v>
          </cell>
          <cell r="I236">
            <v>0</v>
          </cell>
          <cell r="J236">
            <v>-160000000</v>
          </cell>
          <cell r="K236">
            <v>0</v>
          </cell>
        </row>
        <row r="237">
          <cell r="F237">
            <v>-300000000</v>
          </cell>
          <cell r="G237">
            <v>140000000</v>
          </cell>
          <cell r="H237">
            <v>-160000000</v>
          </cell>
          <cell r="I237">
            <v>0</v>
          </cell>
          <cell r="J237">
            <v>-160000000</v>
          </cell>
          <cell r="K237">
            <v>-100000000</v>
          </cell>
        </row>
        <row r="239">
          <cell r="F239">
            <v>-5467472</v>
          </cell>
          <cell r="G239">
            <v>0</v>
          </cell>
          <cell r="H239">
            <v>-5467472</v>
          </cell>
          <cell r="I239">
            <v>0</v>
          </cell>
          <cell r="J239">
            <v>-5467472</v>
          </cell>
          <cell r="K239">
            <v>-4106976</v>
          </cell>
        </row>
        <row r="240">
          <cell r="F240">
            <v>-2948270</v>
          </cell>
          <cell r="G240">
            <v>0</v>
          </cell>
          <cell r="H240">
            <v>-2948270</v>
          </cell>
          <cell r="I240">
            <v>0</v>
          </cell>
          <cell r="J240">
            <v>-2948270</v>
          </cell>
          <cell r="K240">
            <v>-2157530</v>
          </cell>
        </row>
        <row r="241">
          <cell r="F241">
            <v>-8415742</v>
          </cell>
          <cell r="G241">
            <v>0</v>
          </cell>
          <cell r="H241">
            <v>-8415742</v>
          </cell>
          <cell r="I241">
            <v>0</v>
          </cell>
          <cell r="J241">
            <v>-8415742</v>
          </cell>
          <cell r="K241">
            <v>-6264506</v>
          </cell>
        </row>
        <row r="243">
          <cell r="F243">
            <v>-6742422</v>
          </cell>
          <cell r="G243">
            <v>0</v>
          </cell>
          <cell r="H243">
            <v>-6742422</v>
          </cell>
          <cell r="I243">
            <v>0</v>
          </cell>
          <cell r="J243">
            <v>-6742422</v>
          </cell>
          <cell r="K243">
            <v>-7619215</v>
          </cell>
        </row>
        <row r="244">
          <cell r="F244">
            <v>-6742422</v>
          </cell>
          <cell r="G244">
            <v>0</v>
          </cell>
          <cell r="H244">
            <v>-6742422</v>
          </cell>
          <cell r="I244">
            <v>0</v>
          </cell>
          <cell r="J244">
            <v>-6742422</v>
          </cell>
          <cell r="K244">
            <v>-7619215</v>
          </cell>
        </row>
        <row r="246">
          <cell r="F246">
            <v>-15454157</v>
          </cell>
          <cell r="G246">
            <v>0</v>
          </cell>
          <cell r="H246">
            <v>-15454157</v>
          </cell>
          <cell r="I246">
            <v>0</v>
          </cell>
          <cell r="J246">
            <v>-15454157</v>
          </cell>
          <cell r="K246">
            <v>0</v>
          </cell>
        </row>
        <row r="247">
          <cell r="F247">
            <v>0</v>
          </cell>
          <cell r="G247">
            <v>0</v>
          </cell>
          <cell r="H247">
            <v>0</v>
          </cell>
          <cell r="I247">
            <v>0</v>
          </cell>
          <cell r="J247">
            <v>0</v>
          </cell>
          <cell r="K247">
            <v>0</v>
          </cell>
        </row>
        <row r="248">
          <cell r="F248">
            <v>-7075624</v>
          </cell>
          <cell r="G248">
            <v>0</v>
          </cell>
          <cell r="H248">
            <v>-7075624</v>
          </cell>
          <cell r="I248">
            <v>0</v>
          </cell>
          <cell r="J248">
            <v>-7075624</v>
          </cell>
          <cell r="K248">
            <v>-5747611</v>
          </cell>
        </row>
        <row r="249">
          <cell r="F249">
            <v>0</v>
          </cell>
          <cell r="G249">
            <v>0</v>
          </cell>
          <cell r="H249">
            <v>0</v>
          </cell>
          <cell r="I249">
            <v>0</v>
          </cell>
          <cell r="J249">
            <v>0</v>
          </cell>
          <cell r="K249">
            <v>-6170817</v>
          </cell>
        </row>
        <row r="250">
          <cell r="F250">
            <v>-22529781</v>
          </cell>
          <cell r="G250">
            <v>0</v>
          </cell>
          <cell r="H250">
            <v>-22529781</v>
          </cell>
          <cell r="I250">
            <v>0</v>
          </cell>
          <cell r="J250">
            <v>-22529781</v>
          </cell>
          <cell r="K250">
            <v>-11918428</v>
          </cell>
        </row>
        <row r="252">
          <cell r="F252">
            <v>-28000</v>
          </cell>
          <cell r="G252">
            <v>0</v>
          </cell>
          <cell r="H252">
            <v>-28000</v>
          </cell>
          <cell r="I252">
            <v>0</v>
          </cell>
          <cell r="J252">
            <v>-28000</v>
          </cell>
          <cell r="K252">
            <v>-19500</v>
          </cell>
        </row>
        <row r="253">
          <cell r="F253">
            <v>0</v>
          </cell>
          <cell r="G253">
            <v>0</v>
          </cell>
          <cell r="H253">
            <v>0</v>
          </cell>
          <cell r="I253">
            <v>0</v>
          </cell>
          <cell r="J253">
            <v>0</v>
          </cell>
          <cell r="K253">
            <v>0</v>
          </cell>
        </row>
        <row r="254">
          <cell r="F254">
            <v>-28000</v>
          </cell>
          <cell r="G254">
            <v>0</v>
          </cell>
          <cell r="H254">
            <v>-28000</v>
          </cell>
          <cell r="I254">
            <v>0</v>
          </cell>
          <cell r="J254">
            <v>-28000</v>
          </cell>
          <cell r="K254">
            <v>-19500</v>
          </cell>
        </row>
        <row r="256">
          <cell r="F256">
            <v>0</v>
          </cell>
          <cell r="G256">
            <v>0</v>
          </cell>
          <cell r="H256">
            <v>0</v>
          </cell>
          <cell r="I256">
            <v>0</v>
          </cell>
          <cell r="J256">
            <v>0</v>
          </cell>
          <cell r="K256">
            <v>0</v>
          </cell>
        </row>
        <row r="258">
          <cell r="F258">
            <v>0</v>
          </cell>
          <cell r="G258">
            <v>0</v>
          </cell>
          <cell r="H258">
            <v>0</v>
          </cell>
          <cell r="I258">
            <v>0</v>
          </cell>
          <cell r="J258">
            <v>0</v>
          </cell>
          <cell r="K258">
            <v>-229840</v>
          </cell>
        </row>
        <row r="259">
          <cell r="F259">
            <v>0</v>
          </cell>
          <cell r="G259">
            <v>0</v>
          </cell>
          <cell r="H259">
            <v>0</v>
          </cell>
          <cell r="I259">
            <v>0</v>
          </cell>
          <cell r="J259">
            <v>0</v>
          </cell>
          <cell r="K259">
            <v>-229840</v>
          </cell>
        </row>
        <row r="261">
          <cell r="F261">
            <v>0</v>
          </cell>
          <cell r="G261">
            <v>0</v>
          </cell>
          <cell r="H261">
            <v>0</v>
          </cell>
          <cell r="I261">
            <v>0</v>
          </cell>
          <cell r="J261">
            <v>0</v>
          </cell>
          <cell r="K261">
            <v>-6980140</v>
          </cell>
        </row>
        <row r="262">
          <cell r="F262">
            <v>0</v>
          </cell>
          <cell r="G262">
            <v>0</v>
          </cell>
          <cell r="H262">
            <v>0</v>
          </cell>
          <cell r="I262">
            <v>0</v>
          </cell>
          <cell r="J262">
            <v>0</v>
          </cell>
          <cell r="K262">
            <v>-6980140</v>
          </cell>
        </row>
        <row r="264">
          <cell r="F264">
            <v>-3714287</v>
          </cell>
          <cell r="G264">
            <v>0</v>
          </cell>
          <cell r="H264">
            <v>-3714287</v>
          </cell>
          <cell r="I264">
            <v>0</v>
          </cell>
          <cell r="J264">
            <v>-3714287</v>
          </cell>
          <cell r="K264">
            <v>-7749647</v>
          </cell>
        </row>
        <row r="265">
          <cell r="F265">
            <v>-3373833</v>
          </cell>
          <cell r="G265">
            <v>0</v>
          </cell>
          <cell r="H265">
            <v>-3373833</v>
          </cell>
          <cell r="I265">
            <v>0</v>
          </cell>
          <cell r="J265">
            <v>-3373833</v>
          </cell>
          <cell r="K265">
            <v>0</v>
          </cell>
        </row>
        <row r="266">
          <cell r="F266">
            <v>-22655</v>
          </cell>
          <cell r="G266">
            <v>0</v>
          </cell>
          <cell r="H266">
            <v>-22655</v>
          </cell>
          <cell r="I266">
            <v>0</v>
          </cell>
          <cell r="J266">
            <v>-22655</v>
          </cell>
          <cell r="K266">
            <v>-11529</v>
          </cell>
        </row>
        <row r="267">
          <cell r="F267">
            <v>-1431075</v>
          </cell>
          <cell r="G267">
            <v>0</v>
          </cell>
          <cell r="H267">
            <v>-1431075</v>
          </cell>
          <cell r="I267">
            <v>0</v>
          </cell>
          <cell r="J267">
            <v>-1431075</v>
          </cell>
          <cell r="K267">
            <v>-1055128</v>
          </cell>
        </row>
        <row r="268">
          <cell r="F268">
            <v>0</v>
          </cell>
          <cell r="G268">
            <v>0</v>
          </cell>
          <cell r="H268">
            <v>0</v>
          </cell>
          <cell r="I268">
            <v>0</v>
          </cell>
          <cell r="J268">
            <v>0</v>
          </cell>
          <cell r="K268">
            <v>-714733</v>
          </cell>
        </row>
        <row r="269">
          <cell r="F269">
            <v>-3729324</v>
          </cell>
          <cell r="G269">
            <v>0</v>
          </cell>
          <cell r="H269">
            <v>-3729324</v>
          </cell>
          <cell r="I269">
            <v>0</v>
          </cell>
          <cell r="J269">
            <v>-3729324</v>
          </cell>
          <cell r="K269">
            <v>-6224198</v>
          </cell>
        </row>
        <row r="270">
          <cell r="F270">
            <v>-407025</v>
          </cell>
          <cell r="G270">
            <v>0</v>
          </cell>
          <cell r="H270">
            <v>-407025</v>
          </cell>
          <cell r="I270">
            <v>0</v>
          </cell>
          <cell r="J270">
            <v>-407025</v>
          </cell>
          <cell r="K270">
            <v>-460773</v>
          </cell>
        </row>
        <row r="271">
          <cell r="F271">
            <v>-4021231</v>
          </cell>
          <cell r="G271">
            <v>0</v>
          </cell>
          <cell r="H271">
            <v>-4021231</v>
          </cell>
          <cell r="I271">
            <v>0</v>
          </cell>
          <cell r="J271">
            <v>-4021231</v>
          </cell>
          <cell r="K271">
            <v>-1830082</v>
          </cell>
        </row>
        <row r="272">
          <cell r="F272">
            <v>-344840</v>
          </cell>
          <cell r="G272">
            <v>0</v>
          </cell>
          <cell r="H272">
            <v>-344840</v>
          </cell>
          <cell r="I272">
            <v>0</v>
          </cell>
          <cell r="J272">
            <v>-344840</v>
          </cell>
          <cell r="K272">
            <v>-1560</v>
          </cell>
        </row>
        <row r="273">
          <cell r="F273">
            <v>-36382056</v>
          </cell>
          <cell r="G273">
            <v>0</v>
          </cell>
          <cell r="H273">
            <v>-36382056</v>
          </cell>
          <cell r="I273">
            <v>0</v>
          </cell>
          <cell r="J273">
            <v>-36382056</v>
          </cell>
          <cell r="K273">
            <v>-6328139</v>
          </cell>
        </row>
        <row r="274">
          <cell r="F274">
            <v>33955935</v>
          </cell>
          <cell r="G274">
            <v>0</v>
          </cell>
          <cell r="H274">
            <v>33955935</v>
          </cell>
          <cell r="I274">
            <v>0</v>
          </cell>
          <cell r="J274">
            <v>33955935</v>
          </cell>
          <cell r="K274">
            <v>0</v>
          </cell>
        </row>
        <row r="275">
          <cell r="F275">
            <v>-23924</v>
          </cell>
          <cell r="G275">
            <v>0</v>
          </cell>
          <cell r="H275">
            <v>-23924</v>
          </cell>
          <cell r="I275">
            <v>0</v>
          </cell>
          <cell r="J275">
            <v>-23924</v>
          </cell>
          <cell r="K275">
            <v>-1057956</v>
          </cell>
        </row>
        <row r="276">
          <cell r="F276">
            <v>-296914</v>
          </cell>
          <cell r="G276">
            <v>0</v>
          </cell>
          <cell r="H276">
            <v>-296914</v>
          </cell>
          <cell r="I276">
            <v>0</v>
          </cell>
          <cell r="J276">
            <v>-296914</v>
          </cell>
          <cell r="K276">
            <v>-522643</v>
          </cell>
        </row>
        <row r="277">
          <cell r="F277">
            <v>0</v>
          </cell>
          <cell r="G277">
            <v>0</v>
          </cell>
          <cell r="H277">
            <v>0</v>
          </cell>
          <cell r="I277">
            <v>0</v>
          </cell>
          <cell r="J277">
            <v>0</v>
          </cell>
          <cell r="K277">
            <v>-94573</v>
          </cell>
        </row>
        <row r="278">
          <cell r="F278">
            <v>-394005</v>
          </cell>
          <cell r="G278">
            <v>0</v>
          </cell>
          <cell r="H278">
            <v>-394005</v>
          </cell>
          <cell r="I278">
            <v>0</v>
          </cell>
          <cell r="J278">
            <v>-394005</v>
          </cell>
          <cell r="K278">
            <v>-48755</v>
          </cell>
        </row>
        <row r="279">
          <cell r="F279">
            <v>-20185234</v>
          </cell>
          <cell r="G279">
            <v>0</v>
          </cell>
          <cell r="H279">
            <v>-20185234</v>
          </cell>
          <cell r="I279">
            <v>0</v>
          </cell>
          <cell r="J279">
            <v>-20185234</v>
          </cell>
          <cell r="K279">
            <v>-26099716</v>
          </cell>
        </row>
        <row r="281">
          <cell r="F281">
            <v>-1751924</v>
          </cell>
          <cell r="G281">
            <v>0</v>
          </cell>
          <cell r="H281">
            <v>-1751924</v>
          </cell>
          <cell r="I281">
            <v>0</v>
          </cell>
          <cell r="J281">
            <v>-1751924</v>
          </cell>
          <cell r="K281">
            <v>-3129097</v>
          </cell>
        </row>
        <row r="282">
          <cell r="F282">
            <v>-1751924</v>
          </cell>
          <cell r="G282">
            <v>0</v>
          </cell>
          <cell r="H282">
            <v>-1751924</v>
          </cell>
          <cell r="I282">
            <v>0</v>
          </cell>
          <cell r="J282">
            <v>-1751924</v>
          </cell>
          <cell r="K282">
            <v>-3129097</v>
          </cell>
        </row>
        <row r="284">
          <cell r="F284">
            <v>-109510</v>
          </cell>
          <cell r="G284">
            <v>0</v>
          </cell>
          <cell r="H284">
            <v>-109510</v>
          </cell>
          <cell r="I284">
            <v>0</v>
          </cell>
          <cell r="J284">
            <v>-109510</v>
          </cell>
          <cell r="K284">
            <v>-109510</v>
          </cell>
        </row>
        <row r="285">
          <cell r="F285">
            <v>-109510</v>
          </cell>
          <cell r="G285">
            <v>0</v>
          </cell>
          <cell r="H285">
            <v>-109510</v>
          </cell>
          <cell r="I285">
            <v>0</v>
          </cell>
          <cell r="J285">
            <v>-109510</v>
          </cell>
          <cell r="K285">
            <v>-109510</v>
          </cell>
        </row>
        <row r="287">
          <cell r="F287">
            <v>-4418980</v>
          </cell>
          <cell r="G287">
            <v>0</v>
          </cell>
          <cell r="H287">
            <v>-4418980</v>
          </cell>
          <cell r="I287">
            <v>0</v>
          </cell>
          <cell r="J287">
            <v>-4418980</v>
          </cell>
          <cell r="K287">
            <v>-3149932</v>
          </cell>
        </row>
        <row r="288">
          <cell r="F288">
            <v>-4418980</v>
          </cell>
          <cell r="G288">
            <v>0</v>
          </cell>
          <cell r="H288">
            <v>-4418980</v>
          </cell>
          <cell r="I288">
            <v>0</v>
          </cell>
          <cell r="J288">
            <v>-4418980</v>
          </cell>
          <cell r="K288">
            <v>-3149932</v>
          </cell>
        </row>
        <row r="290">
          <cell r="F290">
            <v>-127904</v>
          </cell>
          <cell r="G290">
            <v>0</v>
          </cell>
          <cell r="H290">
            <v>-127904</v>
          </cell>
          <cell r="I290">
            <v>0</v>
          </cell>
          <cell r="J290">
            <v>-127904</v>
          </cell>
          <cell r="K290">
            <v>-118383</v>
          </cell>
        </row>
        <row r="291">
          <cell r="F291">
            <v>-127904</v>
          </cell>
          <cell r="G291">
            <v>0</v>
          </cell>
          <cell r="H291">
            <v>-127904</v>
          </cell>
          <cell r="I291">
            <v>0</v>
          </cell>
          <cell r="J291">
            <v>-127904</v>
          </cell>
          <cell r="K291">
            <v>-118383</v>
          </cell>
        </row>
        <row r="293">
          <cell r="F293">
            <v>-578630</v>
          </cell>
          <cell r="G293">
            <v>0</v>
          </cell>
          <cell r="H293">
            <v>-578630</v>
          </cell>
          <cell r="I293">
            <v>0</v>
          </cell>
          <cell r="J293">
            <v>-578630</v>
          </cell>
          <cell r="K293">
            <v>-1367069</v>
          </cell>
        </row>
        <row r="294">
          <cell r="F294">
            <v>0</v>
          </cell>
          <cell r="G294">
            <v>0</v>
          </cell>
          <cell r="H294">
            <v>0</v>
          </cell>
          <cell r="I294">
            <v>0</v>
          </cell>
          <cell r="J294">
            <v>0</v>
          </cell>
          <cell r="K294">
            <v>-129562</v>
          </cell>
        </row>
        <row r="295">
          <cell r="F295">
            <v>-578630</v>
          </cell>
          <cell r="G295">
            <v>0</v>
          </cell>
          <cell r="H295">
            <v>-578630</v>
          </cell>
          <cell r="I295">
            <v>0</v>
          </cell>
          <cell r="J295">
            <v>-578630</v>
          </cell>
          <cell r="K295">
            <v>-1496631</v>
          </cell>
        </row>
        <row r="297">
          <cell r="F297">
            <v>-447866</v>
          </cell>
          <cell r="G297">
            <v>0</v>
          </cell>
          <cell r="H297">
            <v>-447866</v>
          </cell>
          <cell r="I297">
            <v>0</v>
          </cell>
          <cell r="J297">
            <v>-447866</v>
          </cell>
          <cell r="K297">
            <v>-529147</v>
          </cell>
        </row>
        <row r="298">
          <cell r="F298">
            <v>-662113</v>
          </cell>
          <cell r="G298">
            <v>0</v>
          </cell>
          <cell r="H298">
            <v>-662113</v>
          </cell>
          <cell r="I298">
            <v>0</v>
          </cell>
          <cell r="J298">
            <v>-662113</v>
          </cell>
          <cell r="K298">
            <v>-529943</v>
          </cell>
        </row>
        <row r="299">
          <cell r="F299">
            <v>-57530</v>
          </cell>
          <cell r="G299">
            <v>0</v>
          </cell>
          <cell r="H299">
            <v>-57530</v>
          </cell>
          <cell r="I299">
            <v>0</v>
          </cell>
          <cell r="J299">
            <v>-57530</v>
          </cell>
          <cell r="K299">
            <v>0</v>
          </cell>
        </row>
        <row r="300">
          <cell r="F300">
            <v>0</v>
          </cell>
          <cell r="G300">
            <v>0</v>
          </cell>
          <cell r="H300">
            <v>0</v>
          </cell>
          <cell r="I300">
            <v>0</v>
          </cell>
          <cell r="J300">
            <v>0</v>
          </cell>
          <cell r="K300">
            <v>-1337403</v>
          </cell>
        </row>
        <row r="301">
          <cell r="F301">
            <v>-316231</v>
          </cell>
          <cell r="G301">
            <v>0</v>
          </cell>
          <cell r="H301">
            <v>-316231</v>
          </cell>
          <cell r="I301">
            <v>0</v>
          </cell>
          <cell r="J301">
            <v>-316231</v>
          </cell>
          <cell r="K301">
            <v>0</v>
          </cell>
        </row>
        <row r="302">
          <cell r="F302">
            <v>-841308</v>
          </cell>
          <cell r="G302">
            <v>0</v>
          </cell>
          <cell r="H302">
            <v>-841308</v>
          </cell>
          <cell r="I302">
            <v>0</v>
          </cell>
          <cell r="J302">
            <v>-841308</v>
          </cell>
          <cell r="K302">
            <v>-881246</v>
          </cell>
        </row>
        <row r="303">
          <cell r="F303">
            <v>-1202588</v>
          </cell>
          <cell r="G303">
            <v>0</v>
          </cell>
          <cell r="H303">
            <v>-1202588</v>
          </cell>
          <cell r="I303">
            <v>0</v>
          </cell>
          <cell r="J303">
            <v>-1202588</v>
          </cell>
          <cell r="K303">
            <v>-239783</v>
          </cell>
        </row>
        <row r="304">
          <cell r="F304">
            <v>-1951350</v>
          </cell>
          <cell r="G304">
            <v>0</v>
          </cell>
          <cell r="H304">
            <v>-1951350</v>
          </cell>
          <cell r="I304">
            <v>0</v>
          </cell>
          <cell r="J304">
            <v>-1951350</v>
          </cell>
          <cell r="K304">
            <v>-1581905</v>
          </cell>
        </row>
        <row r="305">
          <cell r="F305">
            <v>-602322</v>
          </cell>
          <cell r="G305">
            <v>0</v>
          </cell>
          <cell r="H305">
            <v>-602322</v>
          </cell>
          <cell r="I305">
            <v>0</v>
          </cell>
          <cell r="J305">
            <v>-602322</v>
          </cell>
          <cell r="K305">
            <v>-2312028</v>
          </cell>
        </row>
        <row r="306">
          <cell r="F306">
            <v>-72965</v>
          </cell>
          <cell r="G306">
            <v>0</v>
          </cell>
          <cell r="H306">
            <v>-72965</v>
          </cell>
          <cell r="I306">
            <v>0</v>
          </cell>
          <cell r="J306">
            <v>-72965</v>
          </cell>
          <cell r="K306">
            <v>-237705</v>
          </cell>
        </row>
        <row r="307">
          <cell r="F307">
            <v>-926345</v>
          </cell>
          <cell r="G307">
            <v>0</v>
          </cell>
          <cell r="H307">
            <v>-926345</v>
          </cell>
          <cell r="I307">
            <v>0</v>
          </cell>
          <cell r="J307">
            <v>-926345</v>
          </cell>
          <cell r="K307">
            <v>-434623</v>
          </cell>
        </row>
        <row r="308">
          <cell r="F308">
            <v>0</v>
          </cell>
          <cell r="G308">
            <v>0</v>
          </cell>
          <cell r="H308">
            <v>0</v>
          </cell>
          <cell r="I308">
            <v>0</v>
          </cell>
          <cell r="J308">
            <v>0</v>
          </cell>
          <cell r="K308">
            <v>-483021</v>
          </cell>
        </row>
        <row r="309">
          <cell r="F309">
            <v>-108500</v>
          </cell>
          <cell r="G309">
            <v>0</v>
          </cell>
          <cell r="H309">
            <v>-108500</v>
          </cell>
          <cell r="I309">
            <v>0</v>
          </cell>
          <cell r="J309">
            <v>-108500</v>
          </cell>
          <cell r="K309">
            <v>-989965</v>
          </cell>
        </row>
        <row r="310">
          <cell r="F310">
            <v>0</v>
          </cell>
          <cell r="G310">
            <v>0</v>
          </cell>
          <cell r="H310">
            <v>0</v>
          </cell>
          <cell r="I310">
            <v>0</v>
          </cell>
          <cell r="J310">
            <v>0</v>
          </cell>
          <cell r="K310">
            <v>-149821</v>
          </cell>
        </row>
        <row r="311">
          <cell r="F311">
            <v>-2423956</v>
          </cell>
          <cell r="G311">
            <v>0</v>
          </cell>
          <cell r="H311">
            <v>-2423956</v>
          </cell>
          <cell r="I311">
            <v>0</v>
          </cell>
          <cell r="J311">
            <v>-2423956</v>
          </cell>
          <cell r="K311">
            <v>0</v>
          </cell>
        </row>
        <row r="312">
          <cell r="F312">
            <v>100</v>
          </cell>
          <cell r="G312">
            <v>0</v>
          </cell>
          <cell r="H312">
            <v>100</v>
          </cell>
          <cell r="I312">
            <v>0</v>
          </cell>
          <cell r="J312">
            <v>100</v>
          </cell>
          <cell r="K312">
            <v>0</v>
          </cell>
        </row>
        <row r="313">
          <cell r="F313">
            <v>-9612974</v>
          </cell>
          <cell r="G313">
            <v>0</v>
          </cell>
          <cell r="H313">
            <v>-9612974</v>
          </cell>
          <cell r="I313">
            <v>0</v>
          </cell>
          <cell r="J313">
            <v>-9612974</v>
          </cell>
          <cell r="K313">
            <v>-9706590</v>
          </cell>
        </row>
        <row r="315">
          <cell r="F315">
            <v>-24677860</v>
          </cell>
          <cell r="G315">
            <v>0</v>
          </cell>
          <cell r="H315">
            <v>-24677860</v>
          </cell>
          <cell r="I315">
            <v>0</v>
          </cell>
          <cell r="J315">
            <v>-24677860</v>
          </cell>
          <cell r="K315">
            <v>0</v>
          </cell>
        </row>
        <row r="316">
          <cell r="F316">
            <v>-2917707</v>
          </cell>
          <cell r="G316">
            <v>0</v>
          </cell>
          <cell r="H316">
            <v>-2917707</v>
          </cell>
          <cell r="I316">
            <v>0</v>
          </cell>
          <cell r="J316">
            <v>-2917707</v>
          </cell>
          <cell r="K316">
            <v>-38485870</v>
          </cell>
        </row>
        <row r="317">
          <cell r="F317">
            <v>0</v>
          </cell>
          <cell r="G317">
            <v>0</v>
          </cell>
          <cell r="H317">
            <v>0</v>
          </cell>
          <cell r="I317">
            <v>0</v>
          </cell>
          <cell r="J317">
            <v>0</v>
          </cell>
          <cell r="K317">
            <v>-65000000</v>
          </cell>
        </row>
        <row r="318">
          <cell r="F318">
            <v>-1075146</v>
          </cell>
          <cell r="G318">
            <v>0</v>
          </cell>
          <cell r="H318">
            <v>-1075146</v>
          </cell>
          <cell r="I318">
            <v>0</v>
          </cell>
          <cell r="J318">
            <v>-1075146</v>
          </cell>
          <cell r="K318">
            <v>-6716586</v>
          </cell>
        </row>
        <row r="319">
          <cell r="F319">
            <v>-2150104</v>
          </cell>
          <cell r="G319">
            <v>0</v>
          </cell>
          <cell r="H319">
            <v>-2150104</v>
          </cell>
          <cell r="I319">
            <v>0</v>
          </cell>
          <cell r="J319">
            <v>-2150104</v>
          </cell>
          <cell r="K319">
            <v>0</v>
          </cell>
        </row>
        <row r="320">
          <cell r="F320">
            <v>-9496203</v>
          </cell>
          <cell r="G320">
            <v>0</v>
          </cell>
          <cell r="H320">
            <v>-9496203</v>
          </cell>
          <cell r="I320">
            <v>0</v>
          </cell>
          <cell r="J320">
            <v>-9496203</v>
          </cell>
          <cell r="K320">
            <v>-52658255</v>
          </cell>
        </row>
        <row r="321">
          <cell r="F321">
            <v>-4060468</v>
          </cell>
          <cell r="G321">
            <v>0</v>
          </cell>
          <cell r="H321">
            <v>-4060468</v>
          </cell>
          <cell r="I321">
            <v>0</v>
          </cell>
          <cell r="J321">
            <v>-4060468</v>
          </cell>
          <cell r="K321">
            <v>0</v>
          </cell>
        </row>
        <row r="322">
          <cell r="F322">
            <v>-73259725</v>
          </cell>
          <cell r="G322">
            <v>0</v>
          </cell>
          <cell r="H322">
            <v>-73259725</v>
          </cell>
          <cell r="I322">
            <v>0</v>
          </cell>
          <cell r="J322">
            <v>-73259725</v>
          </cell>
          <cell r="K322">
            <v>-3113759</v>
          </cell>
        </row>
        <row r="323">
          <cell r="F323">
            <v>-20156476</v>
          </cell>
          <cell r="G323">
            <v>0</v>
          </cell>
          <cell r="H323">
            <v>-20156476</v>
          </cell>
          <cell r="I323">
            <v>0</v>
          </cell>
          <cell r="J323">
            <v>-20156476</v>
          </cell>
          <cell r="K323">
            <v>0</v>
          </cell>
        </row>
        <row r="324">
          <cell r="F324">
            <v>-11413841</v>
          </cell>
          <cell r="G324">
            <v>0</v>
          </cell>
          <cell r="H324">
            <v>-11413841</v>
          </cell>
          <cell r="I324">
            <v>0</v>
          </cell>
          <cell r="J324">
            <v>-11413841</v>
          </cell>
          <cell r="K324">
            <v>-28759884</v>
          </cell>
        </row>
        <row r="325">
          <cell r="F325">
            <v>0</v>
          </cell>
          <cell r="G325">
            <v>0</v>
          </cell>
          <cell r="H325">
            <v>0</v>
          </cell>
          <cell r="I325">
            <v>0</v>
          </cell>
          <cell r="J325">
            <v>0</v>
          </cell>
          <cell r="K325">
            <v>-94857563</v>
          </cell>
        </row>
        <row r="326">
          <cell r="F326">
            <v>-149207530</v>
          </cell>
          <cell r="G326">
            <v>0</v>
          </cell>
          <cell r="H326">
            <v>-149207530</v>
          </cell>
          <cell r="I326">
            <v>0</v>
          </cell>
          <cell r="J326">
            <v>-149207530</v>
          </cell>
          <cell r="K326">
            <v>-289591917</v>
          </cell>
        </row>
        <row r="328">
          <cell r="F328">
            <v>-5765839</v>
          </cell>
          <cell r="G328">
            <v>0</v>
          </cell>
          <cell r="H328">
            <v>-5765839</v>
          </cell>
          <cell r="I328">
            <v>0</v>
          </cell>
          <cell r="J328">
            <v>-5765839</v>
          </cell>
          <cell r="K328">
            <v>-90197204</v>
          </cell>
        </row>
        <row r="329">
          <cell r="F329">
            <v>-5765839</v>
          </cell>
          <cell r="G329">
            <v>0</v>
          </cell>
          <cell r="H329">
            <v>-5765839</v>
          </cell>
          <cell r="I329">
            <v>0</v>
          </cell>
          <cell r="J329">
            <v>-5765839</v>
          </cell>
          <cell r="K329">
            <v>-90197204</v>
          </cell>
        </row>
        <row r="331">
          <cell r="F331">
            <v>-30175000</v>
          </cell>
          <cell r="G331">
            <v>0</v>
          </cell>
          <cell r="H331">
            <v>-30175000</v>
          </cell>
          <cell r="I331">
            <v>0</v>
          </cell>
          <cell r="J331">
            <v>-30175000</v>
          </cell>
          <cell r="K331">
            <v>0</v>
          </cell>
        </row>
        <row r="332">
          <cell r="F332">
            <v>-39000000</v>
          </cell>
          <cell r="G332">
            <v>0</v>
          </cell>
          <cell r="H332">
            <v>-39000000</v>
          </cell>
          <cell r="I332">
            <v>0</v>
          </cell>
          <cell r="J332">
            <v>-39000000</v>
          </cell>
          <cell r="K332">
            <v>-35000000</v>
          </cell>
        </row>
        <row r="333">
          <cell r="F333">
            <v>0</v>
          </cell>
          <cell r="G333">
            <v>0</v>
          </cell>
          <cell r="H333">
            <v>0</v>
          </cell>
          <cell r="I333">
            <v>0</v>
          </cell>
          <cell r="J333">
            <v>0</v>
          </cell>
          <cell r="K333">
            <v>-29940000</v>
          </cell>
        </row>
        <row r="334">
          <cell r="F334">
            <v>-60350000</v>
          </cell>
          <cell r="G334">
            <v>0</v>
          </cell>
          <cell r="H334">
            <v>-60350000</v>
          </cell>
          <cell r="I334">
            <v>0</v>
          </cell>
          <cell r="J334">
            <v>-60350000</v>
          </cell>
          <cell r="K334">
            <v>0</v>
          </cell>
        </row>
        <row r="335">
          <cell r="F335">
            <v>0</v>
          </cell>
          <cell r="G335">
            <v>0</v>
          </cell>
          <cell r="H335">
            <v>0</v>
          </cell>
          <cell r="I335">
            <v>0</v>
          </cell>
          <cell r="J335">
            <v>0</v>
          </cell>
          <cell r="K335">
            <v>-70000000</v>
          </cell>
        </row>
        <row r="336">
          <cell r="F336">
            <v>-129525000</v>
          </cell>
          <cell r="G336">
            <v>0</v>
          </cell>
          <cell r="H336">
            <v>-129525000</v>
          </cell>
          <cell r="I336">
            <v>0</v>
          </cell>
          <cell r="J336">
            <v>-129525000</v>
          </cell>
          <cell r="K336">
            <v>-134940000</v>
          </cell>
        </row>
        <row r="338">
          <cell r="F338">
            <v>0</v>
          </cell>
          <cell r="G338">
            <v>0</v>
          </cell>
          <cell r="H338">
            <v>0</v>
          </cell>
          <cell r="I338">
            <v>0</v>
          </cell>
          <cell r="J338">
            <v>0</v>
          </cell>
          <cell r="K338">
            <v>-1828243</v>
          </cell>
        </row>
        <row r="339">
          <cell r="F339">
            <v>0</v>
          </cell>
          <cell r="G339">
            <v>0</v>
          </cell>
          <cell r="H339">
            <v>0</v>
          </cell>
          <cell r="I339">
            <v>0</v>
          </cell>
          <cell r="J339">
            <v>0</v>
          </cell>
          <cell r="K339">
            <v>-1828243</v>
          </cell>
        </row>
        <row r="341">
          <cell r="F341">
            <v>-11289789</v>
          </cell>
          <cell r="G341">
            <v>0</v>
          </cell>
          <cell r="H341">
            <v>-11289789</v>
          </cell>
          <cell r="I341">
            <v>0</v>
          </cell>
          <cell r="J341">
            <v>-11289789</v>
          </cell>
          <cell r="K341">
            <v>-15931948</v>
          </cell>
        </row>
        <row r="342">
          <cell r="F342">
            <v>-11289789</v>
          </cell>
          <cell r="G342">
            <v>0</v>
          </cell>
          <cell r="H342">
            <v>-11289789</v>
          </cell>
          <cell r="I342">
            <v>0</v>
          </cell>
          <cell r="J342">
            <v>-11289789</v>
          </cell>
          <cell r="K342">
            <v>-15931948</v>
          </cell>
        </row>
        <row r="344">
          <cell r="F344">
            <v>0</v>
          </cell>
          <cell r="G344">
            <v>0</v>
          </cell>
          <cell r="H344">
            <v>0</v>
          </cell>
          <cell r="I344">
            <v>0</v>
          </cell>
          <cell r="J344">
            <v>0</v>
          </cell>
          <cell r="K344">
            <v>-5846042</v>
          </cell>
        </row>
        <row r="345">
          <cell r="F345">
            <v>0</v>
          </cell>
          <cell r="G345">
            <v>-100000000</v>
          </cell>
          <cell r="H345">
            <v>-100000000</v>
          </cell>
          <cell r="I345">
            <v>0</v>
          </cell>
          <cell r="J345">
            <v>-100000000</v>
          </cell>
          <cell r="K345">
            <v>0</v>
          </cell>
        </row>
        <row r="346">
          <cell r="F346">
            <v>0</v>
          </cell>
          <cell r="G346">
            <v>-40000000</v>
          </cell>
          <cell r="H346">
            <v>-40000000</v>
          </cell>
          <cell r="I346">
            <v>0</v>
          </cell>
          <cell r="J346">
            <v>-40000000</v>
          </cell>
          <cell r="K346">
            <v>0</v>
          </cell>
        </row>
        <row r="347">
          <cell r="F347">
            <v>0</v>
          </cell>
          <cell r="G347">
            <v>-140000000</v>
          </cell>
          <cell r="H347">
            <v>-140000000</v>
          </cell>
          <cell r="I347">
            <v>0</v>
          </cell>
          <cell r="J347">
            <v>-140000000</v>
          </cell>
          <cell r="K347">
            <v>-5846042</v>
          </cell>
        </row>
        <row r="349">
          <cell r="F349">
            <v>0</v>
          </cell>
          <cell r="G349">
            <v>0</v>
          </cell>
          <cell r="H349">
            <v>0</v>
          </cell>
          <cell r="I349">
            <v>0</v>
          </cell>
          <cell r="J349">
            <v>0</v>
          </cell>
          <cell r="K349">
            <v>0</v>
          </cell>
        </row>
        <row r="351">
          <cell r="F351">
            <v>5372475</v>
          </cell>
          <cell r="G351">
            <v>0</v>
          </cell>
          <cell r="H351">
            <v>5372475</v>
          </cell>
          <cell r="I351">
            <v>0</v>
          </cell>
          <cell r="J351">
            <v>5372475</v>
          </cell>
          <cell r="K351">
            <v>3220887</v>
          </cell>
        </row>
        <row r="352">
          <cell r="F352">
            <v>39604204</v>
          </cell>
          <cell r="G352">
            <v>0</v>
          </cell>
          <cell r="H352">
            <v>39604204</v>
          </cell>
          <cell r="I352">
            <v>0</v>
          </cell>
          <cell r="J352">
            <v>39604204</v>
          </cell>
          <cell r="K352">
            <v>26400863</v>
          </cell>
        </row>
        <row r="353">
          <cell r="F353">
            <v>286902</v>
          </cell>
          <cell r="G353">
            <v>0</v>
          </cell>
          <cell r="H353">
            <v>286902</v>
          </cell>
          <cell r="I353">
            <v>0</v>
          </cell>
          <cell r="J353">
            <v>286902</v>
          </cell>
          <cell r="K353">
            <v>269754</v>
          </cell>
        </row>
        <row r="354">
          <cell r="F354">
            <v>2570852</v>
          </cell>
          <cell r="G354">
            <v>0</v>
          </cell>
          <cell r="H354">
            <v>2570852</v>
          </cell>
          <cell r="I354">
            <v>0</v>
          </cell>
          <cell r="J354">
            <v>2570852</v>
          </cell>
          <cell r="K354">
            <v>4109535</v>
          </cell>
        </row>
        <row r="355">
          <cell r="F355">
            <v>30120</v>
          </cell>
          <cell r="G355">
            <v>0</v>
          </cell>
          <cell r="H355">
            <v>30120</v>
          </cell>
          <cell r="I355">
            <v>0</v>
          </cell>
          <cell r="J355">
            <v>30120</v>
          </cell>
          <cell r="K355">
            <v>0</v>
          </cell>
        </row>
        <row r="356">
          <cell r="F356">
            <v>177300</v>
          </cell>
          <cell r="G356">
            <v>0</v>
          </cell>
          <cell r="H356">
            <v>177300</v>
          </cell>
          <cell r="I356">
            <v>0</v>
          </cell>
          <cell r="J356">
            <v>177300</v>
          </cell>
          <cell r="K356">
            <v>113400</v>
          </cell>
        </row>
        <row r="357">
          <cell r="F357">
            <v>3178929</v>
          </cell>
          <cell r="G357">
            <v>0</v>
          </cell>
          <cell r="H357">
            <v>3178929</v>
          </cell>
          <cell r="I357">
            <v>0</v>
          </cell>
          <cell r="J357">
            <v>3178929</v>
          </cell>
          <cell r="K357">
            <v>1277637</v>
          </cell>
        </row>
        <row r="358">
          <cell r="F358">
            <v>382622</v>
          </cell>
          <cell r="G358">
            <v>0</v>
          </cell>
          <cell r="H358">
            <v>382622</v>
          </cell>
          <cell r="I358">
            <v>0</v>
          </cell>
          <cell r="J358">
            <v>382622</v>
          </cell>
          <cell r="K358">
            <v>109003</v>
          </cell>
        </row>
        <row r="359">
          <cell r="F359">
            <v>103280</v>
          </cell>
          <cell r="G359">
            <v>0</v>
          </cell>
          <cell r="H359">
            <v>103280</v>
          </cell>
          <cell r="I359">
            <v>0</v>
          </cell>
          <cell r="J359">
            <v>103280</v>
          </cell>
          <cell r="K359">
            <v>88759</v>
          </cell>
        </row>
        <row r="360">
          <cell r="F360">
            <v>338167</v>
          </cell>
          <cell r="G360">
            <v>0</v>
          </cell>
          <cell r="H360">
            <v>338167</v>
          </cell>
          <cell r="I360">
            <v>0</v>
          </cell>
          <cell r="J360">
            <v>338167</v>
          </cell>
          <cell r="K360">
            <v>226604</v>
          </cell>
        </row>
        <row r="361">
          <cell r="F361">
            <v>0</v>
          </cell>
          <cell r="G361">
            <v>0</v>
          </cell>
          <cell r="H361">
            <v>0</v>
          </cell>
          <cell r="I361">
            <v>0</v>
          </cell>
          <cell r="J361">
            <v>0</v>
          </cell>
          <cell r="K361">
            <v>300</v>
          </cell>
        </row>
        <row r="362">
          <cell r="F362">
            <v>50</v>
          </cell>
          <cell r="G362">
            <v>0</v>
          </cell>
          <cell r="H362">
            <v>50</v>
          </cell>
          <cell r="I362">
            <v>0</v>
          </cell>
          <cell r="J362">
            <v>50</v>
          </cell>
          <cell r="K362">
            <v>666</v>
          </cell>
        </row>
        <row r="363">
          <cell r="F363">
            <v>2584</v>
          </cell>
          <cell r="G363">
            <v>0</v>
          </cell>
          <cell r="H363">
            <v>2584</v>
          </cell>
          <cell r="I363">
            <v>0</v>
          </cell>
          <cell r="J363">
            <v>2584</v>
          </cell>
          <cell r="K363">
            <v>12478</v>
          </cell>
        </row>
        <row r="364">
          <cell r="F364">
            <v>52047485</v>
          </cell>
          <cell r="G364">
            <v>0</v>
          </cell>
          <cell r="H364">
            <v>52047485</v>
          </cell>
          <cell r="I364">
            <v>0</v>
          </cell>
          <cell r="J364">
            <v>52047485</v>
          </cell>
          <cell r="K364">
            <v>35829886</v>
          </cell>
        </row>
        <row r="366">
          <cell r="F366">
            <v>0</v>
          </cell>
          <cell r="G366">
            <v>0</v>
          </cell>
          <cell r="H366">
            <v>0</v>
          </cell>
          <cell r="I366">
            <v>0</v>
          </cell>
          <cell r="J366">
            <v>0</v>
          </cell>
          <cell r="K366">
            <v>0</v>
          </cell>
        </row>
        <row r="368">
          <cell r="F368">
            <v>159100</v>
          </cell>
          <cell r="G368">
            <v>0</v>
          </cell>
          <cell r="H368">
            <v>159100</v>
          </cell>
          <cell r="I368">
            <v>0</v>
          </cell>
          <cell r="J368">
            <v>159100</v>
          </cell>
          <cell r="K368">
            <v>79520</v>
          </cell>
        </row>
        <row r="369">
          <cell r="F369">
            <v>159100</v>
          </cell>
          <cell r="G369">
            <v>0</v>
          </cell>
          <cell r="H369">
            <v>159100</v>
          </cell>
          <cell r="I369">
            <v>0</v>
          </cell>
          <cell r="J369">
            <v>159100</v>
          </cell>
          <cell r="K369">
            <v>79520</v>
          </cell>
        </row>
        <row r="371">
          <cell r="F371">
            <v>-941347771</v>
          </cell>
          <cell r="G371">
            <v>0</v>
          </cell>
          <cell r="H371">
            <v>-941347771</v>
          </cell>
          <cell r="I371">
            <v>0</v>
          </cell>
          <cell r="J371">
            <v>-941347771</v>
          </cell>
          <cell r="K371">
            <v>-534020535</v>
          </cell>
        </row>
        <row r="372">
          <cell r="F372">
            <v>-38861</v>
          </cell>
          <cell r="G372">
            <v>0</v>
          </cell>
          <cell r="H372">
            <v>-38861</v>
          </cell>
          <cell r="I372">
            <v>0</v>
          </cell>
          <cell r="J372">
            <v>-38861</v>
          </cell>
          <cell r="K372">
            <v>-55882</v>
          </cell>
        </row>
        <row r="373">
          <cell r="F373">
            <v>1010136</v>
          </cell>
          <cell r="G373">
            <v>0</v>
          </cell>
          <cell r="H373">
            <v>1010136</v>
          </cell>
          <cell r="I373">
            <v>0</v>
          </cell>
          <cell r="J373">
            <v>1010136</v>
          </cell>
          <cell r="K373">
            <v>671050</v>
          </cell>
        </row>
        <row r="374">
          <cell r="F374">
            <v>2959622</v>
          </cell>
          <cell r="G374">
            <v>0</v>
          </cell>
          <cell r="H374">
            <v>2959622</v>
          </cell>
          <cell r="I374">
            <v>0</v>
          </cell>
          <cell r="J374">
            <v>2959622</v>
          </cell>
          <cell r="K374">
            <v>257529</v>
          </cell>
        </row>
        <row r="375">
          <cell r="F375">
            <v>105080</v>
          </cell>
          <cell r="G375">
            <v>0</v>
          </cell>
          <cell r="H375">
            <v>105080</v>
          </cell>
          <cell r="I375">
            <v>0</v>
          </cell>
          <cell r="J375">
            <v>105080</v>
          </cell>
          <cell r="K375">
            <v>-365854</v>
          </cell>
        </row>
        <row r="376">
          <cell r="F376">
            <v>1000</v>
          </cell>
          <cell r="G376">
            <v>0</v>
          </cell>
          <cell r="H376">
            <v>1000</v>
          </cell>
          <cell r="I376">
            <v>0</v>
          </cell>
          <cell r="J376">
            <v>1000</v>
          </cell>
          <cell r="K376">
            <v>3700</v>
          </cell>
        </row>
        <row r="377">
          <cell r="F377">
            <v>-937310794</v>
          </cell>
          <cell r="G377">
            <v>0</v>
          </cell>
          <cell r="H377">
            <v>-937310794</v>
          </cell>
          <cell r="I377">
            <v>0</v>
          </cell>
          <cell r="J377">
            <v>-937310794</v>
          </cell>
          <cell r="K377">
            <v>-533509992</v>
          </cell>
        </row>
        <row r="379">
          <cell r="F379">
            <v>-187347158</v>
          </cell>
          <cell r="G379">
            <v>0</v>
          </cell>
          <cell r="H379">
            <v>-187347158</v>
          </cell>
          <cell r="I379">
            <v>0</v>
          </cell>
          <cell r="J379">
            <v>-187347158</v>
          </cell>
          <cell r="K379">
            <v>-208539520</v>
          </cell>
        </row>
        <row r="380">
          <cell r="F380">
            <v>-1299928</v>
          </cell>
          <cell r="G380">
            <v>0</v>
          </cell>
          <cell r="H380">
            <v>-1299928</v>
          </cell>
          <cell r="I380">
            <v>0</v>
          </cell>
          <cell r="J380">
            <v>-1299928</v>
          </cell>
          <cell r="K380">
            <v>-12457</v>
          </cell>
        </row>
        <row r="381">
          <cell r="F381">
            <v>-188647086</v>
          </cell>
          <cell r="G381">
            <v>0</v>
          </cell>
          <cell r="H381">
            <v>-188647086</v>
          </cell>
          <cell r="I381">
            <v>0</v>
          </cell>
          <cell r="J381">
            <v>-188647086</v>
          </cell>
          <cell r="K381">
            <v>-208551977</v>
          </cell>
        </row>
        <row r="383">
          <cell r="F383">
            <v>0</v>
          </cell>
          <cell r="G383">
            <v>0</v>
          </cell>
          <cell r="H383">
            <v>0</v>
          </cell>
          <cell r="I383">
            <v>0</v>
          </cell>
          <cell r="J383">
            <v>0</v>
          </cell>
          <cell r="K383">
            <v>0</v>
          </cell>
        </row>
        <row r="385">
          <cell r="F385">
            <v>-3155772</v>
          </cell>
          <cell r="G385">
            <v>0</v>
          </cell>
          <cell r="H385">
            <v>-3155772</v>
          </cell>
          <cell r="I385">
            <v>0</v>
          </cell>
          <cell r="J385">
            <v>-3155772</v>
          </cell>
          <cell r="K385">
            <v>-2217915</v>
          </cell>
        </row>
        <row r="386">
          <cell r="F386">
            <v>-14757235</v>
          </cell>
          <cell r="G386">
            <v>0</v>
          </cell>
          <cell r="H386">
            <v>-14757235</v>
          </cell>
          <cell r="I386">
            <v>0</v>
          </cell>
          <cell r="J386">
            <v>-14757235</v>
          </cell>
          <cell r="K386">
            <v>0</v>
          </cell>
        </row>
        <row r="387">
          <cell r="F387">
            <v>-17913007</v>
          </cell>
          <cell r="G387">
            <v>0</v>
          </cell>
          <cell r="H387">
            <v>-17913007</v>
          </cell>
          <cell r="I387">
            <v>0</v>
          </cell>
          <cell r="J387">
            <v>-17913007</v>
          </cell>
          <cell r="K387">
            <v>-2217915</v>
          </cell>
        </row>
        <row r="389">
          <cell r="F389">
            <v>-4593703</v>
          </cell>
          <cell r="G389">
            <v>0</v>
          </cell>
          <cell r="H389">
            <v>-4593703</v>
          </cell>
          <cell r="I389">
            <v>0</v>
          </cell>
          <cell r="J389">
            <v>-4593703</v>
          </cell>
          <cell r="K389">
            <v>-6725166</v>
          </cell>
        </row>
        <row r="390">
          <cell r="F390">
            <v>-4593703</v>
          </cell>
          <cell r="G390">
            <v>0</v>
          </cell>
          <cell r="H390">
            <v>-4593703</v>
          </cell>
          <cell r="I390">
            <v>0</v>
          </cell>
          <cell r="J390">
            <v>-4593703</v>
          </cell>
          <cell r="K390">
            <v>-6725166</v>
          </cell>
        </row>
        <row r="392">
          <cell r="F392">
            <v>0</v>
          </cell>
          <cell r="G392">
            <v>0</v>
          </cell>
          <cell r="H392">
            <v>0</v>
          </cell>
          <cell r="I392">
            <v>0</v>
          </cell>
          <cell r="J392">
            <v>0</v>
          </cell>
          <cell r="K392">
            <v>-1436434</v>
          </cell>
        </row>
        <row r="393">
          <cell r="F393">
            <v>0</v>
          </cell>
          <cell r="G393">
            <v>0</v>
          </cell>
          <cell r="H393">
            <v>0</v>
          </cell>
          <cell r="I393">
            <v>0</v>
          </cell>
          <cell r="J393">
            <v>0</v>
          </cell>
          <cell r="K393">
            <v>-1436434</v>
          </cell>
        </row>
        <row r="395">
          <cell r="F395">
            <v>-5989261</v>
          </cell>
          <cell r="G395">
            <v>0</v>
          </cell>
          <cell r="H395">
            <v>-5989261</v>
          </cell>
          <cell r="I395">
            <v>0</v>
          </cell>
          <cell r="J395">
            <v>-5989261</v>
          </cell>
          <cell r="K395">
            <v>-16757487</v>
          </cell>
        </row>
        <row r="396">
          <cell r="F396">
            <v>-5989261</v>
          </cell>
          <cell r="G396">
            <v>0</v>
          </cell>
          <cell r="H396">
            <v>-5989261</v>
          </cell>
          <cell r="I396">
            <v>0</v>
          </cell>
          <cell r="J396">
            <v>-5989261</v>
          </cell>
          <cell r="K396">
            <v>-16757487</v>
          </cell>
        </row>
        <row r="398">
          <cell r="F398">
            <v>0</v>
          </cell>
          <cell r="G398">
            <v>0</v>
          </cell>
          <cell r="H398">
            <v>0</v>
          </cell>
          <cell r="I398">
            <v>0</v>
          </cell>
          <cell r="J398">
            <v>0</v>
          </cell>
          <cell r="K398">
            <v>0</v>
          </cell>
        </row>
        <row r="400">
          <cell r="F400">
            <v>2140739</v>
          </cell>
          <cell r="G400">
            <v>0</v>
          </cell>
          <cell r="H400">
            <v>2140739</v>
          </cell>
          <cell r="I400">
            <v>0</v>
          </cell>
          <cell r="J400">
            <v>2140739</v>
          </cell>
          <cell r="K400">
            <v>1179683</v>
          </cell>
        </row>
        <row r="401">
          <cell r="F401">
            <v>2140739</v>
          </cell>
          <cell r="G401">
            <v>0</v>
          </cell>
          <cell r="H401">
            <v>2140739</v>
          </cell>
          <cell r="I401">
            <v>0</v>
          </cell>
          <cell r="J401">
            <v>2140739</v>
          </cell>
          <cell r="K401">
            <v>1179683</v>
          </cell>
        </row>
        <row r="403">
          <cell r="F403">
            <v>1590453</v>
          </cell>
          <cell r="G403">
            <v>0</v>
          </cell>
          <cell r="H403">
            <v>1590453</v>
          </cell>
          <cell r="I403">
            <v>0</v>
          </cell>
          <cell r="J403">
            <v>1590453</v>
          </cell>
          <cell r="K403">
            <v>636089</v>
          </cell>
        </row>
        <row r="404">
          <cell r="F404">
            <v>2044</v>
          </cell>
          <cell r="G404">
            <v>0</v>
          </cell>
          <cell r="H404">
            <v>2044</v>
          </cell>
          <cell r="I404">
            <v>0</v>
          </cell>
          <cell r="J404">
            <v>2044</v>
          </cell>
          <cell r="K404">
            <v>-32623</v>
          </cell>
        </row>
        <row r="405">
          <cell r="F405">
            <v>1592497</v>
          </cell>
          <cell r="G405">
            <v>0</v>
          </cell>
          <cell r="H405">
            <v>1592497</v>
          </cell>
          <cell r="I405">
            <v>0</v>
          </cell>
          <cell r="J405">
            <v>1592497</v>
          </cell>
          <cell r="K405">
            <v>603466</v>
          </cell>
        </row>
        <row r="407">
          <cell r="F407">
            <v>30041974</v>
          </cell>
          <cell r="G407">
            <v>0</v>
          </cell>
          <cell r="H407">
            <v>30041974</v>
          </cell>
          <cell r="I407">
            <v>0</v>
          </cell>
          <cell r="J407">
            <v>30041974</v>
          </cell>
          <cell r="K407">
            <v>16924809</v>
          </cell>
        </row>
        <row r="408">
          <cell r="F408">
            <v>30041974</v>
          </cell>
          <cell r="G408">
            <v>0</v>
          </cell>
          <cell r="H408">
            <v>30041974</v>
          </cell>
          <cell r="I408">
            <v>0</v>
          </cell>
          <cell r="J408">
            <v>30041974</v>
          </cell>
          <cell r="K408">
            <v>16924809</v>
          </cell>
        </row>
        <row r="410">
          <cell r="F410">
            <v>1344480</v>
          </cell>
          <cell r="G410">
            <v>0</v>
          </cell>
          <cell r="H410">
            <v>1344480</v>
          </cell>
          <cell r="I410">
            <v>0</v>
          </cell>
          <cell r="J410">
            <v>1344480</v>
          </cell>
          <cell r="K410">
            <v>278081</v>
          </cell>
        </row>
        <row r="411">
          <cell r="F411">
            <v>11035</v>
          </cell>
          <cell r="G411">
            <v>0</v>
          </cell>
          <cell r="H411">
            <v>11035</v>
          </cell>
          <cell r="I411">
            <v>0</v>
          </cell>
          <cell r="J411">
            <v>11035</v>
          </cell>
          <cell r="K411">
            <v>864</v>
          </cell>
        </row>
        <row r="412">
          <cell r="F412">
            <v>2608</v>
          </cell>
          <cell r="G412">
            <v>0</v>
          </cell>
          <cell r="H412">
            <v>2608</v>
          </cell>
          <cell r="I412">
            <v>0</v>
          </cell>
          <cell r="J412">
            <v>2608</v>
          </cell>
          <cell r="K412">
            <v>44495</v>
          </cell>
        </row>
        <row r="413">
          <cell r="F413">
            <v>1358123</v>
          </cell>
          <cell r="G413">
            <v>0</v>
          </cell>
          <cell r="H413">
            <v>1358123</v>
          </cell>
          <cell r="I413">
            <v>0</v>
          </cell>
          <cell r="J413">
            <v>1358123</v>
          </cell>
          <cell r="K413">
            <v>323440</v>
          </cell>
        </row>
        <row r="415">
          <cell r="F415">
            <v>20036</v>
          </cell>
          <cell r="G415">
            <v>0</v>
          </cell>
          <cell r="H415">
            <v>20036</v>
          </cell>
          <cell r="I415">
            <v>0</v>
          </cell>
          <cell r="J415">
            <v>20036</v>
          </cell>
          <cell r="K415">
            <v>0</v>
          </cell>
        </row>
        <row r="416">
          <cell r="F416">
            <v>-653598</v>
          </cell>
          <cell r="G416">
            <v>0</v>
          </cell>
          <cell r="H416">
            <v>-653598</v>
          </cell>
          <cell r="I416">
            <v>0</v>
          </cell>
          <cell r="J416">
            <v>-653598</v>
          </cell>
          <cell r="K416">
            <v>0</v>
          </cell>
        </row>
        <row r="417">
          <cell r="F417">
            <v>265213989</v>
          </cell>
          <cell r="G417">
            <v>0</v>
          </cell>
          <cell r="H417">
            <v>265213989</v>
          </cell>
          <cell r="I417">
            <v>0</v>
          </cell>
          <cell r="J417">
            <v>265213989</v>
          </cell>
          <cell r="K417">
            <v>162498138</v>
          </cell>
        </row>
        <row r="418">
          <cell r="F418">
            <v>55853304</v>
          </cell>
          <cell r="G418">
            <v>0</v>
          </cell>
          <cell r="H418">
            <v>55853304</v>
          </cell>
          <cell r="I418">
            <v>0</v>
          </cell>
          <cell r="J418">
            <v>55853304</v>
          </cell>
          <cell r="K418">
            <v>17834790</v>
          </cell>
        </row>
        <row r="419">
          <cell r="F419">
            <v>448945</v>
          </cell>
          <cell r="G419">
            <v>0</v>
          </cell>
          <cell r="H419">
            <v>448945</v>
          </cell>
          <cell r="I419">
            <v>0</v>
          </cell>
          <cell r="J419">
            <v>448945</v>
          </cell>
          <cell r="K419">
            <v>0</v>
          </cell>
        </row>
        <row r="420">
          <cell r="F420">
            <v>284466</v>
          </cell>
          <cell r="G420">
            <v>0</v>
          </cell>
          <cell r="H420">
            <v>284466</v>
          </cell>
          <cell r="I420">
            <v>0</v>
          </cell>
          <cell r="J420">
            <v>284466</v>
          </cell>
          <cell r="K420">
            <v>145328</v>
          </cell>
        </row>
        <row r="421">
          <cell r="F421">
            <v>205769304</v>
          </cell>
          <cell r="G421">
            <v>0</v>
          </cell>
          <cell r="H421">
            <v>205769304</v>
          </cell>
          <cell r="I421">
            <v>0</v>
          </cell>
          <cell r="J421">
            <v>205769304</v>
          </cell>
          <cell r="K421">
            <v>147667198</v>
          </cell>
        </row>
        <row r="422">
          <cell r="F422">
            <v>155639129</v>
          </cell>
          <cell r="G422">
            <v>0</v>
          </cell>
          <cell r="H422">
            <v>155639129</v>
          </cell>
          <cell r="I422">
            <v>0</v>
          </cell>
          <cell r="J422">
            <v>155639129</v>
          </cell>
          <cell r="K422">
            <v>106493789</v>
          </cell>
        </row>
        <row r="423">
          <cell r="F423">
            <v>-39065</v>
          </cell>
          <cell r="G423">
            <v>0</v>
          </cell>
          <cell r="H423">
            <v>-39065</v>
          </cell>
          <cell r="I423">
            <v>0</v>
          </cell>
          <cell r="J423">
            <v>-39065</v>
          </cell>
          <cell r="K423">
            <v>0</v>
          </cell>
        </row>
        <row r="424">
          <cell r="F424">
            <v>682536510</v>
          </cell>
          <cell r="G424">
            <v>0</v>
          </cell>
          <cell r="H424">
            <v>682536510</v>
          </cell>
          <cell r="I424">
            <v>0</v>
          </cell>
          <cell r="J424">
            <v>682536510</v>
          </cell>
          <cell r="K424">
            <v>434639243</v>
          </cell>
        </row>
        <row r="426">
          <cell r="F426">
            <v>18111056</v>
          </cell>
          <cell r="G426">
            <v>0</v>
          </cell>
          <cell r="H426">
            <v>18111056</v>
          </cell>
          <cell r="I426">
            <v>0</v>
          </cell>
          <cell r="J426">
            <v>18111056</v>
          </cell>
          <cell r="K426">
            <v>10174043</v>
          </cell>
        </row>
        <row r="427">
          <cell r="F427">
            <v>43200</v>
          </cell>
          <cell r="G427">
            <v>0</v>
          </cell>
          <cell r="H427">
            <v>43200</v>
          </cell>
          <cell r="I427">
            <v>0</v>
          </cell>
          <cell r="J427">
            <v>43200</v>
          </cell>
          <cell r="K427">
            <v>0</v>
          </cell>
        </row>
        <row r="428">
          <cell r="F428">
            <v>18154256</v>
          </cell>
          <cell r="G428">
            <v>0</v>
          </cell>
          <cell r="H428">
            <v>18154256</v>
          </cell>
          <cell r="I428">
            <v>0</v>
          </cell>
          <cell r="J428">
            <v>18154256</v>
          </cell>
          <cell r="K428">
            <v>10174043</v>
          </cell>
        </row>
        <row r="430">
          <cell r="F430">
            <v>20128045</v>
          </cell>
          <cell r="G430">
            <v>0</v>
          </cell>
          <cell r="H430">
            <v>20128045</v>
          </cell>
          <cell r="I430">
            <v>0</v>
          </cell>
          <cell r="J430">
            <v>20128045</v>
          </cell>
          <cell r="K430">
            <v>11109664</v>
          </cell>
        </row>
        <row r="431">
          <cell r="F431">
            <v>1035636</v>
          </cell>
          <cell r="G431">
            <v>0</v>
          </cell>
          <cell r="H431">
            <v>1035636</v>
          </cell>
          <cell r="I431">
            <v>0</v>
          </cell>
          <cell r="J431">
            <v>1035636</v>
          </cell>
          <cell r="K431">
            <v>0</v>
          </cell>
        </row>
        <row r="432">
          <cell r="F432">
            <v>197511</v>
          </cell>
          <cell r="G432">
            <v>0</v>
          </cell>
          <cell r="H432">
            <v>197511</v>
          </cell>
          <cell r="I432">
            <v>0</v>
          </cell>
          <cell r="J432">
            <v>197511</v>
          </cell>
          <cell r="K432">
            <v>15000</v>
          </cell>
        </row>
        <row r="433">
          <cell r="F433">
            <v>995790</v>
          </cell>
          <cell r="G433">
            <v>0</v>
          </cell>
          <cell r="H433">
            <v>995790</v>
          </cell>
          <cell r="I433">
            <v>0</v>
          </cell>
          <cell r="J433">
            <v>995790</v>
          </cell>
          <cell r="K433">
            <v>390283</v>
          </cell>
        </row>
        <row r="434">
          <cell r="F434">
            <v>-592</v>
          </cell>
          <cell r="G434">
            <v>0</v>
          </cell>
          <cell r="H434">
            <v>-592</v>
          </cell>
          <cell r="I434">
            <v>0</v>
          </cell>
          <cell r="J434">
            <v>-592</v>
          </cell>
          <cell r="K434">
            <v>0</v>
          </cell>
        </row>
        <row r="435">
          <cell r="F435">
            <v>79042</v>
          </cell>
          <cell r="G435">
            <v>0</v>
          </cell>
          <cell r="H435">
            <v>79042</v>
          </cell>
          <cell r="I435">
            <v>0</v>
          </cell>
          <cell r="J435">
            <v>79042</v>
          </cell>
          <cell r="K435">
            <v>67518</v>
          </cell>
        </row>
        <row r="436">
          <cell r="F436">
            <v>22435432</v>
          </cell>
          <cell r="G436">
            <v>0</v>
          </cell>
          <cell r="H436">
            <v>22435432</v>
          </cell>
          <cell r="I436">
            <v>0</v>
          </cell>
          <cell r="J436">
            <v>22435432</v>
          </cell>
          <cell r="K436">
            <v>11582465</v>
          </cell>
        </row>
        <row r="438">
          <cell r="F438">
            <v>22851255</v>
          </cell>
          <cell r="G438">
            <v>0</v>
          </cell>
          <cell r="H438">
            <v>22851255</v>
          </cell>
          <cell r="I438">
            <v>0</v>
          </cell>
          <cell r="J438">
            <v>22851255</v>
          </cell>
          <cell r="K438">
            <v>14719922</v>
          </cell>
        </row>
        <row r="439">
          <cell r="F439">
            <v>21659550</v>
          </cell>
          <cell r="G439">
            <v>0</v>
          </cell>
          <cell r="H439">
            <v>21659550</v>
          </cell>
          <cell r="I439">
            <v>0</v>
          </cell>
          <cell r="J439">
            <v>21659550</v>
          </cell>
          <cell r="K439">
            <v>13473018</v>
          </cell>
        </row>
        <row r="440">
          <cell r="F440">
            <v>0</v>
          </cell>
          <cell r="G440">
            <v>0</v>
          </cell>
          <cell r="H440">
            <v>0</v>
          </cell>
          <cell r="I440">
            <v>0</v>
          </cell>
          <cell r="J440">
            <v>0</v>
          </cell>
          <cell r="K440">
            <v>3014079</v>
          </cell>
        </row>
        <row r="441">
          <cell r="F441">
            <v>639808</v>
          </cell>
          <cell r="G441">
            <v>0</v>
          </cell>
          <cell r="H441">
            <v>639808</v>
          </cell>
          <cell r="I441">
            <v>0</v>
          </cell>
          <cell r="J441">
            <v>639808</v>
          </cell>
          <cell r="K441">
            <v>323881</v>
          </cell>
        </row>
        <row r="442">
          <cell r="F442">
            <v>128677</v>
          </cell>
          <cell r="G442">
            <v>0</v>
          </cell>
          <cell r="H442">
            <v>128677</v>
          </cell>
          <cell r="I442">
            <v>0</v>
          </cell>
          <cell r="J442">
            <v>128677</v>
          </cell>
          <cell r="K442">
            <v>62000</v>
          </cell>
        </row>
        <row r="443">
          <cell r="F443">
            <v>174138</v>
          </cell>
          <cell r="G443">
            <v>0</v>
          </cell>
          <cell r="H443">
            <v>174138</v>
          </cell>
          <cell r="I443">
            <v>0</v>
          </cell>
          <cell r="J443">
            <v>174138</v>
          </cell>
          <cell r="K443">
            <v>5958</v>
          </cell>
        </row>
        <row r="444">
          <cell r="F444">
            <v>1200000</v>
          </cell>
          <cell r="G444">
            <v>0</v>
          </cell>
          <cell r="H444">
            <v>1200000</v>
          </cell>
          <cell r="I444">
            <v>0</v>
          </cell>
          <cell r="J444">
            <v>1200000</v>
          </cell>
          <cell r="K444">
            <v>720000</v>
          </cell>
        </row>
        <row r="445">
          <cell r="F445">
            <v>962788</v>
          </cell>
          <cell r="G445">
            <v>0</v>
          </cell>
          <cell r="H445">
            <v>962788</v>
          </cell>
          <cell r="I445">
            <v>0</v>
          </cell>
          <cell r="J445">
            <v>962788</v>
          </cell>
          <cell r="K445">
            <v>742692</v>
          </cell>
        </row>
        <row r="446">
          <cell r="F446">
            <v>5236735</v>
          </cell>
          <cell r="G446">
            <v>0</v>
          </cell>
          <cell r="H446">
            <v>5236735</v>
          </cell>
          <cell r="I446">
            <v>0</v>
          </cell>
          <cell r="J446">
            <v>5236735</v>
          </cell>
          <cell r="K446">
            <v>0</v>
          </cell>
        </row>
        <row r="447">
          <cell r="F447">
            <v>1305335</v>
          </cell>
          <cell r="G447">
            <v>0</v>
          </cell>
          <cell r="H447">
            <v>1305335</v>
          </cell>
          <cell r="I447">
            <v>0</v>
          </cell>
          <cell r="J447">
            <v>1305335</v>
          </cell>
          <cell r="K447">
            <v>747385</v>
          </cell>
        </row>
        <row r="448">
          <cell r="F448">
            <v>3047783</v>
          </cell>
          <cell r="G448">
            <v>0</v>
          </cell>
          <cell r="H448">
            <v>3047783</v>
          </cell>
          <cell r="I448">
            <v>0</v>
          </cell>
          <cell r="J448">
            <v>3047783</v>
          </cell>
          <cell r="K448">
            <v>1782171</v>
          </cell>
        </row>
        <row r="449">
          <cell r="F449">
            <v>2686791</v>
          </cell>
          <cell r="G449">
            <v>0</v>
          </cell>
          <cell r="H449">
            <v>2686791</v>
          </cell>
          <cell r="I449">
            <v>0</v>
          </cell>
          <cell r="J449">
            <v>2686791</v>
          </cell>
          <cell r="K449">
            <v>2234859</v>
          </cell>
        </row>
        <row r="450">
          <cell r="F450">
            <v>1035841</v>
          </cell>
          <cell r="G450">
            <v>0</v>
          </cell>
          <cell r="H450">
            <v>1035841</v>
          </cell>
          <cell r="I450">
            <v>0</v>
          </cell>
          <cell r="J450">
            <v>1035841</v>
          </cell>
          <cell r="K450">
            <v>580469</v>
          </cell>
        </row>
        <row r="451">
          <cell r="F451">
            <v>0</v>
          </cell>
          <cell r="G451">
            <v>0</v>
          </cell>
          <cell r="H451">
            <v>0</v>
          </cell>
          <cell r="I451">
            <v>0</v>
          </cell>
          <cell r="J451">
            <v>0</v>
          </cell>
          <cell r="K451">
            <v>96200</v>
          </cell>
        </row>
        <row r="452">
          <cell r="F452">
            <v>1048975</v>
          </cell>
          <cell r="G452">
            <v>0</v>
          </cell>
          <cell r="H452">
            <v>1048975</v>
          </cell>
          <cell r="I452">
            <v>0</v>
          </cell>
          <cell r="J452">
            <v>1048975</v>
          </cell>
          <cell r="K452">
            <v>705080</v>
          </cell>
        </row>
        <row r="453">
          <cell r="F453">
            <v>501037</v>
          </cell>
          <cell r="G453">
            <v>0</v>
          </cell>
          <cell r="H453">
            <v>501037</v>
          </cell>
          <cell r="I453">
            <v>0</v>
          </cell>
          <cell r="J453">
            <v>501037</v>
          </cell>
          <cell r="K453">
            <v>59671</v>
          </cell>
        </row>
        <row r="454">
          <cell r="F454">
            <v>1376203</v>
          </cell>
          <cell r="G454">
            <v>0</v>
          </cell>
          <cell r="H454">
            <v>1376203</v>
          </cell>
          <cell r="I454">
            <v>0</v>
          </cell>
          <cell r="J454">
            <v>1376203</v>
          </cell>
          <cell r="K454">
            <v>250577</v>
          </cell>
        </row>
        <row r="455">
          <cell r="F455">
            <v>96000</v>
          </cell>
          <cell r="G455">
            <v>0</v>
          </cell>
          <cell r="H455">
            <v>96000</v>
          </cell>
          <cell r="I455">
            <v>0</v>
          </cell>
          <cell r="J455">
            <v>96000</v>
          </cell>
          <cell r="K455">
            <v>18296</v>
          </cell>
        </row>
        <row r="456">
          <cell r="F456">
            <v>63950916</v>
          </cell>
          <cell r="G456">
            <v>0</v>
          </cell>
          <cell r="H456">
            <v>63950916</v>
          </cell>
          <cell r="I456">
            <v>0</v>
          </cell>
          <cell r="J456">
            <v>63950916</v>
          </cell>
          <cell r="K456">
            <v>39536258</v>
          </cell>
        </row>
        <row r="458">
          <cell r="F458">
            <v>5116652</v>
          </cell>
          <cell r="G458">
            <v>0</v>
          </cell>
          <cell r="H458">
            <v>5116652</v>
          </cell>
          <cell r="I458">
            <v>0</v>
          </cell>
          <cell r="J458">
            <v>5116652</v>
          </cell>
          <cell r="K458">
            <v>3013193</v>
          </cell>
        </row>
        <row r="459">
          <cell r="F459">
            <v>67177</v>
          </cell>
          <cell r="G459">
            <v>0</v>
          </cell>
          <cell r="H459">
            <v>67177</v>
          </cell>
          <cell r="I459">
            <v>0</v>
          </cell>
          <cell r="J459">
            <v>67177</v>
          </cell>
          <cell r="K459">
            <v>294029</v>
          </cell>
        </row>
        <row r="460">
          <cell r="F460">
            <v>12836698</v>
          </cell>
          <cell r="G460">
            <v>0</v>
          </cell>
          <cell r="H460">
            <v>12836698</v>
          </cell>
          <cell r="I460">
            <v>0</v>
          </cell>
          <cell r="J460">
            <v>12836698</v>
          </cell>
          <cell r="K460">
            <v>41335441</v>
          </cell>
        </row>
        <row r="461">
          <cell r="F461">
            <v>44722134</v>
          </cell>
          <cell r="G461">
            <v>0</v>
          </cell>
          <cell r="H461">
            <v>44722134</v>
          </cell>
          <cell r="I461">
            <v>0</v>
          </cell>
          <cell r="J461">
            <v>44722134</v>
          </cell>
          <cell r="K461">
            <v>7590768</v>
          </cell>
        </row>
        <row r="462">
          <cell r="F462">
            <v>782118</v>
          </cell>
          <cell r="G462">
            <v>0</v>
          </cell>
          <cell r="H462">
            <v>782118</v>
          </cell>
          <cell r="I462">
            <v>0</v>
          </cell>
          <cell r="J462">
            <v>782118</v>
          </cell>
          <cell r="K462">
            <v>0</v>
          </cell>
        </row>
        <row r="463">
          <cell r="F463">
            <v>9930000</v>
          </cell>
          <cell r="G463">
            <v>0</v>
          </cell>
          <cell r="H463">
            <v>9930000</v>
          </cell>
          <cell r="I463">
            <v>0</v>
          </cell>
          <cell r="J463">
            <v>9930000</v>
          </cell>
          <cell r="K463">
            <v>0</v>
          </cell>
        </row>
        <row r="464">
          <cell r="F464">
            <v>73454779</v>
          </cell>
          <cell r="G464">
            <v>0</v>
          </cell>
          <cell r="H464">
            <v>73454779</v>
          </cell>
          <cell r="I464">
            <v>0</v>
          </cell>
          <cell r="J464">
            <v>73454779</v>
          </cell>
          <cell r="K464">
            <v>52233431</v>
          </cell>
        </row>
        <row r="466">
          <cell r="F466">
            <v>4779613</v>
          </cell>
          <cell r="G466">
            <v>0</v>
          </cell>
          <cell r="H466">
            <v>4779613</v>
          </cell>
          <cell r="I466">
            <v>0</v>
          </cell>
          <cell r="J466">
            <v>4779613</v>
          </cell>
          <cell r="K466">
            <v>3513271</v>
          </cell>
        </row>
        <row r="467">
          <cell r="F467">
            <v>4779613</v>
          </cell>
          <cell r="G467">
            <v>0</v>
          </cell>
          <cell r="H467">
            <v>4779613</v>
          </cell>
          <cell r="I467">
            <v>0</v>
          </cell>
          <cell r="J467">
            <v>4779613</v>
          </cell>
          <cell r="K467">
            <v>3513271</v>
          </cell>
        </row>
        <row r="469">
          <cell r="F469">
            <v>1188639</v>
          </cell>
          <cell r="G469">
            <v>0</v>
          </cell>
          <cell r="H469">
            <v>1188639</v>
          </cell>
          <cell r="I469">
            <v>0</v>
          </cell>
          <cell r="J469">
            <v>1188639</v>
          </cell>
          <cell r="K469">
            <v>356954</v>
          </cell>
        </row>
        <row r="470">
          <cell r="F470">
            <v>1674587</v>
          </cell>
          <cell r="G470">
            <v>0</v>
          </cell>
          <cell r="H470">
            <v>1674587</v>
          </cell>
          <cell r="I470">
            <v>0</v>
          </cell>
          <cell r="J470">
            <v>1674587</v>
          </cell>
          <cell r="K470">
            <v>840014</v>
          </cell>
        </row>
        <row r="471">
          <cell r="F471">
            <v>344150</v>
          </cell>
          <cell r="G471">
            <v>0</v>
          </cell>
          <cell r="H471">
            <v>344150</v>
          </cell>
          <cell r="I471">
            <v>0</v>
          </cell>
          <cell r="J471">
            <v>344150</v>
          </cell>
          <cell r="K471">
            <v>254767</v>
          </cell>
        </row>
        <row r="472">
          <cell r="F472">
            <v>0</v>
          </cell>
          <cell r="G472">
            <v>0</v>
          </cell>
          <cell r="H472">
            <v>0</v>
          </cell>
          <cell r="I472">
            <v>0</v>
          </cell>
          <cell r="J472">
            <v>0</v>
          </cell>
          <cell r="K472">
            <v>16875</v>
          </cell>
        </row>
        <row r="473">
          <cell r="F473">
            <v>3207376</v>
          </cell>
          <cell r="G473">
            <v>0</v>
          </cell>
          <cell r="H473">
            <v>3207376</v>
          </cell>
          <cell r="I473">
            <v>0</v>
          </cell>
          <cell r="J473">
            <v>3207376</v>
          </cell>
          <cell r="K473">
            <v>1468610</v>
          </cell>
        </row>
        <row r="475">
          <cell r="F475">
            <v>9175</v>
          </cell>
          <cell r="G475">
            <v>0</v>
          </cell>
          <cell r="H475">
            <v>9175</v>
          </cell>
          <cell r="I475">
            <v>0</v>
          </cell>
          <cell r="J475">
            <v>9175</v>
          </cell>
          <cell r="K475">
            <v>0</v>
          </cell>
        </row>
        <row r="476">
          <cell r="F476">
            <v>13981956</v>
          </cell>
          <cell r="G476">
            <v>0</v>
          </cell>
          <cell r="H476">
            <v>13981956</v>
          </cell>
          <cell r="I476">
            <v>0</v>
          </cell>
          <cell r="J476">
            <v>13981956</v>
          </cell>
          <cell r="K476">
            <v>14735045</v>
          </cell>
        </row>
        <row r="477">
          <cell r="F477">
            <v>232275</v>
          </cell>
          <cell r="G477">
            <v>0</v>
          </cell>
          <cell r="H477">
            <v>232275</v>
          </cell>
          <cell r="I477">
            <v>0</v>
          </cell>
          <cell r="J477">
            <v>232275</v>
          </cell>
          <cell r="K477">
            <v>122832</v>
          </cell>
        </row>
        <row r="478">
          <cell r="F478">
            <v>14223406</v>
          </cell>
          <cell r="G478">
            <v>0</v>
          </cell>
          <cell r="H478">
            <v>14223406</v>
          </cell>
          <cell r="I478">
            <v>0</v>
          </cell>
          <cell r="J478">
            <v>14223406</v>
          </cell>
          <cell r="K478">
            <v>14857877</v>
          </cell>
        </row>
        <row r="480">
          <cell r="F480">
            <v>0</v>
          </cell>
          <cell r="G480">
            <v>0</v>
          </cell>
          <cell r="H480">
            <v>0</v>
          </cell>
          <cell r="I480">
            <v>0</v>
          </cell>
          <cell r="J480">
            <v>0</v>
          </cell>
          <cell r="K480">
            <v>5150</v>
          </cell>
        </row>
        <row r="481">
          <cell r="F481">
            <v>375821</v>
          </cell>
          <cell r="G481">
            <v>0</v>
          </cell>
          <cell r="H481">
            <v>375821</v>
          </cell>
          <cell r="I481">
            <v>0</v>
          </cell>
          <cell r="J481">
            <v>375821</v>
          </cell>
          <cell r="K481">
            <v>43172</v>
          </cell>
        </row>
        <row r="482">
          <cell r="F482">
            <v>837337</v>
          </cell>
          <cell r="G482">
            <v>0</v>
          </cell>
          <cell r="H482">
            <v>837337</v>
          </cell>
          <cell r="I482">
            <v>0</v>
          </cell>
          <cell r="J482">
            <v>837337</v>
          </cell>
          <cell r="K482">
            <v>562624</v>
          </cell>
        </row>
        <row r="483">
          <cell r="F483">
            <v>571453</v>
          </cell>
          <cell r="G483">
            <v>0</v>
          </cell>
          <cell r="H483">
            <v>571453</v>
          </cell>
          <cell r="I483">
            <v>0</v>
          </cell>
          <cell r="J483">
            <v>571453</v>
          </cell>
          <cell r="K483">
            <v>543912</v>
          </cell>
        </row>
        <row r="484">
          <cell r="F484">
            <v>279279</v>
          </cell>
          <cell r="G484">
            <v>0</v>
          </cell>
          <cell r="H484">
            <v>279279</v>
          </cell>
          <cell r="I484">
            <v>0</v>
          </cell>
          <cell r="J484">
            <v>279279</v>
          </cell>
          <cell r="K484">
            <v>115087</v>
          </cell>
        </row>
        <row r="485">
          <cell r="F485">
            <v>169406</v>
          </cell>
          <cell r="G485">
            <v>0</v>
          </cell>
          <cell r="H485">
            <v>169406</v>
          </cell>
          <cell r="I485">
            <v>0</v>
          </cell>
          <cell r="J485">
            <v>169406</v>
          </cell>
          <cell r="K485">
            <v>189698</v>
          </cell>
        </row>
        <row r="486">
          <cell r="F486">
            <v>135696</v>
          </cell>
          <cell r="G486">
            <v>0</v>
          </cell>
          <cell r="H486">
            <v>135696</v>
          </cell>
          <cell r="I486">
            <v>0</v>
          </cell>
          <cell r="J486">
            <v>135696</v>
          </cell>
          <cell r="K486">
            <v>262437</v>
          </cell>
        </row>
        <row r="487">
          <cell r="F487">
            <v>92019</v>
          </cell>
          <cell r="G487">
            <v>0</v>
          </cell>
          <cell r="H487">
            <v>92019</v>
          </cell>
          <cell r="I487">
            <v>0</v>
          </cell>
          <cell r="J487">
            <v>92019</v>
          </cell>
          <cell r="K487">
            <v>147389</v>
          </cell>
        </row>
        <row r="488">
          <cell r="F488">
            <v>0</v>
          </cell>
          <cell r="G488">
            <v>0</v>
          </cell>
          <cell r="H488">
            <v>0</v>
          </cell>
          <cell r="I488">
            <v>0</v>
          </cell>
          <cell r="J488">
            <v>0</v>
          </cell>
          <cell r="K488">
            <v>32000</v>
          </cell>
        </row>
        <row r="489">
          <cell r="F489">
            <v>40753</v>
          </cell>
          <cell r="G489">
            <v>0</v>
          </cell>
          <cell r="H489">
            <v>40753</v>
          </cell>
          <cell r="I489">
            <v>0</v>
          </cell>
          <cell r="J489">
            <v>40753</v>
          </cell>
          <cell r="K489">
            <v>30806</v>
          </cell>
        </row>
        <row r="490">
          <cell r="F490">
            <v>38146</v>
          </cell>
          <cell r="G490">
            <v>0</v>
          </cell>
          <cell r="H490">
            <v>38146</v>
          </cell>
          <cell r="I490">
            <v>0</v>
          </cell>
          <cell r="J490">
            <v>38146</v>
          </cell>
          <cell r="K490">
            <v>36092</v>
          </cell>
        </row>
        <row r="491">
          <cell r="F491">
            <v>150522</v>
          </cell>
          <cell r="G491">
            <v>0</v>
          </cell>
          <cell r="H491">
            <v>150522</v>
          </cell>
          <cell r="I491">
            <v>0</v>
          </cell>
          <cell r="J491">
            <v>150522</v>
          </cell>
          <cell r="K491">
            <v>154467</v>
          </cell>
        </row>
        <row r="492">
          <cell r="F492">
            <v>32048</v>
          </cell>
          <cell r="G492">
            <v>0</v>
          </cell>
          <cell r="H492">
            <v>32048</v>
          </cell>
          <cell r="I492">
            <v>0</v>
          </cell>
          <cell r="J492">
            <v>32048</v>
          </cell>
          <cell r="K492">
            <v>6242</v>
          </cell>
        </row>
        <row r="493">
          <cell r="F493">
            <v>3888</v>
          </cell>
          <cell r="G493">
            <v>0</v>
          </cell>
          <cell r="H493">
            <v>3888</v>
          </cell>
          <cell r="I493">
            <v>0</v>
          </cell>
          <cell r="J493">
            <v>3888</v>
          </cell>
          <cell r="K493">
            <v>0</v>
          </cell>
        </row>
        <row r="494">
          <cell r="F494">
            <v>0</v>
          </cell>
          <cell r="G494">
            <v>0</v>
          </cell>
          <cell r="H494">
            <v>0</v>
          </cell>
          <cell r="I494">
            <v>0</v>
          </cell>
          <cell r="J494">
            <v>0</v>
          </cell>
          <cell r="K494">
            <v>574</v>
          </cell>
        </row>
        <row r="495">
          <cell r="F495">
            <v>20400</v>
          </cell>
          <cell r="G495">
            <v>0</v>
          </cell>
          <cell r="H495">
            <v>20400</v>
          </cell>
          <cell r="I495">
            <v>0</v>
          </cell>
          <cell r="J495">
            <v>20400</v>
          </cell>
          <cell r="K495">
            <v>122015</v>
          </cell>
        </row>
        <row r="496">
          <cell r="F496">
            <v>75000</v>
          </cell>
          <cell r="G496">
            <v>0</v>
          </cell>
          <cell r="H496">
            <v>75000</v>
          </cell>
          <cell r="I496">
            <v>0</v>
          </cell>
          <cell r="J496">
            <v>75000</v>
          </cell>
          <cell r="K496">
            <v>75000</v>
          </cell>
        </row>
        <row r="497">
          <cell r="F497">
            <v>82244</v>
          </cell>
          <cell r="G497">
            <v>0</v>
          </cell>
          <cell r="H497">
            <v>82244</v>
          </cell>
          <cell r="I497">
            <v>0</v>
          </cell>
          <cell r="J497">
            <v>82244</v>
          </cell>
          <cell r="K497">
            <v>57285</v>
          </cell>
        </row>
        <row r="498">
          <cell r="F498">
            <v>0</v>
          </cell>
          <cell r="G498">
            <v>0</v>
          </cell>
          <cell r="H498">
            <v>0</v>
          </cell>
          <cell r="I498">
            <v>0</v>
          </cell>
          <cell r="J498">
            <v>0</v>
          </cell>
          <cell r="K498">
            <v>49728</v>
          </cell>
        </row>
        <row r="499">
          <cell r="F499">
            <v>10414</v>
          </cell>
          <cell r="G499">
            <v>0</v>
          </cell>
          <cell r="H499">
            <v>10414</v>
          </cell>
          <cell r="I499">
            <v>0</v>
          </cell>
          <cell r="J499">
            <v>10414</v>
          </cell>
          <cell r="K499">
            <v>79291</v>
          </cell>
        </row>
        <row r="500">
          <cell r="F500">
            <v>2914426</v>
          </cell>
          <cell r="G500">
            <v>0</v>
          </cell>
          <cell r="H500">
            <v>2914426</v>
          </cell>
          <cell r="I500">
            <v>0</v>
          </cell>
          <cell r="J500">
            <v>2914426</v>
          </cell>
          <cell r="K500">
            <v>2512969</v>
          </cell>
        </row>
        <row r="502">
          <cell r="F502">
            <v>49763463</v>
          </cell>
          <cell r="G502">
            <v>249025</v>
          </cell>
          <cell r="H502">
            <v>50012488</v>
          </cell>
          <cell r="I502">
            <v>0</v>
          </cell>
          <cell r="J502">
            <v>50012488</v>
          </cell>
          <cell r="K502">
            <v>29413566</v>
          </cell>
        </row>
        <row r="503">
          <cell r="F503">
            <v>49763463</v>
          </cell>
          <cell r="G503">
            <v>249025</v>
          </cell>
          <cell r="H503">
            <v>50012488</v>
          </cell>
          <cell r="I503">
            <v>0</v>
          </cell>
          <cell r="J503">
            <v>50012488</v>
          </cell>
          <cell r="K503">
            <v>29413566</v>
          </cell>
        </row>
        <row r="505">
          <cell r="F505">
            <v>3992001</v>
          </cell>
          <cell r="G505">
            <v>0</v>
          </cell>
          <cell r="H505">
            <v>3992001</v>
          </cell>
          <cell r="I505">
            <v>0</v>
          </cell>
          <cell r="J505">
            <v>3992001</v>
          </cell>
          <cell r="K505">
            <v>-7487004</v>
          </cell>
        </row>
        <row r="506">
          <cell r="F506">
            <v>-3174001</v>
          </cell>
          <cell r="G506">
            <v>0</v>
          </cell>
          <cell r="H506">
            <v>-3174001</v>
          </cell>
          <cell r="I506">
            <v>0</v>
          </cell>
          <cell r="J506">
            <v>-3174001</v>
          </cell>
          <cell r="K506">
            <v>2736144</v>
          </cell>
        </row>
        <row r="507">
          <cell r="F507">
            <v>818000</v>
          </cell>
          <cell r="G507">
            <v>0</v>
          </cell>
          <cell r="H507">
            <v>818000</v>
          </cell>
          <cell r="I507">
            <v>0</v>
          </cell>
          <cell r="J507">
            <v>818000</v>
          </cell>
          <cell r="K507">
            <v>-4750860</v>
          </cell>
        </row>
        <row r="509">
          <cell r="F509">
            <v>83423789</v>
          </cell>
          <cell r="G509">
            <v>0</v>
          </cell>
          <cell r="H509">
            <v>83423789</v>
          </cell>
          <cell r="I509">
            <v>0</v>
          </cell>
          <cell r="J509">
            <v>83423789</v>
          </cell>
          <cell r="K509">
            <v>0</v>
          </cell>
        </row>
        <row r="510">
          <cell r="F510">
            <v>2604553</v>
          </cell>
          <cell r="G510">
            <v>0</v>
          </cell>
          <cell r="H510">
            <v>2604553</v>
          </cell>
          <cell r="I510">
            <v>0</v>
          </cell>
          <cell r="J510">
            <v>2604553</v>
          </cell>
          <cell r="K510">
            <v>0</v>
          </cell>
        </row>
        <row r="511">
          <cell r="F511">
            <v>-66781610</v>
          </cell>
          <cell r="G511">
            <v>0</v>
          </cell>
          <cell r="H511">
            <v>-66781610</v>
          </cell>
          <cell r="I511">
            <v>0</v>
          </cell>
          <cell r="J511">
            <v>-66781610</v>
          </cell>
          <cell r="K511">
            <v>19479198</v>
          </cell>
        </row>
        <row r="512">
          <cell r="F512">
            <v>2150000</v>
          </cell>
          <cell r="G512">
            <v>0</v>
          </cell>
          <cell r="H512">
            <v>2150000</v>
          </cell>
          <cell r="I512">
            <v>0</v>
          </cell>
          <cell r="J512">
            <v>2150000</v>
          </cell>
          <cell r="K512">
            <v>-448759</v>
          </cell>
        </row>
        <row r="513">
          <cell r="F513">
            <v>21396732</v>
          </cell>
          <cell r="G513">
            <v>0</v>
          </cell>
          <cell r="H513">
            <v>21396732</v>
          </cell>
          <cell r="I513">
            <v>0</v>
          </cell>
          <cell r="J513">
            <v>21396732</v>
          </cell>
          <cell r="K513">
            <v>19030439</v>
          </cell>
        </row>
        <row r="515">
          <cell r="F515">
            <v>1232241</v>
          </cell>
          <cell r="G515">
            <v>0</v>
          </cell>
          <cell r="H515">
            <v>1232241</v>
          </cell>
          <cell r="I515">
            <v>0</v>
          </cell>
          <cell r="J515">
            <v>1232241</v>
          </cell>
          <cell r="K515">
            <v>697718</v>
          </cell>
        </row>
        <row r="516">
          <cell r="F516">
            <v>120000</v>
          </cell>
          <cell r="G516">
            <v>0</v>
          </cell>
          <cell r="H516">
            <v>120000</v>
          </cell>
          <cell r="I516">
            <v>0</v>
          </cell>
          <cell r="J516">
            <v>120000</v>
          </cell>
          <cell r="K516">
            <v>60000</v>
          </cell>
        </row>
        <row r="517">
          <cell r="F517">
            <v>190570</v>
          </cell>
          <cell r="G517">
            <v>0</v>
          </cell>
          <cell r="H517">
            <v>190570</v>
          </cell>
          <cell r="I517">
            <v>0</v>
          </cell>
          <cell r="J517">
            <v>190570</v>
          </cell>
          <cell r="K517">
            <v>90215</v>
          </cell>
        </row>
        <row r="518">
          <cell r="F518">
            <v>37615</v>
          </cell>
          <cell r="G518">
            <v>0</v>
          </cell>
          <cell r="H518">
            <v>37615</v>
          </cell>
          <cell r="I518">
            <v>0</v>
          </cell>
          <cell r="J518">
            <v>37615</v>
          </cell>
          <cell r="K518">
            <v>80762</v>
          </cell>
        </row>
        <row r="519">
          <cell r="F519">
            <v>360</v>
          </cell>
          <cell r="G519">
            <v>0</v>
          </cell>
          <cell r="H519">
            <v>360</v>
          </cell>
          <cell r="I519">
            <v>0</v>
          </cell>
          <cell r="J519">
            <v>360</v>
          </cell>
          <cell r="K519">
            <v>130</v>
          </cell>
        </row>
        <row r="520">
          <cell r="F520">
            <v>0</v>
          </cell>
          <cell r="G520">
            <v>0</v>
          </cell>
          <cell r="H520">
            <v>0</v>
          </cell>
          <cell r="I520">
            <v>0</v>
          </cell>
          <cell r="J520">
            <v>0</v>
          </cell>
          <cell r="K520">
            <v>45139</v>
          </cell>
        </row>
        <row r="521">
          <cell r="F521">
            <v>0</v>
          </cell>
          <cell r="G521">
            <v>0</v>
          </cell>
          <cell r="H521">
            <v>0</v>
          </cell>
          <cell r="I521">
            <v>0</v>
          </cell>
          <cell r="J521">
            <v>0</v>
          </cell>
          <cell r="K521">
            <v>30000</v>
          </cell>
        </row>
        <row r="522">
          <cell r="F522">
            <v>12020</v>
          </cell>
          <cell r="G522">
            <v>0</v>
          </cell>
          <cell r="H522">
            <v>12020</v>
          </cell>
          <cell r="I522">
            <v>0</v>
          </cell>
          <cell r="J522">
            <v>12020</v>
          </cell>
          <cell r="K522">
            <v>3240</v>
          </cell>
        </row>
        <row r="523">
          <cell r="F523">
            <v>1592806</v>
          </cell>
          <cell r="G523">
            <v>0</v>
          </cell>
          <cell r="H523">
            <v>1592806</v>
          </cell>
          <cell r="I523">
            <v>0</v>
          </cell>
          <cell r="J523">
            <v>1592806</v>
          </cell>
          <cell r="K523">
            <v>1007204</v>
          </cell>
        </row>
        <row r="525">
          <cell r="F525">
            <v>113941</v>
          </cell>
          <cell r="G525">
            <v>0</v>
          </cell>
          <cell r="H525">
            <v>113941</v>
          </cell>
          <cell r="I525">
            <v>0</v>
          </cell>
          <cell r="J525">
            <v>113941</v>
          </cell>
          <cell r="K525">
            <v>319765</v>
          </cell>
        </row>
        <row r="526">
          <cell r="F526">
            <v>45029</v>
          </cell>
          <cell r="G526">
            <v>0</v>
          </cell>
          <cell r="H526">
            <v>45029</v>
          </cell>
          <cell r="I526">
            <v>0</v>
          </cell>
          <cell r="J526">
            <v>45029</v>
          </cell>
          <cell r="K526">
            <v>57070</v>
          </cell>
        </row>
        <row r="527">
          <cell r="F527">
            <v>28071</v>
          </cell>
          <cell r="G527">
            <v>0</v>
          </cell>
          <cell r="H527">
            <v>28071</v>
          </cell>
          <cell r="I527">
            <v>0</v>
          </cell>
          <cell r="J527">
            <v>28071</v>
          </cell>
          <cell r="K527">
            <v>38548</v>
          </cell>
        </row>
        <row r="528">
          <cell r="F528">
            <v>0</v>
          </cell>
          <cell r="G528">
            <v>0</v>
          </cell>
          <cell r="H528">
            <v>0</v>
          </cell>
          <cell r="I528">
            <v>0</v>
          </cell>
          <cell r="J528">
            <v>0</v>
          </cell>
          <cell r="K528">
            <v>4500</v>
          </cell>
        </row>
        <row r="529">
          <cell r="F529">
            <v>187041</v>
          </cell>
          <cell r="G529">
            <v>0</v>
          </cell>
          <cell r="H529">
            <v>187041</v>
          </cell>
          <cell r="I529">
            <v>0</v>
          </cell>
          <cell r="J529">
            <v>187041</v>
          </cell>
          <cell r="K529">
            <v>419883</v>
          </cell>
        </row>
        <row r="531">
          <cell r="F531">
            <v>42410</v>
          </cell>
          <cell r="G531">
            <v>0</v>
          </cell>
          <cell r="H531">
            <v>42410</v>
          </cell>
          <cell r="I531">
            <v>0</v>
          </cell>
          <cell r="J531">
            <v>42410</v>
          </cell>
          <cell r="K531">
            <v>14099</v>
          </cell>
        </row>
        <row r="532">
          <cell r="F532">
            <v>90</v>
          </cell>
          <cell r="G532">
            <v>0</v>
          </cell>
          <cell r="H532">
            <v>90</v>
          </cell>
          <cell r="I532">
            <v>0</v>
          </cell>
          <cell r="J532">
            <v>90</v>
          </cell>
          <cell r="K532">
            <v>0</v>
          </cell>
        </row>
        <row r="533">
          <cell r="F533">
            <v>2200</v>
          </cell>
          <cell r="G533">
            <v>0</v>
          </cell>
          <cell r="H533">
            <v>2200</v>
          </cell>
          <cell r="I533">
            <v>0</v>
          </cell>
          <cell r="J533">
            <v>2200</v>
          </cell>
          <cell r="K533">
            <v>0</v>
          </cell>
        </row>
        <row r="534">
          <cell r="F534">
            <v>44700</v>
          </cell>
          <cell r="G534">
            <v>0</v>
          </cell>
          <cell r="H534">
            <v>44700</v>
          </cell>
          <cell r="I534">
            <v>0</v>
          </cell>
          <cell r="J534">
            <v>44700</v>
          </cell>
          <cell r="K534">
            <v>14099</v>
          </cell>
        </row>
        <row r="536">
          <cell r="F536">
            <v>24252</v>
          </cell>
          <cell r="G536">
            <v>0</v>
          </cell>
          <cell r="H536">
            <v>24252</v>
          </cell>
          <cell r="I536">
            <v>0</v>
          </cell>
          <cell r="J536">
            <v>24252</v>
          </cell>
          <cell r="K536">
            <v>3311</v>
          </cell>
        </row>
        <row r="537">
          <cell r="F537">
            <v>300</v>
          </cell>
          <cell r="G537">
            <v>0</v>
          </cell>
          <cell r="H537">
            <v>300</v>
          </cell>
          <cell r="I537">
            <v>0</v>
          </cell>
          <cell r="J537">
            <v>300</v>
          </cell>
          <cell r="K537">
            <v>0</v>
          </cell>
        </row>
        <row r="538">
          <cell r="F538">
            <v>52235</v>
          </cell>
          <cell r="G538">
            <v>0</v>
          </cell>
          <cell r="H538">
            <v>52235</v>
          </cell>
          <cell r="I538">
            <v>0</v>
          </cell>
          <cell r="J538">
            <v>52235</v>
          </cell>
          <cell r="K538">
            <v>128351</v>
          </cell>
        </row>
        <row r="539">
          <cell r="F539">
            <v>242840</v>
          </cell>
          <cell r="G539">
            <v>0</v>
          </cell>
          <cell r="H539">
            <v>242840</v>
          </cell>
          <cell r="I539">
            <v>0</v>
          </cell>
          <cell r="J539">
            <v>242840</v>
          </cell>
          <cell r="K539">
            <v>79018</v>
          </cell>
        </row>
        <row r="540">
          <cell r="F540">
            <v>0</v>
          </cell>
          <cell r="G540">
            <v>0</v>
          </cell>
          <cell r="H540">
            <v>0</v>
          </cell>
          <cell r="I540">
            <v>0</v>
          </cell>
          <cell r="J540">
            <v>0</v>
          </cell>
          <cell r="K540">
            <v>13158</v>
          </cell>
        </row>
        <row r="541">
          <cell r="F541">
            <v>319627</v>
          </cell>
          <cell r="G541">
            <v>0</v>
          </cell>
          <cell r="H541">
            <v>319627</v>
          </cell>
          <cell r="I541">
            <v>0</v>
          </cell>
          <cell r="J541">
            <v>319627</v>
          </cell>
          <cell r="K541">
            <v>223838</v>
          </cell>
        </row>
        <row r="543">
          <cell r="F543">
            <v>0</v>
          </cell>
          <cell r="G543">
            <v>0</v>
          </cell>
          <cell r="H543">
            <v>0</v>
          </cell>
          <cell r="I543">
            <v>0</v>
          </cell>
          <cell r="J543">
            <v>0</v>
          </cell>
          <cell r="K543">
            <v>0</v>
          </cell>
        </row>
        <row r="545">
          <cell r="F545">
            <v>4492797</v>
          </cell>
          <cell r="G545">
            <v>0</v>
          </cell>
          <cell r="H545">
            <v>4492797</v>
          </cell>
          <cell r="I545">
            <v>0</v>
          </cell>
          <cell r="J545">
            <v>4492797</v>
          </cell>
          <cell r="K545">
            <v>2528970</v>
          </cell>
        </row>
        <row r="546">
          <cell r="F546">
            <v>5543</v>
          </cell>
          <cell r="G546">
            <v>0</v>
          </cell>
          <cell r="H546">
            <v>5543</v>
          </cell>
          <cell r="I546">
            <v>0</v>
          </cell>
          <cell r="J546">
            <v>5543</v>
          </cell>
          <cell r="K546">
            <v>5405</v>
          </cell>
        </row>
        <row r="547">
          <cell r="F547">
            <v>537039</v>
          </cell>
          <cell r="G547">
            <v>0</v>
          </cell>
          <cell r="H547">
            <v>537039</v>
          </cell>
          <cell r="I547">
            <v>0</v>
          </cell>
          <cell r="J547">
            <v>537039</v>
          </cell>
          <cell r="K547">
            <v>462295</v>
          </cell>
        </row>
        <row r="548">
          <cell r="F548">
            <v>445733</v>
          </cell>
          <cell r="G548">
            <v>0</v>
          </cell>
          <cell r="H548">
            <v>445733</v>
          </cell>
          <cell r="I548">
            <v>0</v>
          </cell>
          <cell r="J548">
            <v>445733</v>
          </cell>
          <cell r="K548">
            <v>278234</v>
          </cell>
        </row>
        <row r="549">
          <cell r="F549">
            <v>1024318</v>
          </cell>
          <cell r="G549">
            <v>0</v>
          </cell>
          <cell r="H549">
            <v>1024318</v>
          </cell>
          <cell r="I549">
            <v>0</v>
          </cell>
          <cell r="J549">
            <v>1024318</v>
          </cell>
          <cell r="K549">
            <v>665755</v>
          </cell>
        </row>
        <row r="550">
          <cell r="F550">
            <v>480242</v>
          </cell>
          <cell r="G550">
            <v>0</v>
          </cell>
          <cell r="H550">
            <v>480242</v>
          </cell>
          <cell r="I550">
            <v>0</v>
          </cell>
          <cell r="J550">
            <v>480242</v>
          </cell>
          <cell r="K550">
            <v>262119</v>
          </cell>
        </row>
        <row r="551">
          <cell r="F551">
            <v>24900</v>
          </cell>
          <cell r="G551">
            <v>0</v>
          </cell>
          <cell r="H551">
            <v>24900</v>
          </cell>
          <cell r="I551">
            <v>0</v>
          </cell>
          <cell r="J551">
            <v>24900</v>
          </cell>
          <cell r="K551">
            <v>13410</v>
          </cell>
        </row>
        <row r="552">
          <cell r="F552">
            <v>4860</v>
          </cell>
          <cell r="G552">
            <v>0</v>
          </cell>
          <cell r="H552">
            <v>4860</v>
          </cell>
          <cell r="I552">
            <v>0</v>
          </cell>
          <cell r="J552">
            <v>4860</v>
          </cell>
          <cell r="K552">
            <v>460</v>
          </cell>
        </row>
        <row r="553">
          <cell r="F553">
            <v>-60238</v>
          </cell>
          <cell r="G553">
            <v>0</v>
          </cell>
          <cell r="H553">
            <v>-60238</v>
          </cell>
          <cell r="I553">
            <v>0</v>
          </cell>
          <cell r="J553">
            <v>-60238</v>
          </cell>
          <cell r="K553">
            <v>126549</v>
          </cell>
        </row>
        <row r="554">
          <cell r="F554">
            <v>12000</v>
          </cell>
          <cell r="G554">
            <v>0</v>
          </cell>
          <cell r="H554">
            <v>12000</v>
          </cell>
          <cell r="I554">
            <v>0</v>
          </cell>
          <cell r="J554">
            <v>12000</v>
          </cell>
          <cell r="K554">
            <v>1200</v>
          </cell>
        </row>
        <row r="555">
          <cell r="F555">
            <v>6967194</v>
          </cell>
          <cell r="G555">
            <v>0</v>
          </cell>
          <cell r="H555">
            <v>6967194</v>
          </cell>
          <cell r="I555">
            <v>0</v>
          </cell>
          <cell r="J555">
            <v>6967194</v>
          </cell>
          <cell r="K555">
            <v>4344397</v>
          </cell>
        </row>
        <row r="557">
          <cell r="F557">
            <v>72016</v>
          </cell>
          <cell r="G557">
            <v>0</v>
          </cell>
          <cell r="H557">
            <v>72016</v>
          </cell>
          <cell r="I557">
            <v>0</v>
          </cell>
          <cell r="J557">
            <v>72016</v>
          </cell>
          <cell r="K557">
            <v>52461</v>
          </cell>
        </row>
        <row r="558">
          <cell r="F558">
            <v>27097</v>
          </cell>
          <cell r="G558">
            <v>0</v>
          </cell>
          <cell r="H558">
            <v>27097</v>
          </cell>
          <cell r="I558">
            <v>0</v>
          </cell>
          <cell r="J558">
            <v>27097</v>
          </cell>
          <cell r="K558">
            <v>22607</v>
          </cell>
        </row>
        <row r="559">
          <cell r="F559">
            <v>16098</v>
          </cell>
          <cell r="G559">
            <v>0</v>
          </cell>
          <cell r="H559">
            <v>16098</v>
          </cell>
          <cell r="I559">
            <v>0</v>
          </cell>
          <cell r="J559">
            <v>16098</v>
          </cell>
          <cell r="K559">
            <v>11208</v>
          </cell>
        </row>
        <row r="560">
          <cell r="F560">
            <v>6104</v>
          </cell>
          <cell r="G560">
            <v>0</v>
          </cell>
          <cell r="H560">
            <v>6104</v>
          </cell>
          <cell r="I560">
            <v>0</v>
          </cell>
          <cell r="J560">
            <v>6104</v>
          </cell>
          <cell r="K560">
            <v>5339</v>
          </cell>
        </row>
        <row r="561">
          <cell r="F561">
            <v>21957</v>
          </cell>
          <cell r="G561">
            <v>0</v>
          </cell>
          <cell r="H561">
            <v>21957</v>
          </cell>
          <cell r="I561">
            <v>0</v>
          </cell>
          <cell r="J561">
            <v>21957</v>
          </cell>
          <cell r="K561">
            <v>14357</v>
          </cell>
        </row>
        <row r="562">
          <cell r="F562">
            <v>26438</v>
          </cell>
          <cell r="G562">
            <v>0</v>
          </cell>
          <cell r="H562">
            <v>26438</v>
          </cell>
          <cell r="I562">
            <v>0</v>
          </cell>
          <cell r="J562">
            <v>26438</v>
          </cell>
          <cell r="K562">
            <v>23933</v>
          </cell>
        </row>
        <row r="563">
          <cell r="F563">
            <v>27600</v>
          </cell>
          <cell r="G563">
            <v>0</v>
          </cell>
          <cell r="H563">
            <v>27600</v>
          </cell>
          <cell r="I563">
            <v>0</v>
          </cell>
          <cell r="J563">
            <v>27600</v>
          </cell>
          <cell r="K563">
            <v>96793</v>
          </cell>
        </row>
        <row r="564">
          <cell r="F564">
            <v>5000</v>
          </cell>
          <cell r="G564">
            <v>0</v>
          </cell>
          <cell r="H564">
            <v>5000</v>
          </cell>
          <cell r="I564">
            <v>0</v>
          </cell>
          <cell r="J564">
            <v>5000</v>
          </cell>
          <cell r="K564">
            <v>52485</v>
          </cell>
        </row>
        <row r="565">
          <cell r="F565">
            <v>151481</v>
          </cell>
          <cell r="G565">
            <v>0</v>
          </cell>
          <cell r="H565">
            <v>151481</v>
          </cell>
          <cell r="I565">
            <v>0</v>
          </cell>
          <cell r="J565">
            <v>151481</v>
          </cell>
          <cell r="K565">
            <v>0</v>
          </cell>
        </row>
        <row r="566">
          <cell r="F566">
            <v>353791</v>
          </cell>
          <cell r="G566">
            <v>0</v>
          </cell>
          <cell r="H566">
            <v>353791</v>
          </cell>
          <cell r="I566">
            <v>0</v>
          </cell>
          <cell r="J566">
            <v>353791</v>
          </cell>
          <cell r="K566">
            <v>279183</v>
          </cell>
        </row>
        <row r="568">
          <cell r="F568">
            <v>356816</v>
          </cell>
          <cell r="G568">
            <v>0</v>
          </cell>
          <cell r="H568">
            <v>356816</v>
          </cell>
          <cell r="I568">
            <v>0</v>
          </cell>
          <cell r="J568">
            <v>356816</v>
          </cell>
          <cell r="K568">
            <v>39800</v>
          </cell>
        </row>
        <row r="569">
          <cell r="F569">
            <v>24200</v>
          </cell>
          <cell r="G569">
            <v>0</v>
          </cell>
          <cell r="H569">
            <v>24200</v>
          </cell>
          <cell r="I569">
            <v>0</v>
          </cell>
          <cell r="J569">
            <v>24200</v>
          </cell>
          <cell r="K569">
            <v>4800</v>
          </cell>
        </row>
        <row r="570">
          <cell r="F570">
            <v>381016</v>
          </cell>
          <cell r="G570">
            <v>0</v>
          </cell>
          <cell r="H570">
            <v>381016</v>
          </cell>
          <cell r="I570">
            <v>0</v>
          </cell>
          <cell r="J570">
            <v>381016</v>
          </cell>
          <cell r="K570">
            <v>44600</v>
          </cell>
        </row>
        <row r="572">
          <cell r="F572">
            <v>60078</v>
          </cell>
          <cell r="G572">
            <v>0</v>
          </cell>
          <cell r="H572">
            <v>60078</v>
          </cell>
          <cell r="I572">
            <v>0</v>
          </cell>
          <cell r="J572">
            <v>60078</v>
          </cell>
          <cell r="K572">
            <v>32936</v>
          </cell>
        </row>
        <row r="573">
          <cell r="F573">
            <v>12450</v>
          </cell>
          <cell r="G573">
            <v>0</v>
          </cell>
          <cell r="H573">
            <v>12450</v>
          </cell>
          <cell r="I573">
            <v>0</v>
          </cell>
          <cell r="J573">
            <v>12450</v>
          </cell>
          <cell r="K573">
            <v>10673</v>
          </cell>
        </row>
        <row r="574">
          <cell r="F574">
            <v>133961</v>
          </cell>
          <cell r="G574">
            <v>0</v>
          </cell>
          <cell r="H574">
            <v>133961</v>
          </cell>
          <cell r="I574">
            <v>0</v>
          </cell>
          <cell r="J574">
            <v>133961</v>
          </cell>
          <cell r="K574">
            <v>90468</v>
          </cell>
        </row>
        <row r="575">
          <cell r="F575">
            <v>12373</v>
          </cell>
          <cell r="G575">
            <v>0</v>
          </cell>
          <cell r="H575">
            <v>12373</v>
          </cell>
          <cell r="I575">
            <v>0</v>
          </cell>
          <cell r="J575">
            <v>12373</v>
          </cell>
          <cell r="K575">
            <v>3776</v>
          </cell>
        </row>
        <row r="576">
          <cell r="F576">
            <v>0</v>
          </cell>
          <cell r="G576">
            <v>0</v>
          </cell>
          <cell r="H576">
            <v>0</v>
          </cell>
          <cell r="I576">
            <v>0</v>
          </cell>
          <cell r="J576">
            <v>0</v>
          </cell>
          <cell r="K576">
            <v>1260</v>
          </cell>
        </row>
        <row r="577">
          <cell r="F577">
            <v>1949</v>
          </cell>
          <cell r="G577">
            <v>0</v>
          </cell>
          <cell r="H577">
            <v>1949</v>
          </cell>
          <cell r="I577">
            <v>0</v>
          </cell>
          <cell r="J577">
            <v>1949</v>
          </cell>
          <cell r="K577">
            <v>0</v>
          </cell>
        </row>
        <row r="578">
          <cell r="F578">
            <v>1200</v>
          </cell>
          <cell r="G578">
            <v>0</v>
          </cell>
          <cell r="H578">
            <v>1200</v>
          </cell>
          <cell r="I578">
            <v>0</v>
          </cell>
          <cell r="J578">
            <v>1200</v>
          </cell>
          <cell r="K578">
            <v>0</v>
          </cell>
        </row>
        <row r="579">
          <cell r="F579">
            <v>222011</v>
          </cell>
          <cell r="G579">
            <v>0</v>
          </cell>
          <cell r="H579">
            <v>222011</v>
          </cell>
          <cell r="I579">
            <v>0</v>
          </cell>
          <cell r="J579">
            <v>222011</v>
          </cell>
          <cell r="K579">
            <v>139113</v>
          </cell>
        </row>
        <row r="581">
          <cell r="F581">
            <v>0</v>
          </cell>
          <cell r="G581">
            <v>0</v>
          </cell>
          <cell r="H581">
            <v>0</v>
          </cell>
          <cell r="I581">
            <v>0</v>
          </cell>
          <cell r="J581">
            <v>0</v>
          </cell>
          <cell r="K581">
            <v>59800</v>
          </cell>
        </row>
        <row r="582">
          <cell r="F582">
            <v>414964</v>
          </cell>
          <cell r="G582">
            <v>0</v>
          </cell>
          <cell r="H582">
            <v>414964</v>
          </cell>
          <cell r="I582">
            <v>0</v>
          </cell>
          <cell r="J582">
            <v>414964</v>
          </cell>
          <cell r="K582">
            <v>32221</v>
          </cell>
        </row>
        <row r="583">
          <cell r="F583">
            <v>53957</v>
          </cell>
          <cell r="G583">
            <v>0</v>
          </cell>
          <cell r="H583">
            <v>53957</v>
          </cell>
          <cell r="I583">
            <v>0</v>
          </cell>
          <cell r="J583">
            <v>53957</v>
          </cell>
          <cell r="K583">
            <v>65824</v>
          </cell>
        </row>
        <row r="584">
          <cell r="F584">
            <v>468921</v>
          </cell>
          <cell r="G584">
            <v>0</v>
          </cell>
          <cell r="H584">
            <v>468921</v>
          </cell>
          <cell r="I584">
            <v>0</v>
          </cell>
          <cell r="J584">
            <v>468921</v>
          </cell>
          <cell r="K584">
            <v>157845</v>
          </cell>
        </row>
        <row r="586">
          <cell r="F586">
            <v>6719</v>
          </cell>
          <cell r="G586">
            <v>0</v>
          </cell>
          <cell r="H586">
            <v>6719</v>
          </cell>
          <cell r="I586">
            <v>0</v>
          </cell>
          <cell r="J586">
            <v>6719</v>
          </cell>
          <cell r="K586">
            <v>22460</v>
          </cell>
        </row>
        <row r="587">
          <cell r="F587">
            <v>0</v>
          </cell>
          <cell r="G587">
            <v>0</v>
          </cell>
          <cell r="H587">
            <v>0</v>
          </cell>
          <cell r="I587">
            <v>0</v>
          </cell>
          <cell r="J587">
            <v>0</v>
          </cell>
          <cell r="K587">
            <v>11316</v>
          </cell>
        </row>
        <row r="588">
          <cell r="F588">
            <v>604360</v>
          </cell>
          <cell r="G588">
            <v>0</v>
          </cell>
          <cell r="H588">
            <v>604360</v>
          </cell>
          <cell r="I588">
            <v>0</v>
          </cell>
          <cell r="J588">
            <v>604360</v>
          </cell>
          <cell r="K588">
            <v>282654</v>
          </cell>
        </row>
        <row r="589">
          <cell r="F589">
            <v>30220</v>
          </cell>
          <cell r="G589">
            <v>0</v>
          </cell>
          <cell r="H589">
            <v>30220</v>
          </cell>
          <cell r="I589">
            <v>0</v>
          </cell>
          <cell r="J589">
            <v>30220</v>
          </cell>
          <cell r="K589">
            <v>0</v>
          </cell>
        </row>
        <row r="590">
          <cell r="F590">
            <v>48880</v>
          </cell>
          <cell r="G590">
            <v>0</v>
          </cell>
          <cell r="H590">
            <v>48880</v>
          </cell>
          <cell r="I590">
            <v>0</v>
          </cell>
          <cell r="J590">
            <v>48880</v>
          </cell>
          <cell r="K590">
            <v>35765</v>
          </cell>
        </row>
        <row r="591">
          <cell r="F591">
            <v>590</v>
          </cell>
          <cell r="G591">
            <v>0</v>
          </cell>
          <cell r="H591">
            <v>590</v>
          </cell>
          <cell r="I591">
            <v>0</v>
          </cell>
          <cell r="J591">
            <v>590</v>
          </cell>
          <cell r="K591">
            <v>0</v>
          </cell>
        </row>
        <row r="592">
          <cell r="F592">
            <v>32078</v>
          </cell>
          <cell r="G592">
            <v>0</v>
          </cell>
          <cell r="H592">
            <v>32078</v>
          </cell>
          <cell r="I592">
            <v>0</v>
          </cell>
          <cell r="J592">
            <v>32078</v>
          </cell>
          <cell r="K592">
            <v>48932</v>
          </cell>
        </row>
        <row r="593">
          <cell r="F593">
            <v>722847</v>
          </cell>
          <cell r="G593">
            <v>0</v>
          </cell>
          <cell r="H593">
            <v>722847</v>
          </cell>
          <cell r="I593">
            <v>0</v>
          </cell>
          <cell r="J593">
            <v>722847</v>
          </cell>
          <cell r="K593">
            <v>401127</v>
          </cell>
        </row>
        <row r="595">
          <cell r="F595">
            <v>196175</v>
          </cell>
          <cell r="G595">
            <v>0</v>
          </cell>
          <cell r="H595">
            <v>196175</v>
          </cell>
          <cell r="I595">
            <v>0</v>
          </cell>
          <cell r="J595">
            <v>196175</v>
          </cell>
          <cell r="K595">
            <v>335100</v>
          </cell>
        </row>
        <row r="596">
          <cell r="F596">
            <v>190000</v>
          </cell>
          <cell r="G596">
            <v>0</v>
          </cell>
          <cell r="H596">
            <v>190000</v>
          </cell>
          <cell r="I596">
            <v>0</v>
          </cell>
          <cell r="J596">
            <v>190000</v>
          </cell>
          <cell r="K596">
            <v>0</v>
          </cell>
        </row>
        <row r="597">
          <cell r="F597">
            <v>477500</v>
          </cell>
          <cell r="G597">
            <v>0</v>
          </cell>
          <cell r="H597">
            <v>477500</v>
          </cell>
          <cell r="I597">
            <v>0</v>
          </cell>
          <cell r="J597">
            <v>477500</v>
          </cell>
          <cell r="K597">
            <v>25000</v>
          </cell>
        </row>
        <row r="598">
          <cell r="F598">
            <v>863675</v>
          </cell>
          <cell r="G598">
            <v>0</v>
          </cell>
          <cell r="H598">
            <v>863675</v>
          </cell>
          <cell r="I598">
            <v>0</v>
          </cell>
          <cell r="J598">
            <v>863675</v>
          </cell>
          <cell r="K598">
            <v>360100</v>
          </cell>
        </row>
        <row r="600">
          <cell r="F600">
            <v>53284</v>
          </cell>
          <cell r="G600">
            <v>0</v>
          </cell>
          <cell r="H600">
            <v>53284</v>
          </cell>
          <cell r="I600">
            <v>0</v>
          </cell>
          <cell r="J600">
            <v>53284</v>
          </cell>
          <cell r="K600">
            <v>227684</v>
          </cell>
        </row>
        <row r="601">
          <cell r="F601">
            <v>53284</v>
          </cell>
          <cell r="G601">
            <v>0</v>
          </cell>
          <cell r="H601">
            <v>53284</v>
          </cell>
          <cell r="I601">
            <v>0</v>
          </cell>
          <cell r="J601">
            <v>53284</v>
          </cell>
          <cell r="K601">
            <v>227684</v>
          </cell>
        </row>
        <row r="603">
          <cell r="F603">
            <v>14071</v>
          </cell>
          <cell r="G603">
            <v>0</v>
          </cell>
          <cell r="H603">
            <v>14071</v>
          </cell>
          <cell r="I603">
            <v>0</v>
          </cell>
          <cell r="J603">
            <v>14071</v>
          </cell>
          <cell r="K603">
            <v>5720</v>
          </cell>
        </row>
        <row r="604">
          <cell r="F604">
            <v>0</v>
          </cell>
          <cell r="G604">
            <v>0</v>
          </cell>
          <cell r="H604">
            <v>0</v>
          </cell>
          <cell r="I604">
            <v>0</v>
          </cell>
          <cell r="J604">
            <v>0</v>
          </cell>
          <cell r="K604">
            <v>6000</v>
          </cell>
        </row>
        <row r="605">
          <cell r="F605">
            <v>48121</v>
          </cell>
          <cell r="G605">
            <v>0</v>
          </cell>
          <cell r="H605">
            <v>48121</v>
          </cell>
          <cell r="I605">
            <v>0</v>
          </cell>
          <cell r="J605">
            <v>48121</v>
          </cell>
          <cell r="K605">
            <v>17439</v>
          </cell>
        </row>
        <row r="606">
          <cell r="F606">
            <v>42412</v>
          </cell>
          <cell r="G606">
            <v>0</v>
          </cell>
          <cell r="H606">
            <v>42412</v>
          </cell>
          <cell r="I606">
            <v>0</v>
          </cell>
          <cell r="J606">
            <v>42412</v>
          </cell>
          <cell r="K606">
            <v>0</v>
          </cell>
        </row>
        <row r="607">
          <cell r="F607">
            <v>104604</v>
          </cell>
          <cell r="G607">
            <v>0</v>
          </cell>
          <cell r="H607">
            <v>104604</v>
          </cell>
          <cell r="I607">
            <v>0</v>
          </cell>
          <cell r="J607">
            <v>104604</v>
          </cell>
          <cell r="K607">
            <v>29159</v>
          </cell>
        </row>
        <row r="609">
          <cell r="F609">
            <v>34894</v>
          </cell>
          <cell r="G609">
            <v>0</v>
          </cell>
          <cell r="H609">
            <v>34894</v>
          </cell>
          <cell r="I609">
            <v>0</v>
          </cell>
          <cell r="J609">
            <v>34894</v>
          </cell>
          <cell r="K609">
            <v>20690</v>
          </cell>
        </row>
        <row r="610">
          <cell r="F610">
            <v>426535</v>
          </cell>
          <cell r="G610">
            <v>0</v>
          </cell>
          <cell r="H610">
            <v>426535</v>
          </cell>
          <cell r="I610">
            <v>0</v>
          </cell>
          <cell r="J610">
            <v>426535</v>
          </cell>
          <cell r="K610">
            <v>197888</v>
          </cell>
        </row>
        <row r="611">
          <cell r="F611">
            <v>115685</v>
          </cell>
          <cell r="G611">
            <v>0</v>
          </cell>
          <cell r="H611">
            <v>115685</v>
          </cell>
          <cell r="I611">
            <v>0</v>
          </cell>
          <cell r="J611">
            <v>115685</v>
          </cell>
          <cell r="K611">
            <v>0</v>
          </cell>
        </row>
        <row r="612">
          <cell r="F612">
            <v>161365</v>
          </cell>
          <cell r="G612">
            <v>0</v>
          </cell>
          <cell r="H612">
            <v>161365</v>
          </cell>
          <cell r="I612">
            <v>0</v>
          </cell>
          <cell r="J612">
            <v>161365</v>
          </cell>
          <cell r="K612">
            <v>68382</v>
          </cell>
        </row>
        <row r="613">
          <cell r="F613">
            <v>35716</v>
          </cell>
          <cell r="G613">
            <v>0</v>
          </cell>
          <cell r="H613">
            <v>35716</v>
          </cell>
          <cell r="I613">
            <v>0</v>
          </cell>
          <cell r="J613">
            <v>35716</v>
          </cell>
          <cell r="K613">
            <v>2221</v>
          </cell>
        </row>
        <row r="614">
          <cell r="F614">
            <v>0</v>
          </cell>
          <cell r="G614">
            <v>0</v>
          </cell>
          <cell r="H614">
            <v>0</v>
          </cell>
          <cell r="I614">
            <v>0</v>
          </cell>
          <cell r="J614">
            <v>0</v>
          </cell>
          <cell r="K614">
            <v>6790</v>
          </cell>
        </row>
        <row r="615">
          <cell r="F615">
            <v>774195</v>
          </cell>
          <cell r="G615">
            <v>0</v>
          </cell>
          <cell r="H615">
            <v>774195</v>
          </cell>
          <cell r="I615">
            <v>0</v>
          </cell>
          <cell r="J615">
            <v>774195</v>
          </cell>
          <cell r="K615">
            <v>295971</v>
          </cell>
        </row>
        <row r="617">
          <cell r="F617">
            <v>405760</v>
          </cell>
          <cell r="G617">
            <v>0</v>
          </cell>
          <cell r="H617">
            <v>405760</v>
          </cell>
          <cell r="I617">
            <v>0</v>
          </cell>
          <cell r="J617">
            <v>405760</v>
          </cell>
          <cell r="K617">
            <v>500000</v>
          </cell>
        </row>
        <row r="618">
          <cell r="F618">
            <v>405760</v>
          </cell>
          <cell r="G618">
            <v>0</v>
          </cell>
          <cell r="H618">
            <v>405760</v>
          </cell>
          <cell r="I618">
            <v>0</v>
          </cell>
          <cell r="J618">
            <v>405760</v>
          </cell>
          <cell r="K618">
            <v>500000</v>
          </cell>
        </row>
        <row r="620">
          <cell r="F620">
            <v>71682</v>
          </cell>
          <cell r="G620">
            <v>0</v>
          </cell>
          <cell r="H620">
            <v>71682</v>
          </cell>
          <cell r="I620">
            <v>0</v>
          </cell>
          <cell r="J620">
            <v>71682</v>
          </cell>
          <cell r="K620">
            <v>32315</v>
          </cell>
        </row>
        <row r="621">
          <cell r="F621">
            <v>168007</v>
          </cell>
          <cell r="G621">
            <v>0</v>
          </cell>
          <cell r="H621">
            <v>168007</v>
          </cell>
          <cell r="I621">
            <v>0</v>
          </cell>
          <cell r="J621">
            <v>168007</v>
          </cell>
          <cell r="K621">
            <v>70551</v>
          </cell>
        </row>
        <row r="622">
          <cell r="F622">
            <v>4472</v>
          </cell>
          <cell r="G622">
            <v>0</v>
          </cell>
          <cell r="H622">
            <v>4472</v>
          </cell>
          <cell r="I622">
            <v>0</v>
          </cell>
          <cell r="J622">
            <v>4472</v>
          </cell>
          <cell r="K622">
            <v>2774</v>
          </cell>
        </row>
        <row r="623">
          <cell r="F623">
            <v>244161</v>
          </cell>
          <cell r="G623">
            <v>0</v>
          </cell>
          <cell r="H623">
            <v>244161</v>
          </cell>
          <cell r="I623">
            <v>0</v>
          </cell>
          <cell r="J623">
            <v>244161</v>
          </cell>
          <cell r="K623">
            <v>105640</v>
          </cell>
        </row>
        <row r="625">
          <cell r="F625">
            <v>240000</v>
          </cell>
          <cell r="G625">
            <v>0</v>
          </cell>
          <cell r="H625">
            <v>240000</v>
          </cell>
          <cell r="I625">
            <v>0</v>
          </cell>
          <cell r="J625">
            <v>240000</v>
          </cell>
          <cell r="K625">
            <v>200000</v>
          </cell>
        </row>
        <row r="626">
          <cell r="F626">
            <v>240000</v>
          </cell>
          <cell r="G626">
            <v>0</v>
          </cell>
          <cell r="H626">
            <v>240000</v>
          </cell>
          <cell r="I626">
            <v>0</v>
          </cell>
          <cell r="J626">
            <v>240000</v>
          </cell>
          <cell r="K626">
            <v>200000</v>
          </cell>
        </row>
        <row r="628">
          <cell r="F628">
            <v>1751926</v>
          </cell>
          <cell r="G628">
            <v>0</v>
          </cell>
          <cell r="H628">
            <v>1751926</v>
          </cell>
          <cell r="I628">
            <v>0</v>
          </cell>
          <cell r="J628">
            <v>1751926</v>
          </cell>
          <cell r="K628">
            <v>3129099</v>
          </cell>
        </row>
        <row r="629">
          <cell r="F629">
            <v>1751926</v>
          </cell>
          <cell r="G629">
            <v>0</v>
          </cell>
          <cell r="H629">
            <v>1751926</v>
          </cell>
          <cell r="I629">
            <v>0</v>
          </cell>
          <cell r="J629">
            <v>1751926</v>
          </cell>
          <cell r="K629">
            <v>3129099</v>
          </cell>
        </row>
        <row r="631">
          <cell r="F631">
            <v>0</v>
          </cell>
          <cell r="G631">
            <v>0</v>
          </cell>
          <cell r="H631">
            <v>0</v>
          </cell>
          <cell r="I631">
            <v>0</v>
          </cell>
          <cell r="J631">
            <v>0</v>
          </cell>
          <cell r="K631">
            <v>0</v>
          </cell>
        </row>
        <row r="633">
          <cell r="F633">
            <v>-1291806</v>
          </cell>
          <cell r="G633">
            <v>0</v>
          </cell>
          <cell r="H633">
            <v>-1291806</v>
          </cell>
          <cell r="I633">
            <v>0</v>
          </cell>
          <cell r="J633">
            <v>-1291806</v>
          </cell>
          <cell r="K633">
            <v>-50226</v>
          </cell>
        </row>
        <row r="634">
          <cell r="F634">
            <v>-1291806</v>
          </cell>
          <cell r="G634">
            <v>0</v>
          </cell>
          <cell r="H634">
            <v>-1291806</v>
          </cell>
          <cell r="I634">
            <v>0</v>
          </cell>
          <cell r="J634">
            <v>-1291806</v>
          </cell>
          <cell r="K634">
            <v>-50226</v>
          </cell>
        </row>
        <row r="636">
          <cell r="F636">
            <v>-2370461</v>
          </cell>
          <cell r="G636">
            <v>0</v>
          </cell>
          <cell r="H636">
            <v>-2370461</v>
          </cell>
          <cell r="I636">
            <v>0</v>
          </cell>
          <cell r="J636">
            <v>-2370461</v>
          </cell>
          <cell r="K636">
            <v>-1002489</v>
          </cell>
        </row>
        <row r="637">
          <cell r="F637">
            <v>-41484</v>
          </cell>
          <cell r="G637">
            <v>0</v>
          </cell>
          <cell r="H637">
            <v>-41484</v>
          </cell>
          <cell r="I637">
            <v>0</v>
          </cell>
          <cell r="J637">
            <v>-41484</v>
          </cell>
          <cell r="K637">
            <v>0</v>
          </cell>
        </row>
        <row r="638">
          <cell r="F638">
            <v>-2411945</v>
          </cell>
          <cell r="G638">
            <v>0</v>
          </cell>
          <cell r="H638">
            <v>-2411945</v>
          </cell>
          <cell r="I638">
            <v>0</v>
          </cell>
          <cell r="J638">
            <v>-2411945</v>
          </cell>
          <cell r="K638">
            <v>-1002489</v>
          </cell>
        </row>
        <row r="640">
          <cell r="F640">
            <v>-2359302</v>
          </cell>
          <cell r="G640">
            <v>0</v>
          </cell>
          <cell r="H640">
            <v>-2359302</v>
          </cell>
          <cell r="I640">
            <v>0</v>
          </cell>
          <cell r="J640">
            <v>-2359302</v>
          </cell>
          <cell r="K640">
            <v>0</v>
          </cell>
        </row>
        <row r="641">
          <cell r="F641">
            <v>-2359302</v>
          </cell>
          <cell r="G641">
            <v>0</v>
          </cell>
          <cell r="H641">
            <v>-2359302</v>
          </cell>
          <cell r="I641">
            <v>0</v>
          </cell>
          <cell r="J641">
            <v>-2359302</v>
          </cell>
          <cell r="K641">
            <v>0</v>
          </cell>
        </row>
        <row r="643">
          <cell r="F643">
            <v>8833</v>
          </cell>
          <cell r="G643">
            <v>0</v>
          </cell>
          <cell r="H643">
            <v>8833</v>
          </cell>
          <cell r="I643">
            <v>0</v>
          </cell>
          <cell r="J643">
            <v>8833</v>
          </cell>
          <cell r="K643">
            <v>637405</v>
          </cell>
        </row>
        <row r="644">
          <cell r="F644">
            <v>9155233</v>
          </cell>
          <cell r="G644">
            <v>0</v>
          </cell>
          <cell r="H644">
            <v>9155233</v>
          </cell>
          <cell r="I644">
            <v>0</v>
          </cell>
          <cell r="J644">
            <v>9155233</v>
          </cell>
          <cell r="K644">
            <v>4156558</v>
          </cell>
        </row>
        <row r="645">
          <cell r="F645">
            <v>111781</v>
          </cell>
          <cell r="G645">
            <v>0</v>
          </cell>
          <cell r="H645">
            <v>111781</v>
          </cell>
          <cell r="I645">
            <v>0</v>
          </cell>
          <cell r="J645">
            <v>111781</v>
          </cell>
          <cell r="K645">
            <v>0</v>
          </cell>
        </row>
        <row r="646">
          <cell r="F646">
            <v>9275847</v>
          </cell>
          <cell r="G646">
            <v>0</v>
          </cell>
          <cell r="H646">
            <v>9275847</v>
          </cell>
          <cell r="I646">
            <v>0</v>
          </cell>
          <cell r="J646">
            <v>9275847</v>
          </cell>
          <cell r="K646">
            <v>4793963</v>
          </cell>
        </row>
        <row r="648">
          <cell r="F648">
            <v>439541</v>
          </cell>
          <cell r="G648">
            <v>0</v>
          </cell>
          <cell r="H648">
            <v>439541</v>
          </cell>
          <cell r="I648">
            <v>0</v>
          </cell>
          <cell r="J648">
            <v>439541</v>
          </cell>
          <cell r="K648">
            <v>370187</v>
          </cell>
        </row>
        <row r="649">
          <cell r="F649">
            <v>1864271</v>
          </cell>
          <cell r="G649">
            <v>0</v>
          </cell>
          <cell r="H649">
            <v>1864271</v>
          </cell>
          <cell r="I649">
            <v>0</v>
          </cell>
          <cell r="J649">
            <v>1864271</v>
          </cell>
          <cell r="K649">
            <v>804619</v>
          </cell>
        </row>
        <row r="650">
          <cell r="F650">
            <v>964953</v>
          </cell>
          <cell r="G650">
            <v>0</v>
          </cell>
          <cell r="H650">
            <v>964953</v>
          </cell>
          <cell r="I650">
            <v>0</v>
          </cell>
          <cell r="J650">
            <v>964953</v>
          </cell>
          <cell r="K650">
            <v>149821</v>
          </cell>
        </row>
        <row r="651">
          <cell r="F651">
            <v>3356515</v>
          </cell>
          <cell r="G651">
            <v>0</v>
          </cell>
          <cell r="H651">
            <v>3356515</v>
          </cell>
          <cell r="I651">
            <v>0</v>
          </cell>
          <cell r="J651">
            <v>3356515</v>
          </cell>
          <cell r="K651">
            <v>1945581</v>
          </cell>
        </row>
        <row r="652">
          <cell r="F652">
            <v>1468419</v>
          </cell>
          <cell r="G652">
            <v>0</v>
          </cell>
          <cell r="H652">
            <v>1468419</v>
          </cell>
          <cell r="I652">
            <v>0</v>
          </cell>
          <cell r="J652">
            <v>1468419</v>
          </cell>
          <cell r="K652">
            <v>0</v>
          </cell>
        </row>
        <row r="653">
          <cell r="F653">
            <v>0</v>
          </cell>
          <cell r="G653">
            <v>0</v>
          </cell>
          <cell r="H653">
            <v>0</v>
          </cell>
          <cell r="I653">
            <v>0</v>
          </cell>
          <cell r="J653">
            <v>0</v>
          </cell>
          <cell r="K653">
            <v>476560</v>
          </cell>
        </row>
        <row r="654">
          <cell r="F654">
            <v>2464</v>
          </cell>
          <cell r="G654">
            <v>0</v>
          </cell>
          <cell r="H654">
            <v>2464</v>
          </cell>
          <cell r="I654">
            <v>0</v>
          </cell>
          <cell r="J654">
            <v>2464</v>
          </cell>
          <cell r="K654">
            <v>1151158</v>
          </cell>
        </row>
        <row r="655">
          <cell r="F655">
            <v>7974139</v>
          </cell>
          <cell r="G655">
            <v>0</v>
          </cell>
          <cell r="H655">
            <v>7974139</v>
          </cell>
          <cell r="I655">
            <v>0</v>
          </cell>
          <cell r="J655">
            <v>7974139</v>
          </cell>
          <cell r="K655">
            <v>3586208</v>
          </cell>
        </row>
        <row r="656">
          <cell r="F656">
            <v>57530</v>
          </cell>
          <cell r="G656">
            <v>0</v>
          </cell>
          <cell r="H656">
            <v>57530</v>
          </cell>
          <cell r="I656">
            <v>0</v>
          </cell>
          <cell r="J656">
            <v>57530</v>
          </cell>
          <cell r="K656">
            <v>322695</v>
          </cell>
        </row>
        <row r="657">
          <cell r="F657">
            <v>0</v>
          </cell>
          <cell r="G657">
            <v>0</v>
          </cell>
          <cell r="H657">
            <v>0</v>
          </cell>
          <cell r="I657">
            <v>0</v>
          </cell>
          <cell r="J657">
            <v>0</v>
          </cell>
          <cell r="K657">
            <v>33198</v>
          </cell>
        </row>
        <row r="658">
          <cell r="F658">
            <v>4321022</v>
          </cell>
          <cell r="G658">
            <v>0</v>
          </cell>
          <cell r="H658">
            <v>4321022</v>
          </cell>
          <cell r="I658">
            <v>0</v>
          </cell>
          <cell r="J658">
            <v>4321022</v>
          </cell>
          <cell r="K658">
            <v>846088</v>
          </cell>
        </row>
        <row r="659">
          <cell r="F659">
            <v>925875</v>
          </cell>
          <cell r="G659">
            <v>0</v>
          </cell>
          <cell r="H659">
            <v>925875</v>
          </cell>
          <cell r="I659">
            <v>0</v>
          </cell>
          <cell r="J659">
            <v>925875</v>
          </cell>
          <cell r="K659">
            <v>1492257</v>
          </cell>
        </row>
        <row r="660">
          <cell r="F660">
            <v>0</v>
          </cell>
          <cell r="G660">
            <v>0</v>
          </cell>
          <cell r="H660">
            <v>0</v>
          </cell>
          <cell r="I660">
            <v>0</v>
          </cell>
          <cell r="J660">
            <v>0</v>
          </cell>
          <cell r="K660">
            <v>9322</v>
          </cell>
        </row>
        <row r="661">
          <cell r="F661">
            <v>1722612</v>
          </cell>
          <cell r="G661">
            <v>0</v>
          </cell>
          <cell r="H661">
            <v>1722612</v>
          </cell>
          <cell r="I661">
            <v>0</v>
          </cell>
          <cell r="J661">
            <v>1722612</v>
          </cell>
          <cell r="K661">
            <v>0</v>
          </cell>
        </row>
        <row r="662">
          <cell r="F662">
            <v>6232723</v>
          </cell>
          <cell r="G662">
            <v>0</v>
          </cell>
          <cell r="H662">
            <v>6232723</v>
          </cell>
          <cell r="I662">
            <v>0</v>
          </cell>
          <cell r="J662">
            <v>6232723</v>
          </cell>
          <cell r="K662">
            <v>3258146</v>
          </cell>
        </row>
        <row r="663">
          <cell r="F663">
            <v>7334710</v>
          </cell>
          <cell r="G663">
            <v>0</v>
          </cell>
          <cell r="H663">
            <v>7334710</v>
          </cell>
          <cell r="I663">
            <v>0</v>
          </cell>
          <cell r="J663">
            <v>7334710</v>
          </cell>
          <cell r="K663">
            <v>3373750</v>
          </cell>
        </row>
        <row r="664">
          <cell r="F664">
            <v>0</v>
          </cell>
          <cell r="G664">
            <v>0</v>
          </cell>
          <cell r="H664">
            <v>0</v>
          </cell>
          <cell r="I664">
            <v>0</v>
          </cell>
          <cell r="J664">
            <v>0</v>
          </cell>
          <cell r="K664">
            <v>1603315</v>
          </cell>
        </row>
        <row r="665">
          <cell r="F665">
            <v>3154805</v>
          </cell>
          <cell r="G665">
            <v>0</v>
          </cell>
          <cell r="H665">
            <v>3154805</v>
          </cell>
          <cell r="I665">
            <v>0</v>
          </cell>
          <cell r="J665">
            <v>3154805</v>
          </cell>
          <cell r="K665">
            <v>583775</v>
          </cell>
        </row>
        <row r="666">
          <cell r="F666">
            <v>782466</v>
          </cell>
          <cell r="G666">
            <v>0</v>
          </cell>
          <cell r="H666">
            <v>782466</v>
          </cell>
          <cell r="I666">
            <v>0</v>
          </cell>
          <cell r="J666">
            <v>782466</v>
          </cell>
          <cell r="K666">
            <v>873356</v>
          </cell>
        </row>
        <row r="667">
          <cell r="F667">
            <v>6908906</v>
          </cell>
          <cell r="G667">
            <v>0</v>
          </cell>
          <cell r="H667">
            <v>6908906</v>
          </cell>
          <cell r="I667">
            <v>0</v>
          </cell>
          <cell r="J667">
            <v>6908906</v>
          </cell>
          <cell r="K667">
            <v>0</v>
          </cell>
        </row>
        <row r="668">
          <cell r="F668">
            <v>1914592</v>
          </cell>
          <cell r="G668">
            <v>0</v>
          </cell>
          <cell r="H668">
            <v>1914592</v>
          </cell>
          <cell r="I668">
            <v>0</v>
          </cell>
          <cell r="J668">
            <v>1914592</v>
          </cell>
          <cell r="K668">
            <v>0</v>
          </cell>
        </row>
        <row r="669">
          <cell r="F669">
            <v>0</v>
          </cell>
          <cell r="G669">
            <v>0</v>
          </cell>
          <cell r="H669">
            <v>0</v>
          </cell>
          <cell r="I669">
            <v>0</v>
          </cell>
          <cell r="J669">
            <v>0</v>
          </cell>
          <cell r="K669">
            <v>1063984</v>
          </cell>
        </row>
        <row r="670">
          <cell r="F670">
            <v>49425543</v>
          </cell>
          <cell r="G670">
            <v>0</v>
          </cell>
          <cell r="H670">
            <v>49425543</v>
          </cell>
          <cell r="I670">
            <v>0</v>
          </cell>
          <cell r="J670">
            <v>49425543</v>
          </cell>
          <cell r="K670">
            <v>21944020</v>
          </cell>
        </row>
        <row r="672">
          <cell r="F672">
            <v>150840</v>
          </cell>
          <cell r="G672">
            <v>0</v>
          </cell>
          <cell r="H672">
            <v>150840</v>
          </cell>
          <cell r="I672">
            <v>0</v>
          </cell>
          <cell r="J672">
            <v>150840</v>
          </cell>
          <cell r="K672">
            <v>97741</v>
          </cell>
        </row>
        <row r="673">
          <cell r="F673">
            <v>150840</v>
          </cell>
          <cell r="G673">
            <v>0</v>
          </cell>
          <cell r="H673">
            <v>150840</v>
          </cell>
          <cell r="I673">
            <v>0</v>
          </cell>
          <cell r="J673">
            <v>150840</v>
          </cell>
          <cell r="K673">
            <v>97741</v>
          </cell>
        </row>
        <row r="675">
          <cell r="F675">
            <v>625355</v>
          </cell>
          <cell r="G675">
            <v>0</v>
          </cell>
          <cell r="H675">
            <v>625355</v>
          </cell>
          <cell r="I675">
            <v>0</v>
          </cell>
          <cell r="J675">
            <v>625355</v>
          </cell>
          <cell r="K675">
            <v>612690</v>
          </cell>
        </row>
        <row r="676">
          <cell r="F676">
            <v>54445</v>
          </cell>
          <cell r="G676">
            <v>0</v>
          </cell>
          <cell r="H676">
            <v>54445</v>
          </cell>
          <cell r="I676">
            <v>0</v>
          </cell>
          <cell r="J676">
            <v>54445</v>
          </cell>
          <cell r="K676">
            <v>204000</v>
          </cell>
        </row>
        <row r="677">
          <cell r="F677">
            <v>1011950</v>
          </cell>
          <cell r="G677">
            <v>0</v>
          </cell>
          <cell r="H677">
            <v>1011950</v>
          </cell>
          <cell r="I677">
            <v>0</v>
          </cell>
          <cell r="J677">
            <v>1011950</v>
          </cell>
          <cell r="K677">
            <v>576007</v>
          </cell>
        </row>
        <row r="678">
          <cell r="F678">
            <v>1336072</v>
          </cell>
          <cell r="G678">
            <v>0</v>
          </cell>
          <cell r="H678">
            <v>1336072</v>
          </cell>
          <cell r="I678">
            <v>0</v>
          </cell>
          <cell r="J678">
            <v>1336072</v>
          </cell>
          <cell r="K678">
            <v>28100</v>
          </cell>
        </row>
        <row r="679">
          <cell r="F679">
            <v>2979944</v>
          </cell>
          <cell r="G679">
            <v>0</v>
          </cell>
          <cell r="H679">
            <v>2979944</v>
          </cell>
          <cell r="I679">
            <v>0</v>
          </cell>
          <cell r="J679">
            <v>2979944</v>
          </cell>
          <cell r="K679">
            <v>1250799</v>
          </cell>
        </row>
        <row r="680">
          <cell r="F680">
            <v>107767</v>
          </cell>
          <cell r="G680">
            <v>0</v>
          </cell>
          <cell r="H680">
            <v>107767</v>
          </cell>
          <cell r="I680">
            <v>0</v>
          </cell>
          <cell r="J680">
            <v>107767</v>
          </cell>
          <cell r="K680">
            <v>16781</v>
          </cell>
        </row>
        <row r="681">
          <cell r="F681">
            <v>47837</v>
          </cell>
          <cell r="G681">
            <v>0</v>
          </cell>
          <cell r="H681">
            <v>47837</v>
          </cell>
          <cell r="I681">
            <v>0</v>
          </cell>
          <cell r="J681">
            <v>47837</v>
          </cell>
          <cell r="K681">
            <v>63084</v>
          </cell>
        </row>
        <row r="682">
          <cell r="F682">
            <v>2500</v>
          </cell>
          <cell r="G682">
            <v>0</v>
          </cell>
          <cell r="H682">
            <v>2500</v>
          </cell>
          <cell r="I682">
            <v>0</v>
          </cell>
          <cell r="J682">
            <v>2500</v>
          </cell>
          <cell r="K682">
            <v>3010</v>
          </cell>
        </row>
        <row r="683">
          <cell r="F683">
            <v>0</v>
          </cell>
          <cell r="G683">
            <v>0</v>
          </cell>
          <cell r="H683">
            <v>0</v>
          </cell>
          <cell r="I683">
            <v>0</v>
          </cell>
          <cell r="J683">
            <v>0</v>
          </cell>
          <cell r="K683">
            <v>118651</v>
          </cell>
        </row>
        <row r="684">
          <cell r="F684">
            <v>457291</v>
          </cell>
          <cell r="G684">
            <v>0</v>
          </cell>
          <cell r="H684">
            <v>457291</v>
          </cell>
          <cell r="I684">
            <v>0</v>
          </cell>
          <cell r="J684">
            <v>457291</v>
          </cell>
          <cell r="K684">
            <v>173551</v>
          </cell>
        </row>
        <row r="685">
          <cell r="F685">
            <v>0</v>
          </cell>
          <cell r="G685">
            <v>0</v>
          </cell>
          <cell r="H685">
            <v>0</v>
          </cell>
          <cell r="I685">
            <v>0</v>
          </cell>
          <cell r="J685">
            <v>0</v>
          </cell>
          <cell r="K685">
            <v>9797</v>
          </cell>
        </row>
        <row r="686">
          <cell r="F686">
            <v>6635</v>
          </cell>
          <cell r="G686">
            <v>0</v>
          </cell>
          <cell r="H686">
            <v>6635</v>
          </cell>
          <cell r="I686">
            <v>0</v>
          </cell>
          <cell r="J686">
            <v>6635</v>
          </cell>
          <cell r="K686">
            <v>0</v>
          </cell>
        </row>
        <row r="687">
          <cell r="F687">
            <v>107695</v>
          </cell>
          <cell r="G687">
            <v>0</v>
          </cell>
          <cell r="H687">
            <v>107695</v>
          </cell>
          <cell r="I687">
            <v>0</v>
          </cell>
          <cell r="J687">
            <v>107695</v>
          </cell>
          <cell r="K687">
            <v>40733</v>
          </cell>
        </row>
        <row r="688">
          <cell r="F688">
            <v>6737491</v>
          </cell>
          <cell r="G688">
            <v>0</v>
          </cell>
          <cell r="H688">
            <v>6737491</v>
          </cell>
          <cell r="I688">
            <v>0</v>
          </cell>
          <cell r="J688">
            <v>6737491</v>
          </cell>
          <cell r="K688">
            <v>3097203</v>
          </cell>
        </row>
        <row r="690">
          <cell r="F690">
            <v>0</v>
          </cell>
          <cell r="G690">
            <v>0</v>
          </cell>
          <cell r="H690">
            <v>0</v>
          </cell>
          <cell r="I690">
            <v>0</v>
          </cell>
          <cell r="J690">
            <v>0</v>
          </cell>
          <cell r="K690">
            <v>-25554</v>
          </cell>
        </row>
        <row r="691">
          <cell r="F691">
            <v>338567</v>
          </cell>
          <cell r="G691">
            <v>0</v>
          </cell>
          <cell r="H691">
            <v>338567</v>
          </cell>
          <cell r="I691">
            <v>0</v>
          </cell>
          <cell r="J691">
            <v>338567</v>
          </cell>
          <cell r="K691">
            <v>-139622</v>
          </cell>
        </row>
        <row r="692">
          <cell r="F692">
            <v>338567</v>
          </cell>
          <cell r="G692">
            <v>0</v>
          </cell>
          <cell r="H692">
            <v>338567</v>
          </cell>
          <cell r="I692">
            <v>0</v>
          </cell>
          <cell r="J692">
            <v>338567</v>
          </cell>
          <cell r="K692">
            <v>-165176</v>
          </cell>
        </row>
        <row r="694">
          <cell r="F694">
            <v>11289789</v>
          </cell>
          <cell r="G694">
            <v>0</v>
          </cell>
          <cell r="H694">
            <v>11289789</v>
          </cell>
          <cell r="I694">
            <v>0</v>
          </cell>
          <cell r="J694">
            <v>11289789</v>
          </cell>
          <cell r="K694">
            <v>7342286</v>
          </cell>
        </row>
        <row r="695">
          <cell r="F695">
            <v>11289789</v>
          </cell>
          <cell r="G695">
            <v>0</v>
          </cell>
          <cell r="H695">
            <v>11289789</v>
          </cell>
          <cell r="I695">
            <v>0</v>
          </cell>
          <cell r="J695">
            <v>11289789</v>
          </cell>
          <cell r="K695">
            <v>7342286</v>
          </cell>
        </row>
        <row r="697">
          <cell r="F697">
            <v>0</v>
          </cell>
          <cell r="G697">
            <v>0</v>
          </cell>
          <cell r="H697">
            <v>0</v>
          </cell>
          <cell r="I697">
            <v>0</v>
          </cell>
          <cell r="J697">
            <v>0</v>
          </cell>
          <cell r="K697">
            <v>0</v>
          </cell>
        </row>
        <row r="698">
          <cell r="F698">
            <v>-1453211</v>
          </cell>
          <cell r="G698">
            <v>0</v>
          </cell>
          <cell r="H698">
            <v>-1453211</v>
          </cell>
          <cell r="I698">
            <v>0</v>
          </cell>
          <cell r="J698">
            <v>-1453211</v>
          </cell>
          <cell r="K698">
            <v>-1658914</v>
          </cell>
        </row>
        <row r="699">
          <cell r="F699">
            <v>-1453211</v>
          </cell>
          <cell r="G699">
            <v>0</v>
          </cell>
          <cell r="H699">
            <v>-1453211</v>
          </cell>
          <cell r="I699">
            <v>0</v>
          </cell>
          <cell r="J699">
            <v>-1453211</v>
          </cell>
          <cell r="K699">
            <v>-1658914</v>
          </cell>
        </row>
        <row r="701">
          <cell r="F701">
            <v>-876793</v>
          </cell>
          <cell r="G701">
            <v>0</v>
          </cell>
          <cell r="H701">
            <v>-876793</v>
          </cell>
          <cell r="I701">
            <v>0</v>
          </cell>
          <cell r="J701">
            <v>-876793</v>
          </cell>
          <cell r="K701">
            <v>5639638</v>
          </cell>
        </row>
        <row r="702">
          <cell r="F702">
            <v>-876793</v>
          </cell>
          <cell r="G702">
            <v>0</v>
          </cell>
          <cell r="H702">
            <v>-876793</v>
          </cell>
          <cell r="I702">
            <v>0</v>
          </cell>
          <cell r="J702">
            <v>-876793</v>
          </cell>
          <cell r="K702">
            <v>5639638</v>
          </cell>
        </row>
        <row r="703">
          <cell r="F703">
            <v>0</v>
          </cell>
          <cell r="G703">
            <v>0</v>
          </cell>
          <cell r="H703">
            <v>0</v>
          </cell>
          <cell r="I703">
            <v>0</v>
          </cell>
          <cell r="J703">
            <v>0</v>
          </cell>
          <cell r="K703">
            <v>0</v>
          </cell>
        </row>
      </sheetData>
      <sheetData sheetId="2"/>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Sheet1"/>
      <sheetName val="L.SALE LOCAL COTTON "/>
      <sheetName val="L.SALE IMPORTED COTTON"/>
      <sheetName val="Sheet2"/>
      <sheetName val="Sheet3"/>
      <sheetName val="SALE RETURN"/>
    </sheetNames>
    <sheetDataSet>
      <sheetData sheetId="0" refreshError="1"/>
      <sheetData sheetId="1" refreshError="1"/>
      <sheetData sheetId="2">
        <row r="1">
          <cell r="B1" t="str">
            <v>GULISTAN SPINNING MILLS LTD.</v>
          </cell>
        </row>
        <row r="2">
          <cell r="B2" t="str">
            <v>DETAIL OF  LOCAL  SALES.</v>
          </cell>
        </row>
        <row r="3">
          <cell r="B3" t="str">
            <v>AS AT JUNE 30, 2011</v>
          </cell>
        </row>
        <row r="5">
          <cell r="A5" t="str">
            <v xml:space="preserve">   DISCRIPTION</v>
          </cell>
          <cell r="E5" t="str">
            <v>TOTAL 2011</v>
          </cell>
          <cell r="G5">
            <v>40390</v>
          </cell>
          <cell r="J5">
            <v>40421</v>
          </cell>
          <cell r="M5">
            <v>40451</v>
          </cell>
          <cell r="P5">
            <v>40482</v>
          </cell>
          <cell r="S5">
            <v>40512</v>
          </cell>
          <cell r="V5">
            <v>40543</v>
          </cell>
        </row>
        <row r="6">
          <cell r="A6" t="str">
            <v xml:space="preserve">COUNT </v>
          </cell>
          <cell r="B6" t="str">
            <v>VARIETY</v>
          </cell>
          <cell r="D6" t="str">
            <v>Kgs</v>
          </cell>
          <cell r="E6" t="str">
            <v>RATE</v>
          </cell>
          <cell r="F6" t="str">
            <v>AMOUNT</v>
          </cell>
          <cell r="G6" t="str">
            <v>QTY</v>
          </cell>
          <cell r="H6" t="str">
            <v>RATE</v>
          </cell>
          <cell r="I6" t="str">
            <v>AMOUNT</v>
          </cell>
          <cell r="J6" t="str">
            <v>QTY</v>
          </cell>
          <cell r="K6" t="str">
            <v>RATE</v>
          </cell>
          <cell r="L6" t="str">
            <v>AMOUNT</v>
          </cell>
          <cell r="M6" t="str">
            <v>QTY</v>
          </cell>
          <cell r="N6" t="str">
            <v>RATE</v>
          </cell>
          <cell r="O6" t="str">
            <v>AMOUNT</v>
          </cell>
          <cell r="P6" t="str">
            <v>QTY</v>
          </cell>
          <cell r="Q6" t="str">
            <v>RATE</v>
          </cell>
          <cell r="R6" t="str">
            <v>AMOUNT</v>
          </cell>
          <cell r="S6" t="str">
            <v>QTY</v>
          </cell>
          <cell r="T6" t="str">
            <v>RATE</v>
          </cell>
          <cell r="U6" t="str">
            <v>AMOUNT</v>
          </cell>
          <cell r="V6" t="str">
            <v>QTY</v>
          </cell>
          <cell r="W6" t="str">
            <v>RATE</v>
          </cell>
          <cell r="X6" t="str">
            <v>AMOUNT</v>
          </cell>
        </row>
        <row r="8">
          <cell r="N8">
            <v>40543</v>
          </cell>
        </row>
        <row r="9">
          <cell r="A9" t="str">
            <v>4.8/1</v>
          </cell>
          <cell r="B9" t="str">
            <v>CARDED</v>
          </cell>
          <cell r="D9">
            <v>0</v>
          </cell>
          <cell r="E9">
            <v>0</v>
          </cell>
          <cell r="F9">
            <v>0</v>
          </cell>
          <cell r="K9">
            <v>0</v>
          </cell>
          <cell r="N9">
            <v>0</v>
          </cell>
          <cell r="Q9">
            <v>0</v>
          </cell>
        </row>
        <row r="10">
          <cell r="A10" t="str">
            <v>06/1</v>
          </cell>
          <cell r="B10" t="str">
            <v>CARDED</v>
          </cell>
          <cell r="D10">
            <v>0</v>
          </cell>
          <cell r="E10">
            <v>0</v>
          </cell>
          <cell r="F10">
            <v>0</v>
          </cell>
          <cell r="K10">
            <v>0</v>
          </cell>
          <cell r="N10">
            <v>0</v>
          </cell>
          <cell r="Q10">
            <v>0</v>
          </cell>
        </row>
        <row r="11">
          <cell r="A11" t="str">
            <v>06/2</v>
          </cell>
          <cell r="B11" t="str">
            <v>CARDED</v>
          </cell>
          <cell r="D11">
            <v>0</v>
          </cell>
          <cell r="E11">
            <v>0</v>
          </cell>
          <cell r="F11">
            <v>0</v>
          </cell>
          <cell r="K11">
            <v>0</v>
          </cell>
          <cell r="N11">
            <v>0</v>
          </cell>
          <cell r="Q11">
            <v>0</v>
          </cell>
        </row>
        <row r="12">
          <cell r="A12" t="str">
            <v>07/1</v>
          </cell>
          <cell r="B12" t="str">
            <v>CARDED</v>
          </cell>
          <cell r="D12">
            <v>0</v>
          </cell>
          <cell r="E12">
            <v>0</v>
          </cell>
          <cell r="F12">
            <v>0</v>
          </cell>
          <cell r="H12">
            <v>0</v>
          </cell>
          <cell r="K12">
            <v>0</v>
          </cell>
          <cell r="N12">
            <v>0</v>
          </cell>
          <cell r="Q12">
            <v>0</v>
          </cell>
          <cell r="T12">
            <v>0</v>
          </cell>
        </row>
        <row r="13">
          <cell r="A13" t="str">
            <v>07.25/1</v>
          </cell>
          <cell r="B13" t="str">
            <v>CARDED</v>
          </cell>
          <cell r="D13">
            <v>0</v>
          </cell>
          <cell r="E13">
            <v>0</v>
          </cell>
          <cell r="F13">
            <v>0</v>
          </cell>
          <cell r="H13">
            <v>0</v>
          </cell>
          <cell r="K13">
            <v>0</v>
          </cell>
          <cell r="N13">
            <v>0</v>
          </cell>
          <cell r="Q13">
            <v>0</v>
          </cell>
          <cell r="T13">
            <v>0</v>
          </cell>
        </row>
        <row r="14">
          <cell r="A14" t="str">
            <v>07.5/1</v>
          </cell>
          <cell r="B14" t="str">
            <v>CARDED</v>
          </cell>
          <cell r="D14">
            <v>0</v>
          </cell>
          <cell r="E14">
            <v>0</v>
          </cell>
          <cell r="F14">
            <v>0</v>
          </cell>
          <cell r="H14">
            <v>0</v>
          </cell>
          <cell r="K14">
            <v>0</v>
          </cell>
          <cell r="N14">
            <v>0</v>
          </cell>
          <cell r="Q14">
            <v>0</v>
          </cell>
          <cell r="T14">
            <v>0</v>
          </cell>
        </row>
        <row r="15">
          <cell r="A15" t="str">
            <v>08/1</v>
          </cell>
          <cell r="B15" t="str">
            <v>CARDED</v>
          </cell>
          <cell r="D15">
            <v>7620.48</v>
          </cell>
          <cell r="E15">
            <v>295.41446208112876</v>
          </cell>
          <cell r="F15">
            <v>2251200</v>
          </cell>
          <cell r="H15">
            <v>2251200</v>
          </cell>
          <cell r="K15">
            <v>2251200</v>
          </cell>
          <cell r="N15">
            <v>2251200</v>
          </cell>
          <cell r="Q15">
            <v>2251200</v>
          </cell>
          <cell r="T15">
            <v>2251200</v>
          </cell>
          <cell r="W15">
            <v>2251200</v>
          </cell>
        </row>
        <row r="16">
          <cell r="A16" t="str">
            <v>08/2</v>
          </cell>
          <cell r="B16" t="str">
            <v>CARDED</v>
          </cell>
          <cell r="C16" t="str">
            <v>08/2CARDED</v>
          </cell>
          <cell r="D16">
            <v>5760.72</v>
          </cell>
          <cell r="E16">
            <v>310.84656084656081</v>
          </cell>
          <cell r="F16">
            <v>1790700</v>
          </cell>
          <cell r="H16">
            <v>1790700</v>
          </cell>
          <cell r="K16">
            <v>1790700</v>
          </cell>
          <cell r="N16">
            <v>1790700</v>
          </cell>
          <cell r="Q16">
            <v>1790700</v>
          </cell>
          <cell r="T16">
            <v>1790700</v>
          </cell>
        </row>
        <row r="17">
          <cell r="A17" t="str">
            <v>09/1</v>
          </cell>
          <cell r="B17" t="str">
            <v>CD MULTI</v>
          </cell>
          <cell r="C17" t="str">
            <v>09/1CD MULTI</v>
          </cell>
          <cell r="D17">
            <v>0</v>
          </cell>
          <cell r="E17">
            <v>0</v>
          </cell>
          <cell r="F17">
            <v>0</v>
          </cell>
          <cell r="H17">
            <v>0</v>
          </cell>
          <cell r="K17">
            <v>0</v>
          </cell>
          <cell r="N17">
            <v>0</v>
          </cell>
          <cell r="Q17">
            <v>0</v>
          </cell>
          <cell r="T17">
            <v>0</v>
          </cell>
          <cell r="W17">
            <v>0</v>
          </cell>
        </row>
        <row r="18">
          <cell r="A18" t="str">
            <v>9.25/1</v>
          </cell>
          <cell r="B18" t="str">
            <v>CD MULTI</v>
          </cell>
          <cell r="C18" t="str">
            <v>9.25/1CD MULTI</v>
          </cell>
          <cell r="D18">
            <v>0</v>
          </cell>
          <cell r="E18">
            <v>0</v>
          </cell>
          <cell r="F18">
            <v>0</v>
          </cell>
          <cell r="H18">
            <v>0</v>
          </cell>
          <cell r="K18">
            <v>0</v>
          </cell>
          <cell r="N18">
            <v>0</v>
          </cell>
          <cell r="Q18">
            <v>0</v>
          </cell>
          <cell r="T18">
            <v>0</v>
          </cell>
          <cell r="W18">
            <v>0</v>
          </cell>
        </row>
        <row r="19">
          <cell r="A19" t="str">
            <v>9.5/1</v>
          </cell>
          <cell r="B19" t="str">
            <v>CD MULTI</v>
          </cell>
          <cell r="C19" t="str">
            <v>9.5/1CD MULTI</v>
          </cell>
          <cell r="D19">
            <v>0</v>
          </cell>
          <cell r="E19">
            <v>0</v>
          </cell>
          <cell r="F19">
            <v>0</v>
          </cell>
          <cell r="H19">
            <v>0</v>
          </cell>
          <cell r="K19">
            <v>0</v>
          </cell>
          <cell r="N19">
            <v>0</v>
          </cell>
          <cell r="Q19">
            <v>0</v>
          </cell>
          <cell r="T19">
            <v>0</v>
          </cell>
          <cell r="W19">
            <v>0</v>
          </cell>
        </row>
        <row r="20">
          <cell r="A20" t="str">
            <v>10/1</v>
          </cell>
          <cell r="B20" t="str">
            <v>CARDED</v>
          </cell>
          <cell r="C20" t="str">
            <v>10/1CARDED</v>
          </cell>
          <cell r="D20">
            <v>39145.68</v>
          </cell>
          <cell r="E20">
            <v>372.44978245364496</v>
          </cell>
          <cell r="F20">
            <v>14579800</v>
          </cell>
          <cell r="H20">
            <v>14579800</v>
          </cell>
          <cell r="K20">
            <v>14579800</v>
          </cell>
          <cell r="N20">
            <v>14579800</v>
          </cell>
          <cell r="Q20">
            <v>14579800</v>
          </cell>
          <cell r="T20">
            <v>14579800</v>
          </cell>
          <cell r="W20">
            <v>14579800</v>
          </cell>
        </row>
        <row r="21">
          <cell r="A21" t="str">
            <v>10/2</v>
          </cell>
          <cell r="B21" t="str">
            <v>CARDED</v>
          </cell>
          <cell r="C21" t="str">
            <v>10/2CARDED</v>
          </cell>
          <cell r="D21">
            <v>0</v>
          </cell>
          <cell r="E21">
            <v>0</v>
          </cell>
          <cell r="F21">
            <v>0</v>
          </cell>
          <cell r="H21">
            <v>0</v>
          </cell>
          <cell r="K21">
            <v>0</v>
          </cell>
          <cell r="N21">
            <v>0</v>
          </cell>
          <cell r="Q21">
            <v>0</v>
          </cell>
          <cell r="T21">
            <v>0</v>
          </cell>
          <cell r="W21">
            <v>0</v>
          </cell>
        </row>
        <row r="22">
          <cell r="A22" t="str">
            <v>10/1</v>
          </cell>
          <cell r="B22" t="str">
            <v>CD SOFT</v>
          </cell>
          <cell r="C22" t="str">
            <v>10/1CD SOFT</v>
          </cell>
          <cell r="D22">
            <v>0</v>
          </cell>
          <cell r="E22">
            <v>0</v>
          </cell>
          <cell r="F22">
            <v>0</v>
          </cell>
          <cell r="H22">
            <v>0</v>
          </cell>
          <cell r="K22">
            <v>0</v>
          </cell>
          <cell r="N22">
            <v>0</v>
          </cell>
          <cell r="Q22">
            <v>0</v>
          </cell>
          <cell r="T22">
            <v>0</v>
          </cell>
          <cell r="W22">
            <v>0</v>
          </cell>
        </row>
        <row r="23">
          <cell r="A23" t="str">
            <v>12/1</v>
          </cell>
          <cell r="B23" t="str">
            <v>CD SOFT</v>
          </cell>
          <cell r="C23" t="str">
            <v>12/1CD SOFT</v>
          </cell>
          <cell r="D23">
            <v>0</v>
          </cell>
          <cell r="E23">
            <v>0</v>
          </cell>
          <cell r="F23">
            <v>0</v>
          </cell>
          <cell r="H23">
            <v>0</v>
          </cell>
          <cell r="K23">
            <v>0</v>
          </cell>
          <cell r="N23">
            <v>0</v>
          </cell>
          <cell r="Q23">
            <v>0</v>
          </cell>
          <cell r="T23">
            <v>0</v>
          </cell>
          <cell r="W23">
            <v>0</v>
          </cell>
        </row>
        <row r="24">
          <cell r="A24" t="str">
            <v>12/1</v>
          </cell>
          <cell r="B24" t="str">
            <v>CARDED</v>
          </cell>
          <cell r="D24">
            <v>17871.84</v>
          </cell>
          <cell r="E24">
            <v>286.14848834814995</v>
          </cell>
          <cell r="F24">
            <v>5114000</v>
          </cell>
        </row>
        <row r="25">
          <cell r="A25" t="str">
            <v>12/2</v>
          </cell>
          <cell r="B25" t="str">
            <v>CARDED</v>
          </cell>
          <cell r="C25" t="str">
            <v>12/2CARDED</v>
          </cell>
          <cell r="D25">
            <v>0</v>
          </cell>
          <cell r="E25">
            <v>0</v>
          </cell>
          <cell r="F25">
            <v>0</v>
          </cell>
          <cell r="H25">
            <v>0</v>
          </cell>
          <cell r="K25">
            <v>0</v>
          </cell>
          <cell r="N25">
            <v>0</v>
          </cell>
          <cell r="Q25">
            <v>0</v>
          </cell>
          <cell r="T25">
            <v>0</v>
          </cell>
          <cell r="W25">
            <v>0</v>
          </cell>
        </row>
        <row r="26">
          <cell r="A26" t="str">
            <v>12/1</v>
          </cell>
          <cell r="B26" t="str">
            <v>Zero Twist</v>
          </cell>
          <cell r="C26" t="str">
            <v>12/1Zero Twist</v>
          </cell>
          <cell r="D26">
            <v>0</v>
          </cell>
          <cell r="E26">
            <v>0</v>
          </cell>
          <cell r="F26">
            <v>0</v>
          </cell>
          <cell r="H26">
            <v>0</v>
          </cell>
          <cell r="K26">
            <v>0</v>
          </cell>
          <cell r="N26">
            <v>0</v>
          </cell>
          <cell r="Q26">
            <v>0</v>
          </cell>
          <cell r="T26">
            <v>0</v>
          </cell>
          <cell r="W26">
            <v>0</v>
          </cell>
        </row>
        <row r="27">
          <cell r="A27" t="str">
            <v>13/1</v>
          </cell>
          <cell r="B27" t="str">
            <v>Zero Twist</v>
          </cell>
          <cell r="C27" t="str">
            <v>13/1Zero Twist</v>
          </cell>
          <cell r="D27">
            <v>0</v>
          </cell>
          <cell r="E27">
            <v>0</v>
          </cell>
          <cell r="F27">
            <v>0</v>
          </cell>
          <cell r="H27">
            <v>0</v>
          </cell>
          <cell r="K27">
            <v>0</v>
          </cell>
          <cell r="N27">
            <v>0</v>
          </cell>
          <cell r="Q27">
            <v>0</v>
          </cell>
          <cell r="T27">
            <v>0</v>
          </cell>
          <cell r="W27">
            <v>0</v>
          </cell>
        </row>
        <row r="28">
          <cell r="A28" t="str">
            <v>14/1</v>
          </cell>
          <cell r="B28" t="str">
            <v>C.MULTI</v>
          </cell>
          <cell r="C28" t="str">
            <v>14/1C.MULTI</v>
          </cell>
          <cell r="D28">
            <v>6395.76</v>
          </cell>
          <cell r="E28">
            <v>288.8007054673721</v>
          </cell>
          <cell r="F28">
            <v>1847100</v>
          </cell>
          <cell r="H28">
            <v>1847100</v>
          </cell>
          <cell r="K28">
            <v>1847100</v>
          </cell>
          <cell r="N28">
            <v>1847100</v>
          </cell>
          <cell r="P28">
            <v>6395.76</v>
          </cell>
          <cell r="Q28">
            <v>288.8007054673721</v>
          </cell>
          <cell r="R28">
            <v>1847100</v>
          </cell>
          <cell r="T28">
            <v>1847100</v>
          </cell>
          <cell r="W28">
            <v>1847100</v>
          </cell>
        </row>
        <row r="29">
          <cell r="A29" t="str">
            <v>14/1</v>
          </cell>
          <cell r="B29" t="str">
            <v>Zeor Twist</v>
          </cell>
          <cell r="C29" t="str">
            <v>14/1Zeor Twist</v>
          </cell>
          <cell r="D29">
            <v>0</v>
          </cell>
          <cell r="E29">
            <v>0</v>
          </cell>
          <cell r="F29">
            <v>0</v>
          </cell>
          <cell r="H29">
            <v>0</v>
          </cell>
          <cell r="K29">
            <v>0</v>
          </cell>
          <cell r="N29">
            <v>0</v>
          </cell>
          <cell r="Q29">
            <v>0</v>
          </cell>
          <cell r="T29">
            <v>0</v>
          </cell>
          <cell r="W29">
            <v>0</v>
          </cell>
        </row>
        <row r="30">
          <cell r="A30" t="str">
            <v>16/1</v>
          </cell>
          <cell r="B30" t="str">
            <v>CARDED</v>
          </cell>
          <cell r="C30" t="str">
            <v>16/1CARDED</v>
          </cell>
          <cell r="D30">
            <v>683030.88</v>
          </cell>
          <cell r="E30">
            <v>256.48778280712577</v>
          </cell>
          <cell r="F30">
            <v>175189076</v>
          </cell>
          <cell r="H30">
            <v>175188992</v>
          </cell>
          <cell r="J30">
            <v>34020</v>
          </cell>
          <cell r="K30">
            <v>210.67019400352734</v>
          </cell>
          <cell r="L30">
            <v>7167000</v>
          </cell>
          <cell r="M30">
            <v>124603.92</v>
          </cell>
          <cell r="N30">
            <v>221.75192401651569</v>
          </cell>
          <cell r="O30">
            <v>27631159</v>
          </cell>
          <cell r="P30">
            <v>72802.8</v>
          </cell>
          <cell r="Q30">
            <v>234.14964809045804</v>
          </cell>
          <cell r="R30">
            <v>17046750</v>
          </cell>
          <cell r="S30">
            <v>3129.84</v>
          </cell>
          <cell r="T30">
            <v>246.91358024691357</v>
          </cell>
          <cell r="U30">
            <v>772800</v>
          </cell>
          <cell r="V30">
            <v>89268.479999999996</v>
          </cell>
          <cell r="W30">
            <v>297.5148675097862</v>
          </cell>
          <cell r="X30">
            <v>26558700</v>
          </cell>
        </row>
        <row r="31">
          <cell r="A31" t="str">
            <v>16/2</v>
          </cell>
          <cell r="B31" t="str">
            <v>CARDED</v>
          </cell>
          <cell r="C31" t="str">
            <v>16/2CARDED</v>
          </cell>
          <cell r="D31">
            <v>0</v>
          </cell>
          <cell r="E31">
            <v>0</v>
          </cell>
          <cell r="F31">
            <v>0</v>
          </cell>
          <cell r="H31">
            <v>0</v>
          </cell>
          <cell r="K31">
            <v>0</v>
          </cell>
          <cell r="N31">
            <v>0</v>
          </cell>
          <cell r="Q31">
            <v>0</v>
          </cell>
          <cell r="T31">
            <v>0</v>
          </cell>
          <cell r="W31">
            <v>0</v>
          </cell>
        </row>
        <row r="32">
          <cell r="A32" t="str">
            <v>16/1</v>
          </cell>
          <cell r="B32" t="str">
            <v>Zeor Twist</v>
          </cell>
          <cell r="C32" t="str">
            <v>16/1Zeor Twist</v>
          </cell>
          <cell r="D32">
            <v>0</v>
          </cell>
          <cell r="E32">
            <v>0</v>
          </cell>
          <cell r="F32">
            <v>0</v>
          </cell>
          <cell r="H32">
            <v>0</v>
          </cell>
          <cell r="K32">
            <v>0</v>
          </cell>
          <cell r="N32">
            <v>0</v>
          </cell>
          <cell r="Q32">
            <v>0</v>
          </cell>
          <cell r="T32">
            <v>0</v>
          </cell>
          <cell r="W32">
            <v>0</v>
          </cell>
        </row>
        <row r="33">
          <cell r="A33" t="str">
            <v>17/1</v>
          </cell>
          <cell r="B33" t="str">
            <v>CARDED</v>
          </cell>
          <cell r="C33" t="str">
            <v>17/1CARDED</v>
          </cell>
          <cell r="D33">
            <v>0</v>
          </cell>
          <cell r="E33">
            <v>0</v>
          </cell>
          <cell r="F33">
            <v>0</v>
          </cell>
          <cell r="H33">
            <v>0</v>
          </cell>
          <cell r="K33">
            <v>0</v>
          </cell>
          <cell r="N33">
            <v>0</v>
          </cell>
          <cell r="Q33">
            <v>0</v>
          </cell>
          <cell r="T33">
            <v>0</v>
          </cell>
          <cell r="W33">
            <v>0</v>
          </cell>
        </row>
        <row r="34">
          <cell r="A34" t="str">
            <v>18/1</v>
          </cell>
          <cell r="B34" t="str">
            <v>CARDED</v>
          </cell>
          <cell r="C34" t="str">
            <v>18/1CARDED</v>
          </cell>
          <cell r="D34">
            <v>0</v>
          </cell>
          <cell r="E34">
            <v>0</v>
          </cell>
          <cell r="F34">
            <v>0</v>
          </cell>
          <cell r="H34">
            <v>0</v>
          </cell>
          <cell r="K34">
            <v>0</v>
          </cell>
          <cell r="N34">
            <v>0</v>
          </cell>
          <cell r="Q34">
            <v>0</v>
          </cell>
          <cell r="T34">
            <v>0</v>
          </cell>
          <cell r="W34">
            <v>0</v>
          </cell>
        </row>
        <row r="35">
          <cell r="A35" t="str">
            <v>20/1</v>
          </cell>
          <cell r="B35" t="str">
            <v>CARDED</v>
          </cell>
          <cell r="C35" t="str">
            <v>20/1CARDED</v>
          </cell>
          <cell r="D35">
            <v>323598.24000000005</v>
          </cell>
          <cell r="E35">
            <v>331.94302589532003</v>
          </cell>
          <cell r="F35">
            <v>107416178.96000001</v>
          </cell>
          <cell r="G35">
            <v>14787.36</v>
          </cell>
          <cell r="H35">
            <v>222.47378842470866</v>
          </cell>
          <cell r="I35">
            <v>3289800</v>
          </cell>
          <cell r="J35">
            <v>3039.12</v>
          </cell>
          <cell r="K35">
            <v>231.58051014767432</v>
          </cell>
          <cell r="L35">
            <v>703800.96</v>
          </cell>
          <cell r="M35">
            <v>75978</v>
          </cell>
          <cell r="N35">
            <v>258.09929190028691</v>
          </cell>
          <cell r="O35">
            <v>19609868</v>
          </cell>
          <cell r="P35">
            <v>44634.239999999998</v>
          </cell>
          <cell r="Q35">
            <v>296.44730144391394</v>
          </cell>
          <cell r="R35">
            <v>13231700</v>
          </cell>
          <cell r="T35">
            <v>13231696</v>
          </cell>
          <cell r="V35">
            <v>53116.56</v>
          </cell>
          <cell r="W35">
            <v>396.76891726422042</v>
          </cell>
          <cell r="X35">
            <v>21075000</v>
          </cell>
        </row>
        <row r="36">
          <cell r="A36" t="str">
            <v>20/2</v>
          </cell>
          <cell r="B36" t="str">
            <v>CD SOFT</v>
          </cell>
          <cell r="C36" t="str">
            <v>20/2CD SOFT</v>
          </cell>
          <cell r="D36">
            <v>0</v>
          </cell>
          <cell r="E36">
            <v>0</v>
          </cell>
          <cell r="F36">
            <v>0</v>
          </cell>
          <cell r="H36">
            <v>0</v>
          </cell>
          <cell r="K36">
            <v>0</v>
          </cell>
          <cell r="N36">
            <v>0</v>
          </cell>
          <cell r="Q36">
            <v>0</v>
          </cell>
          <cell r="T36">
            <v>0</v>
          </cell>
          <cell r="W36">
            <v>0</v>
          </cell>
        </row>
        <row r="37">
          <cell r="A37" t="str">
            <v>20/1</v>
          </cell>
          <cell r="B37" t="str">
            <v>Polyster</v>
          </cell>
          <cell r="C37" t="str">
            <v>20/1Polyster</v>
          </cell>
          <cell r="D37">
            <v>0</v>
          </cell>
          <cell r="E37">
            <v>0</v>
          </cell>
          <cell r="F37">
            <v>0</v>
          </cell>
          <cell r="H37">
            <v>0</v>
          </cell>
          <cell r="K37">
            <v>0</v>
          </cell>
          <cell r="N37">
            <v>0</v>
          </cell>
          <cell r="Q37">
            <v>0</v>
          </cell>
          <cell r="T37">
            <v>0</v>
          </cell>
          <cell r="W37">
            <v>0</v>
          </cell>
        </row>
        <row r="38">
          <cell r="A38" t="str">
            <v>20/2</v>
          </cell>
          <cell r="B38" t="str">
            <v>CARDED</v>
          </cell>
          <cell r="C38" t="str">
            <v>20/2CARDED</v>
          </cell>
          <cell r="D38">
            <v>87590.16</v>
          </cell>
          <cell r="E38">
            <v>326.03628078770492</v>
          </cell>
          <cell r="F38">
            <v>28557570</v>
          </cell>
          <cell r="G38">
            <v>21546</v>
          </cell>
          <cell r="H38">
            <v>257.24960549521955</v>
          </cell>
          <cell r="I38">
            <v>5542700</v>
          </cell>
          <cell r="K38">
            <v>5542700</v>
          </cell>
          <cell r="N38">
            <v>5542700</v>
          </cell>
          <cell r="Q38">
            <v>5542700</v>
          </cell>
          <cell r="T38">
            <v>5542700</v>
          </cell>
          <cell r="V38">
            <v>17690.400000000001</v>
          </cell>
          <cell r="W38">
            <v>396.82539682539681</v>
          </cell>
          <cell r="X38">
            <v>7020000</v>
          </cell>
        </row>
        <row r="39">
          <cell r="A39" t="str">
            <v>22/1</v>
          </cell>
          <cell r="B39" t="str">
            <v>CARDED</v>
          </cell>
          <cell r="C39" t="str">
            <v>22/1CARDED</v>
          </cell>
          <cell r="D39">
            <v>45632.160000000003</v>
          </cell>
          <cell r="E39">
            <v>416.68419816199798</v>
          </cell>
          <cell r="F39">
            <v>19014200</v>
          </cell>
          <cell r="H39">
            <v>19014192</v>
          </cell>
          <cell r="K39">
            <v>19014192</v>
          </cell>
          <cell r="N39">
            <v>19014192</v>
          </cell>
          <cell r="Q39">
            <v>19014192</v>
          </cell>
          <cell r="T39">
            <v>19014192</v>
          </cell>
          <cell r="W39">
            <v>19014192</v>
          </cell>
        </row>
        <row r="40">
          <cell r="A40" t="str">
            <v>21/1</v>
          </cell>
          <cell r="B40" t="str">
            <v>Multi Cont</v>
          </cell>
          <cell r="C40" t="str">
            <v>21/1Multi Cont</v>
          </cell>
          <cell r="D40">
            <v>0</v>
          </cell>
          <cell r="E40">
            <v>0</v>
          </cell>
          <cell r="F40">
            <v>0</v>
          </cell>
          <cell r="H40">
            <v>0</v>
          </cell>
          <cell r="K40">
            <v>0</v>
          </cell>
          <cell r="N40">
            <v>0</v>
          </cell>
          <cell r="Q40">
            <v>0</v>
          </cell>
          <cell r="T40">
            <v>0</v>
          </cell>
          <cell r="W40">
            <v>0</v>
          </cell>
        </row>
        <row r="41">
          <cell r="A41" t="str">
            <v>24/1</v>
          </cell>
          <cell r="B41" t="str">
            <v>CARDED</v>
          </cell>
          <cell r="C41" t="str">
            <v>24/1CARDED</v>
          </cell>
          <cell r="D41">
            <v>272.16000000000003</v>
          </cell>
          <cell r="E41">
            <v>313.05114638447969</v>
          </cell>
          <cell r="F41">
            <v>85200</v>
          </cell>
          <cell r="H41">
            <v>85200</v>
          </cell>
          <cell r="K41">
            <v>85200</v>
          </cell>
          <cell r="N41">
            <v>85200</v>
          </cell>
          <cell r="Q41">
            <v>85200</v>
          </cell>
          <cell r="T41">
            <v>85200</v>
          </cell>
          <cell r="W41">
            <v>85200</v>
          </cell>
        </row>
        <row r="42">
          <cell r="A42" t="str">
            <v>24/2</v>
          </cell>
          <cell r="B42" t="str">
            <v>CARDED</v>
          </cell>
          <cell r="C42" t="str">
            <v>24/2CARDED</v>
          </cell>
          <cell r="D42">
            <v>22080</v>
          </cell>
          <cell r="E42">
            <v>330.68997282608694</v>
          </cell>
          <cell r="F42">
            <v>7301634.5999999996</v>
          </cell>
          <cell r="H42">
            <v>7301632</v>
          </cell>
          <cell r="K42">
            <v>7301632</v>
          </cell>
          <cell r="N42">
            <v>7301632</v>
          </cell>
          <cell r="Q42">
            <v>7301632</v>
          </cell>
          <cell r="T42">
            <v>7301632</v>
          </cell>
          <cell r="W42">
            <v>7301632</v>
          </cell>
        </row>
        <row r="43">
          <cell r="A43" t="str">
            <v>26/1</v>
          </cell>
          <cell r="B43" t="str">
            <v>CARDED</v>
          </cell>
          <cell r="C43" t="str">
            <v>26/1CARDED</v>
          </cell>
          <cell r="D43">
            <v>0</v>
          </cell>
          <cell r="E43">
            <v>0</v>
          </cell>
          <cell r="F43">
            <v>0</v>
          </cell>
          <cell r="H43">
            <v>0</v>
          </cell>
          <cell r="K43">
            <v>0</v>
          </cell>
          <cell r="N43">
            <v>0</v>
          </cell>
          <cell r="Q43">
            <v>0</v>
          </cell>
          <cell r="T43">
            <v>0</v>
          </cell>
          <cell r="W43">
            <v>0</v>
          </cell>
        </row>
        <row r="44">
          <cell r="A44" t="str">
            <v>26/1</v>
          </cell>
          <cell r="B44" t="str">
            <v>CARDED</v>
          </cell>
          <cell r="C44" t="str">
            <v>26/1CARDED</v>
          </cell>
          <cell r="D44">
            <v>0</v>
          </cell>
          <cell r="E44">
            <v>0</v>
          </cell>
          <cell r="F44">
            <v>0</v>
          </cell>
          <cell r="H44">
            <v>0</v>
          </cell>
          <cell r="K44">
            <v>0</v>
          </cell>
          <cell r="N44">
            <v>0</v>
          </cell>
          <cell r="Q44">
            <v>0</v>
          </cell>
          <cell r="T44">
            <v>0</v>
          </cell>
          <cell r="W44">
            <v>0</v>
          </cell>
        </row>
        <row r="45">
          <cell r="A45" t="str">
            <v>30/1</v>
          </cell>
          <cell r="B45" t="str">
            <v>CARDED</v>
          </cell>
          <cell r="C45" t="str">
            <v>30/1CARDED</v>
          </cell>
          <cell r="D45">
            <v>317.52000000000004</v>
          </cell>
          <cell r="E45">
            <v>251.00781053162004</v>
          </cell>
          <cell r="F45">
            <v>79700</v>
          </cell>
          <cell r="H45">
            <v>79700</v>
          </cell>
          <cell r="K45">
            <v>79700</v>
          </cell>
          <cell r="N45">
            <v>79700</v>
          </cell>
          <cell r="Q45">
            <v>79700</v>
          </cell>
          <cell r="T45">
            <v>79700</v>
          </cell>
          <cell r="W45">
            <v>79700</v>
          </cell>
        </row>
        <row r="46">
          <cell r="A46" t="str">
            <v>30/2</v>
          </cell>
          <cell r="B46" t="str">
            <v>CARDED</v>
          </cell>
          <cell r="D46">
            <v>0</v>
          </cell>
          <cell r="E46">
            <v>0</v>
          </cell>
          <cell r="F46">
            <v>0</v>
          </cell>
          <cell r="H46">
            <v>0</v>
          </cell>
          <cell r="K46">
            <v>0</v>
          </cell>
          <cell r="N46">
            <v>0</v>
          </cell>
          <cell r="Q46">
            <v>0</v>
          </cell>
          <cell r="T46">
            <v>0</v>
          </cell>
          <cell r="W46">
            <v>0</v>
          </cell>
        </row>
        <row r="47">
          <cell r="A47" t="str">
            <v>32/1</v>
          </cell>
          <cell r="B47" t="str">
            <v>CARDED</v>
          </cell>
          <cell r="D47">
            <v>0</v>
          </cell>
          <cell r="E47">
            <v>0</v>
          </cell>
          <cell r="F47">
            <v>0</v>
          </cell>
          <cell r="H47">
            <v>0</v>
          </cell>
          <cell r="K47">
            <v>0</v>
          </cell>
          <cell r="N47">
            <v>0</v>
          </cell>
          <cell r="Q47">
            <v>0</v>
          </cell>
          <cell r="T47">
            <v>0</v>
          </cell>
          <cell r="W47">
            <v>0</v>
          </cell>
        </row>
        <row r="48">
          <cell r="A48" t="str">
            <v>34/1</v>
          </cell>
          <cell r="B48" t="str">
            <v>CARDED</v>
          </cell>
          <cell r="D48">
            <v>0</v>
          </cell>
          <cell r="E48">
            <v>0</v>
          </cell>
          <cell r="F48">
            <v>0</v>
          </cell>
          <cell r="H48">
            <v>0</v>
          </cell>
          <cell r="K48">
            <v>0</v>
          </cell>
          <cell r="N48">
            <v>0</v>
          </cell>
          <cell r="Q48">
            <v>0</v>
          </cell>
          <cell r="T48">
            <v>0</v>
          </cell>
          <cell r="W48">
            <v>0</v>
          </cell>
        </row>
        <row r="49">
          <cell r="A49" t="str">
            <v>16/1</v>
          </cell>
          <cell r="B49" t="str">
            <v>Multi Cont</v>
          </cell>
          <cell r="D49">
            <v>0</v>
          </cell>
          <cell r="E49">
            <v>0</v>
          </cell>
          <cell r="F49">
            <v>0</v>
          </cell>
          <cell r="H49">
            <v>0</v>
          </cell>
          <cell r="K49">
            <v>0</v>
          </cell>
          <cell r="N49">
            <v>0</v>
          </cell>
          <cell r="Q49">
            <v>0</v>
          </cell>
          <cell r="T49">
            <v>0</v>
          </cell>
          <cell r="W49">
            <v>0</v>
          </cell>
        </row>
        <row r="50">
          <cell r="B50" t="str">
            <v>MIX</v>
          </cell>
          <cell r="D50">
            <v>2494.8000000000002</v>
          </cell>
          <cell r="E50">
            <v>235.28940195606862</v>
          </cell>
          <cell r="F50">
            <v>587000</v>
          </cell>
          <cell r="H50">
            <v>587000</v>
          </cell>
          <cell r="K50">
            <v>587000</v>
          </cell>
          <cell r="N50">
            <v>587000</v>
          </cell>
          <cell r="Q50">
            <v>587000</v>
          </cell>
          <cell r="T50">
            <v>587000</v>
          </cell>
          <cell r="W50">
            <v>587000</v>
          </cell>
        </row>
        <row r="51">
          <cell r="H51">
            <v>587000</v>
          </cell>
        </row>
        <row r="52">
          <cell r="D52">
            <v>1241810.3999999999</v>
          </cell>
          <cell r="E52">
            <v>292.97013421694658</v>
          </cell>
          <cell r="F52">
            <v>363813359.56000006</v>
          </cell>
          <cell r="G52">
            <v>36333.360000000001</v>
          </cell>
          <cell r="H52">
            <v>243.09615185603533</v>
          </cell>
          <cell r="I52">
            <v>8832500</v>
          </cell>
          <cell r="J52">
            <v>37059.120000000003</v>
          </cell>
          <cell r="K52">
            <v>212.38499349148063</v>
          </cell>
          <cell r="L52">
            <v>7870800.96</v>
          </cell>
          <cell r="M52">
            <v>200581.91999999998</v>
          </cell>
          <cell r="N52">
            <v>235.51986639673208</v>
          </cell>
          <cell r="O52">
            <v>47241027</v>
          </cell>
          <cell r="P52">
            <v>123832.79999999999</v>
          </cell>
          <cell r="Q52">
            <v>259.42682391095093</v>
          </cell>
          <cell r="R52">
            <v>32125550</v>
          </cell>
          <cell r="S52">
            <v>3129.84</v>
          </cell>
          <cell r="T52">
            <v>246.91358024691357</v>
          </cell>
          <cell r="U52">
            <v>772800</v>
          </cell>
          <cell r="V52">
            <v>160075.43999999997</v>
          </cell>
          <cell r="W52">
            <v>341.4246432806932</v>
          </cell>
          <cell r="X52">
            <v>54653700</v>
          </cell>
        </row>
        <row r="54">
          <cell r="A54" t="str">
            <v>06/1</v>
          </cell>
          <cell r="B54" t="str">
            <v>SLUB</v>
          </cell>
          <cell r="D54">
            <v>0</v>
          </cell>
          <cell r="E54">
            <v>0</v>
          </cell>
          <cell r="F54">
            <v>0</v>
          </cell>
          <cell r="H54">
            <v>0</v>
          </cell>
          <cell r="K54">
            <v>0</v>
          </cell>
          <cell r="N54">
            <v>0</v>
          </cell>
          <cell r="Q54">
            <v>0</v>
          </cell>
          <cell r="T54">
            <v>0</v>
          </cell>
          <cell r="W54">
            <v>0</v>
          </cell>
        </row>
        <row r="55">
          <cell r="A55" t="str">
            <v>07/1</v>
          </cell>
          <cell r="B55" t="str">
            <v>SLUB</v>
          </cell>
          <cell r="C55" t="str">
            <v>07/1SLUB</v>
          </cell>
          <cell r="D55">
            <v>12519.36</v>
          </cell>
          <cell r="E55">
            <v>375.81793318508295</v>
          </cell>
          <cell r="F55">
            <v>4705000</v>
          </cell>
          <cell r="H55">
            <v>4705000</v>
          </cell>
          <cell r="K55">
            <v>4705000</v>
          </cell>
          <cell r="N55">
            <v>4705000</v>
          </cell>
          <cell r="Q55">
            <v>4705000</v>
          </cell>
          <cell r="T55">
            <v>4705000</v>
          </cell>
          <cell r="W55">
            <v>4705000</v>
          </cell>
        </row>
        <row r="56">
          <cell r="A56" t="str">
            <v>07/2</v>
          </cell>
          <cell r="B56" t="str">
            <v>SLUB</v>
          </cell>
          <cell r="C56" t="str">
            <v>07/2SLUB</v>
          </cell>
          <cell r="D56">
            <v>57240.650000000009</v>
          </cell>
          <cell r="E56">
            <v>289.39328955908076</v>
          </cell>
          <cell r="F56">
            <v>16565060</v>
          </cell>
          <cell r="H56">
            <v>16565056</v>
          </cell>
          <cell r="K56">
            <v>16565056</v>
          </cell>
          <cell r="M56">
            <v>35290.080000000002</v>
          </cell>
          <cell r="N56">
            <v>255.55056831834895</v>
          </cell>
          <cell r="O56">
            <v>9018400</v>
          </cell>
          <cell r="P56">
            <v>1769.04</v>
          </cell>
          <cell r="Q56">
            <v>260.14109347442684</v>
          </cell>
          <cell r="R56">
            <v>460200</v>
          </cell>
          <cell r="S56">
            <v>41.69</v>
          </cell>
          <cell r="T56">
            <v>176.54113696330057</v>
          </cell>
          <cell r="U56">
            <v>7360</v>
          </cell>
          <cell r="V56">
            <v>6894.72</v>
          </cell>
          <cell r="W56">
            <v>260.14109347442678</v>
          </cell>
          <cell r="X56">
            <v>1793600</v>
          </cell>
        </row>
        <row r="57">
          <cell r="A57" t="str">
            <v>08/1</v>
          </cell>
          <cell r="B57" t="str">
            <v>SLUB</v>
          </cell>
          <cell r="C57" t="str">
            <v>08/1SLUB</v>
          </cell>
          <cell r="D57">
            <v>181.44</v>
          </cell>
          <cell r="E57">
            <v>446.42857142857144</v>
          </cell>
          <cell r="F57">
            <v>81000</v>
          </cell>
          <cell r="H57">
            <v>81000</v>
          </cell>
          <cell r="K57">
            <v>81000</v>
          </cell>
          <cell r="N57">
            <v>81000</v>
          </cell>
          <cell r="Q57">
            <v>81000</v>
          </cell>
          <cell r="T57">
            <v>81000</v>
          </cell>
          <cell r="W57">
            <v>81000</v>
          </cell>
        </row>
        <row r="58">
          <cell r="A58" t="str">
            <v>8.7/1</v>
          </cell>
          <cell r="B58" t="str">
            <v>SLUB</v>
          </cell>
          <cell r="D58">
            <v>5987.52</v>
          </cell>
          <cell r="E58">
            <v>363.75661375661372</v>
          </cell>
          <cell r="F58">
            <v>2178000</v>
          </cell>
        </row>
        <row r="59">
          <cell r="A59" t="str">
            <v>09/1</v>
          </cell>
          <cell r="B59" t="str">
            <v>SLUB</v>
          </cell>
          <cell r="C59" t="str">
            <v>09/1SLUB</v>
          </cell>
          <cell r="D59">
            <v>17055.36</v>
          </cell>
          <cell r="E59">
            <v>303.04842583211376</v>
          </cell>
          <cell r="F59">
            <v>5168600</v>
          </cell>
          <cell r="G59">
            <v>771.12</v>
          </cell>
          <cell r="H59">
            <v>231.48148148148147</v>
          </cell>
          <cell r="I59">
            <v>178500</v>
          </cell>
          <cell r="K59">
            <v>178500</v>
          </cell>
          <cell r="N59">
            <v>178500</v>
          </cell>
          <cell r="Q59">
            <v>178500</v>
          </cell>
          <cell r="S59">
            <v>16284.24</v>
          </cell>
          <cell r="T59">
            <v>306.43738977072309</v>
          </cell>
          <cell r="U59">
            <v>4990100</v>
          </cell>
          <cell r="W59">
            <v>4990100</v>
          </cell>
        </row>
        <row r="60">
          <cell r="A60" t="str">
            <v>09.5/1</v>
          </cell>
          <cell r="B60" t="str">
            <v>SLUB</v>
          </cell>
          <cell r="C60" t="str">
            <v>09.5/1SLUB</v>
          </cell>
          <cell r="D60">
            <v>0</v>
          </cell>
          <cell r="E60">
            <v>0</v>
          </cell>
          <cell r="F60">
            <v>0</v>
          </cell>
          <cell r="H60">
            <v>0</v>
          </cell>
          <cell r="K60">
            <v>0</v>
          </cell>
          <cell r="N60">
            <v>0</v>
          </cell>
          <cell r="Q60">
            <v>0</v>
          </cell>
          <cell r="T60">
            <v>0</v>
          </cell>
          <cell r="W60">
            <v>0</v>
          </cell>
        </row>
        <row r="61">
          <cell r="A61" t="str">
            <v>10/1</v>
          </cell>
          <cell r="B61" t="str">
            <v>SLUB</v>
          </cell>
          <cell r="C61" t="str">
            <v>10/1SLUB</v>
          </cell>
          <cell r="D61">
            <v>37331.279999999999</v>
          </cell>
          <cell r="E61">
            <v>321.56947203524766</v>
          </cell>
          <cell r="F61">
            <v>12004600</v>
          </cell>
          <cell r="H61">
            <v>12004600</v>
          </cell>
          <cell r="K61">
            <v>12004600</v>
          </cell>
          <cell r="M61">
            <v>10841.04</v>
          </cell>
          <cell r="N61">
            <v>244.70899470899468</v>
          </cell>
          <cell r="O61">
            <v>2652900</v>
          </cell>
          <cell r="P61">
            <v>4490.6400000000003</v>
          </cell>
          <cell r="Q61">
            <v>291.16117079080038</v>
          </cell>
          <cell r="R61">
            <v>1307500</v>
          </cell>
          <cell r="S61">
            <v>90.72</v>
          </cell>
          <cell r="T61">
            <v>187.38977072310405</v>
          </cell>
          <cell r="U61">
            <v>17000</v>
          </cell>
          <cell r="V61">
            <v>5443.2</v>
          </cell>
          <cell r="W61">
            <v>314.28203997648444</v>
          </cell>
          <cell r="X61">
            <v>1710700</v>
          </cell>
        </row>
        <row r="62">
          <cell r="A62" t="str">
            <v>10/2</v>
          </cell>
          <cell r="B62" t="str">
            <v>SLUB</v>
          </cell>
          <cell r="C62" t="str">
            <v>10/2SLUB</v>
          </cell>
          <cell r="D62">
            <v>117346.31999999999</v>
          </cell>
          <cell r="E62">
            <v>319.35726659344749</v>
          </cell>
          <cell r="F62">
            <v>37475400</v>
          </cell>
          <cell r="H62">
            <v>37475392</v>
          </cell>
          <cell r="K62">
            <v>37475392</v>
          </cell>
          <cell r="N62">
            <v>37475392</v>
          </cell>
          <cell r="P62">
            <v>33521.040000000001</v>
          </cell>
          <cell r="Q62">
            <v>258.62861056816854</v>
          </cell>
          <cell r="R62">
            <v>8669500</v>
          </cell>
          <cell r="S62">
            <v>42366.239999999998</v>
          </cell>
          <cell r="T62">
            <v>266.75485008818345</v>
          </cell>
          <cell r="U62">
            <v>11301400</v>
          </cell>
          <cell r="V62">
            <v>18552.240000000002</v>
          </cell>
          <cell r="W62">
            <v>424.98372164223832</v>
          </cell>
          <cell r="X62">
            <v>7884400</v>
          </cell>
        </row>
        <row r="63">
          <cell r="A63" t="str">
            <v>10/1</v>
          </cell>
          <cell r="B63" t="str">
            <v>CMD SLUB</v>
          </cell>
          <cell r="C63" t="str">
            <v>10/1CMD SLUB</v>
          </cell>
          <cell r="D63">
            <v>23269.68</v>
          </cell>
          <cell r="E63">
            <v>280.62268153236312</v>
          </cell>
          <cell r="F63">
            <v>6530000</v>
          </cell>
          <cell r="H63">
            <v>6530000</v>
          </cell>
          <cell r="K63">
            <v>6530000</v>
          </cell>
          <cell r="N63">
            <v>6530000</v>
          </cell>
          <cell r="Q63">
            <v>6530000</v>
          </cell>
          <cell r="T63">
            <v>6530000</v>
          </cell>
          <cell r="W63">
            <v>6530000</v>
          </cell>
        </row>
        <row r="64">
          <cell r="A64" t="str">
            <v>12/1</v>
          </cell>
          <cell r="B64" t="str">
            <v>SLUB</v>
          </cell>
          <cell r="C64" t="str">
            <v>12/1SLUB</v>
          </cell>
          <cell r="D64">
            <v>45949.68</v>
          </cell>
          <cell r="E64">
            <v>274.85246904875072</v>
          </cell>
          <cell r="F64">
            <v>12629383</v>
          </cell>
          <cell r="H64">
            <v>12629376</v>
          </cell>
          <cell r="K64">
            <v>12629376</v>
          </cell>
          <cell r="N64">
            <v>12629376</v>
          </cell>
          <cell r="P64">
            <v>24494.400000000001</v>
          </cell>
          <cell r="Q64">
            <v>262.83252498530277</v>
          </cell>
          <cell r="R64">
            <v>6437925</v>
          </cell>
          <cell r="S64">
            <v>14152.32</v>
          </cell>
          <cell r="T64">
            <v>278.27380952380952</v>
          </cell>
          <cell r="U64">
            <v>3938220</v>
          </cell>
          <cell r="V64">
            <v>7257.6</v>
          </cell>
          <cell r="W64">
            <v>309.12946428571428</v>
          </cell>
          <cell r="X64">
            <v>2243538</v>
          </cell>
        </row>
        <row r="65">
          <cell r="A65" t="str">
            <v>14/1</v>
          </cell>
          <cell r="B65" t="str">
            <v>SLUB</v>
          </cell>
          <cell r="C65" t="str">
            <v>14/1SLUB</v>
          </cell>
          <cell r="D65">
            <v>0</v>
          </cell>
          <cell r="E65">
            <v>0</v>
          </cell>
          <cell r="F65">
            <v>0</v>
          </cell>
          <cell r="H65">
            <v>0</v>
          </cell>
          <cell r="K65">
            <v>0</v>
          </cell>
          <cell r="N65">
            <v>0</v>
          </cell>
          <cell r="Q65">
            <v>0</v>
          </cell>
          <cell r="T65">
            <v>0</v>
          </cell>
          <cell r="W65">
            <v>0</v>
          </cell>
        </row>
        <row r="66">
          <cell r="A66" t="str">
            <v>16/1</v>
          </cell>
          <cell r="B66" t="str">
            <v>SLUB</v>
          </cell>
          <cell r="C66" t="str">
            <v>16/1SLUB</v>
          </cell>
          <cell r="D66">
            <v>19051.199999999997</v>
          </cell>
          <cell r="E66">
            <v>362.62282690854124</v>
          </cell>
          <cell r="F66">
            <v>6908400</v>
          </cell>
          <cell r="H66">
            <v>6908400</v>
          </cell>
          <cell r="K66">
            <v>6908400</v>
          </cell>
          <cell r="M66">
            <v>2812.32</v>
          </cell>
          <cell r="N66">
            <v>293.10320304943957</v>
          </cell>
          <cell r="O66">
            <v>824300</v>
          </cell>
          <cell r="P66">
            <v>771.12</v>
          </cell>
          <cell r="Q66">
            <v>328.4832451499118</v>
          </cell>
          <cell r="R66">
            <v>253300</v>
          </cell>
          <cell r="S66">
            <v>4762.8</v>
          </cell>
          <cell r="T66">
            <v>328.4832451499118</v>
          </cell>
          <cell r="U66">
            <v>1564500</v>
          </cell>
          <cell r="V66">
            <v>90.72</v>
          </cell>
          <cell r="W66">
            <v>220.45855379188714</v>
          </cell>
          <cell r="X66">
            <v>20000</v>
          </cell>
        </row>
        <row r="67">
          <cell r="A67" t="str">
            <v>18/1</v>
          </cell>
          <cell r="B67" t="str">
            <v>SLUB</v>
          </cell>
          <cell r="C67" t="str">
            <v>18/1SLUB</v>
          </cell>
          <cell r="D67">
            <v>0</v>
          </cell>
          <cell r="E67">
            <v>0</v>
          </cell>
          <cell r="F67">
            <v>0</v>
          </cell>
          <cell r="H67">
            <v>0</v>
          </cell>
          <cell r="K67">
            <v>0</v>
          </cell>
          <cell r="N67">
            <v>0</v>
          </cell>
          <cell r="W67">
            <v>0</v>
          </cell>
        </row>
        <row r="68">
          <cell r="A68" t="str">
            <v>20/1</v>
          </cell>
          <cell r="B68" t="str">
            <v>SLUB</v>
          </cell>
          <cell r="C68" t="str">
            <v>20/1SLUB</v>
          </cell>
          <cell r="D68">
            <v>5034.96</v>
          </cell>
          <cell r="E68">
            <v>350.08818342151676</v>
          </cell>
          <cell r="F68">
            <v>1762680</v>
          </cell>
          <cell r="H68">
            <v>1762680</v>
          </cell>
          <cell r="K68">
            <v>1762680</v>
          </cell>
          <cell r="N68">
            <v>1762680</v>
          </cell>
          <cell r="Q68">
            <v>1762680</v>
          </cell>
          <cell r="T68">
            <v>1762680</v>
          </cell>
          <cell r="W68">
            <v>1762680</v>
          </cell>
        </row>
        <row r="69">
          <cell r="A69" t="str">
            <v>21/1</v>
          </cell>
          <cell r="B69" t="str">
            <v>SLUB</v>
          </cell>
          <cell r="C69" t="str">
            <v>21/1SLUB</v>
          </cell>
          <cell r="D69">
            <v>1542.24</v>
          </cell>
          <cell r="E69">
            <v>314.15343915343914</v>
          </cell>
          <cell r="F69">
            <v>484500</v>
          </cell>
          <cell r="H69">
            <v>484500</v>
          </cell>
          <cell r="K69">
            <v>484500</v>
          </cell>
          <cell r="M69">
            <v>1542.24</v>
          </cell>
          <cell r="N69">
            <v>314.15343915343914</v>
          </cell>
          <cell r="O69">
            <v>484500</v>
          </cell>
          <cell r="W69">
            <v>484500</v>
          </cell>
        </row>
        <row r="70">
          <cell r="A70" t="str">
            <v>22/1</v>
          </cell>
          <cell r="B70" t="str">
            <v>SLUB</v>
          </cell>
          <cell r="C70" t="str">
            <v>22/1SLUB</v>
          </cell>
          <cell r="D70">
            <v>22362.48</v>
          </cell>
          <cell r="E70">
            <v>424.01200582404101</v>
          </cell>
          <cell r="F70">
            <v>9481960</v>
          </cell>
          <cell r="H70">
            <v>9481960</v>
          </cell>
          <cell r="K70">
            <v>9481960</v>
          </cell>
          <cell r="N70">
            <v>9481960</v>
          </cell>
          <cell r="Q70">
            <v>9481960</v>
          </cell>
          <cell r="T70">
            <v>9481960</v>
          </cell>
          <cell r="V70">
            <v>4536</v>
          </cell>
          <cell r="W70">
            <v>451.94003527336861</v>
          </cell>
          <cell r="X70">
            <v>2050000</v>
          </cell>
        </row>
        <row r="71">
          <cell r="A71" t="str">
            <v>28/1</v>
          </cell>
          <cell r="B71" t="str">
            <v>SLUB</v>
          </cell>
          <cell r="D71">
            <v>0</v>
          </cell>
          <cell r="E71">
            <v>0</v>
          </cell>
          <cell r="F71">
            <v>0</v>
          </cell>
          <cell r="H71">
            <v>0</v>
          </cell>
          <cell r="K71">
            <v>0</v>
          </cell>
          <cell r="N71">
            <v>0</v>
          </cell>
          <cell r="Q71">
            <v>0</v>
          </cell>
          <cell r="T71">
            <v>0</v>
          </cell>
          <cell r="W71">
            <v>0</v>
          </cell>
        </row>
        <row r="72">
          <cell r="A72" t="str">
            <v>30/1</v>
          </cell>
          <cell r="B72" t="str">
            <v>SLUB</v>
          </cell>
          <cell r="D72">
            <v>0</v>
          </cell>
          <cell r="E72">
            <v>0</v>
          </cell>
          <cell r="F72">
            <v>0</v>
          </cell>
          <cell r="H72">
            <v>0</v>
          </cell>
          <cell r="K72">
            <v>0</v>
          </cell>
          <cell r="N72">
            <v>0</v>
          </cell>
          <cell r="Q72">
            <v>0</v>
          </cell>
          <cell r="T72">
            <v>0</v>
          </cell>
          <cell r="W72">
            <v>0</v>
          </cell>
        </row>
        <row r="73">
          <cell r="A73" t="str">
            <v>20/1</v>
          </cell>
          <cell r="B73" t="str">
            <v>S/Crd</v>
          </cell>
          <cell r="D73">
            <v>0</v>
          </cell>
          <cell r="E73">
            <v>0</v>
          </cell>
          <cell r="F73">
            <v>0</v>
          </cell>
          <cell r="H73">
            <v>0</v>
          </cell>
          <cell r="K73">
            <v>0</v>
          </cell>
          <cell r="N73">
            <v>0</v>
          </cell>
        </row>
        <row r="74">
          <cell r="A74" t="str">
            <v>16/1</v>
          </cell>
          <cell r="B74" t="str">
            <v>S/Jaguar</v>
          </cell>
          <cell r="D74">
            <v>0</v>
          </cell>
          <cell r="E74">
            <v>0</v>
          </cell>
          <cell r="F74">
            <v>0</v>
          </cell>
          <cell r="H74">
            <v>0</v>
          </cell>
          <cell r="K74">
            <v>0</v>
          </cell>
          <cell r="N74">
            <v>0</v>
          </cell>
        </row>
        <row r="75">
          <cell r="A75" t="str">
            <v>18/1</v>
          </cell>
          <cell r="B75" t="str">
            <v>S/Jaguar</v>
          </cell>
          <cell r="D75">
            <v>0</v>
          </cell>
          <cell r="E75">
            <v>0</v>
          </cell>
          <cell r="F75">
            <v>0</v>
          </cell>
          <cell r="H75">
            <v>0</v>
          </cell>
          <cell r="K75">
            <v>0</v>
          </cell>
          <cell r="N75">
            <v>0</v>
          </cell>
        </row>
        <row r="76">
          <cell r="A76" t="str">
            <v>20/1</v>
          </cell>
          <cell r="B76" t="str">
            <v>S/Jaguar</v>
          </cell>
          <cell r="D76">
            <v>0</v>
          </cell>
          <cell r="E76">
            <v>0</v>
          </cell>
          <cell r="F76">
            <v>0</v>
          </cell>
          <cell r="H76">
            <v>0</v>
          </cell>
          <cell r="K76">
            <v>0</v>
          </cell>
          <cell r="N76">
            <v>0</v>
          </cell>
        </row>
        <row r="77">
          <cell r="A77" t="str">
            <v>30/1</v>
          </cell>
          <cell r="B77" t="str">
            <v>S/Jaguar</v>
          </cell>
          <cell r="D77">
            <v>0</v>
          </cell>
          <cell r="E77">
            <v>0</v>
          </cell>
          <cell r="F77">
            <v>0</v>
          </cell>
          <cell r="H77">
            <v>0</v>
          </cell>
          <cell r="K77">
            <v>0</v>
          </cell>
          <cell r="N77">
            <v>0</v>
          </cell>
        </row>
        <row r="78">
          <cell r="H78">
            <v>0</v>
          </cell>
        </row>
        <row r="79">
          <cell r="D79">
            <v>364872.17</v>
          </cell>
          <cell r="E79">
            <v>317.84990069261795</v>
          </cell>
          <cell r="F79">
            <v>115974583</v>
          </cell>
          <cell r="G79">
            <v>771.12</v>
          </cell>
          <cell r="H79">
            <v>231.48148148148147</v>
          </cell>
          <cell r="I79">
            <v>178500</v>
          </cell>
          <cell r="J79">
            <v>0</v>
          </cell>
          <cell r="K79">
            <v>0</v>
          </cell>
          <cell r="L79">
            <v>0</v>
          </cell>
          <cell r="M79">
            <v>50485.68</v>
          </cell>
          <cell r="N79">
            <v>257.10458886559513</v>
          </cell>
          <cell r="O79">
            <v>12980100</v>
          </cell>
          <cell r="P79">
            <v>65046.240000000005</v>
          </cell>
          <cell r="Q79">
            <v>263.32690406086499</v>
          </cell>
          <cell r="R79">
            <v>17128425</v>
          </cell>
          <cell r="S79">
            <v>77698.009999999995</v>
          </cell>
          <cell r="T79">
            <v>280.81259738827288</v>
          </cell>
          <cell r="U79">
            <v>21818580</v>
          </cell>
          <cell r="V79">
            <v>42774.48</v>
          </cell>
          <cell r="W79">
            <v>367.09360347571726</v>
          </cell>
          <cell r="X79">
            <v>15702238</v>
          </cell>
        </row>
        <row r="82">
          <cell r="A82" t="str">
            <v>SUB TOTAL Carded</v>
          </cell>
          <cell r="D82">
            <v>1606682.5699999998</v>
          </cell>
          <cell r="E82">
            <v>298.62024491869613</v>
          </cell>
          <cell r="F82">
            <v>479787942.56000006</v>
          </cell>
          <cell r="G82">
            <v>37104.480000000003</v>
          </cell>
          <cell r="H82">
            <v>242.85477117587956</v>
          </cell>
          <cell r="I82">
            <v>9011000</v>
          </cell>
          <cell r="J82">
            <v>37059.120000000003</v>
          </cell>
          <cell r="K82">
            <v>212.38499349148063</v>
          </cell>
          <cell r="L82">
            <v>7870800.96</v>
          </cell>
          <cell r="M82">
            <v>251067.59999999998</v>
          </cell>
          <cell r="N82">
            <v>239.8602089636417</v>
          </cell>
          <cell r="O82">
            <v>60221127</v>
          </cell>
          <cell r="P82">
            <v>188879.03999999998</v>
          </cell>
          <cell r="Q82">
            <v>260.7699350864977</v>
          </cell>
          <cell r="R82">
            <v>49253975</v>
          </cell>
          <cell r="S82">
            <v>80827.849999999991</v>
          </cell>
          <cell r="T82">
            <v>279.49994958420893</v>
          </cell>
          <cell r="U82">
            <v>22591380</v>
          </cell>
          <cell r="V82">
            <v>202849.91999999998</v>
          </cell>
          <cell r="W82">
            <v>346.83739584417884</v>
          </cell>
          <cell r="X82">
            <v>70355938</v>
          </cell>
        </row>
        <row r="85">
          <cell r="A85" t="str">
            <v>09/1</v>
          </cell>
          <cell r="B85" t="str">
            <v>COMBED</v>
          </cell>
          <cell r="D85">
            <v>0</v>
          </cell>
          <cell r="E85">
            <v>0</v>
          </cell>
          <cell r="F85">
            <v>0</v>
          </cell>
          <cell r="H85">
            <v>0</v>
          </cell>
          <cell r="K85">
            <v>0</v>
          </cell>
          <cell r="N85">
            <v>0</v>
          </cell>
          <cell r="Q85">
            <v>0</v>
          </cell>
        </row>
        <row r="86">
          <cell r="A86" t="str">
            <v>9.5/1</v>
          </cell>
          <cell r="B86" t="str">
            <v>COMBED</v>
          </cell>
          <cell r="D86">
            <v>0</v>
          </cell>
          <cell r="E86">
            <v>0</v>
          </cell>
          <cell r="F86">
            <v>0</v>
          </cell>
          <cell r="H86">
            <v>0</v>
          </cell>
          <cell r="K86">
            <v>0</v>
          </cell>
          <cell r="N86">
            <v>0</v>
          </cell>
          <cell r="Q86">
            <v>0</v>
          </cell>
          <cell r="W86">
            <v>0</v>
          </cell>
        </row>
        <row r="87">
          <cell r="A87" t="str">
            <v>12/1</v>
          </cell>
          <cell r="B87" t="str">
            <v>COMBED</v>
          </cell>
          <cell r="D87">
            <v>90.72</v>
          </cell>
          <cell r="E87">
            <v>308.64197530864197</v>
          </cell>
          <cell r="F87">
            <v>28000</v>
          </cell>
          <cell r="H87">
            <v>28000</v>
          </cell>
          <cell r="K87">
            <v>28000</v>
          </cell>
          <cell r="N87">
            <v>28000</v>
          </cell>
          <cell r="Q87">
            <v>28000</v>
          </cell>
          <cell r="W87">
            <v>28000</v>
          </cell>
        </row>
        <row r="88">
          <cell r="A88" t="str">
            <v>14/1</v>
          </cell>
          <cell r="B88" t="str">
            <v>COMBED</v>
          </cell>
          <cell r="D88">
            <v>0</v>
          </cell>
          <cell r="E88">
            <v>0</v>
          </cell>
          <cell r="F88">
            <v>0</v>
          </cell>
          <cell r="H88">
            <v>0</v>
          </cell>
          <cell r="K88">
            <v>0</v>
          </cell>
          <cell r="N88">
            <v>0</v>
          </cell>
          <cell r="Q88">
            <v>0</v>
          </cell>
          <cell r="W88">
            <v>0</v>
          </cell>
        </row>
        <row r="89">
          <cell r="A89" t="str">
            <v>13/1</v>
          </cell>
          <cell r="B89" t="str">
            <v>CBD Z.Twist</v>
          </cell>
          <cell r="D89">
            <v>0</v>
          </cell>
          <cell r="E89">
            <v>0</v>
          </cell>
          <cell r="F89">
            <v>0</v>
          </cell>
          <cell r="H89">
            <v>0</v>
          </cell>
          <cell r="K89">
            <v>0</v>
          </cell>
          <cell r="N89">
            <v>0</v>
          </cell>
          <cell r="Q89">
            <v>0</v>
          </cell>
          <cell r="T89">
            <v>0</v>
          </cell>
          <cell r="W89">
            <v>0</v>
          </cell>
        </row>
        <row r="90">
          <cell r="A90" t="str">
            <v>16/1</v>
          </cell>
          <cell r="B90" t="str">
            <v>COMBED</v>
          </cell>
          <cell r="D90">
            <v>17826.480000000003</v>
          </cell>
          <cell r="E90">
            <v>436.0311177529158</v>
          </cell>
          <cell r="F90">
            <v>7772900</v>
          </cell>
          <cell r="H90">
            <v>7772900</v>
          </cell>
          <cell r="K90">
            <v>7772900</v>
          </cell>
          <cell r="N90">
            <v>7772900</v>
          </cell>
          <cell r="Q90">
            <v>7772900</v>
          </cell>
          <cell r="T90">
            <v>7772900</v>
          </cell>
          <cell r="V90">
            <v>17690.400000000001</v>
          </cell>
          <cell r="W90">
            <v>437.61022927689589</v>
          </cell>
          <cell r="X90">
            <v>7741500</v>
          </cell>
        </row>
        <row r="91">
          <cell r="A91" t="str">
            <v>17/1</v>
          </cell>
          <cell r="B91" t="str">
            <v>COMBED</v>
          </cell>
          <cell r="D91">
            <v>0</v>
          </cell>
          <cell r="E91">
            <v>0</v>
          </cell>
          <cell r="F91">
            <v>0</v>
          </cell>
          <cell r="H91">
            <v>0</v>
          </cell>
          <cell r="K91">
            <v>0</v>
          </cell>
          <cell r="N91">
            <v>0</v>
          </cell>
          <cell r="Q91">
            <v>0</v>
          </cell>
          <cell r="T91">
            <v>0</v>
          </cell>
          <cell r="W91">
            <v>0</v>
          </cell>
        </row>
        <row r="92">
          <cell r="A92" t="str">
            <v>18/1</v>
          </cell>
          <cell r="B92" t="str">
            <v>COMBED</v>
          </cell>
          <cell r="D92">
            <v>0</v>
          </cell>
          <cell r="E92">
            <v>0</v>
          </cell>
          <cell r="F92">
            <v>0</v>
          </cell>
          <cell r="H92">
            <v>0</v>
          </cell>
          <cell r="K92">
            <v>0</v>
          </cell>
          <cell r="N92">
            <v>0</v>
          </cell>
          <cell r="Q92">
            <v>0</v>
          </cell>
          <cell r="T92">
            <v>0</v>
          </cell>
          <cell r="W92">
            <v>0</v>
          </cell>
        </row>
        <row r="93">
          <cell r="A93" t="str">
            <v>18/2</v>
          </cell>
          <cell r="B93" t="str">
            <v>COMBED</v>
          </cell>
          <cell r="D93">
            <v>0</v>
          </cell>
          <cell r="E93">
            <v>0</v>
          </cell>
          <cell r="F93">
            <v>0</v>
          </cell>
          <cell r="H93">
            <v>0</v>
          </cell>
          <cell r="K93">
            <v>0</v>
          </cell>
          <cell r="N93">
            <v>0</v>
          </cell>
          <cell r="Q93">
            <v>0</v>
          </cell>
          <cell r="T93">
            <v>0</v>
          </cell>
          <cell r="W93">
            <v>0</v>
          </cell>
        </row>
        <row r="94">
          <cell r="A94" t="str">
            <v>20/1</v>
          </cell>
          <cell r="B94" t="str">
            <v>COMBED</v>
          </cell>
          <cell r="C94" t="str">
            <v>20/1COMBED</v>
          </cell>
          <cell r="D94">
            <v>54205.200000000004</v>
          </cell>
          <cell r="E94">
            <v>360.46080449846136</v>
          </cell>
          <cell r="F94">
            <v>19538850</v>
          </cell>
          <cell r="H94">
            <v>19538848</v>
          </cell>
          <cell r="K94">
            <v>19538848</v>
          </cell>
          <cell r="N94">
            <v>19538848</v>
          </cell>
          <cell r="Q94">
            <v>19538848</v>
          </cell>
          <cell r="S94">
            <v>7801.92</v>
          </cell>
          <cell r="T94">
            <v>346.70952791107828</v>
          </cell>
          <cell r="U94">
            <v>2705000</v>
          </cell>
          <cell r="V94">
            <v>15513.12</v>
          </cell>
          <cell r="W94">
            <v>343.06445125158575</v>
          </cell>
          <cell r="X94">
            <v>5322000</v>
          </cell>
        </row>
        <row r="95">
          <cell r="A95" t="str">
            <v>20/2</v>
          </cell>
          <cell r="B95" t="str">
            <v>COMBED</v>
          </cell>
          <cell r="C95" t="str">
            <v>20/2COMBED</v>
          </cell>
          <cell r="D95">
            <v>0</v>
          </cell>
          <cell r="E95">
            <v>0</v>
          </cell>
          <cell r="F95">
            <v>0</v>
          </cell>
          <cell r="H95">
            <v>0</v>
          </cell>
          <cell r="K95">
            <v>0</v>
          </cell>
          <cell r="N95">
            <v>0</v>
          </cell>
          <cell r="Q95">
            <v>0</v>
          </cell>
          <cell r="T95">
            <v>0</v>
          </cell>
          <cell r="W95">
            <v>0</v>
          </cell>
        </row>
        <row r="96">
          <cell r="A96" t="str">
            <v>21/2</v>
          </cell>
          <cell r="B96" t="str">
            <v>COMBED</v>
          </cell>
          <cell r="C96" t="str">
            <v>21/2COMBED</v>
          </cell>
          <cell r="D96">
            <v>0</v>
          </cell>
          <cell r="E96">
            <v>0</v>
          </cell>
          <cell r="F96">
            <v>0</v>
          </cell>
          <cell r="K96">
            <v>0</v>
          </cell>
          <cell r="Q96">
            <v>0</v>
          </cell>
          <cell r="T96">
            <v>0</v>
          </cell>
          <cell r="W96">
            <v>0</v>
          </cell>
        </row>
        <row r="97">
          <cell r="A97" t="str">
            <v>24/1</v>
          </cell>
          <cell r="B97" t="str">
            <v>COMBED</v>
          </cell>
          <cell r="C97" t="str">
            <v>24/1COMBED</v>
          </cell>
          <cell r="D97">
            <v>0</v>
          </cell>
          <cell r="E97">
            <v>0</v>
          </cell>
          <cell r="F97">
            <v>0</v>
          </cell>
          <cell r="H97">
            <v>0</v>
          </cell>
          <cell r="K97">
            <v>0</v>
          </cell>
          <cell r="N97">
            <v>0</v>
          </cell>
          <cell r="Q97">
            <v>0</v>
          </cell>
          <cell r="T97">
            <v>0</v>
          </cell>
          <cell r="W97">
            <v>0</v>
          </cell>
        </row>
        <row r="98">
          <cell r="A98" t="str">
            <v>24/2</v>
          </cell>
          <cell r="B98" t="str">
            <v>COMBED</v>
          </cell>
          <cell r="D98">
            <v>2016</v>
          </cell>
          <cell r="E98">
            <v>308.64399801587302</v>
          </cell>
          <cell r="F98">
            <v>622226.30000000005</v>
          </cell>
          <cell r="J98">
            <v>2016</v>
          </cell>
          <cell r="K98">
            <v>308.64399801587302</v>
          </cell>
          <cell r="L98">
            <v>622226.30000000005</v>
          </cell>
          <cell r="T98">
            <v>622226</v>
          </cell>
          <cell r="W98">
            <v>622226</v>
          </cell>
        </row>
        <row r="99">
          <cell r="A99" t="str">
            <v>26/1</v>
          </cell>
          <cell r="B99" t="str">
            <v>COMBED</v>
          </cell>
          <cell r="C99" t="str">
            <v>26/1COMBED</v>
          </cell>
          <cell r="D99">
            <v>21591.360000000001</v>
          </cell>
          <cell r="E99">
            <v>446.2201547285581</v>
          </cell>
          <cell r="F99">
            <v>9634500</v>
          </cell>
          <cell r="H99">
            <v>9634496</v>
          </cell>
          <cell r="K99">
            <v>9634496</v>
          </cell>
          <cell r="N99">
            <v>9634496</v>
          </cell>
          <cell r="Q99">
            <v>9634496</v>
          </cell>
          <cell r="S99">
            <v>3855.6</v>
          </cell>
          <cell r="T99">
            <v>390.2116402116402</v>
          </cell>
          <cell r="U99">
            <v>1504500</v>
          </cell>
          <cell r="W99">
            <v>1504500</v>
          </cell>
        </row>
        <row r="100">
          <cell r="A100" t="str">
            <v>26/2</v>
          </cell>
          <cell r="B100" t="str">
            <v>COMBED</v>
          </cell>
          <cell r="C100" t="str">
            <v>26/2COMBED</v>
          </cell>
          <cell r="D100">
            <v>0</v>
          </cell>
          <cell r="E100">
            <v>0</v>
          </cell>
          <cell r="F100">
            <v>0</v>
          </cell>
          <cell r="H100">
            <v>0</v>
          </cell>
          <cell r="K100">
            <v>0</v>
          </cell>
          <cell r="N100">
            <v>0</v>
          </cell>
          <cell r="Q100">
            <v>0</v>
          </cell>
          <cell r="T100">
            <v>0</v>
          </cell>
          <cell r="W100">
            <v>0</v>
          </cell>
        </row>
        <row r="101">
          <cell r="A101" t="str">
            <v>28/1</v>
          </cell>
          <cell r="B101" t="str">
            <v>COMBED</v>
          </cell>
          <cell r="C101" t="str">
            <v>28/1COMBED</v>
          </cell>
          <cell r="D101">
            <v>0</v>
          </cell>
          <cell r="E101">
            <v>0</v>
          </cell>
          <cell r="F101">
            <v>0</v>
          </cell>
          <cell r="K101">
            <v>0</v>
          </cell>
          <cell r="Q101">
            <v>0</v>
          </cell>
          <cell r="T101">
            <v>0</v>
          </cell>
          <cell r="W101">
            <v>0</v>
          </cell>
        </row>
        <row r="102">
          <cell r="A102" t="str">
            <v>30/1</v>
          </cell>
          <cell r="B102" t="str">
            <v>COMBED</v>
          </cell>
          <cell r="C102" t="str">
            <v>30/1COMBED</v>
          </cell>
          <cell r="D102">
            <v>15513.12</v>
          </cell>
          <cell r="E102">
            <v>588.26013077962398</v>
          </cell>
          <cell r="F102">
            <v>9125750</v>
          </cell>
          <cell r="H102">
            <v>9125744</v>
          </cell>
          <cell r="K102">
            <v>9125744</v>
          </cell>
          <cell r="N102">
            <v>9125744</v>
          </cell>
          <cell r="Q102">
            <v>9125744</v>
          </cell>
          <cell r="T102">
            <v>9125744</v>
          </cell>
          <cell r="W102">
            <v>9125744</v>
          </cell>
        </row>
        <row r="103">
          <cell r="A103" t="str">
            <v>30/3</v>
          </cell>
          <cell r="B103" t="str">
            <v>COMBED</v>
          </cell>
          <cell r="D103">
            <v>0</v>
          </cell>
          <cell r="E103">
            <v>0</v>
          </cell>
          <cell r="F103">
            <v>0</v>
          </cell>
          <cell r="H103">
            <v>0</v>
          </cell>
          <cell r="K103">
            <v>0</v>
          </cell>
          <cell r="N103">
            <v>0</v>
          </cell>
          <cell r="Q103">
            <v>0</v>
          </cell>
          <cell r="T103">
            <v>0</v>
          </cell>
        </row>
        <row r="104">
          <cell r="A104" t="str">
            <v>32/1</v>
          </cell>
          <cell r="B104" t="str">
            <v>COMBED</v>
          </cell>
          <cell r="D104">
            <v>9253.4400000000023</v>
          </cell>
          <cell r="E104">
            <v>337.18314486288335</v>
          </cell>
          <cell r="F104">
            <v>3120104</v>
          </cell>
          <cell r="H104">
            <v>3120104</v>
          </cell>
          <cell r="K104">
            <v>3120104</v>
          </cell>
          <cell r="M104">
            <v>1632.96</v>
          </cell>
          <cell r="N104">
            <v>296.82539682539681</v>
          </cell>
          <cell r="O104">
            <v>484704</v>
          </cell>
          <cell r="P104">
            <v>7529.76</v>
          </cell>
          <cell r="Q104">
            <v>346.11992945326278</v>
          </cell>
          <cell r="R104">
            <v>2606200</v>
          </cell>
          <cell r="T104">
            <v>2606200</v>
          </cell>
        </row>
        <row r="105">
          <cell r="A105" t="str">
            <v>40/1</v>
          </cell>
          <cell r="B105" t="str">
            <v>COMBED</v>
          </cell>
          <cell r="D105">
            <v>0</v>
          </cell>
          <cell r="E105">
            <v>0</v>
          </cell>
          <cell r="F105">
            <v>0</v>
          </cell>
          <cell r="H105">
            <v>0</v>
          </cell>
          <cell r="K105">
            <v>0</v>
          </cell>
          <cell r="Q105">
            <v>0</v>
          </cell>
        </row>
        <row r="106">
          <cell r="A106" t="str">
            <v>80/1</v>
          </cell>
          <cell r="B106" t="str">
            <v>PVA</v>
          </cell>
          <cell r="D106">
            <v>0</v>
          </cell>
          <cell r="E106">
            <v>0</v>
          </cell>
          <cell r="F106">
            <v>0</v>
          </cell>
          <cell r="H106">
            <v>0</v>
          </cell>
          <cell r="K106">
            <v>0</v>
          </cell>
        </row>
        <row r="108">
          <cell r="A108" t="str">
            <v>SUB TOTAL  Combed</v>
          </cell>
          <cell r="D108">
            <v>120496.32000000001</v>
          </cell>
          <cell r="E108">
            <v>413.641929479672</v>
          </cell>
          <cell r="F108">
            <v>49842330.299999997</v>
          </cell>
          <cell r="G108">
            <v>0</v>
          </cell>
          <cell r="H108">
            <v>0</v>
          </cell>
          <cell r="I108">
            <v>0</v>
          </cell>
          <cell r="J108">
            <v>2016</v>
          </cell>
          <cell r="K108">
            <v>308.64399801587302</v>
          </cell>
          <cell r="L108">
            <v>622226.30000000005</v>
          </cell>
          <cell r="M108">
            <v>1632.96</v>
          </cell>
          <cell r="N108">
            <v>296.82539682539681</v>
          </cell>
          <cell r="O108">
            <v>484704</v>
          </cell>
          <cell r="P108">
            <v>7529.76</v>
          </cell>
          <cell r="Q108">
            <v>346.11992945326278</v>
          </cell>
          <cell r="R108">
            <v>2606200</v>
          </cell>
          <cell r="S108">
            <v>11657.52</v>
          </cell>
          <cell r="T108">
            <v>361.09738606496063</v>
          </cell>
          <cell r="U108">
            <v>4209500</v>
          </cell>
          <cell r="V108">
            <v>33203.520000000004</v>
          </cell>
          <cell r="W108">
            <v>393.43720183884113</v>
          </cell>
          <cell r="X108">
            <v>13063500</v>
          </cell>
        </row>
        <row r="109">
          <cell r="A109" t="str">
            <v>TOTAL CRD &amp; CMD</v>
          </cell>
          <cell r="D109">
            <v>1727178.89</v>
          </cell>
          <cell r="E109">
            <v>306.64471174725861</v>
          </cell>
          <cell r="F109">
            <v>529630272.86000007</v>
          </cell>
          <cell r="G109">
            <v>37104.480000000003</v>
          </cell>
          <cell r="H109">
            <v>242.85477117587956</v>
          </cell>
          <cell r="I109">
            <v>9011000</v>
          </cell>
          <cell r="J109">
            <v>39075.120000000003</v>
          </cell>
          <cell r="K109">
            <v>217.35127774399666</v>
          </cell>
          <cell r="L109">
            <v>8493027.2599999998</v>
          </cell>
          <cell r="M109">
            <v>252700.55999999997</v>
          </cell>
          <cell r="N109">
            <v>240.22832003221524</v>
          </cell>
          <cell r="O109">
            <v>60705831</v>
          </cell>
          <cell r="P109">
            <v>196408.8</v>
          </cell>
          <cell r="Q109">
            <v>264.04201339247533</v>
          </cell>
          <cell r="R109">
            <v>51860175</v>
          </cell>
          <cell r="S109">
            <v>92485.37</v>
          </cell>
          <cell r="T109">
            <v>289.78507627746961</v>
          </cell>
          <cell r="U109">
            <v>26800880</v>
          </cell>
          <cell r="V109">
            <v>236053.44</v>
          </cell>
          <cell r="W109">
            <v>353.39217255211361</v>
          </cell>
          <cell r="X109">
            <v>83419438</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BS New"/>
      <sheetName val="BS"/>
      <sheetName val="PL"/>
      <sheetName val="CashFlow"/>
      <sheetName val="Equity"/>
      <sheetName val="Notes"/>
      <sheetName val="Financial Instruments"/>
      <sheetName val="Fixed Assets"/>
      <sheetName val="Long Term Loans"/>
      <sheetName val="Deferred tax"/>
      <sheetName val="Taxation"/>
      <sheetName val="Surplus dep"/>
      <sheetName val="Tax Dep Schedule"/>
      <sheetName val="Provision for taxation - Min"/>
      <sheetName val="Revaluation Surplus"/>
      <sheetName val="Surplus on Revaluation Sheet"/>
      <sheetName val="WPPF"/>
      <sheetName val="Tickmarks"/>
      <sheetName val="Links"/>
      <sheetName val="Note 8"/>
      <sheetName val="Lead Current Portion of LTF"/>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Current Portion of LTF"/>
    </sheetNames>
    <definedNames>
      <definedName name="End_Bal" refersTo="#REF!" sheetId="0"/>
    </definedNames>
    <sheetDataSet>
      <sheetData sheetId="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BALANCE SHEET"/>
      <sheetName val="P&amp;L"/>
      <sheetName val="Cash flow"/>
      <sheetName val="Changes in equity"/>
      <sheetName val="notes"/>
      <sheetName val="Fixed Asset Sch"/>
      <sheetName val="F-Asset Sch"/>
      <sheetName val="Links"/>
      <sheetName val="Provision for Texation"/>
      <sheetName val="Tax depriciation shedule"/>
      <sheetName val="Tax dep. (2008)"/>
      <sheetName val="Gratuity"/>
      <sheetName val="Deferred tax "/>
      <sheetName val="Tickmarks"/>
      <sheetName val="Prepaid Sheet"/>
    </sheetNames>
    <sheetDataSet>
      <sheetData sheetId="0" refreshError="1"/>
      <sheetData sheetId="1"/>
      <sheetData sheetId="2"/>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m Rec"/>
      <sheetName val="Prepaid"/>
      <sheetName val="GrpMed"/>
      <sheetName val="GrpLife"/>
      <sheetName val="Gnrl-Ins"/>
      <sheetName val="AGIC-EFU-Rlnc"/>
      <sheetName val="InsSch2k-02-03"/>
      <sheetName val="InsSch 02-03 "/>
      <sheetName val="Ins Cost"/>
      <sheetName val="Deptt Wise Exp"/>
      <sheetName val="Ins Exp."/>
      <sheetName val="Prepaid Sheet"/>
      <sheetName val="Ins 01-02 "/>
      <sheetName val="INS 00-01 "/>
      <sheetName val="note"/>
      <sheetName val="Acct"/>
      <sheetName val="ORIX"/>
      <sheetName val="ATTACH1B"/>
      <sheetName val="ATTACH1C"/>
      <sheetName val="Grmt Ord"/>
      <sheetName val="Account"/>
      <sheetName val="Clm_Rec"/>
      <sheetName val="InsSch_02-03_"/>
      <sheetName val="Ins_Cost"/>
      <sheetName val="Deptt_Wise_Exp"/>
      <sheetName val="Ins_Exp_"/>
      <sheetName val="Prepaid_Sheet"/>
      <sheetName val="Ins_01-02_"/>
      <sheetName val="INS_00-01_"/>
      <sheetName val="Audit Jul-02~Sep-02"/>
      <sheetName val="Revenue-Fire-Marine-Motor"/>
      <sheetName val="18"/>
      <sheetName val="Lead"/>
      <sheetName val="Result"/>
      <sheetName val="chq-in-hand"/>
      <sheetName val="Inventory"/>
      <sheetName val="Macros"/>
      <sheetName val="Clm_Rec1"/>
      <sheetName val="InsSch_02-03_1"/>
      <sheetName val="Ins_Cost1"/>
      <sheetName val="Deptt_Wise_Exp1"/>
      <sheetName val="Ins_Exp_1"/>
      <sheetName val="Prepaid_Sheet1"/>
      <sheetName val="Ins_01-02_1"/>
      <sheetName val="INS_00-01_1"/>
      <sheetName val="Grmt_Ord"/>
      <sheetName val="Audit_Jul-02~Sep-02"/>
      <sheetName val="Notes"/>
      <sheetName val="pkage01"/>
      <sheetName val="Sup"/>
      <sheetName val="Sheet3"/>
      <sheetName val="Ttl data"/>
      <sheetName val="Dropdown"/>
      <sheetName val="Local sales NRP - Yarn"/>
      <sheetName val="Clm_Rec2"/>
      <sheetName val="InsSch_02-03_2"/>
      <sheetName val="Ins_Cost2"/>
      <sheetName val="Deptt_Wise_Exp2"/>
      <sheetName val="Ins_Exp_2"/>
      <sheetName val="Prepaid_Sheet2"/>
      <sheetName val="Ins_01-02_2"/>
      <sheetName val="INS_00-01_2"/>
      <sheetName val="Grmt_Ord1"/>
      <sheetName val="Audit_Jul-02~Sep-021"/>
      <sheetName val="Clm_Rec3"/>
      <sheetName val="InsSch_02-03_3"/>
      <sheetName val="Ins_Cost3"/>
      <sheetName val="Deptt_Wise_Exp3"/>
      <sheetName val="Ins_Exp_3"/>
      <sheetName val="Prepaid_Sheet3"/>
      <sheetName val="Ins_01-02_3"/>
      <sheetName val="INS_00-01_3"/>
      <sheetName val="Grmt_Ord2"/>
      <sheetName val="Audit_Jul-02~Sep-022"/>
      <sheetName val="X. Setup Sheet"/>
      <sheetName val="Y"/>
      <sheetName val="Sheet2"/>
      <sheetName val="Fixed Assets"/>
      <sheetName val="5001"/>
      <sheetName val="P&amp;L"/>
      <sheetName val="P&amp;L Data M"/>
      <sheetName val="KHIZER"/>
      <sheetName val="Clm_Rec4"/>
      <sheetName val="InsSch_02-03_4"/>
      <sheetName val="Ins_Cost4"/>
      <sheetName val="Deptt_Wise_Exp4"/>
      <sheetName val="Ins_Exp_4"/>
      <sheetName val="Prepaid_Sheet4"/>
      <sheetName val="Ins_01-02_4"/>
      <sheetName val="INS_00-01_4"/>
      <sheetName val="Grmt_Ord3"/>
      <sheetName val="Audit_Jul-02~Sep-023"/>
      <sheetName val="Ttl_data"/>
      <sheetName val="Clm_Rec5"/>
      <sheetName val="InsSch_02-03_5"/>
      <sheetName val="Ins_Cost5"/>
      <sheetName val="Deptt_Wise_Exp5"/>
      <sheetName val="Ins_Exp_5"/>
      <sheetName val="Prepaid_Sheet5"/>
      <sheetName val="Ins_01-02_5"/>
      <sheetName val="INS_00-01_5"/>
      <sheetName val="Grmt_Ord4"/>
      <sheetName val="Audit_Jul-02~Sep-024"/>
      <sheetName val="Ttl_data1"/>
      <sheetName val="Clm_Rec6"/>
      <sheetName val="InsSch_02-03_6"/>
      <sheetName val="Ins_Cost6"/>
      <sheetName val="Deptt_Wise_Exp6"/>
      <sheetName val="Ins_Exp_6"/>
      <sheetName val="Prepaid_Sheet6"/>
      <sheetName val="Ins_01-02_6"/>
      <sheetName val="INS_00-01_6"/>
      <sheetName val="Grmt_Ord5"/>
      <sheetName val="Audit_Jul-02~Sep-025"/>
      <sheetName val="Ttl_data2"/>
      <sheetName val="Clm_Rec7"/>
      <sheetName val="InsSch_02-03_7"/>
      <sheetName val="Ins_Cost7"/>
      <sheetName val="Deptt_Wise_Exp7"/>
      <sheetName val="Ins_Exp_7"/>
      <sheetName val="Prepaid_Sheet7"/>
      <sheetName val="Ins_01-02_7"/>
      <sheetName val="INS_00-01_7"/>
      <sheetName val="Grmt_Ord6"/>
      <sheetName val="Audit_Jul-02~Sep-026"/>
      <sheetName val="Ttl_data3"/>
      <sheetName val="Code"/>
      <sheetName val="Prvnth Analysis"/>
      <sheetName val="Daten"/>
      <sheetName val="Inputs"/>
      <sheetName val="PC(Mn)"/>
      <sheetName val="17"/>
      <sheetName val="Cement"/>
      <sheetName val="Prdct Wise"/>
      <sheetName val="Spndl Rtr"/>
      <sheetName val="Clm_Rec8"/>
      <sheetName val="InsSch_02-03_8"/>
      <sheetName val="Ins_Cost8"/>
      <sheetName val="Deptt_Wise_Exp8"/>
      <sheetName val="Ins_Exp_8"/>
      <sheetName val="Prepaid_Sheet8"/>
      <sheetName val="Ins_01-02_8"/>
      <sheetName val="INS_00-01_8"/>
      <sheetName val="Grmt_Ord7"/>
      <sheetName val="Audit_Jul-02~Sep-027"/>
      <sheetName val="Ttl_data4"/>
      <sheetName val="Clm_Rec9"/>
      <sheetName val="InsSch_02-03_9"/>
      <sheetName val="Ins_Cost9"/>
      <sheetName val="Deptt_Wise_Exp9"/>
      <sheetName val="Ins_Exp_9"/>
      <sheetName val="Prepaid_Sheet9"/>
      <sheetName val="Ins_01-02_9"/>
      <sheetName val="INS_00-01_9"/>
      <sheetName val="Grmt_Ord8"/>
      <sheetName val="Audit_Jul-02~Sep-028"/>
      <sheetName val="Ttl_data5"/>
      <sheetName val="Clm_Rec10"/>
      <sheetName val="InsSch_02-03_10"/>
      <sheetName val="Ins_Cost10"/>
      <sheetName val="Deptt_Wise_Exp10"/>
      <sheetName val="Ins_Exp_10"/>
      <sheetName val="Prepaid_Sheet10"/>
      <sheetName val="Ins_01-02_10"/>
      <sheetName val="INS_00-01_10"/>
      <sheetName val="Grmt_Ord9"/>
      <sheetName val="Audit_Jul-02~Sep-029"/>
      <sheetName val="Ttl_data6"/>
      <sheetName val="Hyperion"/>
      <sheetName val="Accounts"/>
      <sheetName val="RA"/>
      <sheetName val="List"/>
      <sheetName val="PopCache"/>
      <sheetName val="Cash &amp; bank"/>
      <sheetName val="7_Equipments vouch"/>
      <sheetName val="Adj bs"/>
      <sheetName val="Clm_Rec11"/>
      <sheetName val="InsSch_02-03_11"/>
      <sheetName val="Ins_Cost11"/>
      <sheetName val="Deptt_Wise_Exp11"/>
      <sheetName val="Ins_Exp_11"/>
      <sheetName val="Prepaid_Sheet11"/>
      <sheetName val="Ins_01-02_11"/>
      <sheetName val="INS_00-01_11"/>
      <sheetName val="Grmt_Ord10"/>
      <sheetName val="Audit_Jul-02~Sep-0210"/>
      <sheetName val="Ttl_data7"/>
      <sheetName val="Clm_Rec12"/>
      <sheetName val="InsSch_02-03_12"/>
      <sheetName val="Ins_Cost12"/>
      <sheetName val="Deptt_Wise_Exp12"/>
      <sheetName val="Ins_Exp_12"/>
      <sheetName val="Prepaid_Sheet12"/>
      <sheetName val="Ins_01-02_12"/>
      <sheetName val="INS_00-01_12"/>
      <sheetName val="Audit_Jul-02~Sep-0211"/>
      <sheetName val="Grmt_Ord11"/>
      <sheetName val="Ttl_data8"/>
      <sheetName val="Prvnth_Analysis"/>
      <sheetName val="P&amp;L_Data_M"/>
      <sheetName val="Local_sales_NRP_-_Yarn"/>
      <sheetName val="Material Import"/>
      <sheetName val="Material Local"/>
      <sheetName val="Receiveed Half Day Leaves"/>
      <sheetName val="RL"/>
      <sheetName val="Notes "/>
      <sheetName val="Note (8.2-8.2.2)"/>
      <sheetName val="PM"/>
      <sheetName val="Sampling"/>
      <sheetName val="Title page"/>
      <sheetName val="pack custom"/>
      <sheetName val="N-SEP 2K"/>
      <sheetName val="Clm_Rec13"/>
      <sheetName val="InsSch_02-03_13"/>
      <sheetName val="Ins_Cost13"/>
      <sheetName val="Deptt_Wise_Exp13"/>
      <sheetName val="Ins_Exp_13"/>
      <sheetName val="Prepaid_Sheet13"/>
      <sheetName val="Ins_01-02_13"/>
      <sheetName val="INS_00-01_13"/>
      <sheetName val="Audit_Jul-02~Sep-0212"/>
      <sheetName val="Grmt_Ord12"/>
      <sheetName val="Ttl_data9"/>
      <sheetName val="Prvnth_Analysis1"/>
      <sheetName val="P&amp;L_Data_M1"/>
      <sheetName val="Local_sales_NRP_-_Yarn1"/>
      <sheetName val="Cash Flow Budget"/>
      <sheetName val="Non-Statistical Sampling Master"/>
      <sheetName val="Two Step Revenue Testing Master"/>
      <sheetName val="Global Data"/>
      <sheetName val="SALESPOL (upd)"/>
      <sheetName val="Sheet13"/>
      <sheetName val="Pro Forma"/>
      <sheetName val="Other CREDITS"/>
      <sheetName val="V-Cost"/>
      <sheetName val="Fix--OH"/>
      <sheetName val="SABU P&amp;L"/>
      <sheetName val="Table # B-12.2 (O)"/>
      <sheetName val="PrData"/>
      <sheetName val="BS Com"/>
      <sheetName val="BS"/>
      <sheetName val="PL"/>
      <sheetName val="CF"/>
      <sheetName val="Note -BS"/>
      <sheetName val="FA"/>
      <sheetName val="FA Leased Asset"/>
      <sheetName val="Note -PL"/>
      <sheetName val="FT-New format"/>
      <sheetName val="Fixed_Assets"/>
      <sheetName val="Table"/>
      <sheetName val="A"/>
      <sheetName val="PopCache_Sheet1"/>
      <sheetName val="A (45)"/>
      <sheetName val="Clm_Rec14"/>
      <sheetName val="InsSch_02-03_14"/>
      <sheetName val="Ins_Cost14"/>
      <sheetName val="Deptt_Wise_Exp14"/>
      <sheetName val="Ins_Exp_14"/>
      <sheetName val="Prepaid_Sheet14"/>
      <sheetName val="Ins_01-02_14"/>
      <sheetName val="INS_00-01_14"/>
      <sheetName val="Audit_Jul-02~Sep-0213"/>
      <sheetName val="Grmt_Ord13"/>
      <sheetName val="Ttl_data10"/>
      <sheetName val="Prvnth_Analysis2"/>
      <sheetName val="Local_sales_NRP_-_Yarn2"/>
      <sheetName val="P&amp;L_Data_M2"/>
      <sheetName val="Fixed_Assets1"/>
      <sheetName val="Prdct_Wise"/>
      <sheetName val="Spndl_Rtr"/>
      <sheetName val="Note_(8_2-8_2_2)"/>
      <sheetName val="X__Setup_Sheet"/>
      <sheetName val="Title_page"/>
      <sheetName val="Receiveed_Half_Day_Leaves"/>
      <sheetName val="Cash_&amp;_bank"/>
      <sheetName val="Notes_"/>
      <sheetName val="Material_Import"/>
      <sheetName val="Material_Local"/>
      <sheetName val="SALESPOL_(upd)"/>
      <sheetName val="Non-Statistical_Sampling_Master"/>
      <sheetName val="Two_Step_Revenue_Testing_Master"/>
      <sheetName val="Global_Data"/>
      <sheetName val="BS_Com"/>
      <sheetName val="Note_-BS"/>
      <sheetName val="FA_Leased_Asset"/>
      <sheetName val="Note_-PL"/>
      <sheetName val="FT-New_format"/>
      <sheetName val="Pop-up Help"/>
      <sheetName val="Anlagevermögen"/>
      <sheetName val="Comps"/>
      <sheetName val="price05"/>
      <sheetName val="F-B"/>
      <sheetName val="F-B-21"/>
      <sheetName val="F-B-3"/>
      <sheetName val="F-B-4"/>
      <sheetName val="Pro_Forma"/>
      <sheetName val="Cash_Flow_Budget"/>
      <sheetName val="9.2-28"/>
      <sheetName val="P &amp; L"/>
      <sheetName val="Dec-06"/>
      <sheetName val="Feb-07"/>
      <sheetName val="Jan-07"/>
      <sheetName val="Jun-07"/>
      <sheetName val="Mar-07"/>
      <sheetName val="May-07"/>
      <sheetName val="Other_CREDITS"/>
      <sheetName val="7_Equipments_vouch"/>
      <sheetName val="Adj_bs"/>
      <sheetName val="Clm_Rec15"/>
      <sheetName val="InsSch_02-03_15"/>
      <sheetName val="Ins_Cost15"/>
      <sheetName val="Deptt_Wise_Exp15"/>
      <sheetName val="Ins_Exp_15"/>
      <sheetName val="Prepaid_Sheet15"/>
      <sheetName val="Ins_01-02_15"/>
      <sheetName val="INS_00-01_15"/>
      <sheetName val="Grmt_Ord14"/>
      <sheetName val="Audit_Jul-02~Sep-0214"/>
      <sheetName val="Ttl_data11"/>
      <sheetName val="Local_sales_NRP_-_Yarn3"/>
      <sheetName val="Prvnth_Analysis3"/>
      <sheetName val="P&amp;L_Data_M3"/>
      <sheetName val="X__Setup_Sheet1"/>
      <sheetName val="Cash_Flow_Budget1"/>
      <sheetName val="Prdct_Wise1"/>
      <sheetName val="Spndl_Rtr1"/>
      <sheetName val="Notes_1"/>
      <sheetName val="Receiveed_Half_Day_Leaves1"/>
      <sheetName val="Cash_&amp;_bank1"/>
      <sheetName val="7_Equipments_vouch1"/>
      <sheetName val="Adj_bs1"/>
      <sheetName val="Note_(8_2-8_2_2)1"/>
      <sheetName val="Title_page1"/>
      <sheetName val="SALESPOL_(upd)1"/>
      <sheetName val="Material_Import1"/>
      <sheetName val="Material_Local1"/>
      <sheetName val="Non-Statistical_Sampling_Maste1"/>
      <sheetName val="Two_Step_Revenue_Testing_Maste1"/>
      <sheetName val="Global_Data1"/>
      <sheetName val="Pro_Forma1"/>
      <sheetName val="Fixed_Assets2"/>
      <sheetName val="Prdct_Wise2"/>
      <sheetName val="Spndl_Rtr2"/>
      <sheetName val="X__Setup_Sheet2"/>
      <sheetName val="SABU_P&amp;L1"/>
      <sheetName val="Table_#_B-12_2_(O)1"/>
      <sheetName val="BS_Com1"/>
      <sheetName val="Note_-BS1"/>
      <sheetName val="FA_Leased_Asset1"/>
      <sheetName val="Note_-PL1"/>
      <sheetName val="FT-New_format1"/>
      <sheetName val="Other_CREDITS1"/>
      <sheetName val="N-SEP_2K1"/>
      <sheetName val="pack_custom1"/>
      <sheetName val="SABU_P&amp;L"/>
      <sheetName val="Table_#_B-12_2_(O)"/>
      <sheetName val="N-SEP_2K"/>
      <sheetName val="pack_custom"/>
      <sheetName val="normal"/>
      <sheetName val="fg"/>
      <sheetName val="Clm_Rec16"/>
      <sheetName val="InsSch_02-03_16"/>
      <sheetName val="Ins_Cost16"/>
      <sheetName val="Deptt_Wise_Exp16"/>
      <sheetName val="Ins_Exp_16"/>
      <sheetName val="Prepaid_Sheet16"/>
      <sheetName val="Ins_01-02_16"/>
      <sheetName val="INS_00-01_16"/>
      <sheetName val="Grmt_Ord15"/>
      <sheetName val="Audit_Jul-02~Sep-0215"/>
      <sheetName val="Ttl_data12"/>
      <sheetName val="Local_sales_NRP_-_Yarn4"/>
      <sheetName val="Prvnth_Analysis4"/>
      <sheetName val="P&amp;L_Data_M4"/>
      <sheetName val="Material_Import2"/>
      <sheetName val="Material_Local2"/>
      <sheetName val="Receiveed_Half_Day_Leaves2"/>
      <sheetName val="Cash_&amp;_bank2"/>
      <sheetName val="Notes_2"/>
      <sheetName val="Note_(8_2-8_2_2)2"/>
      <sheetName val="Title_page2"/>
      <sheetName val="SALESPOL_(upd)2"/>
      <sheetName val="Pro_Forma2"/>
      <sheetName val="Cash_Flow_Budget2"/>
      <sheetName val="Non-Statistical_Sampling_Maste2"/>
      <sheetName val="Two_Step_Revenue_Testing_Maste2"/>
      <sheetName val="Global_Data2"/>
      <sheetName val="SABU_P&amp;L2"/>
      <sheetName val="Table_#_B-12_2_(O)2"/>
      <sheetName val="BS_Com2"/>
      <sheetName val="Note_-BS2"/>
      <sheetName val="FA_Leased_Asset2"/>
      <sheetName val="Note_-PL2"/>
      <sheetName val="FT-New_format2"/>
      <sheetName val="7_Equipments_vouch2"/>
      <sheetName val="Adj_bs2"/>
      <sheetName val="pack_custom2"/>
      <sheetName val="G"/>
      <sheetName val="4"/>
      <sheetName val="12"/>
      <sheetName val="JV"/>
      <sheetName val="Disposals"/>
      <sheetName val="bal-sheet"/>
      <sheetName val="SOCE"/>
      <sheetName val="Avsb"/>
      <sheetName val="Mst"/>
      <sheetName val="XREF"/>
      <sheetName val="Profit Worksheet"/>
      <sheetName val="CHEQUES IN HAND"/>
      <sheetName val="BS Assets"/>
      <sheetName val="Attachment-4(2)"/>
      <sheetName val="BS-JPN"/>
      <sheetName val="Clm_Rec17"/>
      <sheetName val="InsSch_02-03_17"/>
      <sheetName val="Ins_Cost17"/>
      <sheetName val="Deptt_Wise_Exp17"/>
      <sheetName val="Ins_Exp_17"/>
      <sheetName val="Prepaid_Sheet17"/>
      <sheetName val="Ins_01-02_17"/>
      <sheetName val="INS_00-01_17"/>
      <sheetName val="Audit_Jul-02~Sep-0216"/>
      <sheetName val="Grmt_Ord16"/>
      <sheetName val="Ttl_data13"/>
      <sheetName val="Prvnth_Analysis5"/>
      <sheetName val="Local_sales_NRP_-_Yarn5"/>
      <sheetName val="P&amp;L_Data_M5"/>
      <sheetName val="Fixed_Assets3"/>
      <sheetName val="Prdct_Wise3"/>
      <sheetName val="Spndl_Rtr3"/>
      <sheetName val="Note_(8_2-8_2_2)3"/>
      <sheetName val="X__Setup_Sheet3"/>
      <sheetName val="Title_page3"/>
      <sheetName val="Receiveed_Half_Day_Leaves3"/>
      <sheetName val="Cash_&amp;_bank3"/>
      <sheetName val="Notes_3"/>
      <sheetName val="Material_Import3"/>
      <sheetName val="Material_Local3"/>
      <sheetName val="SALESPOL_(upd)3"/>
      <sheetName val="Non-Statistical_Sampling_Maste3"/>
      <sheetName val="Two_Step_Revenue_Testing_Maste3"/>
      <sheetName val="Global_Data3"/>
      <sheetName val="BS_Com3"/>
      <sheetName val="Note_-BS3"/>
      <sheetName val="FA_Leased_Asset3"/>
      <sheetName val="Note_-PL3"/>
      <sheetName val="FT-New_format3"/>
      <sheetName val="A_(45)"/>
      <sheetName val="Pro_Forma3"/>
      <sheetName val="Cash_Flow_Budget3"/>
      <sheetName val="SABU_P&amp;L3"/>
      <sheetName val="Table_#_B-12_2_(O)3"/>
      <sheetName val="7_Equipments_vouch3"/>
      <sheetName val="Adj_bs3"/>
      <sheetName val="Pop-up_Help"/>
      <sheetName val="9_2-28"/>
      <sheetName val="P_&amp;_L"/>
      <sheetName val="TABLO-3"/>
      <sheetName val="Links"/>
      <sheetName val="ESML_9394"/>
      <sheetName val="FEb"/>
      <sheetName val="December 06"/>
      <sheetName val="November 06"/>
      <sheetName val="Assumptions"/>
      <sheetName val="POWER HOUSE"/>
      <sheetName val="TBPRICE"/>
      <sheetName val="TS KHI"/>
      <sheetName val="PipWT"/>
      <sheetName val="BQ Working"/>
      <sheetName val="Sum_Order_Wise_FY-08~09"/>
      <sheetName val="malaysia"/>
      <sheetName val="Profit_Worksheet"/>
      <sheetName val="Ledger"/>
      <sheetName val="SPL SPS FSD"/>
      <sheetName val="PayRoll"/>
      <sheetName val="Monthly Accrual"/>
      <sheetName val="VCHR"/>
      <sheetName val="Note 6-35"/>
      <sheetName val="Input"/>
      <sheetName val="BW_DATA"/>
      <sheetName val="BW_DATABS"/>
      <sheetName val="Sheet1"/>
      <sheetName val="BW_NETSALES"/>
      <sheetName val="BW_PMSALES"/>
      <sheetName val="10"/>
      <sheetName val="bs&amp;Pl"/>
      <sheetName val="Pivot 2017"/>
      <sheetName val="Trial"/>
      <sheetName val="PR-Field-Regular"/>
      <sheetName val="Tax-2008"/>
      <sheetName val="pack_custom3"/>
      <sheetName val="pack customer"/>
      <sheetName val="Assmptns"/>
      <sheetName val="Present Value"/>
      <sheetName val="Lead Current Portion of LTF"/>
      <sheetName val="Equity"/>
      <sheetName val="tb"/>
      <sheetName val="FORMSRK"/>
      <sheetName val="OPEX SUMERY"/>
      <sheetName val="22"/>
      <sheetName val="DELIVERY OUTPUT"/>
      <sheetName val="jul"/>
      <sheetName val="INCOME 2004"/>
      <sheetName val="Annexure I - Signatories"/>
      <sheetName val="CON-BALANCE(99)"/>
      <sheetName val="Menu"/>
      <sheetName val="Sheet4"/>
      <sheetName val="00'q1price"/>
      <sheetName val="lc921471"/>
      <sheetName val="C1=CAPEX"/>
      <sheetName val="Stock in Trade"/>
      <sheetName val="BQ_Working"/>
      <sheetName val="BASIC DATA"/>
      <sheetName val="local students"/>
      <sheetName val="Clm_Rec18"/>
      <sheetName val="InsSch_02-03_18"/>
      <sheetName val="Ins_Cost18"/>
      <sheetName val="Deptt_Wise_Exp18"/>
      <sheetName val="Ins_Exp_18"/>
      <sheetName val="Prepaid_Sheet18"/>
      <sheetName val="Ins_01-02_18"/>
      <sheetName val="INS_00-01_18"/>
      <sheetName val="Grmt_Ord17"/>
      <sheetName val="Audit_Jul-02~Sep-0217"/>
      <sheetName val="Ttl_data14"/>
      <sheetName val="Local_sales_NRP_-_Yarn6"/>
      <sheetName val="P&amp;L_Data_M6"/>
      <sheetName val="Prvnth_Analysis6"/>
      <sheetName val="Fixed_Assets4"/>
      <sheetName val="Cash_&amp;_bank4"/>
      <sheetName val="Receiveed_Half_Day_Leaves4"/>
      <sheetName val="X__Setup_Sheet4"/>
      <sheetName val="Notes_4"/>
      <sheetName val="Prdct_Wise4"/>
      <sheetName val="Spndl_Rtr4"/>
      <sheetName val="Material_Import4"/>
      <sheetName val="Material_Local4"/>
      <sheetName val="Non-Statistical_Sampling_Maste4"/>
      <sheetName val="Two_Step_Revenue_Testing_Maste4"/>
      <sheetName val="Global_Data4"/>
      <sheetName val="Note_(8_2-8_2_2)4"/>
      <sheetName val="SALESPOL_(upd)4"/>
      <sheetName val="Title_page4"/>
      <sheetName val="BS_Com4"/>
      <sheetName val="Note_-BS4"/>
      <sheetName val="FA_Leased_Asset4"/>
      <sheetName val="Note_-PL4"/>
      <sheetName val="FT-New_format4"/>
      <sheetName val="Pro_Forma4"/>
      <sheetName val="Cash_Flow_Budget4"/>
      <sheetName val="SABU_P&amp;L4"/>
      <sheetName val="Table_#_B-12_2_(O)4"/>
      <sheetName val="7_Equipments_vouch4"/>
      <sheetName val="Adj_bs4"/>
      <sheetName val="N-SEP_2K2"/>
      <sheetName val="A_(45)1"/>
      <sheetName val="Other_CREDITS2"/>
      <sheetName val="Pop-up_Help1"/>
      <sheetName val="9_2-281"/>
      <sheetName val="P_&amp;_L1"/>
      <sheetName val="CHEQUES_IN_HAND"/>
      <sheetName val="BS_Assets"/>
      <sheetName val="Profit_Worksheet1"/>
      <sheetName val="POWER_HOUSE"/>
      <sheetName val="December_06"/>
      <sheetName val="November_06"/>
      <sheetName val="TS_KHI"/>
      <sheetName val="OPEX_SUMERY"/>
      <sheetName val="DELIVERY_OUTPUT"/>
      <sheetName val="INCOME_2004"/>
      <sheetName val="Annexure_I_-_Signatories"/>
      <sheetName val="BQ_Working1"/>
      <sheetName val="BASIC_DATA"/>
      <sheetName val="PL Wkg"/>
      <sheetName val="PL7-UP"/>
      <sheetName val="AOP"/>
      <sheetName val="PLClub"/>
      <sheetName val="PLGatorade"/>
      <sheetName val="PLLipton"/>
      <sheetName val="PLMirinda"/>
      <sheetName val="PLMountDew"/>
      <sheetName val="PLNCSD"/>
      <sheetName val="PLNCSD1"/>
      <sheetName val="PLNCSD2"/>
      <sheetName val="PL_Other"/>
      <sheetName val="PLPepsi"/>
      <sheetName val="PTT"/>
      <sheetName val="QFcst"/>
      <sheetName val="PLTwister"/>
      <sheetName val="PLWaterPlus"/>
      <sheetName val="2004F"/>
      <sheetName val="Daily summary data - All plant"/>
      <sheetName val="SUM"/>
      <sheetName val="BS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t="str">
            <v>CRESCENT GREENWOOD LIMITED</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A1" t="str">
            <v>CRESCENT GREENWOOD LIMITED</v>
          </cell>
        </row>
      </sheetData>
      <sheetData sheetId="38">
        <row r="1">
          <cell r="A1" t="str">
            <v>CRESCENT GREENWOOD LIMITED</v>
          </cell>
        </row>
      </sheetData>
      <sheetData sheetId="39">
        <row r="1">
          <cell r="A1" t="str">
            <v>CRESCENT GREENWOOD LIMITED</v>
          </cell>
        </row>
      </sheetData>
      <sheetData sheetId="40">
        <row r="1">
          <cell r="A1" t="str">
            <v>CRESCENT GREENWOOD LIMITED</v>
          </cell>
        </row>
      </sheetData>
      <sheetData sheetId="41">
        <row r="1">
          <cell r="A1" t="str">
            <v>CRESCENT GREENWOOD LIMITED</v>
          </cell>
        </row>
      </sheetData>
      <sheetData sheetId="42">
        <row r="1">
          <cell r="A1" t="str">
            <v>CRESCENT GREENWOOD LIMITED</v>
          </cell>
        </row>
      </sheetData>
      <sheetData sheetId="43">
        <row r="1">
          <cell r="A1" t="str">
            <v>CRESCENT GREENWOOD LIMITED</v>
          </cell>
        </row>
      </sheetData>
      <sheetData sheetId="44">
        <row r="1">
          <cell r="A1" t="str">
            <v>CRESCENT GREENWOOD LIMITED</v>
          </cell>
        </row>
      </sheetData>
      <sheetData sheetId="45">
        <row r="1">
          <cell r="A1" t="str">
            <v>CRESCENT GREENWOOD LIMITED</v>
          </cell>
        </row>
      </sheetData>
      <sheetData sheetId="46">
        <row r="1">
          <cell r="A1" t="str">
            <v>CRESCENT GREENWOOD LIMITED</v>
          </cell>
        </row>
      </sheetData>
      <sheetData sheetId="47" refreshError="1"/>
      <sheetData sheetId="48" refreshError="1"/>
      <sheetData sheetId="49" refreshError="1"/>
      <sheetData sheetId="50" refreshError="1"/>
      <sheetData sheetId="51">
        <row r="1">
          <cell r="A1" t="str">
            <v>CRESCENT GREENWOOD LIMITED</v>
          </cell>
        </row>
      </sheetData>
      <sheetData sheetId="52" refreshError="1"/>
      <sheetData sheetId="53" refreshError="1"/>
      <sheetData sheetId="54">
        <row r="1">
          <cell r="A1" t="str">
            <v>CRESCENT GREENWOOD LIMITED</v>
          </cell>
        </row>
      </sheetData>
      <sheetData sheetId="55">
        <row r="1">
          <cell r="A1" t="str">
            <v>CRESCENT GREENWOOD LIMITED</v>
          </cell>
        </row>
      </sheetData>
      <sheetData sheetId="56">
        <row r="1">
          <cell r="A1" t="str">
            <v>CRESCENT GREENWOOD LIMITED</v>
          </cell>
        </row>
      </sheetData>
      <sheetData sheetId="57">
        <row r="1">
          <cell r="A1" t="str">
            <v>CRESCENT GREENWOOD LIMITED</v>
          </cell>
        </row>
      </sheetData>
      <sheetData sheetId="58">
        <row r="1">
          <cell r="A1" t="str">
            <v>CRESCENT GREENWOOD LIMITED</v>
          </cell>
        </row>
      </sheetData>
      <sheetData sheetId="59">
        <row r="1">
          <cell r="A1" t="str">
            <v>CRESCENT GREENWOOD LIMITED</v>
          </cell>
        </row>
      </sheetData>
      <sheetData sheetId="60">
        <row r="1">
          <cell r="A1" t="str">
            <v>CRESCENT GREENWOOD LIMITED</v>
          </cell>
        </row>
      </sheetData>
      <sheetData sheetId="61">
        <row r="1">
          <cell r="A1" t="str">
            <v>CRESCENT GREENWOOD LIMITED</v>
          </cell>
        </row>
      </sheetData>
      <sheetData sheetId="62">
        <row r="1">
          <cell r="A1" t="str">
            <v>CRESCENT GREENWOOD LIMITED</v>
          </cell>
        </row>
      </sheetData>
      <sheetData sheetId="63">
        <row r="1">
          <cell r="A1" t="str">
            <v>CRESCENT GREENWOOD LIMITED</v>
          </cell>
        </row>
      </sheetData>
      <sheetData sheetId="64">
        <row r="1">
          <cell r="A1" t="str">
            <v>CRESCENT GREENWOOD LIMITED</v>
          </cell>
        </row>
      </sheetData>
      <sheetData sheetId="65">
        <row r="1">
          <cell r="A1" t="str">
            <v>CRESCENT GREENWOOD LIMITED</v>
          </cell>
        </row>
      </sheetData>
      <sheetData sheetId="66">
        <row r="1">
          <cell r="A1" t="str">
            <v>CRESCENT GREENWOOD LIMITED</v>
          </cell>
        </row>
      </sheetData>
      <sheetData sheetId="67">
        <row r="1">
          <cell r="A1" t="str">
            <v>CRESCENT GREENWOOD LIMITED</v>
          </cell>
        </row>
      </sheetData>
      <sheetData sheetId="68">
        <row r="1">
          <cell r="A1" t="str">
            <v>CRESCENT GREENWOOD LIMITED</v>
          </cell>
        </row>
      </sheetData>
      <sheetData sheetId="69">
        <row r="1">
          <cell r="A1" t="str">
            <v>CRESCENT GREENWOOD LIMITED</v>
          </cell>
        </row>
      </sheetData>
      <sheetData sheetId="70">
        <row r="1">
          <cell r="A1" t="str">
            <v>CRESCENT GREENWOOD LIMITED</v>
          </cell>
        </row>
      </sheetData>
      <sheetData sheetId="71">
        <row r="1">
          <cell r="A1" t="str">
            <v>CRESCENT GREENWOOD LIMITED</v>
          </cell>
        </row>
      </sheetData>
      <sheetData sheetId="72">
        <row r="1">
          <cell r="A1" t="str">
            <v>CRESCENT GREENWOOD LIMITED</v>
          </cell>
        </row>
      </sheetData>
      <sheetData sheetId="73">
        <row r="1">
          <cell r="A1" t="str">
            <v>CRESCENT GREENWOOD LIMITED</v>
          </cell>
        </row>
      </sheetData>
      <sheetData sheetId="74">
        <row r="1">
          <cell r="A1" t="str">
            <v>CRESCENT GREENWOOD LIMITED</v>
          </cell>
        </row>
      </sheetData>
      <sheetData sheetId="75" refreshError="1"/>
      <sheetData sheetId="76" refreshError="1"/>
      <sheetData sheetId="77" refreshError="1"/>
      <sheetData sheetId="78" refreshError="1"/>
      <sheetData sheetId="79" refreshError="1"/>
      <sheetData sheetId="80" refreshError="1"/>
      <sheetData sheetId="81">
        <row r="1">
          <cell r="A1" t="str">
            <v>CRESCENT GREENWOOD LIMITED</v>
          </cell>
        </row>
      </sheetData>
      <sheetData sheetId="82">
        <row r="1">
          <cell r="A1" t="str">
            <v>CRESCENT GREENWOOD LIMITED</v>
          </cell>
        </row>
      </sheetData>
      <sheetData sheetId="83">
        <row r="1">
          <cell r="A1" t="str">
            <v>CRESCENT GREENWOOD LIMITED</v>
          </cell>
        </row>
      </sheetData>
      <sheetData sheetId="84">
        <row r="1">
          <cell r="A1" t="str">
            <v>CRESCENT GREENWOOD LIMITED</v>
          </cell>
        </row>
      </sheetData>
      <sheetData sheetId="85">
        <row r="1">
          <cell r="A1" t="str">
            <v>CRESCENT GREENWOOD LIMITED</v>
          </cell>
        </row>
      </sheetData>
      <sheetData sheetId="86">
        <row r="1">
          <cell r="A1" t="str">
            <v>CRESCENT GREENWOOD LIMITED</v>
          </cell>
        </row>
      </sheetData>
      <sheetData sheetId="87">
        <row r="1">
          <cell r="A1" t="str">
            <v>CRESCENT GREENWOOD LIMITED</v>
          </cell>
        </row>
      </sheetData>
      <sheetData sheetId="88">
        <row r="1">
          <cell r="A1" t="str">
            <v>CRESCENT GREENWOOD LIMITED</v>
          </cell>
        </row>
      </sheetData>
      <sheetData sheetId="89">
        <row r="1">
          <cell r="A1" t="str">
            <v>CRESCENT GREENWOOD LIMITED</v>
          </cell>
        </row>
      </sheetData>
      <sheetData sheetId="90">
        <row r="1">
          <cell r="A1" t="str">
            <v>CRESCENT GREENWOOD LIMITED</v>
          </cell>
        </row>
      </sheetData>
      <sheetData sheetId="91">
        <row r="1">
          <cell r="A1" t="str">
            <v>CRESCENT GREENWOOD LIMITED</v>
          </cell>
        </row>
      </sheetData>
      <sheetData sheetId="92">
        <row r="1">
          <cell r="A1" t="str">
            <v>CRESCENT GREENWOOD LIMITED</v>
          </cell>
        </row>
      </sheetData>
      <sheetData sheetId="93">
        <row r="1">
          <cell r="A1" t="str">
            <v>CRESCENT GREENWOOD LIMITED</v>
          </cell>
        </row>
      </sheetData>
      <sheetData sheetId="94">
        <row r="1">
          <cell r="A1" t="str">
            <v>CRESCENT GREENWOOD LIMITED</v>
          </cell>
        </row>
      </sheetData>
      <sheetData sheetId="95">
        <row r="1">
          <cell r="A1" t="str">
            <v>CRESCENT GREENWOOD LIMITED</v>
          </cell>
        </row>
      </sheetData>
      <sheetData sheetId="96">
        <row r="1">
          <cell r="A1" t="str">
            <v>CRESCENT GREENWOOD LIMITED</v>
          </cell>
        </row>
      </sheetData>
      <sheetData sheetId="97">
        <row r="1">
          <cell r="A1" t="str">
            <v>CRESCENT GREENWOOD LIMITED</v>
          </cell>
        </row>
      </sheetData>
      <sheetData sheetId="98">
        <row r="1">
          <cell r="A1" t="str">
            <v>CRESCENT GREENWOOD LIMITED</v>
          </cell>
        </row>
      </sheetData>
      <sheetData sheetId="99">
        <row r="1">
          <cell r="A1" t="str">
            <v>CRESCENT GREENWOOD LIMITED</v>
          </cell>
        </row>
      </sheetData>
      <sheetData sheetId="100">
        <row r="1">
          <cell r="A1" t="str">
            <v>CRESCENT GREENWOOD LIMITED</v>
          </cell>
        </row>
      </sheetData>
      <sheetData sheetId="101">
        <row r="1">
          <cell r="A1" t="str">
            <v>CRESCENT GREENWOOD LIMITED</v>
          </cell>
        </row>
      </sheetData>
      <sheetData sheetId="102">
        <row r="1">
          <cell r="A1" t="str">
            <v>CRESCENT GREENWOOD LIMITED</v>
          </cell>
        </row>
      </sheetData>
      <sheetData sheetId="103">
        <row r="1">
          <cell r="A1" t="str">
            <v>CRESCENT GREENWOOD LIMITED</v>
          </cell>
        </row>
      </sheetData>
      <sheetData sheetId="104">
        <row r="1">
          <cell r="A1" t="str">
            <v>CRESCENT GREENWOOD LIMITED</v>
          </cell>
        </row>
      </sheetData>
      <sheetData sheetId="105">
        <row r="1">
          <cell r="A1" t="str">
            <v>CRESCENT GREENWOOD LIMITED</v>
          </cell>
        </row>
      </sheetData>
      <sheetData sheetId="106">
        <row r="1">
          <cell r="A1" t="str">
            <v>CRESCENT GREENWOOD LIMITED</v>
          </cell>
        </row>
      </sheetData>
      <sheetData sheetId="107">
        <row r="1">
          <cell r="A1" t="str">
            <v>CRESCENT GREENWOOD LIMITED</v>
          </cell>
        </row>
      </sheetData>
      <sheetData sheetId="108">
        <row r="1">
          <cell r="A1" t="str">
            <v>CRESCENT GREENWOOD LIMITED</v>
          </cell>
        </row>
      </sheetData>
      <sheetData sheetId="109">
        <row r="1">
          <cell r="A1" t="str">
            <v>CRESCENT GREENWOOD LIMITED</v>
          </cell>
        </row>
      </sheetData>
      <sheetData sheetId="110">
        <row r="1">
          <cell r="A1" t="str">
            <v>CRESCENT GREENWOOD LIMITED</v>
          </cell>
        </row>
      </sheetData>
      <sheetData sheetId="111">
        <row r="1">
          <cell r="A1" t="str">
            <v>CRESCENT GREENWOOD LIMITED</v>
          </cell>
        </row>
      </sheetData>
      <sheetData sheetId="112">
        <row r="1">
          <cell r="A1" t="str">
            <v>CRESCENT GREENWOOD LIMITED</v>
          </cell>
        </row>
      </sheetData>
      <sheetData sheetId="113">
        <row r="1">
          <cell r="A1" t="str">
            <v>CRESCENT GREENWOOD LIMITED</v>
          </cell>
        </row>
      </sheetData>
      <sheetData sheetId="114">
        <row r="1">
          <cell r="A1" t="str">
            <v>CRESCENT GREENWOOD LIMITED</v>
          </cell>
        </row>
      </sheetData>
      <sheetData sheetId="115">
        <row r="1">
          <cell r="A1" t="str">
            <v>CRESCENT GREENWOOD LIMITED</v>
          </cell>
        </row>
      </sheetData>
      <sheetData sheetId="116">
        <row r="1">
          <cell r="A1" t="str">
            <v>CRESCENT GREENWOOD LIMITED</v>
          </cell>
        </row>
      </sheetData>
      <sheetData sheetId="117">
        <row r="1">
          <cell r="A1" t="str">
            <v>CRESCENT GREENWOOD LIMITED</v>
          </cell>
        </row>
      </sheetData>
      <sheetData sheetId="118">
        <row r="1">
          <cell r="A1" t="str">
            <v>CRESCENT GREENWOOD LIMITED</v>
          </cell>
        </row>
      </sheetData>
      <sheetData sheetId="119">
        <row r="1">
          <cell r="A1" t="str">
            <v>CRESCENT GREENWOOD LIMITED</v>
          </cell>
        </row>
      </sheetData>
      <sheetData sheetId="120">
        <row r="1">
          <cell r="A1" t="str">
            <v>CRESCENT GREENWOOD LIMITED</v>
          </cell>
        </row>
      </sheetData>
      <sheetData sheetId="121">
        <row r="1">
          <cell r="A1" t="str">
            <v>CRESCENT GREENWOOD LIMITED</v>
          </cell>
        </row>
      </sheetData>
      <sheetData sheetId="122">
        <row r="1">
          <cell r="A1" t="str">
            <v>CRESCENT GREENWOOD LIMITED</v>
          </cell>
        </row>
      </sheetData>
      <sheetData sheetId="123">
        <row r="1">
          <cell r="A1" t="str">
            <v>CRESCENT GREENWOOD LIMITED</v>
          </cell>
        </row>
      </sheetData>
      <sheetData sheetId="124">
        <row r="1">
          <cell r="A1" t="str">
            <v>CRESCENT GREENWOOD LIMITED</v>
          </cell>
        </row>
      </sheetData>
      <sheetData sheetId="125">
        <row r="1">
          <cell r="A1" t="str">
            <v>CRESCENT GREENWOOD LIMITED</v>
          </cell>
        </row>
      </sheetData>
      <sheetData sheetId="126" refreshError="1"/>
      <sheetData sheetId="127" refreshError="1"/>
      <sheetData sheetId="128" refreshError="1"/>
      <sheetData sheetId="129" refreshError="1"/>
      <sheetData sheetId="130" refreshError="1"/>
      <sheetData sheetId="131" refreshError="1"/>
      <sheetData sheetId="132" refreshError="1"/>
      <sheetData sheetId="133">
        <row r="1">
          <cell r="A1" t="str">
            <v>CRESCENT GREENWOOD LIMITED</v>
          </cell>
        </row>
      </sheetData>
      <sheetData sheetId="134">
        <row r="1">
          <cell r="A1" t="str">
            <v>CRESCENT GREENWOOD LIMITED</v>
          </cell>
        </row>
      </sheetData>
      <sheetData sheetId="135">
        <row r="1">
          <cell r="A1" t="str">
            <v>CRESCENT GREENWOOD LIMITED</v>
          </cell>
        </row>
      </sheetData>
      <sheetData sheetId="136">
        <row r="1">
          <cell r="A1" t="str">
            <v>CRESCENT GREENWOOD LIMITED</v>
          </cell>
        </row>
      </sheetData>
      <sheetData sheetId="137">
        <row r="1">
          <cell r="A1" t="str">
            <v>CRESCENT GREENWOOD LIMITED</v>
          </cell>
        </row>
      </sheetData>
      <sheetData sheetId="138">
        <row r="1">
          <cell r="A1" t="str">
            <v>CRESCENT GREENWOOD LIMITED</v>
          </cell>
        </row>
      </sheetData>
      <sheetData sheetId="139">
        <row r="1">
          <cell r="A1" t="str">
            <v>CRESCENT GREENWOOD LIMITED</v>
          </cell>
        </row>
      </sheetData>
      <sheetData sheetId="140">
        <row r="1">
          <cell r="A1" t="str">
            <v>CRESCENT GREENWOOD LIMITED</v>
          </cell>
        </row>
      </sheetData>
      <sheetData sheetId="141">
        <row r="1">
          <cell r="A1" t="str">
            <v>CRESCENT GREENWOOD LIMITED</v>
          </cell>
        </row>
      </sheetData>
      <sheetData sheetId="142">
        <row r="1">
          <cell r="A1" t="str">
            <v>CRESCENT GREENWOOD LIMITED</v>
          </cell>
        </row>
      </sheetData>
      <sheetData sheetId="143">
        <row r="1">
          <cell r="A1" t="str">
            <v>CRESCENT GREENWOOD LIMITED</v>
          </cell>
        </row>
      </sheetData>
      <sheetData sheetId="144">
        <row r="1">
          <cell r="A1" t="str">
            <v>CRESCENT GREENWOOD LIMITED</v>
          </cell>
        </row>
      </sheetData>
      <sheetData sheetId="145">
        <row r="1">
          <cell r="A1" t="str">
            <v>CRESCENT GREENWOOD LIMITED</v>
          </cell>
        </row>
      </sheetData>
      <sheetData sheetId="146">
        <row r="1">
          <cell r="A1" t="str">
            <v>CRESCENT GREENWOOD LIMITED</v>
          </cell>
        </row>
      </sheetData>
      <sheetData sheetId="147">
        <row r="1">
          <cell r="A1" t="str">
            <v>CRESCENT GREENWOOD LIMITED</v>
          </cell>
        </row>
      </sheetData>
      <sheetData sheetId="148">
        <row r="1">
          <cell r="A1" t="str">
            <v>CRESCENT GREENWOOD LIMITED</v>
          </cell>
        </row>
      </sheetData>
      <sheetData sheetId="149">
        <row r="1">
          <cell r="A1" t="str">
            <v>CRESCENT GREENWOOD LIMITED</v>
          </cell>
        </row>
      </sheetData>
      <sheetData sheetId="150">
        <row r="1">
          <cell r="A1" t="str">
            <v>CRESCENT GREENWOOD LIMITED</v>
          </cell>
        </row>
      </sheetData>
      <sheetData sheetId="151">
        <row r="1">
          <cell r="A1" t="str">
            <v>CRESCENT GREENWOOD LIMITED</v>
          </cell>
        </row>
      </sheetData>
      <sheetData sheetId="152">
        <row r="1">
          <cell r="A1" t="str">
            <v>CRESCENT GREENWOOD LIMITED</v>
          </cell>
        </row>
      </sheetData>
      <sheetData sheetId="153">
        <row r="1">
          <cell r="A1" t="str">
            <v>CRESCENT GREENWOOD LIMITED</v>
          </cell>
        </row>
      </sheetData>
      <sheetData sheetId="154">
        <row r="1">
          <cell r="A1" t="str">
            <v>CRESCENT GREENWOOD LIMITED</v>
          </cell>
        </row>
      </sheetData>
      <sheetData sheetId="155">
        <row r="1">
          <cell r="A1" t="str">
            <v>CRESCENT GREENWOOD LIMITED</v>
          </cell>
        </row>
      </sheetData>
      <sheetData sheetId="156">
        <row r="1">
          <cell r="A1" t="str">
            <v>CRESCENT GREENWOOD LIMITED</v>
          </cell>
        </row>
      </sheetData>
      <sheetData sheetId="157">
        <row r="1">
          <cell r="A1" t="str">
            <v>CRESCENT GREENWOOD LIMITED</v>
          </cell>
        </row>
      </sheetData>
      <sheetData sheetId="158">
        <row r="1">
          <cell r="A1" t="str">
            <v>CRESCENT GREENWOOD LIMITED</v>
          </cell>
        </row>
      </sheetData>
      <sheetData sheetId="159">
        <row r="1">
          <cell r="A1" t="str">
            <v>CRESCENT GREENWOOD LIMITED</v>
          </cell>
        </row>
      </sheetData>
      <sheetData sheetId="160">
        <row r="1">
          <cell r="A1" t="str">
            <v>CRESCENT GREENWOOD LIMITED</v>
          </cell>
        </row>
      </sheetData>
      <sheetData sheetId="161">
        <row r="1">
          <cell r="A1" t="str">
            <v>CRESCENT GREENWOOD LIMITED</v>
          </cell>
        </row>
      </sheetData>
      <sheetData sheetId="162">
        <row r="1">
          <cell r="A1" t="str">
            <v>CRESCENT GREENWOOD LIMITED</v>
          </cell>
        </row>
      </sheetData>
      <sheetData sheetId="163">
        <row r="1">
          <cell r="A1" t="str">
            <v>CRESCENT GREENWOOD LIMITED</v>
          </cell>
        </row>
      </sheetData>
      <sheetData sheetId="164">
        <row r="1">
          <cell r="A1" t="str">
            <v>CRESCENT GREENWOOD LIMITED</v>
          </cell>
        </row>
      </sheetData>
      <sheetData sheetId="165">
        <row r="1">
          <cell r="A1" t="str">
            <v>CRESCENT GREENWOOD LIMITED</v>
          </cell>
        </row>
      </sheetData>
      <sheetData sheetId="166">
        <row r="1">
          <cell r="A1" t="str">
            <v>CRESCENT GREENWOOD LIMITED</v>
          </cell>
        </row>
      </sheetData>
      <sheetData sheetId="167">
        <row r="1">
          <cell r="A1" t="str">
            <v>CRESCENT GREENWOOD LIMITED</v>
          </cell>
        </row>
      </sheetData>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1">
          <cell r="A1" t="str">
            <v>CRESCENT GREENWOOD LIMITED</v>
          </cell>
        </row>
      </sheetData>
      <sheetData sheetId="177">
        <row r="1">
          <cell r="A1" t="str">
            <v>CRESCENT GREENWOOD LIMITED</v>
          </cell>
        </row>
      </sheetData>
      <sheetData sheetId="178">
        <row r="1">
          <cell r="A1" t="str">
            <v>CRESCENT GREENWOOD LIMITED</v>
          </cell>
        </row>
      </sheetData>
      <sheetData sheetId="179">
        <row r="1">
          <cell r="A1" t="str">
            <v>CRESCENT GREENWOOD LIMITED</v>
          </cell>
        </row>
      </sheetData>
      <sheetData sheetId="180">
        <row r="1">
          <cell r="A1" t="str">
            <v>CRESCENT GREENWOOD LIMITED</v>
          </cell>
        </row>
      </sheetData>
      <sheetData sheetId="181">
        <row r="1">
          <cell r="A1" t="str">
            <v>CRESCENT GREENWOOD LIMITED</v>
          </cell>
        </row>
      </sheetData>
      <sheetData sheetId="182">
        <row r="1">
          <cell r="A1" t="str">
            <v>CRESCENT GREENWOOD LIMITED</v>
          </cell>
        </row>
      </sheetData>
      <sheetData sheetId="183">
        <row r="1">
          <cell r="A1" t="str">
            <v>CRESCENT GREENWOOD LIMITED</v>
          </cell>
        </row>
      </sheetData>
      <sheetData sheetId="184">
        <row r="1">
          <cell r="A1" t="str">
            <v>CRESCENT GREENWOOD LIMITED</v>
          </cell>
        </row>
      </sheetData>
      <sheetData sheetId="185">
        <row r="1">
          <cell r="A1" t="str">
            <v>CRESCENT GREENWOOD LIMITED</v>
          </cell>
        </row>
      </sheetData>
      <sheetData sheetId="186">
        <row r="1">
          <cell r="A1" t="str">
            <v>CRESCENT GREENWOOD LIMITED</v>
          </cell>
        </row>
      </sheetData>
      <sheetData sheetId="187">
        <row r="1">
          <cell r="A1" t="str">
            <v>CRESCENT GREENWOOD LIMITED</v>
          </cell>
        </row>
      </sheetData>
      <sheetData sheetId="188">
        <row r="1">
          <cell r="A1" t="str">
            <v>CRESCENT GREENWOOD LIMITED</v>
          </cell>
        </row>
      </sheetData>
      <sheetData sheetId="189">
        <row r="1">
          <cell r="A1" t="str">
            <v>CRESCENT GREENWOOD LIMITED</v>
          </cell>
        </row>
      </sheetData>
      <sheetData sheetId="190">
        <row r="1">
          <cell r="A1" t="str">
            <v>CRESCENT GREENWOOD LIMITED</v>
          </cell>
        </row>
      </sheetData>
      <sheetData sheetId="191">
        <row r="1">
          <cell r="A1" t="str">
            <v>CRESCENT GREENWOOD LIMITED</v>
          </cell>
        </row>
      </sheetData>
      <sheetData sheetId="192">
        <row r="1">
          <cell r="A1" t="str">
            <v>CRESCENT GREENWOOD LIMITED</v>
          </cell>
        </row>
      </sheetData>
      <sheetData sheetId="193">
        <row r="1">
          <cell r="A1" t="str">
            <v>CRESCENT GREENWOOD LIMITED</v>
          </cell>
        </row>
      </sheetData>
      <sheetData sheetId="194">
        <row r="1">
          <cell r="A1" t="str">
            <v>CRESCENT GREENWOOD LIMITED</v>
          </cell>
        </row>
      </sheetData>
      <sheetData sheetId="195">
        <row r="1">
          <cell r="A1" t="str">
            <v>CRESCENT GREENWOOD LIMITED</v>
          </cell>
        </row>
      </sheetData>
      <sheetData sheetId="196">
        <row r="1">
          <cell r="A1" t="str">
            <v>CRESCENT GREENWOOD LIMITED</v>
          </cell>
        </row>
      </sheetData>
      <sheetData sheetId="197">
        <row r="1">
          <cell r="A1" t="str">
            <v>CRESCENT GREENWOOD LIMITED</v>
          </cell>
        </row>
      </sheetData>
      <sheetData sheetId="198">
        <row r="1">
          <cell r="A1" t="str">
            <v>CRESCENT GREENWOOD LIMITED</v>
          </cell>
        </row>
      </sheetData>
      <sheetData sheetId="199">
        <row r="1">
          <cell r="A1" t="str">
            <v>CRESCENT GREENWOOD LIMITED</v>
          </cell>
        </row>
      </sheetData>
      <sheetData sheetId="200" refreshError="1"/>
      <sheetData sheetId="201" refreshError="1"/>
      <sheetData sheetId="202" refreshError="1"/>
      <sheetData sheetId="203" refreshError="1"/>
      <sheetData sheetId="204" refreshError="1"/>
      <sheetData sheetId="205">
        <row r="1">
          <cell r="A1" t="str">
            <v>CRESCENT GREENWOOD LIMITED</v>
          </cell>
        </row>
      </sheetData>
      <sheetData sheetId="206" refreshError="1"/>
      <sheetData sheetId="207">
        <row r="1">
          <cell r="A1" t="str">
            <v>CRESCENT GREENWOOD LIMITED</v>
          </cell>
        </row>
      </sheetData>
      <sheetData sheetId="208">
        <row r="1">
          <cell r="A1" t="str">
            <v>CRESCENT GREENWOOD LIMITED</v>
          </cell>
        </row>
      </sheetData>
      <sheetData sheetId="209" refreshError="1"/>
      <sheetData sheetId="210" refreshError="1"/>
      <sheetData sheetId="211" refreshError="1"/>
      <sheetData sheetId="212">
        <row r="1">
          <cell r="A1" t="str">
            <v>CRESCENT GREENWOOD LIMITED</v>
          </cell>
        </row>
      </sheetData>
      <sheetData sheetId="213">
        <row r="1">
          <cell r="A1" t="str">
            <v>CRESCENT GREENWOOD LIMITED</v>
          </cell>
        </row>
      </sheetData>
      <sheetData sheetId="214">
        <row r="1">
          <cell r="A1" t="str">
            <v>CRESCENT GREENWOOD LIMITED</v>
          </cell>
        </row>
      </sheetData>
      <sheetData sheetId="215">
        <row r="1">
          <cell r="A1" t="str">
            <v>CRESCENT GREENWOOD LIMITED</v>
          </cell>
        </row>
      </sheetData>
      <sheetData sheetId="216">
        <row r="1">
          <cell r="A1" t="str">
            <v>CRESCENT GREENWOOD LIMITED</v>
          </cell>
        </row>
      </sheetData>
      <sheetData sheetId="217">
        <row r="1">
          <cell r="A1" t="str">
            <v>CRESCENT GREENWOOD LIMITED</v>
          </cell>
        </row>
      </sheetData>
      <sheetData sheetId="218">
        <row r="1">
          <cell r="A1" t="str">
            <v>CRESCENT GREENWOOD LIMITED</v>
          </cell>
        </row>
      </sheetData>
      <sheetData sheetId="219">
        <row r="1">
          <cell r="A1" t="str">
            <v>CRESCENT GREENWOOD LIMITED</v>
          </cell>
        </row>
      </sheetData>
      <sheetData sheetId="220">
        <row r="1">
          <cell r="A1" t="str">
            <v>CRESCENT GREENWOOD LIMITED</v>
          </cell>
        </row>
      </sheetData>
      <sheetData sheetId="221">
        <row r="1">
          <cell r="A1" t="str">
            <v>CRESCENT GREENWOOD LIMITED</v>
          </cell>
        </row>
      </sheetData>
      <sheetData sheetId="222">
        <row r="1">
          <cell r="A1" t="str">
            <v>CRESCENT GREENWOOD LIMITED</v>
          </cell>
        </row>
      </sheetData>
      <sheetData sheetId="223">
        <row r="1">
          <cell r="A1" t="str">
            <v>CRESCENT GREENWOOD LIMITED</v>
          </cell>
        </row>
      </sheetData>
      <sheetData sheetId="224">
        <row r="1">
          <cell r="A1" t="str">
            <v>CRESCENT GREENWOOD LIMITED</v>
          </cell>
        </row>
      </sheetData>
      <sheetData sheetId="225" refreshError="1"/>
      <sheetData sheetId="226" refreshError="1"/>
      <sheetData sheetId="227" refreshError="1"/>
      <sheetData sheetId="228" refreshError="1"/>
      <sheetData sheetId="229" refreshError="1"/>
      <sheetData sheetId="230">
        <row r="1">
          <cell r="A1" t="str">
            <v>CRESCENT GREENWOOD LIMITED</v>
          </cell>
        </row>
      </sheetData>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Lotte Akhtar beverages (Pvt) Limited</v>
          </cell>
        </row>
      </sheetData>
      <sheetData sheetId="240">
        <row r="1">
          <cell r="A1" t="str">
            <v>Lotte Akhtar beverages (Pvt) Limited</v>
          </cell>
        </row>
      </sheetData>
      <sheetData sheetId="241">
        <row r="1">
          <cell r="A1" t="str">
            <v>Lotte Akhtar beverages (Pvt) Limited</v>
          </cell>
        </row>
      </sheetData>
      <sheetData sheetId="242">
        <row r="1">
          <cell r="A1" t="str">
            <v>Lotte Akhtar beverages (Pvt) Limited</v>
          </cell>
        </row>
      </sheetData>
      <sheetData sheetId="243">
        <row r="1">
          <cell r="A1" t="str">
            <v>Lotte Akhtar beverages (Pvt) Limited</v>
          </cell>
        </row>
      </sheetData>
      <sheetData sheetId="244">
        <row r="1">
          <cell r="A1" t="str">
            <v>Lotte Akhtar beverages (Pvt) Limited</v>
          </cell>
        </row>
      </sheetData>
      <sheetData sheetId="245">
        <row r="1">
          <cell r="A1" t="str">
            <v>Lotte Akhtar beverages (Pvt) Limited</v>
          </cell>
        </row>
      </sheetData>
      <sheetData sheetId="246">
        <row r="1">
          <cell r="A1" t="str">
            <v>Lotte Akhtar beverages (Pvt) Limited</v>
          </cell>
        </row>
      </sheetData>
      <sheetData sheetId="247">
        <row r="1">
          <cell r="A1" t="str">
            <v>CRESCENT GREENWOOD LIMITED</v>
          </cell>
        </row>
      </sheetData>
      <sheetData sheetId="248">
        <row r="1">
          <cell r="A1" t="str">
            <v>CRESCENT GREENWOOD LIMITED</v>
          </cell>
        </row>
      </sheetData>
      <sheetData sheetId="249">
        <row r="1">
          <cell r="A1" t="str">
            <v>CRESCENT GREENWOOD LIMITED</v>
          </cell>
        </row>
      </sheetData>
      <sheetData sheetId="250" refreshError="1"/>
      <sheetData sheetId="251" refreshError="1"/>
      <sheetData sheetId="252" refreshError="1"/>
      <sheetData sheetId="253">
        <row r="1">
          <cell r="A1" t="str">
            <v>CRESCENT GREENWOOD LIMITED</v>
          </cell>
        </row>
      </sheetData>
      <sheetData sheetId="254">
        <row r="1">
          <cell r="A1" t="str">
            <v>CRESCENT GREENWOOD LIMITED</v>
          </cell>
        </row>
      </sheetData>
      <sheetData sheetId="255">
        <row r="1">
          <cell r="A1" t="str">
            <v>CRESCENT GREENWOOD LIMITED</v>
          </cell>
        </row>
      </sheetData>
      <sheetData sheetId="256">
        <row r="1">
          <cell r="A1" t="str">
            <v>CRESCENT GREENWOOD LIMITED</v>
          </cell>
        </row>
      </sheetData>
      <sheetData sheetId="257">
        <row r="1">
          <cell r="A1" t="str">
            <v>CRESCENT GREENWOOD LIMITED</v>
          </cell>
        </row>
      </sheetData>
      <sheetData sheetId="258">
        <row r="1">
          <cell r="A1" t="str">
            <v>CRESCENT GREENWOOD LIMITED</v>
          </cell>
        </row>
      </sheetData>
      <sheetData sheetId="259">
        <row r="1">
          <cell r="A1" t="str">
            <v>CRESCENT GREENWOOD LIMITED</v>
          </cell>
        </row>
      </sheetData>
      <sheetData sheetId="260">
        <row r="1">
          <cell r="A1" t="str">
            <v>CRESCENT GREENWOOD LIMITED</v>
          </cell>
        </row>
      </sheetData>
      <sheetData sheetId="261">
        <row r="1">
          <cell r="A1" t="str">
            <v>CRESCENT GREENWOOD LIMITED</v>
          </cell>
        </row>
      </sheetData>
      <sheetData sheetId="262">
        <row r="1">
          <cell r="A1" t="str">
            <v>CRESCENT GREENWOOD LIMITED</v>
          </cell>
        </row>
      </sheetData>
      <sheetData sheetId="263">
        <row r="1">
          <cell r="A1" t="str">
            <v>CRESCENT GREENWOOD LIMITED</v>
          </cell>
        </row>
      </sheetData>
      <sheetData sheetId="264">
        <row r="1">
          <cell r="A1" t="str">
            <v>CRESCENT GREENWOOD LIMITED</v>
          </cell>
        </row>
      </sheetData>
      <sheetData sheetId="265">
        <row r="1">
          <cell r="A1" t="str">
            <v>CRESCENT GREENWOOD LIMITED</v>
          </cell>
        </row>
      </sheetData>
      <sheetData sheetId="266">
        <row r="1">
          <cell r="A1" t="str">
            <v>CRESCENT GREENWOOD LIMITED</v>
          </cell>
        </row>
      </sheetData>
      <sheetData sheetId="267">
        <row r="1">
          <cell r="A1" t="str">
            <v>CRESCENT GREENWOOD LIMITED</v>
          </cell>
        </row>
      </sheetData>
      <sheetData sheetId="268">
        <row r="1">
          <cell r="A1" t="str">
            <v>CRESCENT GREENWOOD LIMITED</v>
          </cell>
        </row>
      </sheetData>
      <sheetData sheetId="269">
        <row r="1">
          <cell r="A1" t="str">
            <v>CRESCENT GREENWOOD LIMITED</v>
          </cell>
        </row>
      </sheetData>
      <sheetData sheetId="270">
        <row r="1">
          <cell r="A1" t="str">
            <v>CRESCENT GREENWOOD LIMITED</v>
          </cell>
        </row>
      </sheetData>
      <sheetData sheetId="271">
        <row r="1">
          <cell r="A1" t="str">
            <v>CRESCENT GREENWOOD LIMITED</v>
          </cell>
        </row>
      </sheetData>
      <sheetData sheetId="272">
        <row r="1">
          <cell r="A1" t="str">
            <v>CRESCENT GREENWOOD LIMITED</v>
          </cell>
        </row>
      </sheetData>
      <sheetData sheetId="273">
        <row r="1">
          <cell r="A1" t="str">
            <v>CRESCENT GREENWOOD LIMITED</v>
          </cell>
        </row>
      </sheetData>
      <sheetData sheetId="274">
        <row r="1">
          <cell r="A1" t="str">
            <v>CRESCENT GREENWOOD LIMITED</v>
          </cell>
        </row>
      </sheetData>
      <sheetData sheetId="275">
        <row r="1">
          <cell r="A1" t="str">
            <v>CRESCENT GREENWOOD LIMITED</v>
          </cell>
        </row>
      </sheetData>
      <sheetData sheetId="276">
        <row r="1">
          <cell r="A1" t="str">
            <v>CRESCENT GREENWOOD LIMITED</v>
          </cell>
        </row>
      </sheetData>
      <sheetData sheetId="277">
        <row r="1">
          <cell r="A1" t="str">
            <v>CRESCENT GREENWOOD LIMITED</v>
          </cell>
        </row>
      </sheetData>
      <sheetData sheetId="278">
        <row r="1">
          <cell r="A1" t="str">
            <v>CRESCENT GREENWOOD LIMITED</v>
          </cell>
        </row>
      </sheetData>
      <sheetData sheetId="279">
        <row r="1">
          <cell r="A1" t="str">
            <v>CRESCENT GREENWOOD LIMITED</v>
          </cell>
        </row>
      </sheetData>
      <sheetData sheetId="280">
        <row r="1">
          <cell r="A1" t="str">
            <v>CRESCENT GREENWOOD LIMITED</v>
          </cell>
        </row>
      </sheetData>
      <sheetData sheetId="281">
        <row r="1">
          <cell r="A1" t="str">
            <v>CRESCENT GREENWOOD LIMITED</v>
          </cell>
        </row>
      </sheetData>
      <sheetData sheetId="282">
        <row r="1">
          <cell r="A1" t="str">
            <v>CRESCENT GREENWOOD LIMITED</v>
          </cell>
        </row>
      </sheetData>
      <sheetData sheetId="283">
        <row r="1">
          <cell r="A1" t="str">
            <v>CRESCENT GREENWOOD LIMITED</v>
          </cell>
        </row>
      </sheetData>
      <sheetData sheetId="284">
        <row r="1">
          <cell r="A1" t="str">
            <v>CRESCENT GREENWOOD LIMITED</v>
          </cell>
        </row>
      </sheetData>
      <sheetData sheetId="285">
        <row r="1">
          <cell r="A1" t="str">
            <v>CRESCENT GREENWOOD LIMITED</v>
          </cell>
        </row>
      </sheetData>
      <sheetData sheetId="286">
        <row r="1">
          <cell r="A1" t="str">
            <v>CRESCENT GREENWOOD LIMITED</v>
          </cell>
        </row>
      </sheetData>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1">
          <cell r="A1" t="str">
            <v>CRESCENT GREENWOOD LIMITED</v>
          </cell>
        </row>
      </sheetData>
      <sheetData sheetId="296">
        <row r="1">
          <cell r="A1" t="str">
            <v>CRESCENT GREENWOOD LIMITED</v>
          </cell>
        </row>
      </sheetData>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ow r="1">
          <cell r="A1" t="str">
            <v>Lotte Akhtar beverages (Pvt) Limited</v>
          </cell>
        </row>
      </sheetData>
      <sheetData sheetId="306">
        <row r="1">
          <cell r="A1" t="str">
            <v>CRESCENT GREENWOOD LIMITED</v>
          </cell>
        </row>
      </sheetData>
      <sheetData sheetId="307">
        <row r="1">
          <cell r="A1" t="str">
            <v>CRESCENT GREENWOOD LIMITED</v>
          </cell>
        </row>
      </sheetData>
      <sheetData sheetId="308">
        <row r="1">
          <cell r="A1" t="str">
            <v>CRESCENT GREENWOOD LIMITED</v>
          </cell>
        </row>
      </sheetData>
      <sheetData sheetId="309">
        <row r="1">
          <cell r="A1" t="str">
            <v>CRESCENT GREENWOOD LIMITED</v>
          </cell>
        </row>
      </sheetData>
      <sheetData sheetId="310">
        <row r="1">
          <cell r="A1" t="str">
            <v>CRESCENT GREENWOOD LIMITED</v>
          </cell>
        </row>
      </sheetData>
      <sheetData sheetId="311">
        <row r="1">
          <cell r="A1" t="str">
            <v>CRESCENT GREENWOOD LIMITED</v>
          </cell>
        </row>
      </sheetData>
      <sheetData sheetId="312">
        <row r="1">
          <cell r="A1" t="str">
            <v>CRESCENT GREENWOOD LIMITED</v>
          </cell>
        </row>
      </sheetData>
      <sheetData sheetId="313">
        <row r="1">
          <cell r="A1" t="str">
            <v>CRESCENT GREENWOOD LIMITED</v>
          </cell>
        </row>
      </sheetData>
      <sheetData sheetId="314">
        <row r="1">
          <cell r="A1" t="str">
            <v>CRESCENT GREENWOOD LIMITED</v>
          </cell>
        </row>
      </sheetData>
      <sheetData sheetId="315">
        <row r="1">
          <cell r="A1" t="str">
            <v>Lotte Akhtar beverages (Pvt) Limited</v>
          </cell>
        </row>
      </sheetData>
      <sheetData sheetId="316">
        <row r="1">
          <cell r="A1" t="str">
            <v>Lotte Akhtar beverages (Pvt) Limited</v>
          </cell>
        </row>
      </sheetData>
      <sheetData sheetId="317">
        <row r="1">
          <cell r="A1" t="str">
            <v>CRESCENT GREENWOOD LIMITED</v>
          </cell>
        </row>
      </sheetData>
      <sheetData sheetId="318">
        <row r="1">
          <cell r="A1" t="str">
            <v>CRESCENT GREENWOOD LIMITED</v>
          </cell>
        </row>
      </sheetData>
      <sheetData sheetId="319">
        <row r="1">
          <cell r="A1" t="str">
            <v>CRESCENT GREENWOOD LIMITED</v>
          </cell>
        </row>
      </sheetData>
      <sheetData sheetId="320">
        <row r="1">
          <cell r="A1" t="str">
            <v>CRESCENT GREENWOOD LIMITED</v>
          </cell>
        </row>
      </sheetData>
      <sheetData sheetId="321">
        <row r="1">
          <cell r="A1" t="str">
            <v>CRESCENT GREENWOOD LIMITED</v>
          </cell>
        </row>
      </sheetData>
      <sheetData sheetId="322">
        <row r="1">
          <cell r="A1" t="str">
            <v>CRESCENT GREENWOOD LIMITED</v>
          </cell>
        </row>
      </sheetData>
      <sheetData sheetId="323">
        <row r="1">
          <cell r="A1" t="str">
            <v>CRESCENT GREENWOOD LIMITED</v>
          </cell>
        </row>
      </sheetData>
      <sheetData sheetId="324">
        <row r="1">
          <cell r="A1" t="str">
            <v>CRESCENT GREENWOOD LIMITED</v>
          </cell>
        </row>
      </sheetData>
      <sheetData sheetId="325">
        <row r="1">
          <cell r="A1" t="str">
            <v>CRESCENT GREENWOOD LIMITED</v>
          </cell>
        </row>
      </sheetData>
      <sheetData sheetId="326">
        <row r="1">
          <cell r="A1" t="str">
            <v>CRESCENT GREENWOOD LIMITED</v>
          </cell>
        </row>
      </sheetData>
      <sheetData sheetId="327">
        <row r="1">
          <cell r="A1" t="str">
            <v>CRESCENT GREENWOOD LIMITED</v>
          </cell>
        </row>
      </sheetData>
      <sheetData sheetId="328">
        <row r="1">
          <cell r="A1" t="str">
            <v>CRESCENT GREENWOOD LIMITED</v>
          </cell>
        </row>
      </sheetData>
      <sheetData sheetId="329">
        <row r="1">
          <cell r="A1" t="str">
            <v>CRESCENT GREENWOOD LIMITED</v>
          </cell>
        </row>
      </sheetData>
      <sheetData sheetId="330">
        <row r="1">
          <cell r="A1" t="str">
            <v>CRESCENT GREENWOOD LIMITED</v>
          </cell>
        </row>
      </sheetData>
      <sheetData sheetId="331">
        <row r="1">
          <cell r="A1" t="str">
            <v>CRESCENT GREENWOOD LIMITED</v>
          </cell>
        </row>
      </sheetData>
      <sheetData sheetId="332">
        <row r="1">
          <cell r="A1" t="str">
            <v>CRESCENT GREENWOOD LIMITED</v>
          </cell>
        </row>
      </sheetData>
      <sheetData sheetId="333">
        <row r="1">
          <cell r="A1" t="str">
            <v>CRESCENT GREENWOOD LIMITED</v>
          </cell>
        </row>
      </sheetData>
      <sheetData sheetId="334">
        <row r="1">
          <cell r="A1" t="str">
            <v>CRESCENT GREENWOOD LIMITED</v>
          </cell>
        </row>
      </sheetData>
      <sheetData sheetId="335">
        <row r="1">
          <cell r="A1" t="str">
            <v>CRESCENT GREENWOOD LIMITED</v>
          </cell>
        </row>
      </sheetData>
      <sheetData sheetId="336">
        <row r="1">
          <cell r="A1" t="str">
            <v>CRESCENT GREENWOOD LIMITED</v>
          </cell>
        </row>
      </sheetData>
      <sheetData sheetId="337">
        <row r="1">
          <cell r="A1" t="str">
            <v>CRESCENT GREENWOOD LIMITED</v>
          </cell>
        </row>
      </sheetData>
      <sheetData sheetId="338">
        <row r="1">
          <cell r="A1" t="str">
            <v>CRESCENT GREENWOOD LIMITED</v>
          </cell>
        </row>
      </sheetData>
      <sheetData sheetId="339">
        <row r="1">
          <cell r="A1" t="str">
            <v>CRESCENT GREENWOOD LIMITED</v>
          </cell>
        </row>
      </sheetData>
      <sheetData sheetId="340">
        <row r="1">
          <cell r="A1" t="str">
            <v>CRESCENT GREENWOOD LIMITED</v>
          </cell>
        </row>
      </sheetData>
      <sheetData sheetId="341">
        <row r="1">
          <cell r="A1" t="str">
            <v>CRESCENT GREENWOOD LIMITED</v>
          </cell>
        </row>
      </sheetData>
      <sheetData sheetId="342">
        <row r="1">
          <cell r="A1" t="str">
            <v>CRESCENT GREENWOOD LIMITED</v>
          </cell>
        </row>
      </sheetData>
      <sheetData sheetId="343">
        <row r="1">
          <cell r="A1" t="str">
            <v>CRESCENT GREENWOOD LIMITED</v>
          </cell>
        </row>
      </sheetData>
      <sheetData sheetId="344">
        <row r="1">
          <cell r="A1" t="str">
            <v>CRESCENT GREENWOOD LIMITED</v>
          </cell>
        </row>
      </sheetData>
      <sheetData sheetId="345">
        <row r="1">
          <cell r="A1" t="str">
            <v>CRESCENT GREENWOOD LIMITED</v>
          </cell>
        </row>
      </sheetData>
      <sheetData sheetId="346">
        <row r="1">
          <cell r="A1" t="str">
            <v>CRESCENT GREENWOOD LIMITED</v>
          </cell>
        </row>
      </sheetData>
      <sheetData sheetId="347">
        <row r="1">
          <cell r="A1" t="str">
            <v>CRESCENT GREENWOOD LIMITED</v>
          </cell>
        </row>
      </sheetData>
      <sheetData sheetId="348">
        <row r="1">
          <cell r="A1" t="str">
            <v>CRESCENT GREENWOOD LIMITED</v>
          </cell>
        </row>
      </sheetData>
      <sheetData sheetId="349">
        <row r="1">
          <cell r="A1" t="str">
            <v>CRESCENT GREENWOOD LIMITED</v>
          </cell>
        </row>
      </sheetData>
      <sheetData sheetId="350">
        <row r="1">
          <cell r="A1" t="str">
            <v>CRESCENT GREENWOOD LIMITED</v>
          </cell>
        </row>
      </sheetData>
      <sheetData sheetId="351">
        <row r="1">
          <cell r="A1" t="str">
            <v>CRESCENT GREENWOOD LIMITED</v>
          </cell>
        </row>
      </sheetData>
      <sheetData sheetId="352">
        <row r="1">
          <cell r="A1" t="str">
            <v>CRESCENT GREENWOOD LIMITED</v>
          </cell>
        </row>
      </sheetData>
      <sheetData sheetId="353">
        <row r="1">
          <cell r="A1" t="str">
            <v>CRESCENT GREENWOOD LIMITED</v>
          </cell>
        </row>
      </sheetData>
      <sheetData sheetId="354">
        <row r="1">
          <cell r="A1" t="str">
            <v>CRESCENT GREENWOOD LIMITED</v>
          </cell>
        </row>
      </sheetData>
      <sheetData sheetId="355">
        <row r="1">
          <cell r="A1" t="str">
            <v>CRESCENT GREENWOOD LIMITED</v>
          </cell>
        </row>
      </sheetData>
      <sheetData sheetId="356">
        <row r="1">
          <cell r="A1" t="str">
            <v>CRESCENT GREENWOOD LIMITED</v>
          </cell>
        </row>
      </sheetData>
      <sheetData sheetId="357">
        <row r="1">
          <cell r="A1" t="str">
            <v>CRESCENT GREENWOOD LIMITED</v>
          </cell>
        </row>
      </sheetData>
      <sheetData sheetId="358" refreshError="1"/>
      <sheetData sheetId="359" refreshError="1"/>
      <sheetData sheetId="360">
        <row r="1">
          <cell r="A1" t="str">
            <v>Lotte Akhtar beverages (Pvt) Limited</v>
          </cell>
        </row>
      </sheetData>
      <sheetData sheetId="361">
        <row r="1">
          <cell r="A1" t="str">
            <v>CRESCENT GREENWOOD LIMITED</v>
          </cell>
        </row>
      </sheetData>
      <sheetData sheetId="362">
        <row r="1">
          <cell r="A1" t="str">
            <v>Lotte Akhtar beverages (Pvt) Limited</v>
          </cell>
        </row>
      </sheetData>
      <sheetData sheetId="363">
        <row r="1">
          <cell r="A1" t="str">
            <v>CRESCENT GREENWOOD LIMITED</v>
          </cell>
        </row>
      </sheetData>
      <sheetData sheetId="364">
        <row r="1">
          <cell r="A1" t="str">
            <v>CRESCENT GREENWOOD LIMITED</v>
          </cell>
        </row>
      </sheetData>
      <sheetData sheetId="365">
        <row r="1">
          <cell r="A1" t="str">
            <v>CRESCENT GREENWOOD LIMITED</v>
          </cell>
        </row>
      </sheetData>
      <sheetData sheetId="366">
        <row r="1">
          <cell r="A1" t="str">
            <v>CRESCENT GREENWOOD LIMITED</v>
          </cell>
        </row>
      </sheetData>
      <sheetData sheetId="367">
        <row r="1">
          <cell r="A1" t="str">
            <v>CRESCENT GREENWOOD LIMITED</v>
          </cell>
        </row>
      </sheetData>
      <sheetData sheetId="368">
        <row r="1">
          <cell r="A1" t="str">
            <v>CRESCENT GREENWOOD LIMITED</v>
          </cell>
        </row>
      </sheetData>
      <sheetData sheetId="369">
        <row r="1">
          <cell r="A1" t="str">
            <v>CRESCENT GREENWOOD LIMITED</v>
          </cell>
        </row>
      </sheetData>
      <sheetData sheetId="370">
        <row r="1">
          <cell r="A1" t="str">
            <v>CRESCENT GREENWOOD LIMITED</v>
          </cell>
        </row>
      </sheetData>
      <sheetData sheetId="371">
        <row r="1">
          <cell r="A1" t="str">
            <v>CRESCENT GREENWOOD LIMITED</v>
          </cell>
        </row>
      </sheetData>
      <sheetData sheetId="372">
        <row r="1">
          <cell r="A1" t="str">
            <v>CRESCENT GREENWOOD LIMITED</v>
          </cell>
        </row>
      </sheetData>
      <sheetData sheetId="373">
        <row r="1">
          <cell r="A1" t="str">
            <v>CRESCENT GREENWOOD LIMITED</v>
          </cell>
        </row>
      </sheetData>
      <sheetData sheetId="374">
        <row r="1">
          <cell r="A1" t="str">
            <v>CRESCENT GREENWOOD LIMITED</v>
          </cell>
        </row>
      </sheetData>
      <sheetData sheetId="375">
        <row r="1">
          <cell r="A1" t="str">
            <v>CRESCENT GREENWOOD LIMITED</v>
          </cell>
        </row>
      </sheetData>
      <sheetData sheetId="376">
        <row r="1">
          <cell r="A1" t="str">
            <v>CRESCENT GREENWOOD LIMITED</v>
          </cell>
        </row>
      </sheetData>
      <sheetData sheetId="377">
        <row r="1">
          <cell r="A1" t="str">
            <v>CRESCENT GREENWOOD LIMITED</v>
          </cell>
        </row>
      </sheetData>
      <sheetData sheetId="378">
        <row r="1">
          <cell r="A1" t="str">
            <v>CRESCENT GREENWOOD LIMITED</v>
          </cell>
        </row>
      </sheetData>
      <sheetData sheetId="379">
        <row r="1">
          <cell r="A1" t="str">
            <v>CRESCENT GREENWOOD LIMITED</v>
          </cell>
        </row>
      </sheetData>
      <sheetData sheetId="380">
        <row r="1">
          <cell r="A1" t="str">
            <v>CRESCENT GREENWOOD LIMITED</v>
          </cell>
        </row>
      </sheetData>
      <sheetData sheetId="381">
        <row r="1">
          <cell r="A1" t="str">
            <v>CRESCENT GREENWOOD LIMITED</v>
          </cell>
        </row>
      </sheetData>
      <sheetData sheetId="382">
        <row r="1">
          <cell r="A1" t="str">
            <v>CRESCENT GREENWOOD LIMITED</v>
          </cell>
        </row>
      </sheetData>
      <sheetData sheetId="383">
        <row r="1">
          <cell r="A1" t="str">
            <v>CRESCENT GREENWOOD LIMITED</v>
          </cell>
        </row>
      </sheetData>
      <sheetData sheetId="384">
        <row r="1">
          <cell r="A1" t="str">
            <v>CRESCENT GREENWOOD LIMITED</v>
          </cell>
        </row>
      </sheetData>
      <sheetData sheetId="385">
        <row r="1">
          <cell r="A1" t="str">
            <v>CRESCENT GREENWOOD LIMITED</v>
          </cell>
        </row>
      </sheetData>
      <sheetData sheetId="386">
        <row r="1">
          <cell r="A1" t="str">
            <v>CRESCENT GREENWOOD LIMITED</v>
          </cell>
        </row>
      </sheetData>
      <sheetData sheetId="387">
        <row r="1">
          <cell r="A1" t="str">
            <v>CRESCENT GREENWOOD LIMITED</v>
          </cell>
        </row>
      </sheetData>
      <sheetData sheetId="388">
        <row r="1">
          <cell r="A1" t="str">
            <v>CRESCENT GREENWOOD LIMITED</v>
          </cell>
        </row>
      </sheetData>
      <sheetData sheetId="389">
        <row r="1">
          <cell r="A1" t="str">
            <v>CRESCENT GREENWOOD LIMITED</v>
          </cell>
        </row>
      </sheetData>
      <sheetData sheetId="390">
        <row r="1">
          <cell r="A1" t="str">
            <v>CRESCENT GREENWOOD LIMITED</v>
          </cell>
        </row>
      </sheetData>
      <sheetData sheetId="391">
        <row r="1">
          <cell r="A1" t="str">
            <v>CRESCENT GREENWOOD LIMITED</v>
          </cell>
        </row>
      </sheetData>
      <sheetData sheetId="392">
        <row r="1">
          <cell r="A1" t="str">
            <v>CRESCENT GREENWOOD LIMITED</v>
          </cell>
        </row>
      </sheetData>
      <sheetData sheetId="393">
        <row r="1">
          <cell r="A1" t="str">
            <v>CRESCENT GREENWOOD LIMITED</v>
          </cell>
        </row>
      </sheetData>
      <sheetData sheetId="394">
        <row r="1">
          <cell r="A1" t="str">
            <v>CRESCENT GREENWOOD LIMITED</v>
          </cell>
        </row>
      </sheetData>
      <sheetData sheetId="395">
        <row r="1">
          <cell r="A1" t="str">
            <v>CRESCENT GREENWOOD LIMITED</v>
          </cell>
        </row>
      </sheetData>
      <sheetData sheetId="396">
        <row r="1">
          <cell r="A1" t="str">
            <v>CRESCENT GREENWOOD LIMITED</v>
          </cell>
        </row>
      </sheetData>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row r="1">
          <cell r="A1" t="str">
            <v>CRESCENT GREENWOOD LIMITED</v>
          </cell>
        </row>
      </sheetData>
      <sheetData sheetId="416"/>
      <sheetData sheetId="417">
        <row r="1">
          <cell r="A1" t="str">
            <v>CRESCENT GREENWOOD LIMITED</v>
          </cell>
        </row>
      </sheetData>
      <sheetData sheetId="418">
        <row r="1">
          <cell r="A1" t="str">
            <v>CRESCENT GREENWOOD LIMITED</v>
          </cell>
        </row>
      </sheetData>
      <sheetData sheetId="419">
        <row r="1">
          <cell r="A1" t="str">
            <v>CRESCENT GREENWOOD LIMITED</v>
          </cell>
        </row>
      </sheetData>
      <sheetData sheetId="420">
        <row r="1">
          <cell r="A1" t="str">
            <v>CRESCENT GREENWOOD LIMITED</v>
          </cell>
        </row>
      </sheetData>
      <sheetData sheetId="421"/>
      <sheetData sheetId="422"/>
      <sheetData sheetId="423"/>
      <sheetData sheetId="424"/>
      <sheetData sheetId="425">
        <row r="1">
          <cell r="A1" t="str">
            <v>CRESCENT GREENWOOD LIMITED</v>
          </cell>
        </row>
      </sheetData>
      <sheetData sheetId="426">
        <row r="1">
          <cell r="A1" t="str">
            <v>CRESCENT GREENWOOD LIMITED</v>
          </cell>
        </row>
      </sheetData>
      <sheetData sheetId="427">
        <row r="1">
          <cell r="A1" t="str">
            <v>CRESCENT GREENWOOD LIMITED</v>
          </cell>
        </row>
      </sheetData>
      <sheetData sheetId="428">
        <row r="1">
          <cell r="A1" t="str">
            <v>CRESCENT GREENWOOD LIMITED</v>
          </cell>
        </row>
      </sheetData>
      <sheetData sheetId="429">
        <row r="1">
          <cell r="A1" t="str">
            <v>Lotte Akhtar beverages (Pvt) Limited</v>
          </cell>
        </row>
      </sheetData>
      <sheetData sheetId="430">
        <row r="1">
          <cell r="A1" t="str">
            <v>Lotte Akhtar beverages (Pvt) Limited</v>
          </cell>
        </row>
      </sheetData>
      <sheetData sheetId="431">
        <row r="1">
          <cell r="A1" t="str">
            <v>Lotte Akhtar beverages (Pvt) Limited</v>
          </cell>
        </row>
      </sheetData>
      <sheetData sheetId="432">
        <row r="1">
          <cell r="A1" t="str">
            <v>Lotte Akhtar beverages (Pvt) Limited</v>
          </cell>
        </row>
      </sheetData>
      <sheetData sheetId="433">
        <row r="1">
          <cell r="A1" t="str">
            <v>CRESCENT GREENWOOD LIMITED</v>
          </cell>
        </row>
      </sheetData>
      <sheetData sheetId="434">
        <row r="1">
          <cell r="A1" t="str">
            <v>Lotte Akhtar beverages (Pvt) Limited</v>
          </cell>
        </row>
      </sheetData>
      <sheetData sheetId="435">
        <row r="1">
          <cell r="A1" t="str">
            <v>Lotte Akhtar beverages (Pvt) Limited</v>
          </cell>
        </row>
      </sheetData>
      <sheetData sheetId="436">
        <row r="1">
          <cell r="A1" t="str">
            <v>Lotte Akhtar beverages (Pvt) Limited</v>
          </cell>
        </row>
      </sheetData>
      <sheetData sheetId="437">
        <row r="1">
          <cell r="A1" t="str">
            <v>Lotte Akhtar beverages (Pvt) Limited</v>
          </cell>
        </row>
      </sheetData>
      <sheetData sheetId="438">
        <row r="1">
          <cell r="A1" t="str">
            <v>Lotte Akhtar beverages (Pvt) Limited</v>
          </cell>
        </row>
      </sheetData>
      <sheetData sheetId="439">
        <row r="1">
          <cell r="A1" t="str">
            <v>Lotte Akhtar beverages (Pvt) Limited</v>
          </cell>
        </row>
      </sheetData>
      <sheetData sheetId="440">
        <row r="1">
          <cell r="A1" t="str">
            <v>Lotte Akhtar beverages (Pvt) Limited</v>
          </cell>
        </row>
      </sheetData>
      <sheetData sheetId="441">
        <row r="1">
          <cell r="A1" t="str">
            <v>Lotte Akhtar beverages (Pvt) Limited</v>
          </cell>
        </row>
      </sheetData>
      <sheetData sheetId="442">
        <row r="1">
          <cell r="A1" t="str">
            <v>Lotte Akhtar beverages (Pvt) Limited</v>
          </cell>
        </row>
      </sheetData>
      <sheetData sheetId="443">
        <row r="1">
          <cell r="A1" t="str">
            <v>Lotte Akhtar beverages (Pvt) Limited</v>
          </cell>
        </row>
      </sheetData>
      <sheetData sheetId="444">
        <row r="1">
          <cell r="A1" t="str">
            <v>Lotte Akhtar beverages (Pvt) Limited</v>
          </cell>
        </row>
      </sheetData>
      <sheetData sheetId="445">
        <row r="1">
          <cell r="A1" t="str">
            <v>Lotte Akhtar beverages (Pvt) Limited</v>
          </cell>
        </row>
      </sheetData>
      <sheetData sheetId="446">
        <row r="1">
          <cell r="A1" t="str">
            <v>Lotte Akhtar beverages (Pvt) Limited</v>
          </cell>
        </row>
      </sheetData>
      <sheetData sheetId="447">
        <row r="1">
          <cell r="A1" t="str">
            <v>Lotte Akhtar beverages (Pvt) Limited</v>
          </cell>
        </row>
      </sheetData>
      <sheetData sheetId="448">
        <row r="1">
          <cell r="A1" t="str">
            <v>Lotte Akhtar beverages (Pvt) Limited</v>
          </cell>
        </row>
      </sheetData>
      <sheetData sheetId="449">
        <row r="1">
          <cell r="A1" t="str">
            <v>Lotte Akhtar beverages (Pvt) Limited</v>
          </cell>
        </row>
      </sheetData>
      <sheetData sheetId="450">
        <row r="1">
          <cell r="A1" t="str">
            <v>Lotte Akhtar beverages (Pvt) Limited</v>
          </cell>
        </row>
      </sheetData>
      <sheetData sheetId="451">
        <row r="1">
          <cell r="A1" t="str">
            <v>Lotte Akhtar beverages (Pvt) Limited</v>
          </cell>
        </row>
      </sheetData>
      <sheetData sheetId="452">
        <row r="1">
          <cell r="A1" t="str">
            <v>Lotte Akhtar beverages (Pvt) Limited</v>
          </cell>
        </row>
      </sheetData>
      <sheetData sheetId="453">
        <row r="1">
          <cell r="A1" t="str">
            <v>Lotte Akhtar beverages (Pvt) Limited</v>
          </cell>
        </row>
      </sheetData>
      <sheetData sheetId="454">
        <row r="1">
          <cell r="A1" t="str">
            <v>Lotte Akhtar beverages (Pvt) Limited</v>
          </cell>
        </row>
      </sheetData>
      <sheetData sheetId="455"/>
      <sheetData sheetId="456" refreshError="1"/>
      <sheetData sheetId="457" refreshError="1"/>
      <sheetData sheetId="458">
        <row r="1">
          <cell r="A1" t="str">
            <v>Lotte Akhtar beverages (Pvt) Limited</v>
          </cell>
        </row>
      </sheetData>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sheetData sheetId="514"/>
      <sheetData sheetId="515"/>
      <sheetData sheetId="516"/>
      <sheetData sheetId="517"/>
      <sheetData sheetId="518">
        <row r="1">
          <cell r="A1" t="str">
            <v>CRESCENT GREENWOOD LIMITED</v>
          </cell>
        </row>
      </sheetData>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ow r="1">
          <cell r="A1" t="str">
            <v>Lotte Akhtar beverages (Pvt) Limited</v>
          </cell>
        </row>
      </sheetData>
      <sheetData sheetId="543">
        <row r="1">
          <cell r="A1" t="str">
            <v>Lotte Akhtar beverages (Pvt) Limited</v>
          </cell>
        </row>
      </sheetData>
      <sheetData sheetId="544">
        <row r="1">
          <cell r="A1" t="str">
            <v>Lotte Akhtar beverages (Pvt) Limited</v>
          </cell>
        </row>
      </sheetData>
      <sheetData sheetId="545">
        <row r="1">
          <cell r="A1" t="str">
            <v>Lotte Akhtar beverages (Pvt) Limited</v>
          </cell>
        </row>
      </sheetData>
      <sheetData sheetId="546">
        <row r="1">
          <cell r="A1" t="str">
            <v>Lotte Akhtar beverages (Pvt) Limited</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2)"/>
      <sheetName val="Lead"/>
      <sheetName val="Links"/>
      <sheetName val="BS"/>
      <sheetName val="NOTES "/>
      <sheetName val="WPPF"/>
      <sheetName val="segmental"/>
      <sheetName val="Tax Dep Schedule"/>
      <sheetName val="Tickmarks"/>
      <sheetName val="F-Assets 2007"/>
      <sheetName val="AUDIT REPORT REVISED"/>
      <sheetName val="P&amp;L"/>
      <sheetName val="ch in equity"/>
      <sheetName val="F-INSTRUMENT"/>
      <sheetName val="EPS"/>
      <sheetName val="Long term loans"/>
      <sheetName val="Cash flow"/>
      <sheetName val="Provision for taxation - Min"/>
      <sheetName val="Deferred tax"/>
      <sheetName val="Taxation"/>
      <sheetName val="Tax Depriciation Schedule final"/>
      <sheetName val="Lead 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
      <sheetName val="Lead Schedule"/>
      <sheetName val="Accountwise Schedule"/>
      <sheetName val="Stats"/>
      <sheetName val="Mov Land"/>
      <sheetName val="Add Land"/>
      <sheetName val="Vch FreHold Land"/>
      <sheetName val="Mov Fctry Bldng"/>
      <sheetName val="Add Fctry Bldng"/>
      <sheetName val="Vch Fctry Bldng"/>
      <sheetName val="Mov Admn Bldng"/>
      <sheetName val="Add Admn Bldng"/>
      <sheetName val="Vch Admn Bldn"/>
      <sheetName val="Mov Roads"/>
      <sheetName val="Add Roads"/>
      <sheetName val="Vch Rds"/>
      <sheetName val="Mov P&amp;M"/>
      <sheetName val="Add P&amp;M"/>
      <sheetName val="Vch P&amp;M"/>
      <sheetName val="Mov Qrry"/>
      <sheetName val="Add Qrry"/>
      <sheetName val="Vch Qrry"/>
      <sheetName val="Mov F&amp;F"/>
      <sheetName val="Add F&amp;F"/>
      <sheetName val="Vch F&amp;F"/>
      <sheetName val="Mov Vcls"/>
      <sheetName val="Add Vcls"/>
      <sheetName val="Vch Vcls"/>
      <sheetName val="Disp Vcls"/>
      <sheetName val="Mov AirCraft"/>
      <sheetName val="Mov P&amp;WSLine"/>
      <sheetName val="Add P&amp;WSLines"/>
      <sheetName val="Vch P&amp;WSLines"/>
      <sheetName val="SAP - Depr Chrge"/>
      <sheetName val="Resid Vale"/>
      <sheetName val="Depr Fctry Blding"/>
      <sheetName val="Depr Admn Blding"/>
      <sheetName val="Depr Roads"/>
      <sheetName val="Depr Plant and Mach"/>
      <sheetName val="Depr Quarry"/>
      <sheetName val="Depr F&amp;F"/>
      <sheetName val="Depr Vcls"/>
      <sheetName val="Depr on AirCraft"/>
      <sheetName val="Dep P&amp;WSLnes"/>
      <sheetName val="Total Difference"/>
      <sheetName val="Chnge in Acc Est 4m Yr to Mth"/>
      <sheetName val="No Chng-Depr Fctry Blding"/>
      <sheetName val="No Chng-Depr Admn Blding"/>
      <sheetName val="No Chng-Depr Roads"/>
      <sheetName val="No Chng-Depr Quarry"/>
      <sheetName val="No Chng-Depr F&amp;F"/>
      <sheetName val="No Chng-Depr Vcls"/>
      <sheetName val="No Chng-Disp Vcls"/>
      <sheetName val="NoChng-Depr on AirCraft"/>
      <sheetName val="NoChng-Dep P&amp;WSLnes"/>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BS New"/>
      <sheetName val="BS"/>
      <sheetName val="PL"/>
      <sheetName val="CashFlow"/>
      <sheetName val="Equity"/>
      <sheetName val="Notes"/>
      <sheetName val="Deferred tax"/>
      <sheetName val="Taxation"/>
      <sheetName val="Long Term Loans"/>
      <sheetName val="Fixed Assets"/>
      <sheetName val="Surplus dep"/>
      <sheetName val="Tax Dep Schedule"/>
      <sheetName val="Financial Instruments"/>
      <sheetName val="Provision for taxation - Min"/>
      <sheetName val="Revaluation Surplus"/>
      <sheetName val="Surplus on Revaluation Sheet"/>
      <sheetName val="WPPF"/>
      <sheetName val="INDEX"/>
      <sheetName val="Tickmark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ckmarks"/>
      <sheetName val="B.S"/>
      <sheetName val="Notes"/>
      <sheetName val="JULY-06"/>
      <sheetName val="Amortization Table"/>
      <sheetName val="Plant &amp; Mach Imp"/>
      <sheetName val="Vehicles"/>
      <sheetName val="Office Equipment"/>
      <sheetName val="Furniture &amp; Fixture"/>
    </sheetNames>
    <sheetDataSet>
      <sheetData sheetId="0">
        <row r="9">
          <cell r="C9" t="str">
            <v>OTHER EXPENSES OF DRAW FRAME LC 2075-05</v>
          </cell>
        </row>
        <row r="67">
          <cell r="E67">
            <v>34500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chedule"/>
      <sheetName val="Req by client"/>
      <sheetName val="Plant &amp; Mach Imp"/>
      <sheetName val="Plant &amp; Mach Local"/>
      <sheetName val="Building"/>
      <sheetName val="Grid Station"/>
      <sheetName val="Vehicles"/>
      <sheetName val="Disposals"/>
      <sheetName val="Office Equipment"/>
      <sheetName val="Furniture &amp; Fixture"/>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FLOW "/>
      <sheetName val="EQUITY "/>
      <sheetName val="Notes"/>
      <sheetName val="Fixed Assets"/>
      <sheetName val="Financial instrument"/>
      <sheetName val="FA-SCH (detailed)"/>
      <sheetName val="ADDITIONS &amp; DEPR"/>
      <sheetName val="Tax Depre Schedule-08-09-final"/>
      <sheetName val="Computation tax year 09 -final"/>
      <sheetName val="Defer Tax"/>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sheetData sheetId="1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CASH-FLOW "/>
      <sheetName val="EQUITY "/>
      <sheetName val="Fixed Assets(N3)"/>
      <sheetName val="Notes"/>
      <sheetName val="Note 33"/>
      <sheetName val="33.3.1"/>
      <sheetName val="Tax Depre Schedule-11-12-final"/>
      <sheetName val="Computation tax year 12 "/>
      <sheetName val="working of wppf"/>
      <sheetName val="3 year avg DT"/>
      <sheetName val="DEF TAX"/>
      <sheetName val="WWF Working"/>
      <sheetName val="Note 31"/>
      <sheetName val="Income tax 11 Final"/>
      <sheetName val="WPPF"/>
      <sheetName val="WWF"/>
      <sheetName val="Tax Dep"/>
      <sheetName val="D. Tax 11"/>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B.Sheet"/>
      <sheetName val="Balance Sheet"/>
      <sheetName val="PL"/>
      <sheetName val="CASH-FLOW "/>
      <sheetName val="EQUITY"/>
      <sheetName val="NOTES"/>
      <sheetName val="F.Assets"/>
      <sheetName val="Tax dep "/>
      <sheetName val="D Tax"/>
      <sheetName val="LOANS"/>
      <sheetName val="WPPF"/>
      <sheetName val="ABC"/>
      <sheetName val="B.Sheet (2)"/>
      <sheetName val="FA Latest"/>
      <sheetName val="Schedule"/>
      <sheetName val="Schedule 2007"/>
      <sheetName val="Schedule (2)"/>
      <sheetName val="LOANS "/>
      <sheetName val="Financial instrument"/>
      <sheetName val="Provision for taxation"/>
      <sheetName val="WPPF "/>
      <sheetName val="WWF"/>
      <sheetName val="Advance tax"/>
      <sheetName val="Tickmarks"/>
      <sheetName val="Provision for taxation (2)"/>
      <sheetName val="P&amp;L"/>
      <sheetName val="Provision for taxation. (10)"/>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ALANCE SHEET"/>
      <sheetName val="P&amp;L"/>
      <sheetName val="EQUITY "/>
      <sheetName val="CASH-FLOW "/>
      <sheetName val="Notes"/>
      <sheetName val="Fixed Assets"/>
      <sheetName val="FA-SCH (detailed)"/>
      <sheetName val="ADDITIONS &amp; DEPR"/>
      <sheetName val="Financial inst 10"/>
      <sheetName val="Tax Depre Schedule-10-11-final"/>
      <sheetName val="Computation tax year 11 "/>
      <sheetName val="working of wppf"/>
      <sheetName val="working for WWF"/>
      <sheetName val="Defer Tax"/>
      <sheetName val="Income tax 10 Final"/>
      <sheetName val="Provision for taxation. (10)"/>
      <sheetName val="Income tax year 10 Final"/>
      <sheetName val="Computation tax year 10 -final"/>
      <sheetName val="Provision for taxation."/>
      <sheetName val="Financial instrument 10"/>
      <sheetName val="WPPF"/>
      <sheetName val="WWF"/>
      <sheetName val="D.tax 10"/>
      <sheetName val="Financial instrument"/>
      <sheetName val="IFRS 7"/>
      <sheetName val="Financial instrument--"/>
      <sheetName val="Tickmarks"/>
      <sheetName val="Sheet1"/>
    </sheetNames>
    <sheetDataSet>
      <sheetData sheetId="0"/>
      <sheetData sheetId="1" refreshError="1"/>
      <sheetData sheetId="2">
        <row r="9">
          <cell r="F9">
            <v>279601256</v>
          </cell>
        </row>
        <row r="10">
          <cell r="F10">
            <v>8831920</v>
          </cell>
        </row>
        <row r="13">
          <cell r="F13">
            <v>-41141233</v>
          </cell>
        </row>
        <row r="14">
          <cell r="F14">
            <v>-33198125</v>
          </cell>
        </row>
        <row r="16">
          <cell r="F16">
            <v>-79517856</v>
          </cell>
        </row>
      </sheetData>
      <sheetData sheetId="3"/>
      <sheetData sheetId="4" refreshError="1"/>
      <sheetData sheetId="5">
        <row r="509">
          <cell r="I509">
            <v>79860</v>
          </cell>
        </row>
        <row r="510">
          <cell r="I510">
            <v>249239</v>
          </cell>
        </row>
      </sheetData>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S"/>
      <sheetName val="PL"/>
      <sheetName val="CashFlow"/>
      <sheetName val="Equity"/>
      <sheetName val="Notes"/>
      <sheetName val="Lead"/>
      <sheetName val="Long Term Loans"/>
      <sheetName val="Fixed Assets"/>
      <sheetName val="Deferred tax"/>
      <sheetName val="Disposals"/>
      <sheetName val="Financial Instruments"/>
      <sheetName val="Taxation"/>
      <sheetName val="Provision for taxation - Min"/>
      <sheetName val="Revaluation Surplus"/>
      <sheetName val="Surplus on Revaluation Sheet"/>
      <sheetName val="Tax Dep Schedule"/>
      <sheetName val="Gratuity"/>
      <sheetName val="WPPF"/>
      <sheetName val="Surplus dep"/>
      <sheetName val="Tickmarks"/>
      <sheetName val="INDEX"/>
      <sheetName val="Lead Sheet"/>
    </sheetNames>
    <sheetDataSet>
      <sheetData sheetId="0"/>
      <sheetData sheetId="1"/>
      <sheetData sheetId="2"/>
      <sheetData sheetId="3"/>
      <sheetData sheetId="4"/>
      <sheetData sheetId="5" refreshError="1"/>
      <sheetData sheetId="6"/>
      <sheetData sheetId="7"/>
      <sheetData sheetId="8" refreshError="1">
        <row r="9">
          <cell r="F9">
            <v>42421046</v>
          </cell>
        </row>
        <row r="10">
          <cell r="F10">
            <v>93843210</v>
          </cell>
          <cell r="G10">
            <v>0</v>
          </cell>
        </row>
        <row r="17">
          <cell r="F17">
            <v>1984653</v>
          </cell>
        </row>
        <row r="18">
          <cell r="F18">
            <v>15282433</v>
          </cell>
          <cell r="G18">
            <v>3217285</v>
          </cell>
          <cell r="K18">
            <v>1592100</v>
          </cell>
        </row>
      </sheetData>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refreshError="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
      <sheetName val="Valuation of Cotton"/>
      <sheetName val="Valuation of polyster"/>
      <sheetName val="Cotton imported"/>
      <sheetName val="cotton purchase 2007"/>
      <sheetName val="Lead-cott-ex"/>
      <sheetName val="Cott freight 07"/>
      <sheetName val="Commission 07"/>
      <sheetName val="cotton staking"/>
      <sheetName val="polyester purchase"/>
      <sheetName val="freight"/>
      <sheetName val="discount7"/>
      <sheetName val="WIP"/>
      <sheetName val="Yield (2)"/>
      <sheetName val="Production converted into 20s"/>
      <sheetName val="Mfgcost-WIP"/>
      <sheetName val="Finished goods"/>
      <sheetName val="YARN PRODUCTION"/>
      <sheetName val="WASTE PRODUCTION"/>
      <sheetName val="Wsate"/>
      <sheetName val="Tickmarks"/>
      <sheetName val="Sheet1"/>
      <sheetName val="Doubling chg rec. frm wvg"/>
      <sheetName val="B.S"/>
      <sheetName val="VALUATION"/>
      <sheetName val="Raw material "/>
    </sheetNames>
    <sheetDataSet>
      <sheetData sheetId="0">
        <row r="30">
          <cell r="I30">
            <v>14336191.804583978</v>
          </cell>
        </row>
        <row r="32">
          <cell r="I32">
            <v>50809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Jul-07to jUNE-08final"/>
      <sheetName val="Raw cotton cons PBC "/>
      <sheetName val="STOCK  VALUATION"/>
      <sheetName val="Raw material "/>
      <sheetName val="VALUATION"/>
      <sheetName val="valuationWASTEaudit06-07"/>
      <sheetName val="prod.&amp;sale06-07"/>
      <sheetName val="PROD.YARN"/>
      <sheetName val="PROD.WASTE"/>
      <sheetName val="Tickmarks"/>
      <sheetName val="Valuation PBC"/>
      <sheetName val="cwip and finished goods"/>
      <sheetName val="Quantitative yarn"/>
      <sheetName val="waste valuation"/>
      <sheetName val="Quantitative waste"/>
      <sheetName val="Sheet1"/>
    </sheetNames>
    <sheetDataSet>
      <sheetData sheetId="0"/>
      <sheetData sheetId="1"/>
      <sheetData sheetId="2"/>
      <sheetData sheetId="3"/>
      <sheetData sheetId="4" refreshError="1">
        <row r="80">
          <cell r="C80">
            <v>76566</v>
          </cell>
        </row>
      </sheetData>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ckmarks"/>
      <sheetName val="Lead Sheet"/>
      <sheetName val="Disposals (detail)"/>
    </sheetNames>
    <sheetDataSet>
      <sheetData sheetId="0">
        <row r="15">
          <cell r="E15">
            <v>652225</v>
          </cell>
        </row>
      </sheetData>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s"/>
      <sheetName val="Disposals"/>
      <sheetName val="Disposals (detail)"/>
      <sheetName val="Vehicles"/>
      <sheetName val="Furniture &amp; Fixture"/>
      <sheetName val="Plant &amp; Machinery"/>
      <sheetName val="L-C Detail"/>
      <sheetName val="Building on freehold land "/>
      <sheetName val="Manual"/>
      <sheetName val="Tickmark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Plant and machinery"/>
      <sheetName val="Office equipment"/>
      <sheetName val="Vehicles"/>
      <sheetName val="Tickmarks"/>
      <sheetName val="NTS"/>
      <sheetName val="PL "/>
      <sheetName val="Disposals (detail)"/>
      <sheetName val="Major additions"/>
    </sheetNames>
    <sheetDataSet>
      <sheetData sheetId="0" refreshError="1"/>
      <sheetData sheetId="1">
        <row r="46">
          <cell r="B46">
            <v>41611800</v>
          </cell>
        </row>
        <row r="89">
          <cell r="A89">
            <v>485176</v>
          </cell>
        </row>
        <row r="124">
          <cell r="B124">
            <v>1733825</v>
          </cell>
        </row>
      </sheetData>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Plant &amp; Machinery"/>
      <sheetName val="Vehicles"/>
      <sheetName val="Links"/>
      <sheetName val="Calc. P&amp;M Dep."/>
      <sheetName val="Major additions"/>
      <sheetName val="Lease Trans."/>
      <sheetName val="Tickmarks"/>
      <sheetName val="Sheet1"/>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
    </sheetNames>
    <sheetDataSet>
      <sheetData sheetId="0">
        <row r="57">
          <cell r="B57">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www.accuperts.ae%20%20%20%20%20%20E-mail:info@accuperts.ae%20%20%20%20%20Tel.:971%204%20298311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102"/>
  <sheetViews>
    <sheetView showGridLines="0" view="pageBreakPreview" topLeftCell="A5" zoomScale="60" zoomScaleNormal="100" workbookViewId="0">
      <selection activeCell="I12" sqref="I12"/>
    </sheetView>
  </sheetViews>
  <sheetFormatPr defaultColWidth="9.109375" defaultRowHeight="13.8"/>
  <cols>
    <col min="1" max="1" width="32.5546875" style="1" customWidth="1"/>
    <col min="2" max="2" width="34.5546875" style="1" customWidth="1"/>
    <col min="3" max="3" width="27.5546875" style="1" customWidth="1"/>
    <col min="4" max="6" width="9.109375" style="1" customWidth="1"/>
    <col min="7" max="7" width="3" style="1" hidden="1" customWidth="1"/>
    <col min="8" max="8" width="2" style="1" hidden="1" customWidth="1"/>
    <col min="9" max="9" width="26.109375" style="1" hidden="1" customWidth="1"/>
    <col min="10" max="10" width="8.33203125" style="1" hidden="1" customWidth="1"/>
    <col min="11" max="11" width="9.44140625" style="1" hidden="1" customWidth="1"/>
    <col min="12" max="12" width="5.5546875" style="1" hidden="1" customWidth="1"/>
    <col min="13" max="13" width="38.5546875" style="1" hidden="1" customWidth="1"/>
    <col min="14" max="14" width="5.33203125" style="1" hidden="1" customWidth="1"/>
    <col min="15" max="15" width="7.44140625" style="1" hidden="1" customWidth="1"/>
    <col min="16" max="16" width="15.6640625" style="1" hidden="1" customWidth="1"/>
    <col min="17" max="17" width="9.88671875" style="1" hidden="1" customWidth="1"/>
    <col min="18" max="20" width="9.109375" style="1" customWidth="1"/>
    <col min="21" max="16384" width="9.109375" style="1"/>
  </cols>
  <sheetData>
    <row r="1" spans="1:17" ht="9" customHeight="1" thickBot="1"/>
    <row r="2" spans="1:17" s="52" customFormat="1" ht="20.25" customHeight="1" thickBot="1">
      <c r="A2" s="1"/>
      <c r="B2" s="37"/>
      <c r="G2" s="55">
        <v>1</v>
      </c>
      <c r="H2" s="55">
        <v>2</v>
      </c>
      <c r="I2" s="55">
        <v>3</v>
      </c>
      <c r="J2" s="55">
        <v>4</v>
      </c>
      <c r="K2" s="55">
        <v>5</v>
      </c>
      <c r="L2" s="55">
        <v>6</v>
      </c>
      <c r="M2" s="55">
        <v>7</v>
      </c>
      <c r="N2" s="55">
        <v>8</v>
      </c>
      <c r="O2" s="55">
        <v>9</v>
      </c>
      <c r="P2" s="55">
        <v>10</v>
      </c>
      <c r="Q2" s="55">
        <v>11</v>
      </c>
    </row>
    <row r="3" spans="1:17" s="52" customFormat="1" ht="15" customHeight="1" thickBot="1">
      <c r="A3" s="1"/>
      <c r="B3" s="37"/>
      <c r="C3" s="69">
        <v>12</v>
      </c>
      <c r="G3" s="56"/>
      <c r="H3" s="56"/>
      <c r="I3" s="55" t="s">
        <v>63</v>
      </c>
      <c r="J3" s="55" t="s">
        <v>64</v>
      </c>
      <c r="K3" s="55" t="s">
        <v>94</v>
      </c>
      <c r="L3" s="56"/>
      <c r="M3" s="55" t="s">
        <v>65</v>
      </c>
      <c r="N3" s="55" t="s">
        <v>66</v>
      </c>
      <c r="O3" s="55" t="s">
        <v>67</v>
      </c>
      <c r="P3" s="55" t="s">
        <v>68</v>
      </c>
      <c r="Q3" s="55" t="s">
        <v>69</v>
      </c>
    </row>
    <row r="4" spans="1:17" ht="30" customHeight="1" thickBot="1">
      <c r="G4" s="57">
        <v>1</v>
      </c>
      <c r="H4" s="57"/>
      <c r="I4" s="56" t="s">
        <v>70</v>
      </c>
      <c r="J4" s="58">
        <f>+SOMCI!F$9</f>
        <v>45474</v>
      </c>
      <c r="K4" s="59">
        <v>42005</v>
      </c>
      <c r="L4" s="60" t="s">
        <v>71</v>
      </c>
      <c r="M4" s="56" t="s">
        <v>72</v>
      </c>
      <c r="N4" s="61">
        <v>31</v>
      </c>
      <c r="O4" s="62">
        <f>N4</f>
        <v>31</v>
      </c>
      <c r="P4" s="63" t="str">
        <f>TEXT(J4,"mmmm-yyyy")</f>
        <v>July-2024</v>
      </c>
      <c r="Q4" s="56"/>
    </row>
    <row r="5" spans="1:17" ht="30" customHeight="1" thickBot="1">
      <c r="G5" s="64">
        <v>2</v>
      </c>
      <c r="H5" s="64"/>
      <c r="I5" s="56" t="s">
        <v>73</v>
      </c>
      <c r="J5" s="58">
        <f>+SOMCI!G$9</f>
        <v>45505</v>
      </c>
      <c r="K5" s="59">
        <v>42036</v>
      </c>
      <c r="L5" s="60" t="s">
        <v>71</v>
      </c>
      <c r="M5" s="56" t="s">
        <v>74</v>
      </c>
      <c r="N5" s="61">
        <v>28</v>
      </c>
      <c r="O5" s="61">
        <f>O4+N5</f>
        <v>59</v>
      </c>
      <c r="P5" s="63" t="str">
        <f t="shared" ref="P5:P15" si="0">TEXT(J5,"mmmm-yyyy")</f>
        <v>August-2024</v>
      </c>
      <c r="Q5" s="64">
        <v>2016</v>
      </c>
    </row>
    <row r="6" spans="1:17" ht="30" customHeight="1" thickBot="1">
      <c r="G6" s="64">
        <v>3</v>
      </c>
      <c r="H6" s="64"/>
      <c r="I6" s="56" t="s">
        <v>75</v>
      </c>
      <c r="J6" s="58">
        <f>+SOMCI!H$9</f>
        <v>45536</v>
      </c>
      <c r="K6" s="59">
        <v>42064</v>
      </c>
      <c r="L6" s="60" t="s">
        <v>71</v>
      </c>
      <c r="M6" s="56" t="s">
        <v>76</v>
      </c>
      <c r="N6" s="61">
        <v>31</v>
      </c>
      <c r="O6" s="61">
        <f>O5+N6</f>
        <v>90</v>
      </c>
      <c r="P6" s="63" t="str">
        <f t="shared" si="0"/>
        <v>September-2024</v>
      </c>
      <c r="Q6" s="64">
        <v>2016</v>
      </c>
    </row>
    <row r="7" spans="1:17" ht="30" customHeight="1" thickBot="1">
      <c r="A7" s="426" t="str">
        <f>"Report Period " &amp;TEXT(VLOOKUP($C$3,Date_data,4,),"MMMM - YYYY")</f>
        <v>Report Period June - 2025</v>
      </c>
      <c r="B7" s="426"/>
      <c r="C7" s="426"/>
      <c r="G7" s="64">
        <v>4</v>
      </c>
      <c r="H7" s="64"/>
      <c r="I7" s="56" t="s">
        <v>77</v>
      </c>
      <c r="J7" s="58">
        <f>+SOMCI!I$9</f>
        <v>45566</v>
      </c>
      <c r="K7" s="59">
        <v>42095</v>
      </c>
      <c r="L7" s="60" t="s">
        <v>71</v>
      </c>
      <c r="M7" s="56" t="s">
        <v>78</v>
      </c>
      <c r="N7" s="61">
        <v>30</v>
      </c>
      <c r="O7" s="61">
        <f>O6+N7</f>
        <v>120</v>
      </c>
      <c r="P7" s="63" t="str">
        <f t="shared" si="0"/>
        <v>October-2024</v>
      </c>
      <c r="Q7" s="64">
        <v>2016</v>
      </c>
    </row>
    <row r="8" spans="1:17" ht="30" customHeight="1" thickBot="1">
      <c r="G8" s="64">
        <v>5</v>
      </c>
      <c r="H8" s="64"/>
      <c r="I8" s="56" t="s">
        <v>79</v>
      </c>
      <c r="J8" s="58">
        <f>+SOMCI!J$9</f>
        <v>45597</v>
      </c>
      <c r="K8" s="59">
        <v>42125</v>
      </c>
      <c r="L8" s="60" t="s">
        <v>71</v>
      </c>
      <c r="M8" s="56" t="s">
        <v>80</v>
      </c>
      <c r="N8" s="61">
        <v>31</v>
      </c>
      <c r="O8" s="61">
        <f>O7+N8</f>
        <v>151</v>
      </c>
      <c r="P8" s="63" t="str">
        <f t="shared" si="0"/>
        <v>November-2024</v>
      </c>
      <c r="Q8" s="64">
        <v>2016</v>
      </c>
    </row>
    <row r="9" spans="1:17" ht="30" customHeight="1" thickBot="1">
      <c r="G9" s="64"/>
      <c r="H9" s="64"/>
      <c r="I9" s="56"/>
      <c r="J9" s="58"/>
      <c r="K9" s="59"/>
      <c r="L9" s="60"/>
      <c r="M9" s="56"/>
      <c r="N9" s="61"/>
      <c r="O9" s="61"/>
      <c r="P9" s="63"/>
      <c r="Q9" s="64"/>
    </row>
    <row r="10" spans="1:17" ht="30" customHeight="1" thickBot="1">
      <c r="G10" s="64"/>
      <c r="H10" s="64"/>
      <c r="I10" s="56"/>
      <c r="J10" s="58"/>
      <c r="K10" s="59"/>
      <c r="L10" s="60"/>
      <c r="M10" s="56"/>
      <c r="N10" s="61"/>
      <c r="O10" s="61"/>
      <c r="P10" s="63"/>
      <c r="Q10" s="64"/>
    </row>
    <row r="11" spans="1:17" ht="30" customHeight="1" thickBot="1">
      <c r="G11" s="64">
        <v>6</v>
      </c>
      <c r="H11" s="64"/>
      <c r="I11" s="56" t="s">
        <v>81</v>
      </c>
      <c r="J11" s="58">
        <f>+SOMCI!K$9</f>
        <v>45627</v>
      </c>
      <c r="K11" s="59">
        <v>42156</v>
      </c>
      <c r="L11" s="60" t="s">
        <v>71</v>
      </c>
      <c r="M11" s="56" t="s">
        <v>82</v>
      </c>
      <c r="N11" s="61">
        <v>30</v>
      </c>
      <c r="O11" s="61">
        <f>O8+N11</f>
        <v>181</v>
      </c>
      <c r="P11" s="63" t="str">
        <f t="shared" si="0"/>
        <v>December-2024</v>
      </c>
      <c r="Q11" s="64">
        <v>2016</v>
      </c>
    </row>
    <row r="12" spans="1:17" ht="30" customHeight="1" thickBot="1">
      <c r="A12" s="424" t="s">
        <v>294</v>
      </c>
      <c r="B12" s="424"/>
      <c r="C12" s="424"/>
      <c r="G12" s="64">
        <v>7</v>
      </c>
      <c r="H12" s="64"/>
      <c r="I12" s="56" t="s">
        <v>83</v>
      </c>
      <c r="J12" s="58">
        <f>+SOMCI!L$9</f>
        <v>45658</v>
      </c>
      <c r="K12" s="59">
        <v>42186</v>
      </c>
      <c r="L12" s="60" t="s">
        <v>71</v>
      </c>
      <c r="M12" s="56" t="s">
        <v>84</v>
      </c>
      <c r="N12" s="61">
        <v>31</v>
      </c>
      <c r="O12" s="61">
        <f t="shared" ref="O12:O17" si="1">O11+N12</f>
        <v>212</v>
      </c>
      <c r="P12" s="63" t="str">
        <f t="shared" si="0"/>
        <v>January-2025</v>
      </c>
      <c r="Q12" s="64">
        <v>2016</v>
      </c>
    </row>
    <row r="13" spans="1:17" ht="30" customHeight="1" thickBot="1">
      <c r="A13" s="425" t="s">
        <v>253</v>
      </c>
      <c r="B13" s="425"/>
      <c r="C13" s="425"/>
      <c r="G13" s="64">
        <v>8</v>
      </c>
      <c r="H13" s="64"/>
      <c r="I13" s="56" t="s">
        <v>85</v>
      </c>
      <c r="J13" s="58">
        <f>+SOMCI!M$9</f>
        <v>45689</v>
      </c>
      <c r="K13" s="59">
        <v>42217</v>
      </c>
      <c r="L13" s="60" t="s">
        <v>71</v>
      </c>
      <c r="M13" s="56" t="s">
        <v>86</v>
      </c>
      <c r="N13" s="61">
        <v>31</v>
      </c>
      <c r="O13" s="61">
        <f t="shared" si="1"/>
        <v>243</v>
      </c>
      <c r="P13" s="63" t="str">
        <f t="shared" si="0"/>
        <v>February-2025</v>
      </c>
      <c r="Q13" s="64">
        <v>2016</v>
      </c>
    </row>
    <row r="14" spans="1:17" ht="30" hidden="1" customHeight="1" thickBot="1">
      <c r="G14" s="64">
        <v>9</v>
      </c>
      <c r="H14" s="64"/>
      <c r="I14" s="56" t="s">
        <v>87</v>
      </c>
      <c r="J14" s="58">
        <f>+SOMCI!N$9</f>
        <v>45717</v>
      </c>
      <c r="K14" s="59">
        <v>42248</v>
      </c>
      <c r="L14" s="60" t="s">
        <v>71</v>
      </c>
      <c r="M14" s="56" t="s">
        <v>88</v>
      </c>
      <c r="N14" s="61">
        <v>30</v>
      </c>
      <c r="O14" s="61">
        <f t="shared" si="1"/>
        <v>273</v>
      </c>
      <c r="P14" s="63" t="str">
        <f t="shared" si="0"/>
        <v>March-2025</v>
      </c>
      <c r="Q14" s="64">
        <v>2016</v>
      </c>
    </row>
    <row r="15" spans="1:17" ht="30" hidden="1" customHeight="1" thickBot="1">
      <c r="G15" s="64">
        <v>10</v>
      </c>
      <c r="H15" s="64"/>
      <c r="I15" s="56" t="s">
        <v>89</v>
      </c>
      <c r="J15" s="58">
        <f>+SOMCI!O$9</f>
        <v>45748</v>
      </c>
      <c r="K15" s="59">
        <v>42278</v>
      </c>
      <c r="L15" s="60" t="s">
        <v>71</v>
      </c>
      <c r="M15" s="56" t="s">
        <v>95</v>
      </c>
      <c r="N15" s="61">
        <v>31</v>
      </c>
      <c r="O15" s="61">
        <f t="shared" si="1"/>
        <v>304</v>
      </c>
      <c r="P15" s="63" t="str">
        <f t="shared" si="0"/>
        <v>April-2025</v>
      </c>
      <c r="Q15" s="64">
        <v>2016</v>
      </c>
    </row>
    <row r="16" spans="1:17" ht="30" customHeight="1" thickBot="1">
      <c r="E16" s="47"/>
      <c r="G16" s="64">
        <v>11</v>
      </c>
      <c r="H16" s="64"/>
      <c r="I16" s="56" t="s">
        <v>90</v>
      </c>
      <c r="J16" s="58">
        <f>+SOMCI!P$9</f>
        <v>45778</v>
      </c>
      <c r="K16" s="59">
        <v>42309</v>
      </c>
      <c r="L16" s="60" t="s">
        <v>71</v>
      </c>
      <c r="M16" s="56" t="s">
        <v>91</v>
      </c>
      <c r="N16" s="61">
        <v>30</v>
      </c>
      <c r="O16" s="61">
        <f t="shared" si="1"/>
        <v>334</v>
      </c>
      <c r="P16" s="63" t="str">
        <f>TEXT(J16,"mmmm-yyyy")</f>
        <v>May-2025</v>
      </c>
      <c r="Q16" s="64">
        <v>2016</v>
      </c>
    </row>
    <row r="17" spans="1:17" ht="30" customHeight="1" thickBot="1">
      <c r="G17" s="64">
        <v>12</v>
      </c>
      <c r="H17" s="64"/>
      <c r="I17" s="56" t="s">
        <v>92</v>
      </c>
      <c r="J17" s="58">
        <f>+SOMCI!Q$9</f>
        <v>45809</v>
      </c>
      <c r="K17" s="59">
        <v>42339</v>
      </c>
      <c r="L17" s="60" t="s">
        <v>71</v>
      </c>
      <c r="M17" s="56" t="s">
        <v>93</v>
      </c>
      <c r="N17" s="61">
        <v>31</v>
      </c>
      <c r="O17" s="61">
        <f t="shared" si="1"/>
        <v>365</v>
      </c>
      <c r="P17" s="63" t="str">
        <f>TEXT(J17,"mmmm-yyyy")</f>
        <v>June-2025</v>
      </c>
      <c r="Q17" s="64">
        <v>2016</v>
      </c>
    </row>
    <row r="18" spans="1:17" ht="30" customHeight="1"/>
    <row r="19" spans="1:17" s="53" customFormat="1" ht="30" customHeight="1">
      <c r="A19" s="1"/>
      <c r="B19" s="1"/>
      <c r="C19" s="1"/>
      <c r="G19" s="1"/>
      <c r="H19" s="1"/>
      <c r="I19" s="1"/>
      <c r="J19" s="1"/>
      <c r="K19" s="1"/>
      <c r="L19" s="1"/>
      <c r="M19" s="1"/>
      <c r="N19" s="1"/>
      <c r="O19" s="1"/>
      <c r="P19" s="1"/>
      <c r="Q19" s="1"/>
    </row>
    <row r="20" spans="1:17" ht="30" customHeight="1"/>
    <row r="21" spans="1:17" s="53" customFormat="1" ht="30" customHeight="1">
      <c r="A21" s="1"/>
      <c r="B21" s="1"/>
      <c r="C21" s="1"/>
      <c r="G21" s="1"/>
      <c r="H21" s="1"/>
      <c r="I21" s="1"/>
      <c r="J21" s="1"/>
      <c r="K21" s="1"/>
      <c r="L21" s="1"/>
      <c r="M21" s="1"/>
      <c r="N21" s="1"/>
      <c r="O21" s="1"/>
      <c r="P21" s="1"/>
      <c r="Q21" s="1"/>
    </row>
    <row r="22" spans="1:17" ht="30" customHeight="1"/>
    <row r="23" spans="1:17" s="53" customFormat="1" ht="30" customHeight="1">
      <c r="A23" s="1"/>
      <c r="B23" s="1"/>
      <c r="C23" s="1"/>
      <c r="G23" s="1"/>
      <c r="H23" s="1"/>
      <c r="I23" s="1"/>
      <c r="J23" s="1"/>
      <c r="K23" s="1"/>
      <c r="L23" s="1"/>
      <c r="M23" s="1"/>
      <c r="N23" s="1"/>
      <c r="O23" s="1"/>
      <c r="P23" s="1"/>
      <c r="Q23" s="1"/>
    </row>
    <row r="24" spans="1:17" ht="30" customHeight="1"/>
    <row r="25" spans="1:17" s="53" customFormat="1" ht="30" customHeight="1">
      <c r="A25" s="1"/>
      <c r="B25" s="1"/>
      <c r="C25" s="1"/>
      <c r="G25" s="1"/>
      <c r="H25" s="1"/>
      <c r="I25" s="1"/>
      <c r="J25" s="1"/>
      <c r="K25" s="1"/>
      <c r="L25" s="1"/>
      <c r="M25" s="1"/>
      <c r="N25" s="1"/>
      <c r="O25" s="1"/>
      <c r="P25" s="1"/>
      <c r="Q25" s="1"/>
    </row>
    <row r="26" spans="1:17" ht="30" customHeight="1"/>
    <row r="27" spans="1:17" ht="30" customHeight="1"/>
    <row r="28" spans="1:17" s="53" customFormat="1" ht="30" customHeight="1">
      <c r="A28" s="1"/>
      <c r="B28" s="1"/>
      <c r="C28" s="1"/>
      <c r="G28" s="1"/>
      <c r="H28" s="1"/>
      <c r="I28" s="1"/>
      <c r="J28" s="1"/>
      <c r="K28" s="1"/>
      <c r="L28" s="1"/>
      <c r="M28" s="1"/>
      <c r="N28" s="1"/>
      <c r="O28" s="1"/>
      <c r="P28" s="1"/>
      <c r="Q28" s="1"/>
    </row>
    <row r="29" spans="1:17" ht="30" customHeight="1"/>
    <row r="30" spans="1:17" s="53" customFormat="1" ht="30" customHeight="1">
      <c r="A30" s="1"/>
      <c r="B30" s="1"/>
      <c r="C30" s="1"/>
      <c r="G30" s="1"/>
      <c r="H30" s="1"/>
      <c r="I30" s="1"/>
      <c r="J30" s="1"/>
      <c r="K30" s="1"/>
      <c r="L30" s="1"/>
      <c r="M30" s="1"/>
      <c r="N30" s="1"/>
      <c r="O30" s="1"/>
      <c r="P30" s="1"/>
      <c r="Q30" s="1"/>
    </row>
    <row r="31" spans="1:17" ht="6" customHeight="1"/>
    <row r="32" spans="1:17" ht="18" customHeight="1"/>
    <row r="33" spans="1:3" ht="30" customHeight="1"/>
    <row r="34" spans="1:3" ht="10.5" customHeight="1"/>
    <row r="35" spans="1:3" ht="30" customHeight="1"/>
    <row r="36" spans="1:3" ht="30" customHeight="1"/>
    <row r="37" spans="1:3" ht="30" customHeight="1"/>
    <row r="38" spans="1:3" ht="30" customHeight="1"/>
    <row r="39" spans="1:3" ht="30" customHeight="1"/>
    <row r="40" spans="1:3" ht="30" customHeight="1">
      <c r="B40" s="428"/>
      <c r="C40" s="428"/>
    </row>
    <row r="41" spans="1:3" ht="30" customHeight="1">
      <c r="B41" s="429"/>
      <c r="C41" s="429"/>
    </row>
    <row r="43" spans="1:3" ht="15" customHeight="1">
      <c r="A43" s="430"/>
      <c r="B43" s="430"/>
      <c r="C43" s="430"/>
    </row>
    <row r="44" spans="1:3" ht="15.75" customHeight="1">
      <c r="A44" s="430"/>
      <c r="B44" s="430"/>
      <c r="C44" s="430"/>
    </row>
    <row r="45" spans="1:3" ht="17.399999999999999">
      <c r="A45" s="431"/>
      <c r="B45" s="431"/>
      <c r="C45" s="431"/>
    </row>
    <row r="47" spans="1:3" ht="36" customHeight="1">
      <c r="A47" s="293"/>
      <c r="B47" s="54"/>
      <c r="C47" s="5"/>
    </row>
    <row r="48" spans="1:3" ht="24.6">
      <c r="A48" s="2"/>
      <c r="B48" s="7"/>
      <c r="C48" s="4"/>
    </row>
    <row r="49" spans="1:3" ht="21">
      <c r="A49" s="3"/>
      <c r="B49" s="8"/>
      <c r="C49" s="9"/>
    </row>
    <row r="50" spans="1:3" ht="15.6">
      <c r="A50" s="46"/>
      <c r="B50" s="8"/>
      <c r="C50" s="10"/>
    </row>
    <row r="51" spans="1:3" ht="15.6">
      <c r="A51" s="46"/>
      <c r="B51" s="8"/>
      <c r="C51" s="10"/>
    </row>
    <row r="52" spans="1:3" ht="15.6">
      <c r="A52" s="46"/>
      <c r="B52" s="8"/>
      <c r="C52" s="10"/>
    </row>
    <row r="53" spans="1:3" ht="15.6">
      <c r="A53" s="46"/>
      <c r="B53" s="8"/>
      <c r="C53" s="10"/>
    </row>
    <row r="54" spans="1:3" ht="15.6">
      <c r="A54" s="8"/>
      <c r="B54" s="8"/>
      <c r="C54" s="10"/>
    </row>
    <row r="55" spans="1:3" ht="21">
      <c r="A55" s="11"/>
      <c r="B55" s="12"/>
      <c r="C55" s="13"/>
    </row>
    <row r="56" spans="1:3" ht="21">
      <c r="A56" s="14"/>
      <c r="B56" s="11"/>
      <c r="C56" s="15"/>
    </row>
    <row r="57" spans="1:3" ht="15.6">
      <c r="A57" s="46"/>
      <c r="B57" s="8"/>
      <c r="C57" s="10"/>
    </row>
    <row r="58" spans="1:3" ht="15.6">
      <c r="A58" s="46"/>
      <c r="B58" s="8"/>
      <c r="C58" s="10"/>
    </row>
    <row r="59" spans="1:3" ht="15.6">
      <c r="A59" s="46"/>
      <c r="B59" s="8"/>
      <c r="C59" s="10"/>
    </row>
    <row r="60" spans="1:3" ht="15.6">
      <c r="A60" s="46"/>
      <c r="B60" s="8"/>
      <c r="C60" s="10"/>
    </row>
    <row r="61" spans="1:3" ht="15.6">
      <c r="A61" s="46"/>
      <c r="B61" s="8"/>
      <c r="C61" s="10"/>
    </row>
    <row r="62" spans="1:3" ht="21">
      <c r="A62" s="11"/>
      <c r="B62" s="12"/>
      <c r="C62" s="13"/>
    </row>
    <row r="63" spans="1:3" ht="21">
      <c r="A63" s="3"/>
      <c r="B63" s="11"/>
      <c r="C63" s="16"/>
    </row>
    <row r="64" spans="1:3" ht="15.6">
      <c r="A64" s="46"/>
      <c r="B64" s="8"/>
      <c r="C64" s="10"/>
    </row>
    <row r="65" spans="1:3" ht="15.6">
      <c r="A65" s="46"/>
      <c r="B65" s="8"/>
      <c r="C65" s="10"/>
    </row>
    <row r="66" spans="1:3" ht="15.6">
      <c r="A66" s="46"/>
      <c r="B66" s="8"/>
      <c r="C66" s="10"/>
    </row>
    <row r="67" spans="1:3" ht="15.6">
      <c r="A67" s="46"/>
      <c r="B67" s="8"/>
      <c r="C67" s="10"/>
    </row>
    <row r="68" spans="1:3" ht="15.6">
      <c r="A68" s="46"/>
      <c r="B68" s="8"/>
      <c r="C68" s="10"/>
    </row>
    <row r="69" spans="1:3" ht="15.6">
      <c r="A69" s="46"/>
      <c r="B69" s="8"/>
      <c r="C69" s="10"/>
    </row>
    <row r="70" spans="1:3" ht="15.6">
      <c r="A70" s="46"/>
      <c r="B70" s="8"/>
      <c r="C70" s="10"/>
    </row>
    <row r="71" spans="1:3" ht="21">
      <c r="A71" s="11"/>
      <c r="B71" s="12"/>
      <c r="C71" s="13"/>
    </row>
    <row r="72" spans="1:3">
      <c r="A72" s="11"/>
      <c r="B72" s="11"/>
      <c r="C72" s="15"/>
    </row>
    <row r="73" spans="1:3">
      <c r="A73" s="11"/>
      <c r="B73" s="11"/>
      <c r="C73" s="15"/>
    </row>
    <row r="74" spans="1:3" ht="20.399999999999999">
      <c r="A74" s="427"/>
      <c r="B74" s="427"/>
      <c r="C74" s="7"/>
    </row>
    <row r="76" spans="1:3" ht="20.399999999999999">
      <c r="A76" s="17"/>
      <c r="B76" s="17"/>
      <c r="C76" s="18"/>
    </row>
    <row r="77" spans="1:3" ht="21">
      <c r="A77" s="3"/>
      <c r="B77" s="8"/>
      <c r="C77" s="9"/>
    </row>
    <row r="78" spans="1:3" ht="15.6">
      <c r="A78" s="46"/>
      <c r="B78" s="8"/>
      <c r="C78" s="10"/>
    </row>
    <row r="79" spans="1:3" ht="15.6">
      <c r="A79" s="46"/>
      <c r="B79" s="8"/>
      <c r="C79" s="10"/>
    </row>
    <row r="80" spans="1:3" ht="15.6">
      <c r="A80" s="46"/>
      <c r="B80" s="8"/>
      <c r="C80" s="10"/>
    </row>
    <row r="81" spans="1:3" ht="15.6">
      <c r="A81" s="46"/>
      <c r="B81" s="8"/>
      <c r="C81" s="10"/>
    </row>
    <row r="82" spans="1:3" ht="15.6">
      <c r="A82" s="8"/>
      <c r="B82" s="8"/>
      <c r="C82" s="10"/>
    </row>
    <row r="83" spans="1:3" ht="21">
      <c r="A83" s="11"/>
      <c r="B83" s="12"/>
      <c r="C83" s="13"/>
    </row>
    <row r="84" spans="1:3" ht="21">
      <c r="A84" s="3"/>
      <c r="B84" s="8"/>
      <c r="C84" s="9"/>
    </row>
    <row r="85" spans="1:3" ht="15.6">
      <c r="A85" s="46"/>
      <c r="B85" s="8"/>
      <c r="C85" s="10"/>
    </row>
    <row r="86" spans="1:3" ht="15.6">
      <c r="A86" s="46"/>
      <c r="B86" s="8"/>
      <c r="C86" s="10"/>
    </row>
    <row r="87" spans="1:3" ht="15.6">
      <c r="A87" s="46"/>
      <c r="B87" s="8"/>
      <c r="C87" s="10"/>
    </row>
    <row r="88" spans="1:3" ht="15.6">
      <c r="A88" s="46"/>
      <c r="B88" s="8"/>
      <c r="C88" s="10"/>
    </row>
    <row r="89" spans="1:3" ht="15.6">
      <c r="A89" s="8"/>
      <c r="B89" s="8"/>
      <c r="C89" s="10"/>
    </row>
    <row r="90" spans="1:3" ht="21">
      <c r="A90" s="11"/>
      <c r="B90" s="12"/>
      <c r="C90" s="13"/>
    </row>
    <row r="91" spans="1:3" ht="21">
      <c r="A91" s="3"/>
      <c r="B91" s="8"/>
      <c r="C91" s="9"/>
    </row>
    <row r="92" spans="1:3" ht="15.6">
      <c r="A92" s="46"/>
      <c r="B92" s="8"/>
      <c r="C92" s="10"/>
    </row>
    <row r="93" spans="1:3" ht="15.6">
      <c r="A93" s="46"/>
      <c r="B93" s="8"/>
      <c r="C93" s="10"/>
    </row>
    <row r="94" spans="1:3" ht="15.6">
      <c r="A94" s="46"/>
      <c r="B94" s="8"/>
      <c r="C94" s="10"/>
    </row>
    <row r="95" spans="1:3" ht="15.6">
      <c r="A95" s="46"/>
      <c r="B95" s="8"/>
      <c r="C95" s="10"/>
    </row>
    <row r="96" spans="1:3" ht="15.6">
      <c r="A96" s="46"/>
      <c r="B96" s="8"/>
      <c r="C96" s="10"/>
    </row>
    <row r="97" spans="1:3" ht="15.6">
      <c r="A97" s="46"/>
      <c r="B97" s="8"/>
      <c r="C97" s="10"/>
    </row>
    <row r="98" spans="1:3" ht="15.6">
      <c r="A98" s="46"/>
      <c r="B98" s="8"/>
      <c r="C98" s="10"/>
    </row>
    <row r="99" spans="1:3" ht="21">
      <c r="A99" s="46"/>
      <c r="B99" s="12"/>
      <c r="C99" s="13"/>
    </row>
    <row r="100" spans="1:3">
      <c r="A100" s="19"/>
      <c r="B100" s="19"/>
      <c r="C100" s="20"/>
    </row>
    <row r="101" spans="1:3">
      <c r="A101" s="19"/>
      <c r="B101" s="19"/>
      <c r="C101" s="20"/>
    </row>
    <row r="102" spans="1:3" ht="20.399999999999999">
      <c r="A102" s="427"/>
      <c r="B102" s="427"/>
      <c r="C102" s="7"/>
    </row>
  </sheetData>
  <mergeCells count="9">
    <mergeCell ref="A12:C12"/>
    <mergeCell ref="A13:C13"/>
    <mergeCell ref="A7:C7"/>
    <mergeCell ref="A102:B102"/>
    <mergeCell ref="B40:C40"/>
    <mergeCell ref="B41:C41"/>
    <mergeCell ref="A43:C44"/>
    <mergeCell ref="A45:C45"/>
    <mergeCell ref="A74:B74"/>
  </mergeCells>
  <printOptions horizontalCentered="1"/>
  <pageMargins left="0.7" right="0.64" top="0.25" bottom="0.25" header="0.25" footer="0.25"/>
  <pageSetup paperSize="9" scale="85" orientation="portrait" r:id="rId1"/>
  <headerFooter>
    <oddFooter>&amp;R
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print="0" autoLine="0" autoPict="0">
                <anchor>
                  <from>
                    <xdr:col>2</xdr:col>
                    <xdr:colOff>1668780</xdr:colOff>
                    <xdr:row>5</xdr:row>
                    <xdr:rowOff>175260</xdr:rowOff>
                  </from>
                  <to>
                    <xdr:col>3</xdr:col>
                    <xdr:colOff>472440</xdr:colOff>
                    <xdr:row>6</xdr:row>
                    <xdr:rowOff>99060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89"/>
  <sheetViews>
    <sheetView showGridLines="0" view="pageBreakPreview" topLeftCell="A15" zoomScaleNormal="100" zoomScaleSheetLayoutView="100" workbookViewId="0">
      <selection activeCell="I12" sqref="I12"/>
    </sheetView>
  </sheetViews>
  <sheetFormatPr defaultColWidth="9.109375" defaultRowHeight="13.8"/>
  <cols>
    <col min="1" max="1" width="6.5546875" style="81" customWidth="1"/>
    <col min="2" max="2" width="37.6640625" style="81" customWidth="1"/>
    <col min="3" max="3" width="41.6640625" style="81" customWidth="1"/>
    <col min="4" max="4" width="5" style="81" customWidth="1"/>
    <col min="5" max="5" width="27.44140625" style="81" customWidth="1"/>
    <col min="6" max="16384" width="9.109375" style="81"/>
  </cols>
  <sheetData>
    <row r="1" spans="1:5" ht="9" customHeight="1"/>
    <row r="2" spans="1:5" ht="31.5" customHeight="1">
      <c r="A2" s="434" t="s">
        <v>252</v>
      </c>
      <c r="B2" s="434"/>
      <c r="C2" s="434"/>
      <c r="D2" s="434"/>
      <c r="E2" s="434"/>
    </row>
    <row r="3" spans="1:5" ht="20.399999999999999">
      <c r="A3" s="435" t="s">
        <v>2</v>
      </c>
      <c r="B3" s="435"/>
      <c r="C3" s="435"/>
      <c r="D3" s="435"/>
      <c r="E3" s="435"/>
    </row>
    <row r="4" spans="1:5" s="133" customFormat="1" ht="30" customHeight="1">
      <c r="A4" s="436" t="s">
        <v>251</v>
      </c>
      <c r="B4" s="437"/>
      <c r="C4" s="437"/>
      <c r="D4" s="437"/>
      <c r="E4" s="437"/>
    </row>
    <row r="5" spans="1:5" s="133" customFormat="1" ht="30" customHeight="1">
      <c r="A5"/>
      <c r="B5"/>
      <c r="C5"/>
      <c r="D5"/>
      <c r="E5" s="196"/>
    </row>
    <row r="6" spans="1:5" s="82" customFormat="1" ht="25.2">
      <c r="A6" s="439" t="str">
        <f>Cover!A12</f>
        <v>Western Vending Machines LLC</v>
      </c>
      <c r="B6" s="439"/>
      <c r="C6" s="439"/>
      <c r="D6" s="439"/>
      <c r="E6" s="439"/>
    </row>
    <row r="7" spans="1:5" s="83" customFormat="1" ht="21" customHeight="1">
      <c r="A7" s="440" t="str">
        <f>Cover!A13</f>
        <v xml:space="preserve">DUABI UAE </v>
      </c>
      <c r="B7" s="440"/>
      <c r="C7" s="440"/>
      <c r="D7" s="440"/>
      <c r="E7" s="440"/>
    </row>
    <row r="8" spans="1:5" ht="17.25" customHeight="1">
      <c r="A8" s="113"/>
      <c r="B8" s="113"/>
      <c r="C8" s="113"/>
      <c r="D8" s="113"/>
      <c r="E8" s="113"/>
    </row>
    <row r="9" spans="1:5" ht="39" customHeight="1">
      <c r="A9" s="441" t="str">
        <f>"MIS Report Period " &amp;TEXT(VLOOKUP(Cover!$C$3,Date_data,4,),"MMMM - YYYY")</f>
        <v>MIS Report Period June - 2025</v>
      </c>
      <c r="B9" s="441"/>
      <c r="C9" s="441"/>
      <c r="D9" s="441"/>
      <c r="E9" s="441"/>
    </row>
    <row r="10" spans="1:5" ht="21" customHeight="1">
      <c r="A10" s="116"/>
      <c r="B10" s="116"/>
      <c r="C10" s="116"/>
      <c r="D10" s="116"/>
      <c r="E10" s="116"/>
    </row>
    <row r="11" spans="1:5" ht="30">
      <c r="A11" s="438" t="s">
        <v>1</v>
      </c>
      <c r="B11" s="438"/>
      <c r="C11" s="438"/>
      <c r="D11" s="438"/>
      <c r="E11" s="438"/>
    </row>
    <row r="12" spans="1:5" ht="15.75" customHeight="1">
      <c r="A12" s="116"/>
      <c r="B12" s="116"/>
      <c r="C12" s="116"/>
      <c r="D12" s="116"/>
      <c r="E12" s="116"/>
    </row>
    <row r="13" spans="1:5" s="107" customFormat="1" ht="28.2" thickBot="1">
      <c r="A13" s="134"/>
      <c r="B13" s="443" t="s">
        <v>0</v>
      </c>
      <c r="C13" s="443"/>
      <c r="D13" s="240"/>
      <c r="E13" s="241" t="s">
        <v>19</v>
      </c>
    </row>
    <row r="14" spans="1:5">
      <c r="E14" s="113"/>
    </row>
    <row r="15" spans="1:5" ht="39.9" customHeight="1">
      <c r="B15" s="432" t="s">
        <v>18</v>
      </c>
      <c r="C15" s="432"/>
      <c r="D15" s="195"/>
      <c r="E15" s="135">
        <f>SUM(SUBTOTAL(103,$B$15:B15)+2)</f>
        <v>3</v>
      </c>
    </row>
    <row r="16" spans="1:5" ht="39.9" customHeight="1">
      <c r="B16" s="195" t="s">
        <v>254</v>
      </c>
      <c r="C16" s="195"/>
      <c r="D16" s="195"/>
      <c r="E16" s="135">
        <f>SUM(SUBTOTAL(103,$B$15:B16)+2)</f>
        <v>4</v>
      </c>
    </row>
    <row r="17" spans="1:5" ht="39.9" customHeight="1">
      <c r="B17" s="432" t="s">
        <v>132</v>
      </c>
      <c r="C17" s="432"/>
      <c r="D17" s="195"/>
      <c r="E17" s="135">
        <f>SUM(SUBTOTAL(103,$B$15:B17)+2)</f>
        <v>5</v>
      </c>
    </row>
    <row r="18" spans="1:5" ht="39.9" customHeight="1">
      <c r="B18" s="195" t="s">
        <v>462</v>
      </c>
      <c r="C18" s="195"/>
      <c r="D18" s="195"/>
      <c r="E18" s="135">
        <f>SUM(SUBTOTAL(103,$B$15:B18)+2)</f>
        <v>6</v>
      </c>
    </row>
    <row r="19" spans="1:5" ht="39.9" customHeight="1">
      <c r="B19" s="432" t="s">
        <v>36</v>
      </c>
      <c r="C19" s="432"/>
      <c r="D19" s="195"/>
      <c r="E19" s="135">
        <f>SUM(SUBTOTAL(103,$B$15:B19)+2)</f>
        <v>7</v>
      </c>
    </row>
    <row r="20" spans="1:5" ht="39.9" customHeight="1">
      <c r="B20" s="432" t="s">
        <v>217</v>
      </c>
      <c r="C20" s="432"/>
      <c r="D20" s="195"/>
      <c r="E20" s="135">
        <f>SUM(SUBTOTAL(103,$B$15:B20)+2)</f>
        <v>8</v>
      </c>
    </row>
    <row r="21" spans="1:5" ht="39.9" customHeight="1">
      <c r="B21" s="432" t="s">
        <v>61</v>
      </c>
      <c r="C21" s="432"/>
      <c r="D21" s="195"/>
      <c r="E21" s="135">
        <f>SUM(SUBTOTAL(103,$B$15:B21)+2)</f>
        <v>9</v>
      </c>
    </row>
    <row r="22" spans="1:5" ht="39.9" customHeight="1">
      <c r="B22" s="432" t="s">
        <v>218</v>
      </c>
      <c r="C22" s="432"/>
      <c r="D22" s="195"/>
      <c r="E22" s="135">
        <f>SUM(SUBTOTAL(103,$B$15:B22)+2)</f>
        <v>10</v>
      </c>
    </row>
    <row r="23" spans="1:5" ht="39.9" hidden="1" customHeight="1">
      <c r="B23" s="432" t="s">
        <v>37</v>
      </c>
      <c r="C23" s="432"/>
      <c r="D23" s="195"/>
      <c r="E23" s="135">
        <f>SUM(SUBTOTAL(103,$B$15:B23)+2)</f>
        <v>10</v>
      </c>
    </row>
    <row r="24" spans="1:5" ht="39.9" hidden="1" customHeight="1">
      <c r="B24" s="432" t="s">
        <v>58</v>
      </c>
      <c r="C24" s="432"/>
      <c r="D24" s="195"/>
      <c r="E24" s="135">
        <f>SUM(SUBTOTAL(103,$B$15:B24)+2)</f>
        <v>10</v>
      </c>
    </row>
    <row r="25" spans="1:5" ht="39.9" hidden="1" customHeight="1">
      <c r="B25" s="432" t="s">
        <v>219</v>
      </c>
      <c r="C25" s="432"/>
      <c r="D25" s="195"/>
      <c r="E25" s="135">
        <f>SUM(SUBTOTAL(103,$B$15:B25)+2)</f>
        <v>10</v>
      </c>
    </row>
    <row r="26" spans="1:5" ht="39.9" hidden="1" customHeight="1">
      <c r="B26" s="432" t="s">
        <v>131</v>
      </c>
      <c r="C26" s="432"/>
      <c r="D26" s="195"/>
      <c r="E26" s="135">
        <f>SUM(SUBTOTAL(103,$B$15:B26)+2)</f>
        <v>10</v>
      </c>
    </row>
    <row r="27" spans="1:5" ht="18">
      <c r="B27" s="432"/>
      <c r="C27" s="432"/>
    </row>
    <row r="28" spans="1:5" ht="34.799999999999997">
      <c r="C28" s="444"/>
      <c r="D28" s="444"/>
      <c r="E28" s="444"/>
    </row>
    <row r="30" spans="1:5" ht="15" customHeight="1">
      <c r="A30" s="433"/>
      <c r="B30" s="433"/>
      <c r="C30" s="433"/>
      <c r="D30" s="433"/>
      <c r="E30" s="433"/>
    </row>
    <row r="31" spans="1:5" ht="15.75" customHeight="1">
      <c r="A31" s="433"/>
      <c r="B31" s="433"/>
      <c r="C31" s="433"/>
      <c r="D31" s="433"/>
      <c r="E31" s="433"/>
    </row>
    <row r="32" spans="1:5" ht="17.399999999999999">
      <c r="A32" s="445"/>
      <c r="B32" s="445"/>
      <c r="C32" s="445"/>
      <c r="D32" s="445"/>
      <c r="E32" s="445"/>
    </row>
    <row r="34" spans="1:5" ht="36" customHeight="1">
      <c r="A34" s="446"/>
      <c r="B34" s="446"/>
      <c r="C34" s="136"/>
      <c r="D34" s="136"/>
      <c r="E34" s="137"/>
    </row>
    <row r="35" spans="1:5" ht="24.6">
      <c r="A35" s="138"/>
      <c r="B35" s="88"/>
      <c r="C35" s="89"/>
      <c r="D35" s="89"/>
      <c r="E35" s="94"/>
    </row>
    <row r="36" spans="1:5" ht="21">
      <c r="A36" s="98"/>
      <c r="B36" s="98"/>
      <c r="C36" s="93"/>
      <c r="D36" s="93"/>
      <c r="E36" s="139"/>
    </row>
    <row r="37" spans="1:5" ht="15.6">
      <c r="A37" s="94"/>
      <c r="B37" s="95"/>
      <c r="C37" s="93"/>
      <c r="D37" s="93"/>
      <c r="E37" s="140"/>
    </row>
    <row r="38" spans="1:5" ht="15.6">
      <c r="A38" s="94"/>
      <c r="B38" s="95"/>
      <c r="C38" s="93"/>
      <c r="D38" s="93"/>
      <c r="E38" s="140"/>
    </row>
    <row r="39" spans="1:5" ht="15.6">
      <c r="A39" s="94"/>
      <c r="B39" s="95"/>
      <c r="C39" s="93"/>
      <c r="D39" s="93"/>
      <c r="E39" s="140"/>
    </row>
    <row r="40" spans="1:5" ht="15.6">
      <c r="A40" s="94"/>
      <c r="B40" s="95"/>
      <c r="C40" s="93"/>
      <c r="D40" s="93"/>
      <c r="E40" s="140"/>
    </row>
    <row r="41" spans="1:5" ht="15.6">
      <c r="A41" s="93"/>
      <c r="B41" s="93"/>
      <c r="C41" s="93"/>
      <c r="D41" s="93"/>
      <c r="E41" s="140"/>
    </row>
    <row r="42" spans="1:5" ht="21">
      <c r="A42" s="97"/>
      <c r="B42" s="97"/>
      <c r="C42" s="91"/>
      <c r="D42" s="91"/>
      <c r="E42" s="141"/>
    </row>
    <row r="43" spans="1:5" ht="21">
      <c r="A43" s="142"/>
      <c r="B43" s="142"/>
      <c r="C43" s="97"/>
      <c r="D43" s="97"/>
      <c r="E43" s="143"/>
    </row>
    <row r="44" spans="1:5" ht="15.6">
      <c r="A44" s="94"/>
      <c r="B44" s="95"/>
      <c r="C44" s="93"/>
      <c r="D44" s="93"/>
      <c r="E44" s="140"/>
    </row>
    <row r="45" spans="1:5" ht="15.6">
      <c r="A45" s="94"/>
      <c r="B45" s="95"/>
      <c r="C45" s="93"/>
      <c r="D45" s="93"/>
      <c r="E45" s="140"/>
    </row>
    <row r="46" spans="1:5" ht="15.6">
      <c r="A46" s="94"/>
      <c r="B46" s="95"/>
      <c r="C46" s="93"/>
      <c r="D46" s="93"/>
      <c r="E46" s="140"/>
    </row>
    <row r="47" spans="1:5" ht="15.6">
      <c r="A47" s="94"/>
      <c r="B47" s="95"/>
      <c r="C47" s="93"/>
      <c r="D47" s="93"/>
      <c r="E47" s="140"/>
    </row>
    <row r="48" spans="1:5" ht="15.6">
      <c r="A48" s="94"/>
      <c r="B48" s="95"/>
      <c r="C48" s="93"/>
      <c r="D48" s="93"/>
      <c r="E48" s="140"/>
    </row>
    <row r="49" spans="1:5" ht="21">
      <c r="A49" s="97"/>
      <c r="B49" s="97"/>
      <c r="C49" s="91"/>
      <c r="D49" s="91"/>
      <c r="E49" s="141"/>
    </row>
    <row r="50" spans="1:5" ht="21">
      <c r="A50" s="98"/>
      <c r="B50" s="98"/>
      <c r="C50" s="97"/>
      <c r="D50" s="97"/>
      <c r="E50" s="144"/>
    </row>
    <row r="51" spans="1:5" ht="15.6">
      <c r="A51" s="94"/>
      <c r="B51" s="95"/>
      <c r="C51" s="93"/>
      <c r="D51" s="93"/>
      <c r="E51" s="140"/>
    </row>
    <row r="52" spans="1:5" ht="15.6">
      <c r="A52" s="94"/>
      <c r="B52" s="95"/>
      <c r="C52" s="93"/>
      <c r="D52" s="93"/>
      <c r="E52" s="140"/>
    </row>
    <row r="53" spans="1:5" ht="15.6">
      <c r="A53" s="94"/>
      <c r="B53" s="95"/>
      <c r="C53" s="93"/>
      <c r="D53" s="93"/>
      <c r="E53" s="140"/>
    </row>
    <row r="54" spans="1:5" ht="15.6">
      <c r="A54" s="94"/>
      <c r="B54" s="95"/>
      <c r="C54" s="93"/>
      <c r="D54" s="93"/>
      <c r="E54" s="140"/>
    </row>
    <row r="55" spans="1:5" ht="15.6">
      <c r="A55" s="94"/>
      <c r="B55" s="95"/>
      <c r="C55" s="93"/>
      <c r="D55" s="93"/>
      <c r="E55" s="140"/>
    </row>
    <row r="56" spans="1:5" ht="15.6">
      <c r="A56" s="94"/>
      <c r="B56" s="95"/>
      <c r="C56" s="93"/>
      <c r="D56" s="93"/>
      <c r="E56" s="140"/>
    </row>
    <row r="57" spans="1:5" ht="15.6">
      <c r="A57" s="94"/>
      <c r="B57" s="95"/>
      <c r="C57" s="93"/>
      <c r="D57" s="93"/>
      <c r="E57" s="140"/>
    </row>
    <row r="58" spans="1:5" ht="21">
      <c r="A58" s="97"/>
      <c r="B58" s="97"/>
      <c r="C58" s="91"/>
      <c r="D58" s="91"/>
      <c r="E58" s="141"/>
    </row>
    <row r="59" spans="1:5">
      <c r="A59" s="97"/>
      <c r="B59" s="97"/>
      <c r="C59" s="97"/>
      <c r="D59" s="97"/>
      <c r="E59" s="143"/>
    </row>
    <row r="60" spans="1:5">
      <c r="A60" s="97"/>
      <c r="B60" s="97"/>
      <c r="C60" s="97"/>
      <c r="D60" s="97"/>
      <c r="E60" s="143"/>
    </row>
    <row r="61" spans="1:5" ht="20.399999999999999">
      <c r="B61" s="442"/>
      <c r="C61" s="442"/>
      <c r="D61" s="101"/>
      <c r="E61" s="89"/>
    </row>
    <row r="63" spans="1:5" ht="24.6">
      <c r="A63" s="138"/>
      <c r="B63" s="102"/>
      <c r="C63" s="102"/>
      <c r="D63" s="102"/>
      <c r="E63" s="145"/>
    </row>
    <row r="64" spans="1:5" ht="21">
      <c r="A64" s="98"/>
      <c r="B64" s="98"/>
      <c r="C64" s="93"/>
      <c r="D64" s="93"/>
      <c r="E64" s="139"/>
    </row>
    <row r="65" spans="1:5" ht="15.6">
      <c r="A65" s="94"/>
      <c r="B65" s="95"/>
      <c r="C65" s="93"/>
      <c r="D65" s="93"/>
      <c r="E65" s="140"/>
    </row>
    <row r="66" spans="1:5" ht="15.6">
      <c r="A66" s="94"/>
      <c r="B66" s="95"/>
      <c r="C66" s="93"/>
      <c r="D66" s="93"/>
      <c r="E66" s="140"/>
    </row>
    <row r="67" spans="1:5" ht="15.6">
      <c r="A67" s="94"/>
      <c r="B67" s="95"/>
      <c r="C67" s="93"/>
      <c r="D67" s="93"/>
      <c r="E67" s="140"/>
    </row>
    <row r="68" spans="1:5" ht="15.6">
      <c r="A68" s="94"/>
      <c r="B68" s="95"/>
      <c r="C68" s="93"/>
      <c r="D68" s="93"/>
      <c r="E68" s="140"/>
    </row>
    <row r="69" spans="1:5" ht="15.6">
      <c r="A69" s="93"/>
      <c r="B69" s="93"/>
      <c r="C69" s="93"/>
      <c r="D69" s="93"/>
      <c r="E69" s="140"/>
    </row>
    <row r="70" spans="1:5" ht="21">
      <c r="A70" s="97"/>
      <c r="B70" s="97"/>
      <c r="C70" s="91"/>
      <c r="D70" s="91"/>
      <c r="E70" s="141"/>
    </row>
    <row r="71" spans="1:5" ht="21">
      <c r="A71" s="98"/>
      <c r="B71" s="98"/>
      <c r="C71" s="93"/>
      <c r="D71" s="93"/>
      <c r="E71" s="139"/>
    </row>
    <row r="72" spans="1:5" ht="15.6">
      <c r="A72" s="94"/>
      <c r="B72" s="95"/>
      <c r="C72" s="93"/>
      <c r="D72" s="93"/>
      <c r="E72" s="140"/>
    </row>
    <row r="73" spans="1:5" ht="15.6">
      <c r="A73" s="94"/>
      <c r="B73" s="95"/>
      <c r="C73" s="93"/>
      <c r="D73" s="93"/>
      <c r="E73" s="140"/>
    </row>
    <row r="74" spans="1:5" ht="15.6">
      <c r="A74" s="94"/>
      <c r="B74" s="95"/>
      <c r="C74" s="93"/>
      <c r="D74" s="93"/>
      <c r="E74" s="140"/>
    </row>
    <row r="75" spans="1:5" ht="15.6">
      <c r="A75" s="94"/>
      <c r="B75" s="95"/>
      <c r="C75" s="93"/>
      <c r="D75" s="93"/>
      <c r="E75" s="140"/>
    </row>
    <row r="76" spans="1:5" ht="15.6">
      <c r="A76" s="93"/>
      <c r="B76" s="93"/>
      <c r="C76" s="93"/>
      <c r="D76" s="93"/>
      <c r="E76" s="140"/>
    </row>
    <row r="77" spans="1:5" ht="21">
      <c r="A77" s="97"/>
      <c r="B77" s="97"/>
      <c r="C77" s="91"/>
      <c r="D77" s="91"/>
      <c r="E77" s="141"/>
    </row>
    <row r="78" spans="1:5" ht="21">
      <c r="A78" s="98"/>
      <c r="B78" s="98"/>
      <c r="C78" s="93"/>
      <c r="D78" s="93"/>
      <c r="E78" s="139"/>
    </row>
    <row r="79" spans="1:5" ht="15.6">
      <c r="A79" s="94"/>
      <c r="B79" s="95"/>
      <c r="C79" s="93"/>
      <c r="D79" s="93"/>
      <c r="E79" s="140"/>
    </row>
    <row r="80" spans="1:5" ht="15.6">
      <c r="A80" s="94"/>
      <c r="B80" s="95"/>
      <c r="C80" s="93"/>
      <c r="D80" s="93"/>
      <c r="E80" s="140"/>
    </row>
    <row r="81" spans="1:5" ht="15.6">
      <c r="A81" s="94"/>
      <c r="B81" s="95"/>
      <c r="C81" s="93"/>
      <c r="D81" s="93"/>
      <c r="E81" s="140"/>
    </row>
    <row r="82" spans="1:5" ht="15.6">
      <c r="A82" s="94"/>
      <c r="B82" s="95"/>
      <c r="C82" s="93"/>
      <c r="D82" s="93"/>
      <c r="E82" s="140"/>
    </row>
    <row r="83" spans="1:5" ht="15.6">
      <c r="A83" s="93"/>
      <c r="B83" s="95"/>
      <c r="C83" s="93"/>
      <c r="D83" s="93"/>
      <c r="E83" s="140"/>
    </row>
    <row r="84" spans="1:5" ht="15.6">
      <c r="A84" s="97"/>
      <c r="B84" s="95"/>
      <c r="C84" s="93"/>
      <c r="D84" s="93"/>
      <c r="E84" s="140"/>
    </row>
    <row r="85" spans="1:5" ht="21">
      <c r="A85" s="98"/>
      <c r="B85" s="95"/>
      <c r="C85" s="93"/>
      <c r="D85" s="93"/>
      <c r="E85" s="140"/>
    </row>
    <row r="86" spans="1:5" ht="21">
      <c r="A86" s="94"/>
      <c r="B86" s="95"/>
      <c r="C86" s="91"/>
      <c r="D86" s="91"/>
      <c r="E86" s="141"/>
    </row>
    <row r="87" spans="1:5">
      <c r="A87" s="114"/>
      <c r="B87" s="114"/>
      <c r="C87" s="114"/>
      <c r="D87" s="114"/>
      <c r="E87" s="146"/>
    </row>
    <row r="88" spans="1:5">
      <c r="A88" s="114"/>
      <c r="B88" s="114"/>
      <c r="C88" s="114"/>
      <c r="D88" s="114"/>
      <c r="E88" s="146"/>
    </row>
    <row r="89" spans="1:5" ht="20.399999999999999">
      <c r="B89" s="442"/>
      <c r="C89" s="442"/>
      <c r="D89" s="101"/>
      <c r="E89" s="89"/>
    </row>
  </sheetData>
  <mergeCells count="25">
    <mergeCell ref="B89:C89"/>
    <mergeCell ref="B13:C13"/>
    <mergeCell ref="B15:C15"/>
    <mergeCell ref="B17:C17"/>
    <mergeCell ref="B23:C23"/>
    <mergeCell ref="C28:E28"/>
    <mergeCell ref="B26:C26"/>
    <mergeCell ref="B25:C25"/>
    <mergeCell ref="B24:C24"/>
    <mergeCell ref="B19:C19"/>
    <mergeCell ref="A32:E32"/>
    <mergeCell ref="A34:B34"/>
    <mergeCell ref="B61:C61"/>
    <mergeCell ref="B20:C20"/>
    <mergeCell ref="B21:C21"/>
    <mergeCell ref="B22:C22"/>
    <mergeCell ref="B27:C27"/>
    <mergeCell ref="A30:E31"/>
    <mergeCell ref="A2:E2"/>
    <mergeCell ref="A3:E3"/>
    <mergeCell ref="A4:E4"/>
    <mergeCell ref="A11:E11"/>
    <mergeCell ref="A6:E6"/>
    <mergeCell ref="A7:E7"/>
    <mergeCell ref="A9:E9"/>
  </mergeCells>
  <hyperlinks>
    <hyperlink ref="A4" r:id="rId1" display="URL:www.accuperts.ae      E-mail:info@accuperts.ae     Tel.:971 4 2983118" xr:uid="{00000000-0004-0000-0100-000000000000}"/>
  </hyperlinks>
  <printOptions horizontalCentered="1"/>
  <pageMargins left="0.7" right="0.64" top="0.25" bottom="0.25" header="0.25" footer="0.25"/>
  <pageSetup paperSize="9" scale="74" orientation="portrait" r:id="rId2"/>
  <headerFooter>
    <oddFooter>&amp;R
Page &amp;P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266F-5721-4953-9518-5F7B167AC2D5}">
  <dimension ref="A1:F19"/>
  <sheetViews>
    <sheetView view="pageBreakPreview" topLeftCell="A3" zoomScale="60" zoomScaleNormal="100" workbookViewId="0">
      <selection activeCell="C12" sqref="C12"/>
    </sheetView>
  </sheetViews>
  <sheetFormatPr defaultColWidth="8.77734375" defaultRowHeight="14.4"/>
  <cols>
    <col min="1" max="1" width="8.77734375" style="328"/>
    <col min="2" max="2" width="39.77734375" style="328" bestFit="1" customWidth="1"/>
    <col min="3" max="3" width="77.21875" style="328" customWidth="1"/>
    <col min="4" max="4" width="86.44140625" style="328" customWidth="1"/>
    <col min="5" max="5" width="72.33203125" style="328" bestFit="1" customWidth="1"/>
    <col min="6" max="6" width="10.109375" style="328" bestFit="1" customWidth="1"/>
    <col min="7" max="16384" width="8.77734375" style="328"/>
  </cols>
  <sheetData>
    <row r="1" spans="1:6" ht="31.95" customHeight="1"/>
    <row r="2" spans="1:6" ht="31.95" customHeight="1"/>
    <row r="3" spans="1:6" ht="30">
      <c r="A3" s="448" t="str">
        <f>Cover!$A$12</f>
        <v>Western Vending Machines LLC</v>
      </c>
      <c r="B3" s="448"/>
      <c r="C3" s="448"/>
    </row>
    <row r="4" spans="1:6" ht="27.6">
      <c r="A4" s="447" t="str">
        <f>Cover!$A$13</f>
        <v xml:space="preserve">DUABI UAE </v>
      </c>
      <c r="B4" s="447"/>
      <c r="E4" s="197"/>
    </row>
    <row r="5" spans="1:6" ht="24.6" customHeight="1">
      <c r="A5" s="449" t="s">
        <v>254</v>
      </c>
      <c r="B5" s="450"/>
      <c r="C5" s="450"/>
      <c r="D5" s="450"/>
      <c r="E5" s="450"/>
      <c r="F5" s="450"/>
    </row>
    <row r="6" spans="1:6" ht="24.6" customHeight="1">
      <c r="A6" s="449"/>
      <c r="B6" s="450"/>
      <c r="C6" s="450"/>
      <c r="D6" s="450"/>
      <c r="E6" s="450"/>
      <c r="F6" s="450"/>
    </row>
    <row r="7" spans="1:6" ht="6" customHeight="1"/>
    <row r="8" spans="1:6" s="330" customFormat="1" ht="23.4">
      <c r="A8" s="329" t="s">
        <v>255</v>
      </c>
      <c r="B8" s="329" t="s">
        <v>260</v>
      </c>
      <c r="C8" s="329" t="s">
        <v>256</v>
      </c>
      <c r="D8" s="329" t="s">
        <v>257</v>
      </c>
      <c r="E8" s="329" t="s">
        <v>258</v>
      </c>
      <c r="F8" s="329" t="s">
        <v>259</v>
      </c>
    </row>
    <row r="9" spans="1:6" s="333" customFormat="1" ht="36">
      <c r="A9" s="331">
        <v>1</v>
      </c>
      <c r="B9" s="332" t="s">
        <v>447</v>
      </c>
      <c r="C9" s="366" t="s">
        <v>449</v>
      </c>
      <c r="D9" s="366" t="s">
        <v>450</v>
      </c>
      <c r="E9" s="366" t="s">
        <v>448</v>
      </c>
      <c r="F9" s="366" t="s">
        <v>438</v>
      </c>
    </row>
    <row r="10" spans="1:6" s="333" customFormat="1" ht="126">
      <c r="A10" s="379">
        <v>2</v>
      </c>
      <c r="B10" s="380" t="s">
        <v>451</v>
      </c>
      <c r="C10" s="381" t="s">
        <v>468</v>
      </c>
      <c r="D10" s="381" t="s">
        <v>456</v>
      </c>
      <c r="E10" s="381" t="s">
        <v>457</v>
      </c>
      <c r="F10" s="366" t="s">
        <v>493</v>
      </c>
    </row>
    <row r="11" spans="1:6" s="333" customFormat="1" ht="72">
      <c r="A11" s="331">
        <v>3</v>
      </c>
      <c r="B11" s="385" t="s">
        <v>458</v>
      </c>
      <c r="C11" s="386" t="s">
        <v>459</v>
      </c>
      <c r="D11" s="386" t="s">
        <v>460</v>
      </c>
      <c r="E11" s="386" t="s">
        <v>461</v>
      </c>
      <c r="F11" s="366" t="s">
        <v>438</v>
      </c>
    </row>
    <row r="12" spans="1:6" s="333" customFormat="1" ht="72">
      <c r="A12" s="379">
        <v>4</v>
      </c>
      <c r="B12" s="332" t="s">
        <v>431</v>
      </c>
      <c r="C12" s="366" t="s">
        <v>430</v>
      </c>
      <c r="D12" s="366" t="s">
        <v>429</v>
      </c>
      <c r="E12" s="366" t="s">
        <v>428</v>
      </c>
      <c r="F12" s="366" t="s">
        <v>438</v>
      </c>
    </row>
    <row r="13" spans="1:6" s="333" customFormat="1" ht="36">
      <c r="A13" s="395">
        <v>5</v>
      </c>
      <c r="B13" s="376" t="s">
        <v>441</v>
      </c>
      <c r="C13" s="377" t="s">
        <v>442</v>
      </c>
      <c r="D13" s="377" t="s">
        <v>443</v>
      </c>
      <c r="E13" s="377" t="s">
        <v>444</v>
      </c>
      <c r="F13" s="396"/>
    </row>
    <row r="14" spans="1:6" s="333" customFormat="1" ht="36">
      <c r="A14" s="331">
        <v>6</v>
      </c>
      <c r="B14" s="376" t="s">
        <v>469</v>
      </c>
      <c r="C14" s="377" t="s">
        <v>470</v>
      </c>
      <c r="D14" s="377" t="s">
        <v>471</v>
      </c>
      <c r="E14" s="377" t="s">
        <v>477</v>
      </c>
      <c r="F14" s="366" t="s">
        <v>478</v>
      </c>
    </row>
    <row r="15" spans="1:6" ht="36">
      <c r="A15" s="331">
        <v>7</v>
      </c>
      <c r="B15" s="376" t="s">
        <v>469</v>
      </c>
      <c r="C15" s="377" t="s">
        <v>479</v>
      </c>
      <c r="D15" s="377" t="s">
        <v>480</v>
      </c>
      <c r="E15" s="377" t="s">
        <v>481</v>
      </c>
      <c r="F15" s="366" t="s">
        <v>438</v>
      </c>
    </row>
    <row r="16" spans="1:6" ht="54">
      <c r="A16" s="331">
        <v>8</v>
      </c>
      <c r="B16" s="376" t="s">
        <v>482</v>
      </c>
      <c r="C16" s="377" t="s">
        <v>483</v>
      </c>
      <c r="D16" s="377" t="s">
        <v>485</v>
      </c>
      <c r="E16" s="377" t="s">
        <v>484</v>
      </c>
      <c r="F16" s="366"/>
    </row>
    <row r="17" spans="1:6" ht="36">
      <c r="A17" s="331">
        <v>9</v>
      </c>
      <c r="B17" s="376" t="s">
        <v>486</v>
      </c>
      <c r="C17" s="377" t="s">
        <v>487</v>
      </c>
      <c r="D17" s="377" t="s">
        <v>489</v>
      </c>
      <c r="E17" s="377" t="s">
        <v>488</v>
      </c>
      <c r="F17" s="366"/>
    </row>
    <row r="18" spans="1:6" ht="21">
      <c r="A18" s="331"/>
      <c r="B18" s="376"/>
      <c r="C18" s="377"/>
      <c r="D18" s="377"/>
      <c r="E18" s="377"/>
      <c r="F18" s="366"/>
    </row>
    <row r="19" spans="1:6" ht="21">
      <c r="A19" s="331"/>
      <c r="B19" s="376"/>
      <c r="C19" s="377"/>
      <c r="D19" s="377"/>
      <c r="E19" s="377"/>
      <c r="F19" s="366"/>
    </row>
  </sheetData>
  <mergeCells count="3">
    <mergeCell ref="A4:B4"/>
    <mergeCell ref="A3:C3"/>
    <mergeCell ref="A5:F6"/>
  </mergeCells>
  <pageMargins left="0.70866141732283472" right="0.70866141732283472" top="0.74803149606299213" bottom="0.74803149606299213" header="0.31496062992125984" footer="0.31496062992125984"/>
  <pageSetup scale="4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L75"/>
  <sheetViews>
    <sheetView showGridLines="0" view="pageBreakPreview" zoomScaleNormal="100" zoomScaleSheetLayoutView="100" workbookViewId="0">
      <selection activeCell="I12" sqref="I12"/>
    </sheetView>
  </sheetViews>
  <sheetFormatPr defaultColWidth="9.109375" defaultRowHeight="13.8"/>
  <cols>
    <col min="1" max="1" width="1.109375" style="1" customWidth="1"/>
    <col min="2" max="2" width="40.6640625" style="1" customWidth="1"/>
    <col min="3" max="3" width="17" style="1" customWidth="1"/>
    <col min="4" max="4" width="12" style="1" customWidth="1"/>
    <col min="5" max="5" width="10.88671875" style="1" customWidth="1"/>
    <col min="6" max="6" width="9.44140625" style="1" customWidth="1"/>
    <col min="7" max="7" width="8.5546875" style="1" customWidth="1"/>
    <col min="8" max="8" width="8" style="1" customWidth="1"/>
    <col min="9" max="9" width="1.88671875" style="1" customWidth="1"/>
    <col min="10" max="16384" width="9.109375" style="1"/>
  </cols>
  <sheetData>
    <row r="1" spans="1:12" ht="20.25" customHeight="1">
      <c r="A1" s="35"/>
      <c r="B1" s="36"/>
      <c r="C1" s="37"/>
      <c r="D1" s="38"/>
      <c r="E1" s="38"/>
      <c r="F1" s="38"/>
      <c r="G1" s="38"/>
      <c r="H1" s="38"/>
    </row>
    <row r="2" spans="1:12" s="39" customFormat="1" ht="26.25" customHeight="1">
      <c r="A2" s="451" t="str">
        <f>Cover!A12</f>
        <v>Western Vending Machines LLC</v>
      </c>
      <c r="B2" s="451"/>
      <c r="C2" s="451"/>
      <c r="D2" s="451"/>
    </row>
    <row r="3" spans="1:12" s="40" customFormat="1" ht="21" customHeight="1">
      <c r="A3" s="314" t="str">
        <f>Cover!A13</f>
        <v xml:space="preserve">DUABI UAE </v>
      </c>
      <c r="B3" s="314"/>
      <c r="C3" s="314"/>
      <c r="D3" s="314"/>
      <c r="E3" s="224"/>
    </row>
    <row r="4" spans="1:12" s="40" customFormat="1" ht="24.75" customHeight="1">
      <c r="A4" s="71"/>
      <c r="B4" s="71"/>
      <c r="C4" s="71"/>
      <c r="D4" s="71"/>
      <c r="H4" s="197"/>
    </row>
    <row r="5" spans="1:12" ht="25.2">
      <c r="A5" s="35"/>
      <c r="B5" s="452" t="s">
        <v>22</v>
      </c>
      <c r="C5" s="452"/>
      <c r="D5" s="452"/>
      <c r="E5" s="452"/>
      <c r="F5" s="452"/>
      <c r="G5" s="452"/>
      <c r="H5" s="452"/>
    </row>
    <row r="6" spans="1:12" s="39" customFormat="1" ht="9" customHeight="1">
      <c r="B6" s="239"/>
      <c r="C6" s="239"/>
      <c r="D6" s="239"/>
      <c r="E6" s="239"/>
      <c r="F6" s="239"/>
      <c r="G6" s="239"/>
      <c r="H6" s="239"/>
    </row>
    <row r="7" spans="1:12" s="40" customFormat="1" ht="21">
      <c r="B7" s="454" t="s">
        <v>98</v>
      </c>
      <c r="C7" s="454"/>
      <c r="D7" s="455" t="str">
        <f>"As On "&amp;TEXT(SOCI!$F$8,"MMMM - YYYY")</f>
        <v>As On June - 2025</v>
      </c>
      <c r="E7" s="455"/>
      <c r="F7" s="455"/>
      <c r="G7" s="455"/>
      <c r="H7" s="455"/>
    </row>
    <row r="8" spans="1:12" ht="9.9" customHeight="1">
      <c r="B8" s="22"/>
      <c r="C8" s="25"/>
      <c r="D8" s="25"/>
    </row>
    <row r="9" spans="1:12" ht="42.75" customHeight="1" thickBot="1">
      <c r="B9" s="177" t="s">
        <v>14</v>
      </c>
      <c r="C9" s="48">
        <f>VLOOKUP(Cover!$C$3,Cover!$G$4:$Q$17,4,)</f>
        <v>45809</v>
      </c>
      <c r="D9" s="48">
        <f>DATE(YEAR(C9),MONTH(C9)-1,1)</f>
        <v>45778</v>
      </c>
      <c r="E9" s="48">
        <f>DATE(YEAR(D9),MONTH(D9)-1,1)</f>
        <v>45748</v>
      </c>
      <c r="F9" s="48">
        <f>DATE(YEAR(E9),MONTH(E9)-1,1)</f>
        <v>45717</v>
      </c>
      <c r="G9" s="48">
        <f>DATE(YEAR(F9),MONTH(F9)-1,1)</f>
        <v>45689</v>
      </c>
      <c r="H9" s="48">
        <f>DATE(YEAR(G9),MONTH(G9)-1,1)</f>
        <v>45658</v>
      </c>
    </row>
    <row r="10" spans="1:12" ht="9.9" customHeight="1" thickBot="1">
      <c r="B10" s="22"/>
      <c r="C10" s="25"/>
      <c r="D10" s="25"/>
    </row>
    <row r="11" spans="1:12" ht="28.5" customHeight="1" thickTop="1" thickBot="1">
      <c r="B11" s="178" t="s">
        <v>30</v>
      </c>
      <c r="C11" s="27">
        <f t="shared" ref="C11:H11" si="0">SUM(C12:C13)</f>
        <v>1008592.1</v>
      </c>
      <c r="D11" s="27">
        <f t="shared" si="0"/>
        <v>1017229.55</v>
      </c>
      <c r="E11" s="27">
        <f t="shared" si="0"/>
        <v>1037261.7500000001</v>
      </c>
      <c r="F11" s="27">
        <f t="shared" si="0"/>
        <v>1038541.4500000001</v>
      </c>
      <c r="G11" s="27">
        <f t="shared" si="0"/>
        <v>1081269.1200000001</v>
      </c>
      <c r="H11" s="27">
        <f t="shared" si="0"/>
        <v>1031307.18</v>
      </c>
    </row>
    <row r="12" spans="1:12" ht="28.5" customHeight="1" thickTop="1">
      <c r="B12" s="179" t="s">
        <v>5</v>
      </c>
      <c r="C12" s="34">
        <f>_xlfn.IFNA(INDEX(SOMFP!$E$10:$P$48,MATCH(Galance!$B12,SOMFP!$A$10:$A$48,0),MATCH(Galance!C$9,SOMFP!$E$8:$P$8,0)),0)</f>
        <v>622270.55000000005</v>
      </c>
      <c r="D12" s="34">
        <f>_xlfn.IFNA(INDEX(SOMFP!$E$10:$P$48,MATCH(Galance!$B12,SOMFP!$A$10:$A$48,0),MATCH(Galance!D$9,SOMFP!$E$8:$P$8,0)),0)</f>
        <v>622270.55000000005</v>
      </c>
      <c r="E12" s="34">
        <f>_xlfn.IFNA(INDEX(SOMFP!$E$10:$P$48,MATCH(Galance!$B12,SOMFP!$A$10:$A$48,0),MATCH(Galance!E$9,SOMFP!$E$8:$P$8,0)),0)</f>
        <v>626420.55000000005</v>
      </c>
      <c r="F12" s="34">
        <f>_xlfn.IFNA(INDEX(SOMFP!$E$10:$P$48,MATCH(Galance!$B12,SOMFP!$A$10:$A$48,0),MATCH(Galance!F$9,SOMFP!$E$8:$P$8,0)),0)</f>
        <v>627520.55000000005</v>
      </c>
      <c r="G12" s="34">
        <f>_xlfn.IFNA(INDEX(SOMFP!$E$10:$P$48,MATCH(Galance!$B12,SOMFP!$A$10:$A$48,0),MATCH(Galance!G$9,SOMFP!$E$8:$P$8,0)),0)</f>
        <v>621690.55000000005</v>
      </c>
      <c r="H12" s="34">
        <f>_xlfn.IFNA(INDEX(SOMFP!$E$10:$P$48,MATCH(Galance!$B12,SOMFP!$A$10:$A$48,0),MATCH(Galance!H$9,SOMFP!$E$8:$P$8,0)),0)</f>
        <v>622790.55000000005</v>
      </c>
      <c r="L12" s="51"/>
    </row>
    <row r="13" spans="1:12" ht="28.5" customHeight="1">
      <c r="B13" s="179" t="s">
        <v>8</v>
      </c>
      <c r="C13" s="34">
        <f>INDEX(SOMFP!$E$10:$P$48,MATCH(Galance!$B13,SOMFP!$A$10:$A$48,0),MATCH(Galance!C$9,SOMFP!$E$8:$P$8,0))</f>
        <v>386321.54999999993</v>
      </c>
      <c r="D13" s="34">
        <f>INDEX(SOMFP!$E$10:$P$48,MATCH(Galance!$B13,SOMFP!$A$10:$A$48,0),MATCH(Galance!D$9,SOMFP!$E$8:$P$8,0))</f>
        <v>394959</v>
      </c>
      <c r="E13" s="34">
        <f>INDEX(SOMFP!$E$10:$P$48,MATCH(Galance!$B13,SOMFP!$A$10:$A$48,0),MATCH(Galance!E$9,SOMFP!$E$8:$P$8,0))</f>
        <v>410841.20000000007</v>
      </c>
      <c r="F13" s="34">
        <f>INDEX(SOMFP!$E$10:$P$48,MATCH(Galance!$B13,SOMFP!$A$10:$A$48,0),MATCH(Galance!F$9,SOMFP!$E$8:$P$8,0))</f>
        <v>411020.9</v>
      </c>
      <c r="G13" s="34">
        <f>INDEX(SOMFP!$E$10:$P$48,MATCH(Galance!$B13,SOMFP!$A$10:$A$48,0),MATCH(Galance!G$9,SOMFP!$E$8:$P$8,0))</f>
        <v>459578.56999999995</v>
      </c>
      <c r="H13" s="34">
        <f>INDEX(SOMFP!$E$10:$P$48,MATCH(Galance!$B13,SOMFP!$A$10:$A$48,0),MATCH(Galance!H$9,SOMFP!$E$8:$P$8,0))</f>
        <v>408516.63</v>
      </c>
    </row>
    <row r="14" spans="1:12" ht="28.5" customHeight="1" thickBot="1"/>
    <row r="15" spans="1:12" ht="28.5" customHeight="1" thickTop="1" thickBot="1">
      <c r="B15" s="178" t="s">
        <v>31</v>
      </c>
      <c r="C15" s="27">
        <f t="shared" ref="C15:H15" si="1">SUM(C16:C17)</f>
        <v>-1886579.85</v>
      </c>
      <c r="D15" s="27">
        <f t="shared" si="1"/>
        <v>-1822545.72</v>
      </c>
      <c r="E15" s="27">
        <f t="shared" si="1"/>
        <v>-1767570.77</v>
      </c>
      <c r="F15" s="27">
        <f t="shared" si="1"/>
        <v>-1718426.67</v>
      </c>
      <c r="G15" s="27">
        <f t="shared" si="1"/>
        <v>-1683611.13</v>
      </c>
      <c r="H15" s="27">
        <f t="shared" si="1"/>
        <v>-1603018.14</v>
      </c>
    </row>
    <row r="16" spans="1:12" ht="28.5" customHeight="1" thickTop="1">
      <c r="B16" s="179" t="s">
        <v>26</v>
      </c>
      <c r="C16" s="34">
        <f>-INDEX(SOMFP!$E$10:$P$48,MATCH(Galance!$B16,SOMFP!$A$10:$A$48,0),MATCH(Galance!C$9,SOMFP!$E$8:$P$8,0))</f>
        <v>0</v>
      </c>
      <c r="D16" s="34">
        <f>-INDEX(SOMFP!$E$10:$P$48,MATCH(Galance!$B16,SOMFP!$A$10:$A$48,0),MATCH(Galance!D$9,SOMFP!$E$8:$P$8,0))</f>
        <v>0</v>
      </c>
      <c r="E16" s="34">
        <f>-INDEX(SOMFP!$E$10:$P$48,MATCH(Galance!$B16,SOMFP!$A$10:$A$48,0),MATCH(Galance!E$9,SOMFP!$E$8:$P$8,0))</f>
        <v>-2584</v>
      </c>
      <c r="F16" s="34">
        <f>-INDEX(SOMFP!$E$10:$P$48,MATCH(Galance!$B16,SOMFP!$A$10:$A$48,0),MATCH(Galance!F$9,SOMFP!$E$8:$P$8,0))</f>
        <v>-5168</v>
      </c>
      <c r="G16" s="34">
        <f>-INDEX(SOMFP!$E$10:$P$48,MATCH(Galance!$B16,SOMFP!$A$10:$A$48,0),MATCH(Galance!G$9,SOMFP!$E$8:$P$8,0))</f>
        <v>-7752</v>
      </c>
      <c r="H16" s="34">
        <f>-INDEX(SOMFP!$E$10:$P$48,MATCH(Galance!$B16,SOMFP!$A$10:$A$48,0),MATCH(Galance!H$9,SOMFP!$E$8:$P$8,0))</f>
        <v>-10336</v>
      </c>
    </row>
    <row r="17" spans="1:9" ht="28.5" customHeight="1">
      <c r="B17" s="179" t="s">
        <v>23</v>
      </c>
      <c r="C17" s="34">
        <f>-INDEX(SOMFP!$E$10:$P$48,MATCH(Galance!$B17,SOMFP!$A$10:$A$48,0),MATCH(Galance!C$9,SOMFP!$E$8:$P$8,0))</f>
        <v>-1886579.85</v>
      </c>
      <c r="D17" s="34">
        <f>-INDEX(SOMFP!$E$10:$P$48,MATCH(Galance!$B17,SOMFP!$A$10:$A$48,0),MATCH(Galance!D$9,SOMFP!$E$8:$P$8,0))</f>
        <v>-1822545.72</v>
      </c>
      <c r="E17" s="34">
        <f>-INDEX(SOMFP!$E$10:$P$48,MATCH(Galance!$B17,SOMFP!$A$10:$A$48,0),MATCH(Galance!E$9,SOMFP!$E$8:$P$8,0))</f>
        <v>-1764986.77</v>
      </c>
      <c r="F17" s="34">
        <f>-INDEX(SOMFP!$E$10:$P$48,MATCH(Galance!$B17,SOMFP!$A$10:$A$48,0),MATCH(Galance!F$9,SOMFP!$E$8:$P$8,0))</f>
        <v>-1713258.67</v>
      </c>
      <c r="G17" s="34">
        <f>-INDEX(SOMFP!$E$10:$P$48,MATCH(Galance!$B17,SOMFP!$A$10:$A$48,0),MATCH(Galance!G$9,SOMFP!$E$8:$P$8,0))</f>
        <v>-1675859.13</v>
      </c>
      <c r="H17" s="34">
        <f>-INDEX(SOMFP!$E$10:$P$48,MATCH(Galance!$B17,SOMFP!$A$10:$A$48,0),MATCH(Galance!H$9,SOMFP!$E$8:$P$8,0))</f>
        <v>-1592682.14</v>
      </c>
    </row>
    <row r="18" spans="1:9" ht="28.5" customHeight="1">
      <c r="B18" s="180" t="s">
        <v>97</v>
      </c>
      <c r="C18" s="29">
        <f t="shared" ref="C18:H18" si="2">+C11+C15</f>
        <v>-877987.75000000012</v>
      </c>
      <c r="D18" s="29">
        <f t="shared" si="2"/>
        <v>-805316.16999999993</v>
      </c>
      <c r="E18" s="29">
        <f t="shared" si="2"/>
        <v>-730309.0199999999</v>
      </c>
      <c r="F18" s="29">
        <f t="shared" si="2"/>
        <v>-679885.21999999986</v>
      </c>
      <c r="G18" s="29">
        <f t="shared" si="2"/>
        <v>-602342.00999999978</v>
      </c>
      <c r="H18" s="29">
        <f t="shared" si="2"/>
        <v>-571710.95999999985</v>
      </c>
    </row>
    <row r="19" spans="1:9" ht="24" customHeight="1">
      <c r="B19" s="22"/>
      <c r="C19" s="23"/>
      <c r="D19" s="24"/>
    </row>
    <row r="20" spans="1:9" ht="21">
      <c r="B20" s="453" t="s">
        <v>96</v>
      </c>
      <c r="C20" s="453"/>
      <c r="D20" s="456" t="str">
        <f>"For the month of "&amp;TEXT(SOCI!$F$8,"MMMM - YYYY")</f>
        <v>For the month of June - 2025</v>
      </c>
      <c r="E20" s="456"/>
      <c r="F20" s="456"/>
      <c r="G20" s="456"/>
      <c r="H20" s="456"/>
    </row>
    <row r="21" spans="1:9" ht="9.9" customHeight="1">
      <c r="B21" s="22"/>
      <c r="C21" s="25"/>
      <c r="D21" s="25"/>
    </row>
    <row r="22" spans="1:9" ht="28.2" thickBot="1">
      <c r="A22" s="181"/>
      <c r="B22" s="182" t="s">
        <v>14</v>
      </c>
      <c r="C22" s="48">
        <f>VLOOKUP(Cover!$C$3,Cover!$G$4:$Q$17,4,)</f>
        <v>45809</v>
      </c>
      <c r="D22" s="48">
        <f>DATE(YEAR(C22),MONTH(C22)-1,1)</f>
        <v>45778</v>
      </c>
      <c r="E22" s="48">
        <f>DATE(YEAR(D22),MONTH(D22)-1,1)</f>
        <v>45748</v>
      </c>
      <c r="F22" s="48">
        <f>DATE(YEAR(E22),MONTH(E22)-1,1)</f>
        <v>45717</v>
      </c>
      <c r="G22" s="48">
        <f>DATE(YEAR(F22),MONTH(F22)-1,1)</f>
        <v>45689</v>
      </c>
      <c r="H22" s="48">
        <f>DATE(YEAR(G22),MONTH(G22)-1,1)</f>
        <v>45658</v>
      </c>
    </row>
    <row r="23" spans="1:9" ht="9.9" customHeight="1">
      <c r="B23" s="22"/>
      <c r="C23" s="24"/>
    </row>
    <row r="24" spans="1:9" s="53" customFormat="1" ht="28.5" customHeight="1">
      <c r="B24" s="183" t="s">
        <v>29</v>
      </c>
      <c r="C24" s="28">
        <f>INDEX(SOMCI!$F$11:$R$67,MATCH(Galance!$B24,SOMCI!$A$11:$A$67,0),MATCH(Galance!C$22,SOMCI!$F$9:$Q$9,0))</f>
        <v>67980.55</v>
      </c>
      <c r="D24" s="28">
        <f>INDEX(SOMCI!$F$11:$R$67,MATCH(Galance!$B24,SOMCI!$A$11:$A$67,0),MATCH(Galance!D$22,SOMCI!$F$9:$Q$9,0))</f>
        <v>87520.01999999999</v>
      </c>
      <c r="E24" s="28">
        <f>INDEX(SOMCI!$F$11:$R$67,MATCH(Galance!$B24,SOMCI!$A$11:$A$67,0),MATCH(Galance!E$22,SOMCI!$F$9:$Q$9,0))</f>
        <v>87876.290000000008</v>
      </c>
      <c r="F24" s="28">
        <f>INDEX(SOMCI!$F$11:$R$67,MATCH(Galance!$B24,SOMCI!$A$11:$A$67,0),MATCH(Galance!F$22,SOMCI!$F$9:$Q$9,0))</f>
        <v>61941.45</v>
      </c>
      <c r="G24" s="28">
        <f>INDEX(SOMCI!$F$11:$R$67,MATCH(Galance!$B24,SOMCI!$A$11:$A$67,0),MATCH(Galance!G$22,SOMCI!$F$9:$Q$9,0))</f>
        <v>111884.84</v>
      </c>
      <c r="H24" s="28">
        <f>INDEX(SOMCI!$F$11:$R$67,MATCH(Galance!$B24,SOMCI!$A$11:$A$67,0),MATCH(Galance!G$22,SOMCI!$H$9:$Q$9,0))</f>
        <v>119041.63</v>
      </c>
    </row>
    <row r="25" spans="1:9" ht="28.5" customHeight="1">
      <c r="B25" s="184" t="s">
        <v>99</v>
      </c>
      <c r="C25" s="28">
        <f>INDEX(SOMCI!$F$11:$R$67,MATCH(Galance!$B25,SOMCI!$A$11:$A$67,0),MATCH(Galance!C$22,SOMCI!$F$9:$Q$9,0))</f>
        <v>38352.35</v>
      </c>
      <c r="D25" s="28">
        <f>INDEX(SOMCI!$F$11:$R$67,MATCH(Galance!$B25,SOMCI!$A$11:$A$67,0),MATCH(Galance!D$22,SOMCI!$F$9:$Q$9,0))</f>
        <v>42536.15</v>
      </c>
      <c r="E25" s="28">
        <f>INDEX(SOMCI!$F$11:$R$67,MATCH(Galance!$B25,SOMCI!$A$11:$A$67,0),MATCH(Galance!E$22,SOMCI!$F$9:$Q$9,0))</f>
        <v>53057.19</v>
      </c>
      <c r="F25" s="28">
        <f>INDEX(SOMCI!$F$11:$R$67,MATCH(Galance!$B25,SOMCI!$A$11:$A$67,0),MATCH(Galance!F$22,SOMCI!$F$9:$Q$9,0))</f>
        <v>22914.83</v>
      </c>
      <c r="G25" s="28">
        <f>INDEX(SOMCI!$F$11:$R$67,MATCH(Galance!$B25,SOMCI!$A$11:$A$67,0),MATCH(Galance!G$22,SOMCI!$F$9:$Q$9,0))</f>
        <v>57339.56</v>
      </c>
      <c r="H25" s="28">
        <f>INDEX(SOMCI!$F$11:$R$67,MATCH(Galance!$B25,SOMCI!$A$11:$A$67,0),MATCH(Galance!H$22,SOMCI!$F$9:$Q$9,0))</f>
        <v>60816.33</v>
      </c>
    </row>
    <row r="26" spans="1:9" ht="28.5" customHeight="1">
      <c r="B26" s="183" t="s">
        <v>24</v>
      </c>
      <c r="C26" s="28">
        <f>INDEX(SOMCI!$F$11:$R$67,MATCH(Galance!$B26,SOMCI!$A$11:$A$67,0),MATCH(Galance!C$22,SOMCI!$F$9:$Q$9,0))</f>
        <v>29628.200000000004</v>
      </c>
      <c r="D26" s="28">
        <f t="shared" ref="D26:H26" si="3">+D24-D25</f>
        <v>44983.869999999988</v>
      </c>
      <c r="E26" s="28">
        <f t="shared" si="3"/>
        <v>34819.100000000006</v>
      </c>
      <c r="F26" s="28">
        <f t="shared" si="3"/>
        <v>39026.619999999995</v>
      </c>
      <c r="G26" s="28">
        <f t="shared" si="3"/>
        <v>54545.279999999999</v>
      </c>
      <c r="H26" s="28">
        <f t="shared" si="3"/>
        <v>58225.3</v>
      </c>
    </row>
    <row r="27" spans="1:9" ht="28.5" customHeight="1">
      <c r="B27" s="184" t="s">
        <v>100</v>
      </c>
      <c r="C27" s="28">
        <f>INDEX(SOMCI!$F$11:$R$67,MATCH(Galance!$B27,SOMCI!$A$11:$A$67,0),MATCH(Galance!C$22,SOMCI!$F$9:$Q$9,0))</f>
        <v>103004.37000000001</v>
      </c>
      <c r="D27" s="28">
        <f>INDEX(SOMCI!$F$11:$R$67,MATCH(Galance!$B27,SOMCI!$A$11:$A$67,0),MATCH(Galance!D$22,SOMCI!$F$9:$Q$9,0))</f>
        <v>118541.28</v>
      </c>
      <c r="E27" s="28">
        <f>INDEX(SOMCI!$F$11:$R$67,MATCH(Galance!$B27,SOMCI!$A$11:$A$67,0),MATCH(Galance!E$22,SOMCI!$F$9:$Q$9,0))</f>
        <v>84142.9</v>
      </c>
      <c r="F27" s="28">
        <f>INDEX(SOMCI!$F$11:$R$67,MATCH(Galance!$B27,SOMCI!$A$11:$A$67,0),MATCH(Galance!F$22,SOMCI!$F$9:$Q$9,0))</f>
        <v>116857.08</v>
      </c>
      <c r="G27" s="28">
        <f>INDEX(SOMCI!$F$11:$R$67,MATCH(Galance!$B27,SOMCI!$A$11:$A$67,0),MATCH(Galance!G$22,SOMCI!$F$9:$Q$9,0))</f>
        <v>88613.98</v>
      </c>
      <c r="H27" s="28">
        <f>INDEX(SOMCI!$F$11:$R$67,MATCH(Galance!$B27,SOMCI!$A$11:$A$67,0),MATCH(Galance!H$22,SOMCI!$F$9:$Q$9,0))</f>
        <v>147096.5</v>
      </c>
      <c r="I27" s="28"/>
    </row>
    <row r="28" spans="1:9" ht="28.5" customHeight="1">
      <c r="B28" s="184" t="s">
        <v>17</v>
      </c>
      <c r="C28" s="28">
        <f>INDEX(SOMCI!$F$11:$R$67,MATCH(Galance!$B28,SOMCI!$A$11:$A$67,0),MATCH(Galance!C$22,SOMCI!$F$9:$Q$9,0))</f>
        <v>-73376.170000000013</v>
      </c>
      <c r="D28" s="28">
        <f>+D26-D27</f>
        <v>-73557.41</v>
      </c>
      <c r="E28" s="28">
        <f>+E26-E27</f>
        <v>-49323.799999999988</v>
      </c>
      <c r="F28" s="28">
        <f>+F26-F27</f>
        <v>-77830.460000000006</v>
      </c>
      <c r="G28" s="28">
        <f>+G26-G27</f>
        <v>-34068.699999999997</v>
      </c>
      <c r="H28" s="28">
        <f>+H26-H27</f>
        <v>-88871.2</v>
      </c>
    </row>
    <row r="29" spans="1:9" ht="17.399999999999999">
      <c r="B29" s="11"/>
      <c r="C29" s="26"/>
      <c r="D29" s="26"/>
      <c r="E29" s="43"/>
      <c r="F29" s="43"/>
      <c r="G29" s="43"/>
      <c r="H29" s="43"/>
    </row>
    <row r="30" spans="1:9" ht="15.6">
      <c r="B30" s="4"/>
      <c r="C30" s="8"/>
      <c r="D30" s="10"/>
    </row>
    <row r="31" spans="1:9" ht="15.6">
      <c r="B31" s="4"/>
      <c r="C31" s="8"/>
      <c r="D31" s="10"/>
    </row>
    <row r="32" spans="1:9" ht="15.6">
      <c r="B32" s="4"/>
      <c r="C32" s="8"/>
      <c r="D32" s="10"/>
    </row>
    <row r="33" spans="2:4" ht="15.6">
      <c r="B33" s="4"/>
      <c r="C33" s="8"/>
      <c r="D33" s="10"/>
    </row>
    <row r="34" spans="2:4" ht="15.6">
      <c r="B34" s="4"/>
      <c r="C34" s="8"/>
      <c r="D34" s="10"/>
    </row>
    <row r="35" spans="2:4" ht="21">
      <c r="B35" s="11"/>
      <c r="C35" s="12"/>
      <c r="D35" s="13"/>
    </row>
    <row r="36" spans="2:4" ht="21">
      <c r="B36" s="3"/>
      <c r="C36" s="11"/>
      <c r="D36" s="16"/>
    </row>
    <row r="37" spans="2:4" ht="9" customHeight="1">
      <c r="B37" s="4"/>
      <c r="C37" s="8"/>
      <c r="D37" s="10"/>
    </row>
    <row r="38" spans="2:4" ht="15.6">
      <c r="B38" s="4"/>
      <c r="C38" s="8"/>
      <c r="D38" s="10"/>
    </row>
    <row r="39" spans="2:4" ht="15.6">
      <c r="B39" s="4"/>
      <c r="C39" s="8"/>
      <c r="D39" s="10"/>
    </row>
    <row r="40" spans="2:4" ht="15.6">
      <c r="B40" s="4"/>
      <c r="C40" s="8"/>
      <c r="D40" s="10"/>
    </row>
    <row r="41" spans="2:4" ht="15.6">
      <c r="B41" s="4"/>
      <c r="C41" s="8"/>
      <c r="D41" s="10"/>
    </row>
    <row r="42" spans="2:4" ht="15.6">
      <c r="B42" s="4"/>
      <c r="C42" s="8"/>
      <c r="D42" s="10"/>
    </row>
    <row r="43" spans="2:4" ht="15.6">
      <c r="B43" s="4"/>
      <c r="C43" s="8"/>
      <c r="D43" s="10"/>
    </row>
    <row r="44" spans="2:4" ht="21">
      <c r="B44" s="11"/>
      <c r="C44" s="12"/>
      <c r="D44" s="13"/>
    </row>
    <row r="45" spans="2:4">
      <c r="B45" s="11"/>
      <c r="C45" s="11"/>
      <c r="D45" s="15"/>
    </row>
    <row r="46" spans="2:4">
      <c r="B46" s="11"/>
      <c r="C46" s="11"/>
      <c r="D46" s="15"/>
    </row>
    <row r="47" spans="2:4" ht="20.399999999999999">
      <c r="C47" s="70"/>
      <c r="D47" s="7"/>
    </row>
    <row r="49" spans="2:4" ht="24.6">
      <c r="B49" s="6"/>
      <c r="C49" s="17"/>
      <c r="D49" s="18"/>
    </row>
    <row r="50" spans="2:4" ht="21">
      <c r="B50" s="3"/>
      <c r="C50" s="8"/>
      <c r="D50" s="9"/>
    </row>
    <row r="51" spans="2:4" ht="15.6">
      <c r="B51" s="4"/>
      <c r="C51" s="8"/>
      <c r="D51" s="10"/>
    </row>
    <row r="52" spans="2:4" ht="15.6">
      <c r="B52" s="4"/>
      <c r="C52" s="8"/>
      <c r="D52" s="10"/>
    </row>
    <row r="53" spans="2:4" ht="15.6">
      <c r="B53" s="4"/>
      <c r="C53" s="8"/>
      <c r="D53" s="10"/>
    </row>
    <row r="54" spans="2:4" ht="15.6">
      <c r="B54" s="4"/>
      <c r="C54" s="8"/>
      <c r="D54" s="10"/>
    </row>
    <row r="55" spans="2:4" ht="15.6">
      <c r="B55" s="8"/>
      <c r="C55" s="8"/>
      <c r="D55" s="10"/>
    </row>
    <row r="56" spans="2:4" ht="21">
      <c r="B56" s="11"/>
      <c r="C56" s="12"/>
      <c r="D56" s="13"/>
    </row>
    <row r="57" spans="2:4" ht="21">
      <c r="B57" s="3"/>
      <c r="C57" s="8"/>
      <c r="D57" s="9"/>
    </row>
    <row r="58" spans="2:4" ht="15.6">
      <c r="B58" s="4"/>
      <c r="C58" s="8"/>
      <c r="D58" s="10"/>
    </row>
    <row r="59" spans="2:4" ht="15.6">
      <c r="B59" s="4"/>
      <c r="C59" s="8"/>
      <c r="D59" s="10"/>
    </row>
    <row r="60" spans="2:4" ht="15.6">
      <c r="B60" s="4"/>
      <c r="C60" s="8"/>
      <c r="D60" s="10"/>
    </row>
    <row r="61" spans="2:4" ht="15.6">
      <c r="B61" s="4"/>
      <c r="C61" s="8"/>
      <c r="D61" s="10"/>
    </row>
    <row r="62" spans="2:4" ht="15.6">
      <c r="B62" s="8"/>
      <c r="C62" s="8"/>
      <c r="D62" s="10"/>
    </row>
    <row r="63" spans="2:4" ht="21">
      <c r="B63" s="11"/>
      <c r="C63" s="12"/>
      <c r="D63" s="13"/>
    </row>
    <row r="64" spans="2:4" ht="21">
      <c r="B64" s="3"/>
      <c r="C64" s="8"/>
      <c r="D64" s="9"/>
    </row>
    <row r="65" spans="2:4" ht="15.6">
      <c r="B65" s="4"/>
      <c r="C65" s="8"/>
      <c r="D65" s="10"/>
    </row>
    <row r="66" spans="2:4" ht="15.6">
      <c r="B66" s="4"/>
      <c r="C66" s="8"/>
      <c r="D66" s="10"/>
    </row>
    <row r="67" spans="2:4" ht="15.6">
      <c r="B67" s="4"/>
      <c r="C67" s="8"/>
      <c r="D67" s="10"/>
    </row>
    <row r="68" spans="2:4" ht="15.6">
      <c r="B68" s="4"/>
      <c r="C68" s="8"/>
      <c r="D68" s="10"/>
    </row>
    <row r="69" spans="2:4" ht="15.6">
      <c r="B69" s="8"/>
      <c r="C69" s="8"/>
      <c r="D69" s="10"/>
    </row>
    <row r="70" spans="2:4" ht="15.6">
      <c r="B70" s="11"/>
      <c r="C70" s="8"/>
      <c r="D70" s="10"/>
    </row>
    <row r="71" spans="2:4" ht="21">
      <c r="B71" s="3"/>
      <c r="C71" s="8"/>
      <c r="D71" s="10"/>
    </row>
    <row r="72" spans="2:4" ht="21">
      <c r="B72" s="4"/>
      <c r="C72" s="12"/>
      <c r="D72" s="13"/>
    </row>
    <row r="73" spans="2:4">
      <c r="B73" s="19"/>
      <c r="C73" s="19"/>
      <c r="D73" s="20"/>
    </row>
    <row r="74" spans="2:4">
      <c r="B74" s="19"/>
      <c r="C74" s="19"/>
      <c r="D74" s="20"/>
    </row>
    <row r="75" spans="2:4" ht="20.399999999999999">
      <c r="C75" s="70"/>
      <c r="D75" s="7"/>
    </row>
  </sheetData>
  <mergeCells count="6">
    <mergeCell ref="A2:D2"/>
    <mergeCell ref="B5:H5"/>
    <mergeCell ref="B20:C20"/>
    <mergeCell ref="B7:C7"/>
    <mergeCell ref="D7:H7"/>
    <mergeCell ref="D20:H20"/>
  </mergeCells>
  <printOptions horizontalCentered="1"/>
  <pageMargins left="0.7" right="0.64" top="0.25" bottom="0.25" header="0.25" footer="0.25"/>
  <pageSetup paperSize="9" scale="80" orientation="portrait" r:id="rId1"/>
  <headerFooter>
    <oddFooter>&amp;R
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pageSetUpPr fitToPage="1"/>
  </sheetPr>
  <dimension ref="A1:H5"/>
  <sheetViews>
    <sheetView view="pageBreakPreview" zoomScaleNormal="100" zoomScaleSheetLayoutView="100" workbookViewId="0">
      <selection activeCell="I12" sqref="I12"/>
    </sheetView>
  </sheetViews>
  <sheetFormatPr defaultRowHeight="14.4"/>
  <cols>
    <col min="4" max="4" width="26.6640625" bestFit="1" customWidth="1"/>
    <col min="5" max="5" width="23.109375" customWidth="1"/>
    <col min="6" max="6" width="32.6640625" customWidth="1"/>
    <col min="7" max="7" width="25.5546875" customWidth="1"/>
    <col min="8" max="8" width="24.88671875" bestFit="1" customWidth="1"/>
  </cols>
  <sheetData>
    <row r="1" spans="1:8" s="1" customFormat="1" ht="20.25" customHeight="1">
      <c r="A1" s="35"/>
      <c r="B1" s="36"/>
      <c r="C1" s="37"/>
      <c r="D1" s="38"/>
      <c r="E1" s="38"/>
      <c r="F1" s="38"/>
      <c r="G1" s="38"/>
      <c r="H1" s="38"/>
    </row>
    <row r="2" spans="1:8" s="39" customFormat="1" ht="26.25" customHeight="1">
      <c r="A2" s="451" t="str">
        <f>Cover!A12</f>
        <v>Western Vending Machines LLC</v>
      </c>
      <c r="B2" s="451"/>
      <c r="C2" s="451"/>
      <c r="D2" s="451"/>
    </row>
    <row r="3" spans="1:8" s="40" customFormat="1" ht="21" customHeight="1">
      <c r="A3" s="457" t="str">
        <f>Cover!A13</f>
        <v xml:space="preserve">DUABI UAE </v>
      </c>
      <c r="B3" s="457"/>
      <c r="C3" s="457"/>
      <c r="D3" s="457"/>
    </row>
    <row r="4" spans="1:8" s="40" customFormat="1" ht="24.75" customHeight="1">
      <c r="A4" s="71"/>
      <c r="B4" s="71"/>
      <c r="C4" s="71"/>
      <c r="F4" s="197"/>
    </row>
    <row r="5" spans="1:8" s="1" customFormat="1" ht="25.2">
      <c r="A5" s="452" t="s">
        <v>132</v>
      </c>
      <c r="B5" s="452"/>
      <c r="C5" s="452"/>
      <c r="D5" s="452"/>
      <c r="E5" s="452"/>
      <c r="F5" s="452"/>
      <c r="G5"/>
      <c r="H5"/>
    </row>
  </sheetData>
  <mergeCells count="3">
    <mergeCell ref="A2:D2"/>
    <mergeCell ref="A3:D3"/>
    <mergeCell ref="A5:F5"/>
  </mergeCells>
  <printOptions horizontalCentered="1"/>
  <pageMargins left="0.7" right="0.64" top="0.25" bottom="0.25" header="0.25" footer="0.25"/>
  <pageSetup paperSize="9" scale="78" orientation="portrait" r:id="rId1"/>
  <headerFooter>
    <oddFooter>&amp;R
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6B5A-5F36-4B52-BCF6-AFE5616DB2ED}">
  <dimension ref="A2:D22"/>
  <sheetViews>
    <sheetView showGridLines="0" topLeftCell="A7" zoomScaleNormal="100" workbookViewId="0">
      <selection activeCell="E19" sqref="E19"/>
    </sheetView>
  </sheetViews>
  <sheetFormatPr defaultRowHeight="14.4"/>
  <cols>
    <col min="1" max="1" width="14.33203125" customWidth="1"/>
    <col min="2" max="2" width="24.6640625" customWidth="1"/>
    <col min="3" max="3" width="30.44140625" customWidth="1"/>
    <col min="4" max="4" width="9.109375" bestFit="1" customWidth="1"/>
  </cols>
  <sheetData>
    <row r="2" spans="1:4" ht="18">
      <c r="A2" s="460" t="str">
        <f>SOFP!A2</f>
        <v>Western Vending Machines LLC</v>
      </c>
      <c r="B2" s="460"/>
    </row>
    <row r="3" spans="1:4" ht="15.6">
      <c r="A3" s="461" t="str">
        <f>SOFP!A3</f>
        <v xml:space="preserve">DUABI UAE </v>
      </c>
      <c r="B3" s="461"/>
    </row>
    <row r="6" spans="1:4" ht="33.6" customHeight="1">
      <c r="A6" s="441" t="s">
        <v>463</v>
      </c>
      <c r="B6" s="441"/>
      <c r="C6" s="441"/>
    </row>
    <row r="7" spans="1:4" ht="24.6" customHeight="1">
      <c r="A7" s="387" t="s">
        <v>464</v>
      </c>
      <c r="B7" s="387" t="s">
        <v>465</v>
      </c>
      <c r="C7" s="387" t="s">
        <v>466</v>
      </c>
    </row>
    <row r="8" spans="1:4">
      <c r="A8" s="397">
        <v>45474</v>
      </c>
      <c r="B8" s="493">
        <v>30290</v>
      </c>
      <c r="C8" s="492">
        <v>29713.22</v>
      </c>
    </row>
    <row r="9" spans="1:4">
      <c r="A9" s="397">
        <f>DATE(YEAR(A8),MONTH(A8)+1,1)</f>
        <v>45505</v>
      </c>
      <c r="B9" s="493">
        <v>37682</v>
      </c>
      <c r="C9" s="492">
        <v>36071.72</v>
      </c>
      <c r="D9" s="394"/>
    </row>
    <row r="10" spans="1:4">
      <c r="A10" s="397">
        <f t="shared" ref="A10:A19" si="0">DATE(YEAR(A9),MONTH(A9)+1,1)</f>
        <v>45536</v>
      </c>
      <c r="B10" s="493">
        <v>45466</v>
      </c>
      <c r="C10" s="492">
        <v>43446.32</v>
      </c>
      <c r="D10" s="394"/>
    </row>
    <row r="11" spans="1:4">
      <c r="A11" s="397">
        <f t="shared" si="0"/>
        <v>45566</v>
      </c>
      <c r="B11" s="493">
        <v>50058</v>
      </c>
      <c r="C11" s="492">
        <v>49201.24</v>
      </c>
      <c r="D11" s="394"/>
    </row>
    <row r="12" spans="1:4">
      <c r="A12" s="397">
        <f t="shared" si="0"/>
        <v>45597</v>
      </c>
      <c r="B12" s="493">
        <v>47365</v>
      </c>
      <c r="C12" s="492">
        <v>46241.279999999999</v>
      </c>
      <c r="D12" s="394"/>
    </row>
    <row r="13" spans="1:4">
      <c r="A13" s="397">
        <f t="shared" si="0"/>
        <v>45627</v>
      </c>
      <c r="B13" s="493">
        <v>43694.9</v>
      </c>
      <c r="C13" s="492">
        <v>42451.7</v>
      </c>
      <c r="D13" s="394"/>
    </row>
    <row r="14" spans="1:4">
      <c r="A14" s="397">
        <f t="shared" si="0"/>
        <v>45658</v>
      </c>
      <c r="B14" s="493">
        <v>43302</v>
      </c>
      <c r="C14" s="492">
        <v>40328.879999999997</v>
      </c>
      <c r="D14" s="394"/>
    </row>
    <row r="15" spans="1:4">
      <c r="A15" s="397">
        <f t="shared" si="0"/>
        <v>45689</v>
      </c>
      <c r="B15" s="493">
        <v>44036</v>
      </c>
      <c r="C15" s="492">
        <v>40781.870000000003</v>
      </c>
      <c r="D15" s="394"/>
    </row>
    <row r="16" spans="1:4">
      <c r="A16" s="397">
        <f t="shared" si="0"/>
        <v>45717</v>
      </c>
      <c r="B16" s="493">
        <v>28948</v>
      </c>
      <c r="C16" s="492">
        <v>25440.3</v>
      </c>
      <c r="D16" s="394"/>
    </row>
    <row r="17" spans="1:4">
      <c r="A17" s="397">
        <f t="shared" si="0"/>
        <v>45748</v>
      </c>
      <c r="B17" s="493">
        <v>37943</v>
      </c>
      <c r="C17" s="492">
        <v>35515.85</v>
      </c>
      <c r="D17" s="394"/>
    </row>
    <row r="18" spans="1:4">
      <c r="A18" s="397">
        <f t="shared" si="0"/>
        <v>45778</v>
      </c>
      <c r="B18" s="493">
        <v>37640</v>
      </c>
      <c r="C18" s="492">
        <v>35142.019999999997</v>
      </c>
      <c r="D18" s="394"/>
    </row>
    <row r="19" spans="1:4">
      <c r="A19" s="397">
        <f t="shared" si="0"/>
        <v>45809</v>
      </c>
      <c r="B19" s="493">
        <v>31455</v>
      </c>
      <c r="C19" s="492">
        <f>'Linked IS'!D7*105/100</f>
        <v>27610.579500000003</v>
      </c>
      <c r="D19" s="394"/>
    </row>
    <row r="20" spans="1:4">
      <c r="A20" s="388" t="s">
        <v>358</v>
      </c>
      <c r="B20" s="389">
        <f>SUM(B8:B19)</f>
        <v>477879.9</v>
      </c>
      <c r="C20" s="389">
        <f>SUM(C8:C19)</f>
        <v>451944.97949999996</v>
      </c>
    </row>
    <row r="22" spans="1:4">
      <c r="A22" s="458" t="s">
        <v>467</v>
      </c>
      <c r="B22" s="459"/>
      <c r="C22" s="390">
        <f>B20-C20</f>
        <v>25934.920500000066</v>
      </c>
    </row>
  </sheetData>
  <mergeCells count="4">
    <mergeCell ref="A6:C6"/>
    <mergeCell ref="A22:B22"/>
    <mergeCell ref="A2:B2"/>
    <mergeCell ref="A3:B3"/>
  </mergeCells>
  <pageMargins left="1.4960629921259843" right="0.31496062992125984" top="0.15748031496062992" bottom="0.15748031496062992" header="0.31496062992125984" footer="0.31496062992125984"/>
  <pageSetup scale="145" orientation="landscape" r:id="rId1"/>
  <headerFooter>
    <oddFooter>&amp;RPage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51"/>
  <sheetViews>
    <sheetView showGridLines="0" view="pageBreakPreview" topLeftCell="A21" zoomScale="80" zoomScaleNormal="100" zoomScaleSheetLayoutView="80" workbookViewId="0">
      <selection activeCell="G8" sqref="G8"/>
    </sheetView>
  </sheetViews>
  <sheetFormatPr defaultColWidth="9.109375" defaultRowHeight="13.8" outlineLevelRow="1"/>
  <cols>
    <col min="1" max="1" width="7.6640625" style="81" customWidth="1"/>
    <col min="2" max="2" width="47.44140625" style="81" customWidth="1"/>
    <col min="3" max="3" width="7.33203125" style="81" bestFit="1" customWidth="1"/>
    <col min="4" max="4" width="1.5546875" style="81" customWidth="1"/>
    <col min="5" max="5" width="12.5546875" style="81" customWidth="1"/>
    <col min="6" max="6" width="1.44140625" style="81" customWidth="1"/>
    <col min="7" max="7" width="12.5546875" style="81" customWidth="1"/>
    <col min="8" max="8" width="10.44140625" style="81" hidden="1" customWidth="1"/>
    <col min="9" max="16384" width="9.109375" style="81"/>
  </cols>
  <sheetData>
    <row r="1" spans="1:8" ht="15.6">
      <c r="A1" s="78"/>
      <c r="B1" s="79"/>
      <c r="C1" s="80"/>
      <c r="D1" s="80"/>
      <c r="E1" s="80"/>
      <c r="F1" s="80"/>
      <c r="G1" s="80"/>
      <c r="H1" s="80"/>
    </row>
    <row r="2" spans="1:8" s="82" customFormat="1" ht="25.2">
      <c r="A2" s="439" t="str">
        <f>Cover!A12</f>
        <v>Western Vending Machines LLC</v>
      </c>
      <c r="B2" s="439"/>
    </row>
    <row r="3" spans="1:8" s="83" customFormat="1" ht="21">
      <c r="A3" s="440" t="str">
        <f>Cover!A13</f>
        <v xml:space="preserve">DUABI UAE </v>
      </c>
      <c r="B3" s="440"/>
    </row>
    <row r="4" spans="1:8" s="83" customFormat="1" ht="28.5" customHeight="1">
      <c r="A4" s="84"/>
      <c r="B4" s="84"/>
      <c r="G4" s="196"/>
    </row>
    <row r="5" spans="1:8" s="86" customFormat="1" ht="24.9" customHeight="1">
      <c r="A5" s="441" t="s">
        <v>38</v>
      </c>
      <c r="B5" s="441"/>
      <c r="C5" s="441"/>
      <c r="D5" s="441"/>
      <c r="E5" s="441"/>
      <c r="F5" s="441"/>
      <c r="G5" s="441"/>
    </row>
    <row r="6" spans="1:8" ht="20.100000000000001" customHeight="1">
      <c r="A6" s="441" t="str">
        <f>Galance!D7</f>
        <v>As On June - 2025</v>
      </c>
      <c r="B6" s="441"/>
      <c r="C6" s="441"/>
      <c r="D6" s="441"/>
      <c r="E6" s="441"/>
      <c r="F6" s="441"/>
      <c r="G6" s="441"/>
    </row>
    <row r="7" spans="1:8" s="87" customFormat="1" ht="13.5" customHeight="1">
      <c r="A7" s="462" t="s">
        <v>25</v>
      </c>
      <c r="B7" s="462"/>
      <c r="C7" s="462"/>
      <c r="D7" s="462"/>
      <c r="E7" s="462"/>
      <c r="F7" s="462"/>
      <c r="G7" s="462"/>
    </row>
    <row r="8" spans="1:8" ht="18" customHeight="1" thickBot="1">
      <c r="A8" s="463" t="s">
        <v>14</v>
      </c>
      <c r="B8" s="463"/>
      <c r="C8" s="242" t="s">
        <v>27</v>
      </c>
      <c r="D8" s="243"/>
      <c r="E8" s="244">
        <f>+SOCI!F8</f>
        <v>45809</v>
      </c>
      <c r="F8" s="243"/>
      <c r="G8" s="244">
        <f>+SOCI!H8</f>
        <v>45778</v>
      </c>
      <c r="H8" s="185">
        <f>DATE(YEAR(G8),MONTH(G8)-1,1)</f>
        <v>45748</v>
      </c>
    </row>
    <row r="9" spans="1:8" ht="18" customHeight="1">
      <c r="A9" s="245" t="s">
        <v>13</v>
      </c>
      <c r="B9" s="246"/>
      <c r="C9" s="89"/>
      <c r="D9" s="89"/>
      <c r="E9" s="90"/>
      <c r="F9" s="89"/>
      <c r="G9" s="90"/>
      <c r="H9" s="90"/>
    </row>
    <row r="10" spans="1:8" ht="18">
      <c r="A10" s="247" t="s">
        <v>5</v>
      </c>
      <c r="B10" s="248"/>
      <c r="C10" s="92"/>
      <c r="D10" s="93"/>
      <c r="E10" s="186">
        <f>SUM(E11:E13)</f>
        <v>622270.55000000005</v>
      </c>
      <c r="F10" s="186"/>
      <c r="G10" s="186">
        <f>SUM(G11:G13)</f>
        <v>622270.55000000005</v>
      </c>
      <c r="H10" s="186">
        <f>SUM(H11:H13)</f>
        <v>626420.55000000005</v>
      </c>
    </row>
    <row r="11" spans="1:8" ht="15" customHeight="1" outlineLevel="1">
      <c r="B11" s="249"/>
      <c r="C11" s="96"/>
      <c r="D11" s="93"/>
      <c r="E11" s="187" t="str">
        <f>IFERROR(INDEX(SOMFP!$E$11:$P$48,MATCH($B11,SOMFP!$B$11:$B$43,0),MATCH($E$8,SOMFP!$E$8:$P$8,0)),"")</f>
        <v/>
      </c>
      <c r="F11" s="188"/>
      <c r="G11" s="187" t="str">
        <f>IFERROR(INDEX(SOMFP!$E$11:$P$48,MATCH($B11,SOMFP!$B$11:$B$43,0),MATCH($G$8,SOMFP!$E$8:$P$8,0)),"")</f>
        <v/>
      </c>
      <c r="H11" s="187" t="str">
        <f>IFERROR(INDEX(SOMFP!$E$11:$P$48,MATCH($B11,SOMFP!$B$11:$B$43,0),MATCH($H$8,SOMFP!$E$8:$P$8,0)),"")</f>
        <v/>
      </c>
    </row>
    <row r="12" spans="1:8" ht="15" customHeight="1" outlineLevel="1">
      <c r="B12" s="249" t="str">
        <f>SOMFP!B12</f>
        <v>Property and equipement</v>
      </c>
      <c r="C12" s="96"/>
      <c r="D12" s="93"/>
      <c r="E12" s="189">
        <f>IFERROR(INDEX(SOMFP!$E$11:$P$48,MATCH($B12,SOMFP!$B$11:$B$43,0),MATCH($E$8,SOMFP!$E$8:$P$8,0)),"")</f>
        <v>622270.55000000005</v>
      </c>
      <c r="F12" s="188"/>
      <c r="G12" s="189">
        <f>IFERROR(INDEX(SOMFP!$E$11:$P$48,MATCH($B12,SOMFP!$B$11:$B$43,0),MATCH($G$8,SOMFP!$E$8:$P$8,0)),"")</f>
        <v>622270.55000000005</v>
      </c>
      <c r="H12" s="189">
        <f>IFERROR(INDEX(SOMFP!$E$11:$P$48,MATCH($B12,SOMFP!$B$11:$B$43,0),MATCH($H$8,SOMFP!$E$8:$P$8,0)),"")</f>
        <v>626420.55000000005</v>
      </c>
    </row>
    <row r="13" spans="1:8" ht="15" customHeight="1" outlineLevel="1">
      <c r="B13" s="249"/>
      <c r="C13" s="96"/>
      <c r="D13" s="93"/>
      <c r="E13" s="190" t="str">
        <f>IFERROR(INDEX(SOMFP!$E13:$P$48,MATCH($B$11,SOMFP!$B$11:$B$43,0),MATCH($E$8,SOMFP!$E$8:$P$8,0)),"")</f>
        <v/>
      </c>
      <c r="F13" s="188"/>
      <c r="G13" s="190" t="str">
        <f>IFERROR(INDEX(SOMFP!$E$11:$P$48,MATCH($B13,SOMFP!$B$11:$B$43,0),MATCH($G$8,SOMFP!$E$8:$P$8,0)),"")</f>
        <v/>
      </c>
      <c r="H13" s="190" t="str">
        <f>IFERROR(INDEX(SOMFP!$E$11:$P$48,MATCH($B13,SOMFP!$B$11:$B$43,0),MATCH($H$8,SOMFP!$E$8:$P$8,0)),"")</f>
        <v/>
      </c>
    </row>
    <row r="14" spans="1:8" ht="9.9" customHeight="1">
      <c r="B14" s="249"/>
      <c r="C14" s="96"/>
      <c r="D14" s="93"/>
      <c r="E14" s="188"/>
      <c r="F14" s="188"/>
      <c r="G14" s="188"/>
      <c r="H14" s="188"/>
    </row>
    <row r="15" spans="1:8" ht="18">
      <c r="A15" s="247" t="s">
        <v>8</v>
      </c>
      <c r="B15" s="248"/>
      <c r="C15" s="92"/>
      <c r="D15" s="93"/>
      <c r="E15" s="186">
        <f>SUM(E16:E25)</f>
        <v>386321.54999999993</v>
      </c>
      <c r="F15" s="186"/>
      <c r="G15" s="186">
        <f>SUM(G16:G25)</f>
        <v>394959</v>
      </c>
      <c r="H15" s="186">
        <f>SUM(H16:H25)</f>
        <v>200492.64</v>
      </c>
    </row>
    <row r="16" spans="1:8" ht="15" customHeight="1" outlineLevel="1">
      <c r="B16" s="249" t="s">
        <v>295</v>
      </c>
      <c r="C16" s="96"/>
      <c r="D16" s="93"/>
      <c r="E16" s="187">
        <f>IFERROR(INDEX(SOMFP!$E$11:$P$48,MATCH($B16,SOMFP!$B$11:$B$43,0),MATCH($E$8,SOMFP!$E$8:$P$8,0)),"")</f>
        <v>2948.1</v>
      </c>
      <c r="F16" s="188"/>
      <c r="G16" s="187">
        <f>IFERROR(INDEX(SOMFP!$E$11:$P$48,MATCH($B16,SOMFP!$B$11:$B$43,0),MATCH($G$8,SOMFP!$E$8:$P$8,0)),"")</f>
        <v>20188.560000000001</v>
      </c>
      <c r="H16" s="352">
        <f>IFERROR(INDEX(SOMFP!$E$11:$P$48,MATCH($B16,SOMFP!$B$11:$B$43,0),MATCH($H$8,SOMFP!$E$8:$P$8,0)),"")</f>
        <v>17866.73</v>
      </c>
    </row>
    <row r="17" spans="1:8" ht="15" customHeight="1" outlineLevel="1">
      <c r="B17" s="249" t="s">
        <v>296</v>
      </c>
      <c r="C17" s="96"/>
      <c r="D17" s="93"/>
      <c r="E17" s="189">
        <f>IFERROR(INDEX(SOMFP!$E$11:$P$48,MATCH($B17,SOMFP!$B$11:$B$43,0),MATCH($E$8,SOMFP!$E$8:$P$8,0)),"")</f>
        <v>-62.1</v>
      </c>
      <c r="F17" s="188"/>
      <c r="G17" s="189">
        <f>IFERROR(INDEX(SOMFP!$E$11:$P$48,MATCH($B17,SOMFP!$B$11:$B$43,0),MATCH($G$8,SOMFP!$E$8:$P$8,0)),"")</f>
        <v>-62.1</v>
      </c>
      <c r="H17" s="353">
        <f>IFERROR(INDEX(SOMFP!$E$11:$P$48,MATCH($B17,SOMFP!$B$11:$B$43,0),MATCH($H$8,SOMFP!$E$8:$P$8,0)),"")</f>
        <v>-62.1</v>
      </c>
    </row>
    <row r="18" spans="1:8" ht="15" customHeight="1" outlineLevel="1">
      <c r="B18" s="249" t="s">
        <v>297</v>
      </c>
      <c r="C18" s="96"/>
      <c r="D18" s="93"/>
      <c r="E18" s="189">
        <f>IFERROR(INDEX(SOMFP!$E$11:$P$48,MATCH($B18,SOMFP!$B$11:$B$43,0),MATCH($E$8,SOMFP!$E$8:$P$8,0)),"")</f>
        <v>6684.34</v>
      </c>
      <c r="F18" s="188"/>
      <c r="G18" s="189">
        <f>IFERROR(INDEX(SOMFP!$E$11:$P$48,MATCH($B18,SOMFP!$B$11:$B$43,0),MATCH($G$8,SOMFP!$E$8:$P$8,0)),"")</f>
        <v>5345.34</v>
      </c>
      <c r="H18" s="353"/>
    </row>
    <row r="19" spans="1:8" ht="15" customHeight="1" outlineLevel="1">
      <c r="B19" s="249" t="s">
        <v>298</v>
      </c>
      <c r="C19" s="96"/>
      <c r="D19" s="93"/>
      <c r="E19" s="189">
        <f>IFERROR(INDEX(SOMFP!$E$11:$P$48,MATCH($B19,SOMFP!$B$11:$B$43,0),MATCH($E$8,SOMFP!$E$8:$P$8,0)),"")</f>
        <v>109206.5</v>
      </c>
      <c r="F19" s="188"/>
      <c r="G19" s="189">
        <f>IFERROR(INDEX(SOMFP!$E$11:$P$48,MATCH($B19,SOMFP!$B$11:$B$43,0),MATCH($G$8,SOMFP!$E$8:$P$8,0)),"")</f>
        <v>109206.5</v>
      </c>
      <c r="H19" s="353"/>
    </row>
    <row r="20" spans="1:8" ht="15" customHeight="1" outlineLevel="1">
      <c r="B20" s="249" t="s">
        <v>299</v>
      </c>
      <c r="C20" s="96"/>
      <c r="D20" s="93"/>
      <c r="E20" s="189">
        <f>IFERROR(INDEX(SOMFP!$E$11:$P$48,MATCH($B20,SOMFP!$B$11:$B$43,0),MATCH($E$8,SOMFP!$E$8:$P$8,0)),"")</f>
        <v>49326</v>
      </c>
      <c r="F20" s="188"/>
      <c r="G20" s="189">
        <f>IFERROR(INDEX(SOMFP!$E$11:$P$48,MATCH($B20,SOMFP!$B$11:$B$43,0),MATCH($G$8,SOMFP!$E$8:$P$8,0)),"")</f>
        <v>50331</v>
      </c>
      <c r="H20" s="353">
        <f>IFERROR(INDEX(SOMFP!$E$11:$P$48,MATCH($B20,SOMFP!$B$11:$B$43,0),MATCH($H$8,SOMFP!$E$8:$P$8,0)),"")</f>
        <v>50331</v>
      </c>
    </row>
    <row r="21" spans="1:8" ht="15" customHeight="1" outlineLevel="1">
      <c r="B21" s="249" t="s">
        <v>300</v>
      </c>
      <c r="C21" s="96"/>
      <c r="D21" s="93"/>
      <c r="E21" s="189">
        <f>IFERROR(INDEX(SOMFP!$E$11:$P$48,MATCH($B21,SOMFP!$B$11:$B$43,0),MATCH($E$8,SOMFP!$E$8:$P$8,0)),"")</f>
        <v>1645.4</v>
      </c>
      <c r="F21" s="188"/>
      <c r="G21" s="189">
        <f>IFERROR(INDEX(SOMFP!$E$11:$P$48,MATCH($B21,SOMFP!$B$11:$B$43,0),MATCH($G$8,SOMFP!$E$8:$P$8,0)),"")</f>
        <v>1288.4000000000001</v>
      </c>
      <c r="H21" s="353"/>
    </row>
    <row r="22" spans="1:8" ht="15" customHeight="1" outlineLevel="1">
      <c r="B22" s="249" t="s">
        <v>301</v>
      </c>
      <c r="C22" s="96"/>
      <c r="D22" s="93"/>
      <c r="E22" s="189">
        <f>IFERROR(INDEX(SOMFP!$E$11:$P$48,MATCH($B22,SOMFP!$B$11:$B$43,0),MATCH($E$8,SOMFP!$E$8:$P$8,0)),"")</f>
        <v>86361.36</v>
      </c>
      <c r="F22" s="188"/>
      <c r="G22" s="189">
        <f>IFERROR(INDEX(SOMFP!$E$11:$P$48,MATCH($B22,SOMFP!$B$11:$B$43,0),MATCH($G$8,SOMFP!$E$8:$P$8,0)),"")</f>
        <v>83871.710000000006</v>
      </c>
      <c r="H22" s="353"/>
    </row>
    <row r="23" spans="1:8" ht="15" customHeight="1" outlineLevel="1">
      <c r="B23" s="249" t="s">
        <v>302</v>
      </c>
      <c r="C23" s="96"/>
      <c r="D23" s="93"/>
      <c r="E23" s="189">
        <f>IFERROR(INDEX(SOMFP!$E$11:$P$48,MATCH($B23,SOMFP!$B$11:$B$43,0),MATCH($E$8,SOMFP!$E$8:$P$8,0)),"")</f>
        <v>66258.67</v>
      </c>
      <c r="F23" s="188"/>
      <c r="G23" s="189">
        <f>IFERROR(INDEX(SOMFP!$E$11:$P$48,MATCH($B23,SOMFP!$B$11:$B$43,0),MATCH($G$8,SOMFP!$E$8:$P$8,0)),"")</f>
        <v>60836.31</v>
      </c>
      <c r="H23" s="353">
        <f>IFERROR(INDEX(SOMFP!$E$11:$P$48,MATCH($B23,SOMFP!$B$11:$B$43,0),MATCH($H$8,SOMFP!$E$8:$P$8,0)),"")</f>
        <v>69053.73000000001</v>
      </c>
    </row>
    <row r="24" spans="1:8" ht="15" customHeight="1" outlineLevel="1">
      <c r="B24" s="249" t="s">
        <v>303</v>
      </c>
      <c r="C24" s="96"/>
      <c r="D24" s="93"/>
      <c r="E24" s="189">
        <f>IFERROR(INDEX(SOMFP!$E$11:$P$48,MATCH($B24,SOMFP!$B$11:$B$43,0),MATCH($E$8,SOMFP!$E$8:$P$8,0)),"")</f>
        <v>27243.279999999999</v>
      </c>
      <c r="F24" s="188"/>
      <c r="G24" s="189">
        <f>IFERROR(INDEX(SOMFP!$E$11:$P$48,MATCH($B24,SOMFP!$B$11:$B$43,0),MATCH($G$8,SOMFP!$E$8:$P$8,0)),"")</f>
        <v>27243.279999999999</v>
      </c>
      <c r="H24" s="353">
        <f>IFERROR(INDEX(SOMFP!$E$11:$P$48,MATCH($B24,SOMFP!$B$11:$B$43,0),MATCH($H$8,SOMFP!$E$8:$P$8,0)),"")</f>
        <v>27243.279999999999</v>
      </c>
    </row>
    <row r="25" spans="1:8" ht="15" customHeight="1" outlineLevel="1">
      <c r="B25" s="249" t="s">
        <v>304</v>
      </c>
      <c r="C25" s="96"/>
      <c r="D25" s="93"/>
      <c r="E25" s="189">
        <f>IFERROR(INDEX(SOMFP!$E$11:$P$48,MATCH($B25,SOMFP!$B$11:$B$43,0),MATCH($E$8,SOMFP!$E$8:$P$8,0)),"")</f>
        <v>36710</v>
      </c>
      <c r="F25" s="188"/>
      <c r="G25" s="189">
        <f>IFERROR(INDEX(SOMFP!$E$11:$P$48,MATCH($B25,SOMFP!$B$11:$B$43,0),MATCH($G$8,SOMFP!$E$8:$P$8,0)),"")</f>
        <v>36710</v>
      </c>
      <c r="H25" s="353">
        <f>IFERROR(INDEX(SOMFP!$E$11:$P$48,MATCH($B25,SOMFP!$B$11:$B$43,0),MATCH($H$8,SOMFP!$E$8:$P$8,0)),"")</f>
        <v>36060</v>
      </c>
    </row>
    <row r="26" spans="1:8" ht="9.9" customHeight="1">
      <c r="B26" s="249"/>
      <c r="C26" s="96"/>
      <c r="D26" s="93"/>
      <c r="E26" s="190"/>
      <c r="F26" s="188"/>
      <c r="G26" s="190"/>
      <c r="H26" s="188"/>
    </row>
    <row r="27" spans="1:8" ht="21" thickBot="1">
      <c r="A27" s="250" t="s">
        <v>34</v>
      </c>
      <c r="C27" s="101"/>
      <c r="D27" s="101"/>
      <c r="E27" s="191">
        <f>+E10+E15</f>
        <v>1008592.1</v>
      </c>
      <c r="F27" s="192"/>
      <c r="G27" s="191">
        <f>+G10+G15</f>
        <v>1017229.55</v>
      </c>
      <c r="H27" s="191" t="e">
        <f>+H10+#REF!+H15</f>
        <v>#REF!</v>
      </c>
    </row>
    <row r="28" spans="1:8" ht="9.9" customHeight="1" thickTop="1">
      <c r="B28" s="249"/>
      <c r="C28" s="96"/>
      <c r="D28" s="93"/>
      <c r="E28" s="188"/>
      <c r="F28" s="188"/>
      <c r="G28" s="188"/>
      <c r="H28" s="188"/>
    </row>
    <row r="29" spans="1:8" ht="18" customHeight="1">
      <c r="A29" s="245" t="s">
        <v>33</v>
      </c>
      <c r="B29" s="246"/>
      <c r="C29" s="89"/>
      <c r="D29" s="89"/>
      <c r="E29" s="193"/>
      <c r="F29" s="194"/>
      <c r="G29" s="193"/>
      <c r="H29" s="193"/>
    </row>
    <row r="30" spans="1:8" ht="18">
      <c r="A30" s="247" t="s">
        <v>4</v>
      </c>
      <c r="B30" s="248"/>
      <c r="C30" s="92"/>
      <c r="D30" s="93"/>
      <c r="E30" s="186">
        <f>SUM(E31:E35)</f>
        <v>-877987.75</v>
      </c>
      <c r="F30" s="186"/>
      <c r="G30" s="186">
        <f>SUM(G31:G35)</f>
        <v>-805316.16999999993</v>
      </c>
      <c r="H30" s="186">
        <f>SUM(H31:H35)</f>
        <v>-730309.02</v>
      </c>
    </row>
    <row r="31" spans="1:8" ht="15" customHeight="1" outlineLevel="1">
      <c r="B31" s="249" t="str">
        <f>SOMFP!B29</f>
        <v xml:space="preserve">      Net Income</v>
      </c>
      <c r="C31" s="96"/>
      <c r="D31" s="93"/>
      <c r="E31" s="187">
        <f>IFERROR(INDEX(SOMFP!$E$11:$P$48,MATCH($B31,SOMFP!$B$11:$B$43,0),MATCH($E$8,SOMFP!$E$8:$P$8,0)),"")</f>
        <v>-408700.65</v>
      </c>
      <c r="F31" s="188"/>
      <c r="G31" s="187">
        <f>IFERROR(INDEX(SOMFP!$E$11:$P$48,MATCH($B31,SOMFP!$B$11:$B$43,0),MATCH($G$8,SOMFP!$E$8:$P$8,0)),"")</f>
        <v>-336029.07</v>
      </c>
      <c r="H31" s="187">
        <f>IFERROR(INDEX(SOMFP!$E$11:$P$48,MATCH($B31,SOMFP!$B$11:$B$43,0),MATCH($H$8,SOMFP!$E$8:$P$8,0)),"")</f>
        <v>-261021.92</v>
      </c>
    </row>
    <row r="32" spans="1:8" ht="15" customHeight="1" outlineLevel="1">
      <c r="B32" s="249" t="str">
        <f>SOMFP!B30</f>
        <v xml:space="preserve">      Drawings</v>
      </c>
      <c r="C32" s="96"/>
      <c r="D32" s="93"/>
      <c r="E32" s="189">
        <f>IFERROR(INDEX(SOMFP!$E$11:$P$48,MATCH($B32,SOMFP!$B$11:$B$43,0),MATCH($E$8,SOMFP!$E$8:$P$8,0)),"")</f>
        <v>267396.82</v>
      </c>
      <c r="F32" s="188"/>
      <c r="G32" s="189">
        <f>IFERROR(INDEX(SOMFP!$E$11:$P$48,MATCH($B32,SOMFP!$B$11:$B$43,0),MATCH($G$8,SOMFP!$E$8:$P$8,0)),"")</f>
        <v>267396.82</v>
      </c>
      <c r="H32" s="189">
        <f>IFERROR(INDEX(SOMFP!$E$11:$P$48,MATCH($B32,SOMFP!$B$11:$B$43,0),MATCH($H$8,SOMFP!$E$8:$P$8,0)),"")</f>
        <v>267396.82</v>
      </c>
    </row>
    <row r="33" spans="1:8" ht="15" customHeight="1" outlineLevel="1">
      <c r="B33" s="249" t="str">
        <f>SOMFP!B31</f>
        <v xml:space="preserve">      Opening Balance Equity</v>
      </c>
      <c r="C33" s="96"/>
      <c r="D33" s="93"/>
      <c r="E33" s="189">
        <f>IFERROR(INDEX(SOMFP!$E$11:$P$48,MATCH($B33,SOMFP!$B$11:$B$43,0),MATCH($E$8,SOMFP!$E$8:$P$8,0)),"")</f>
        <v>352723.59</v>
      </c>
      <c r="F33" s="188"/>
      <c r="G33" s="189">
        <f>IFERROR(INDEX(SOMFP!$E$11:$P$48,MATCH($B33,SOMFP!$B$11:$B$43,0),MATCH($G$8,SOMFP!$E$8:$P$8,0)),"")</f>
        <v>352723.59</v>
      </c>
      <c r="H33" s="189">
        <f>IFERROR(INDEX(SOMFP!$E$11:$P$48,MATCH($B33,SOMFP!$B$11:$B$43,0),MATCH($H$8,SOMFP!$E$8:$P$8,0)),"")</f>
        <v>352723.59</v>
      </c>
    </row>
    <row r="34" spans="1:8" ht="15" customHeight="1" outlineLevel="1">
      <c r="B34" s="249" t="str">
        <f>SOMFP!B32</f>
        <v xml:space="preserve">      Retained Earnings</v>
      </c>
      <c r="C34" s="96"/>
      <c r="D34" s="93"/>
      <c r="E34" s="189">
        <f>IFERROR(INDEX(SOMFP!$E$11:$P$48,MATCH($B34,SOMFP!$B$11:$B$43,0),MATCH($E$8,SOMFP!$E$8:$P$8,0)),"")</f>
        <v>-1217361.03</v>
      </c>
      <c r="F34" s="188"/>
      <c r="G34" s="189">
        <f>IFERROR(INDEX(SOMFP!$E$11:$P$48,MATCH($B34,SOMFP!$B$11:$B$43,0),MATCH($G$8,SOMFP!$E$8:$P$8,0)),"")</f>
        <v>-1217361.03</v>
      </c>
      <c r="H34" s="189">
        <f>IFERROR(INDEX(SOMFP!$E$11:$P$48,MATCH($B34,SOMFP!$B$11:$B$43,0),MATCH($H$8,SOMFP!$E$8:$P$8,0)),"")</f>
        <v>-1217361.03</v>
      </c>
    </row>
    <row r="35" spans="1:8" ht="15" customHeight="1" outlineLevel="1">
      <c r="B35" s="249" t="str">
        <f>SOMFP!B33</f>
        <v xml:space="preserve">      Share holder current account</v>
      </c>
      <c r="C35" s="96"/>
      <c r="D35" s="93"/>
      <c r="E35" s="190">
        <f>IFERROR(INDEX(SOMFP!$E$11:$P$48,MATCH($B35,SOMFP!$B$11:$B$43,0),MATCH($E$8,SOMFP!$E$8:$P$8,0)),"")</f>
        <v>127953.52</v>
      </c>
      <c r="F35" s="188"/>
      <c r="G35" s="190">
        <f>IFERROR(INDEX(SOMFP!$E$11:$P$48,MATCH($B35,SOMFP!$B$11:$B$43,0),MATCH($G$8,SOMFP!$E$8:$P$8,0)),"")</f>
        <v>127953.52</v>
      </c>
      <c r="H35" s="190">
        <f>IFERROR(INDEX(SOMFP!$E$11:$P$48,MATCH($B35,SOMFP!$B$11:$B$43,0),MATCH($H$8,SOMFP!$E$8:$P$8,0)),"")</f>
        <v>127953.52</v>
      </c>
    </row>
    <row r="36" spans="1:8" ht="9.9" customHeight="1">
      <c r="B36" s="249"/>
      <c r="C36" s="96"/>
      <c r="D36" s="93"/>
      <c r="E36" s="188"/>
      <c r="F36" s="188"/>
      <c r="G36" s="188"/>
      <c r="H36" s="188"/>
    </row>
    <row r="37" spans="1:8" ht="18">
      <c r="A37" s="247" t="s">
        <v>26</v>
      </c>
      <c r="B37" s="248"/>
      <c r="C37" s="92"/>
      <c r="D37" s="93"/>
      <c r="E37" s="186">
        <f>SUM(E38:E39)</f>
        <v>0</v>
      </c>
      <c r="F37" s="186"/>
      <c r="G37" s="186">
        <f>SUM(G38:G39)</f>
        <v>0</v>
      </c>
      <c r="H37" s="186">
        <f>SUM(H38:H39)</f>
        <v>2584</v>
      </c>
    </row>
    <row r="38" spans="1:8" ht="15" customHeight="1" outlineLevel="1">
      <c r="B38" s="249"/>
      <c r="C38" s="96"/>
      <c r="D38" s="93"/>
      <c r="E38" s="187" t="str">
        <f>IFERROR(INDEX(SOMFP!$E$11:$P$48,MATCH($B38,SOMFP!$B$11:$B$43,0),MATCH($E$8,SOMFP!$E$8:$P$8,0)),"")</f>
        <v/>
      </c>
      <c r="F38" s="188"/>
      <c r="G38" s="187" t="str">
        <f>IFERROR(INDEX(SOMFP!$E$11:$P$48,MATCH($B38,SOMFP!$B$11:$B$43,0),MATCH($G$8,SOMFP!$E$8:$P$8,0)),"")</f>
        <v/>
      </c>
      <c r="H38" s="187" t="str">
        <f>IFERROR(INDEX(SOMFP!$E$11:$P$48,MATCH($B38,SOMFP!$B$11:$B$43,0),MATCH($H$8,SOMFP!$E$8:$P$8,0)),"")</f>
        <v/>
      </c>
    </row>
    <row r="39" spans="1:8" ht="15" customHeight="1" outlineLevel="1">
      <c r="A39" s="81" t="s">
        <v>3</v>
      </c>
      <c r="B39" s="249" t="str">
        <f>SOMFP!B37</f>
        <v xml:space="preserve">      Leased Vehicle</v>
      </c>
      <c r="C39" s="96"/>
      <c r="D39" s="93"/>
      <c r="E39" s="190">
        <f>IFERROR(INDEX(SOMFP!$E$11:$P$48,MATCH($B39,SOMFP!$B$11:$B$43,0),MATCH($E$8,SOMFP!$E$8:$P$8,0)),"")</f>
        <v>0</v>
      </c>
      <c r="F39" s="188"/>
      <c r="G39" s="190">
        <f>IFERROR(INDEX(SOMFP!$E$11:$P$48,MATCH($B39,SOMFP!$B$11:$B$48,0),MATCH($G$8,SOMFP!$E$8:$P$8,0)),"")</f>
        <v>0</v>
      </c>
      <c r="H39" s="190">
        <f>IFERROR(INDEX(SOMFP!$E$11:$P$48,MATCH($B39,SOMFP!$B$11:$B$43,0),MATCH($H$8,SOMFP!$E$8:$P$8,0)),"")</f>
        <v>2584</v>
      </c>
    </row>
    <row r="40" spans="1:8" ht="9.9" customHeight="1">
      <c r="B40" s="249"/>
      <c r="C40" s="96"/>
      <c r="D40" s="93"/>
      <c r="E40" s="188"/>
      <c r="F40" s="188"/>
      <c r="G40" s="188"/>
      <c r="H40" s="188"/>
    </row>
    <row r="41" spans="1:8" ht="18">
      <c r="A41" s="247" t="s">
        <v>7</v>
      </c>
      <c r="B41" s="248"/>
      <c r="C41" s="92"/>
      <c r="D41" s="93"/>
      <c r="E41" s="118">
        <f>SUM(E42:E48)</f>
        <v>1886579.85</v>
      </c>
      <c r="F41" s="186"/>
      <c r="G41" s="186">
        <f>SUM(G42:G48)</f>
        <v>1822545.72</v>
      </c>
      <c r="H41" s="186">
        <f>SUM(H42:H48)</f>
        <v>1869029.79</v>
      </c>
    </row>
    <row r="42" spans="1:8" ht="15" customHeight="1" outlineLevel="1">
      <c r="B42" s="249" t="str">
        <f>SOMFP!B40</f>
        <v xml:space="preserve">      Accounts Payable (A/P)</v>
      </c>
      <c r="C42" s="96"/>
      <c r="D42" s="93"/>
      <c r="E42" s="187">
        <f>IFERROR(INDEX(SOMFP!$E$11:$P$48,MATCH($B42,SOMFP!$B$11:$B$43,0),MATCH($E$8,SOMFP!$E$8:$P$8,0)),"")</f>
        <v>488234.51</v>
      </c>
      <c r="F42" s="188"/>
      <c r="G42" s="187">
        <f>IFERROR(INDEX(SOMFP!$E$11:$P$48,MATCH($B42,SOMFP!$B$11:$B$43,0),MATCH($G$8,SOMFP!$E$8:$P$8,0)),"")</f>
        <v>482625.15</v>
      </c>
      <c r="H42" s="187">
        <f>IFERROR(INDEX(SOMFP!$E$11:$P$48,MATCH($B42,SOMFP!$B$11:$B$43,0),MATCH($H$8,SOMFP!$E$8:$P$8,0)),"")</f>
        <v>479530.81</v>
      </c>
    </row>
    <row r="43" spans="1:8" ht="15" customHeight="1" outlineLevel="1">
      <c r="B43" s="249" t="str">
        <f>SOMFP!B41</f>
        <v xml:space="preserve">      Machine Rent Payable</v>
      </c>
      <c r="C43" s="96"/>
      <c r="D43" s="93"/>
      <c r="E43" s="189">
        <f>IFERROR(INDEX(SOMFP!$E$11:$P$48,MATCH($B43,SOMFP!$B$11:$B$43,0),MATCH($E$8,SOMFP!$E$8:$P$8,0)),"")</f>
        <v>753208.48</v>
      </c>
      <c r="F43" s="188"/>
      <c r="G43" s="189">
        <f>IFERROR(INDEX(SOMFP!$E$11:$P$48,MATCH($B43,SOMFP!$B$11:$B$43,0),MATCH($G$8,SOMFP!$E$8:$P$8,0)),"")</f>
        <v>766712.98</v>
      </c>
      <c r="H43" s="189">
        <f>IFERROR(INDEX(SOMFP!$E$11:$P$48,MATCH($B43,SOMFP!$B$11:$B$43,0),MATCH($H$8,SOMFP!$E$8:$P$8,0)),"")</f>
        <v>744212.98</v>
      </c>
    </row>
    <row r="44" spans="1:8" ht="15" customHeight="1" outlineLevel="1">
      <c r="B44" s="249" t="str">
        <f>SOMFP!B42</f>
        <v xml:space="preserve">      Loan from Infusion</v>
      </c>
      <c r="C44" s="96"/>
      <c r="D44" s="93"/>
      <c r="E44" s="189">
        <f>IFERROR(INDEX(SOMFP!$E$11:$P$48,MATCH($B44,SOMFP!$B$11:$B$43,0),MATCH($E$8,SOMFP!$E$8:$P$8,0)),"")</f>
        <v>100000</v>
      </c>
      <c r="F44" s="188"/>
      <c r="G44" s="189">
        <f>IFERROR(INDEX(SOMFP!$E$11:$P$48,MATCH($B44,SOMFP!$B$11:$B$43,0),MATCH($G$8,SOMFP!$E$8:$P$8,0)),"")</f>
        <v>100000</v>
      </c>
      <c r="H44" s="189">
        <f>IFERROR(INDEX(SOMFP!$E$11:$P$48,MATCH($B44,SOMFP!$B$11:$B$43,0),MATCH($H$8,SOMFP!$E$8:$P$8,0)),"")</f>
        <v>100000</v>
      </c>
    </row>
    <row r="45" spans="1:8" ht="15" customHeight="1" outlineLevel="1">
      <c r="B45" s="249" t="str">
        <f>SOMFP!B43</f>
        <v xml:space="preserve">      Loan From Mr saeed</v>
      </c>
      <c r="C45" s="96"/>
      <c r="D45" s="93"/>
      <c r="E45" s="189">
        <f>IFERROR(INDEX(SOMFP!$E$11:$P$59,MATCH($B45,SOMFP!$B$11:$B$59,0),MATCH($E$8,SOMFP!$E$8:$P$8,0)),"")</f>
        <v>649786</v>
      </c>
      <c r="F45" s="188"/>
      <c r="G45" s="189">
        <f>IFERROR(INDEX(SOMFP!$E$11:$P$59,MATCH($B45,SOMFP!$B$11:$B$59,0),MATCH($G$8,SOMFP!$E$8:$P$8,0)),"")</f>
        <v>579786</v>
      </c>
      <c r="H45" s="189">
        <f>IFERROR(INDEX(SOMFP!$E$11:$P$48,MATCH($B45,SOMFP!$B$11:$B$43,0),MATCH($H$8,SOMFP!$E$8:$P$8,0)),"")</f>
        <v>545286</v>
      </c>
    </row>
    <row r="46" spans="1:8" ht="15" customHeight="1" outlineLevel="1">
      <c r="B46" s="249" t="str">
        <f>SOMFP!B44</f>
        <v xml:space="preserve">      Salaries &amp; wages payable</v>
      </c>
      <c r="C46" s="96"/>
      <c r="D46" s="93"/>
      <c r="E46" s="189">
        <f>IFERROR(INDEX(SOMFP!$E$11:$P$59,MATCH($B46,SOMFP!$B$11:$B$59,0),MATCH($E$8,SOMFP!$E$8:$P$8,0)),"")</f>
        <v>39200</v>
      </c>
      <c r="F46" s="188"/>
      <c r="G46" s="189">
        <f>IFERROR(INDEX(SOMFP!$E$11:$P$59,MATCH($B46,SOMFP!$B$11:$B$59,0),MATCH($G$8,SOMFP!$E$8:$P$8,0)),"")</f>
        <v>37416</v>
      </c>
      <c r="H46" s="189"/>
    </row>
    <row r="47" spans="1:8" ht="15" customHeight="1" outlineLevel="1">
      <c r="B47" s="249" t="str">
        <f>SOMFP!B45</f>
        <v xml:space="preserve">      Transguard Payable</v>
      </c>
      <c r="C47" s="96"/>
      <c r="D47" s="93"/>
      <c r="E47" s="189">
        <f>IFERROR(INDEX(SOMFP!$E$11:$P$59,MATCH($B47,SOMFP!$B$11:$B$59,0),MATCH($E$8,SOMFP!$E$8:$P$8,0)),"")</f>
        <v>-7500</v>
      </c>
      <c r="F47" s="188"/>
      <c r="G47" s="189">
        <f>IFERROR(INDEX(SOMFP!$E$11:$P$59,MATCH($B47,SOMFP!$B$11:$B$59,0),MATCH($G$8,SOMFP!$E$8:$P$8,0)),"")</f>
        <v>-7500</v>
      </c>
      <c r="H47" s="189"/>
    </row>
    <row r="48" spans="1:8" ht="15" customHeight="1" outlineLevel="1">
      <c r="B48" s="249" t="str">
        <f>SOMFP!B46</f>
        <v xml:space="preserve">     Other Payables</v>
      </c>
      <c r="C48" s="96"/>
      <c r="D48" s="93"/>
      <c r="E48" s="189">
        <f>IFERROR(INDEX(SOMFP!$E$11:$P$59,MATCH($B48,SOMFP!$B$11:$B$59,0),MATCH($E$8,SOMFP!$E$8:$P$8,0)),"")</f>
        <v>-136349.13999999998</v>
      </c>
      <c r="F48" s="188"/>
      <c r="G48" s="189">
        <f>IFERROR(INDEX(SOMFP!$E$11:$P$59,MATCH($B48,SOMFP!$B$11:$B$59,0),MATCH($G$8,SOMFP!$E$8:$P$8,0)),"")</f>
        <v>-136494.40999999997</v>
      </c>
      <c r="H48" s="190" t="str">
        <f>IFERROR(INDEX(SOMFP!$E$11:$P$48,MATCH($B48,SOMFP!$B$11:$B$43,0),MATCH($H$8,SOMFP!$E$8:$P$8,0)),"")</f>
        <v/>
      </c>
    </row>
    <row r="49" spans="1:8" ht="9.9" customHeight="1">
      <c r="B49" s="249"/>
      <c r="C49" s="96"/>
      <c r="D49" s="93"/>
      <c r="E49" s="190" t="str">
        <f>IFERROR(INDEX(SOMFP!$E$11:$P$59,MATCH($B49,SOMFP!$B$11:$B$59,0),MATCH($E$8,SOMFP!$E$8:$P$8,0)),"")</f>
        <v/>
      </c>
      <c r="F49" s="188"/>
      <c r="G49" s="190" t="str">
        <f>IFERROR(INDEX(SOMFP!$E$11:$P$59,MATCH($B49,SOMFP!$B$11:$B$59,0),MATCH($G$8,SOMFP!$E$8:$P$8,0)),"")</f>
        <v/>
      </c>
      <c r="H49" s="188"/>
    </row>
    <row r="50" spans="1:8" ht="21" thickBot="1">
      <c r="A50" s="250" t="s">
        <v>35</v>
      </c>
      <c r="C50" s="101"/>
      <c r="D50" s="101"/>
      <c r="E50" s="191">
        <f>+E30+E37+E41</f>
        <v>1008592.1000000001</v>
      </c>
      <c r="F50" s="192"/>
      <c r="G50" s="191">
        <f>+G30+G37+G41</f>
        <v>1017229.55</v>
      </c>
      <c r="H50" s="191">
        <f>+H30+H37+H41</f>
        <v>1141304.77</v>
      </c>
    </row>
    <row r="51" spans="1:8" ht="14.4" thickTop="1"/>
  </sheetData>
  <mergeCells count="6">
    <mergeCell ref="A7:G7"/>
    <mergeCell ref="A8:B8"/>
    <mergeCell ref="A6:G6"/>
    <mergeCell ref="A5:G5"/>
    <mergeCell ref="A2:B2"/>
    <mergeCell ref="A3:B3"/>
  </mergeCells>
  <printOptions horizontalCentered="1"/>
  <pageMargins left="0.7" right="0.64" top="0.25" bottom="0.25" header="0.25" footer="0.25"/>
  <pageSetup paperSize="9" scale="97" orientation="portrait" r:id="rId1"/>
  <headerFooter>
    <oddFooter>&amp;R
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50"/>
  <sheetViews>
    <sheetView showGridLines="0" tabSelected="1" view="pageBreakPreview" topLeftCell="G1" zoomScale="80" zoomScaleNormal="80" zoomScaleSheetLayoutView="80" workbookViewId="0">
      <pane ySplit="8" topLeftCell="A36" activePane="bottomLeft" state="frozen"/>
      <selection activeCell="I12" sqref="I12"/>
      <selection pane="bottomLeft" activeCell="Q37" sqref="Q37"/>
    </sheetView>
  </sheetViews>
  <sheetFormatPr defaultColWidth="9.109375" defaultRowHeight="13.8"/>
  <cols>
    <col min="1" max="1" width="3" style="81" customWidth="1"/>
    <col min="2" max="2" width="32.5546875" style="81" customWidth="1"/>
    <col min="3" max="3" width="7.33203125" style="81" bestFit="1" customWidth="1"/>
    <col min="4" max="4" width="1.5546875" style="81" customWidth="1"/>
    <col min="5" max="16" width="12.5546875" style="81" customWidth="1"/>
    <col min="17" max="16384" width="9.109375" style="81"/>
  </cols>
  <sheetData>
    <row r="1" spans="1:16" ht="15.6">
      <c r="A1" s="78"/>
      <c r="B1" s="79"/>
      <c r="C1" s="80"/>
      <c r="D1" s="80"/>
      <c r="E1" s="80"/>
      <c r="F1" s="80"/>
      <c r="G1" s="80"/>
      <c r="H1" s="80"/>
      <c r="I1" s="80"/>
      <c r="J1" s="80"/>
      <c r="K1" s="80"/>
      <c r="L1" s="80"/>
      <c r="M1" s="80"/>
      <c r="N1" s="80"/>
      <c r="O1" s="80"/>
      <c r="P1" s="80"/>
    </row>
    <row r="2" spans="1:16" s="82" customFormat="1" ht="25.2">
      <c r="A2" s="315" t="str">
        <f>Cover!A12</f>
        <v>Western Vending Machines LLC</v>
      </c>
      <c r="B2" s="315"/>
      <c r="C2"/>
      <c r="D2"/>
    </row>
    <row r="3" spans="1:16" s="83" customFormat="1" ht="21">
      <c r="A3" s="440" t="str">
        <f>Cover!A13</f>
        <v xml:space="preserve">DUABI UAE </v>
      </c>
      <c r="B3" s="440"/>
    </row>
    <row r="4" spans="1:16" s="83" customFormat="1" ht="33" customHeight="1">
      <c r="A4" s="84"/>
      <c r="B4" s="84"/>
      <c r="P4" s="85"/>
    </row>
    <row r="5" spans="1:16" s="86" customFormat="1" ht="30.6">
      <c r="A5" s="441" t="s">
        <v>38</v>
      </c>
      <c r="B5" s="441"/>
      <c r="C5" s="441"/>
      <c r="D5" s="441"/>
      <c r="E5" s="441"/>
      <c r="F5" s="441"/>
      <c r="G5" s="441"/>
      <c r="H5" s="441"/>
      <c r="I5" s="441"/>
      <c r="J5" s="441"/>
      <c r="K5" s="441"/>
      <c r="L5" s="441"/>
      <c r="M5" s="441"/>
      <c r="N5" s="441"/>
      <c r="O5" s="441"/>
      <c r="P5" s="441"/>
    </row>
    <row r="6" spans="1:16" ht="19.95" customHeight="1">
      <c r="A6" s="465" t="str">
        <f>SOFP!A6</f>
        <v>As On June - 2025</v>
      </c>
      <c r="B6" s="465"/>
      <c r="C6" s="465"/>
      <c r="D6" s="465"/>
      <c r="E6" s="465"/>
      <c r="F6" s="465"/>
      <c r="G6" s="465"/>
      <c r="H6" s="465"/>
      <c r="I6" s="465"/>
      <c r="J6" s="465"/>
      <c r="K6" s="465"/>
      <c r="L6" s="465"/>
      <c r="M6" s="465"/>
      <c r="N6" s="465"/>
      <c r="O6" s="465"/>
      <c r="P6" s="465"/>
    </row>
    <row r="7" spans="1:16" s="87" customFormat="1" ht="17.399999999999999">
      <c r="A7" s="466" t="s">
        <v>25</v>
      </c>
      <c r="B7" s="466"/>
      <c r="C7" s="466"/>
      <c r="D7" s="466"/>
      <c r="E7" s="466"/>
      <c r="F7" s="466"/>
      <c r="G7" s="466"/>
      <c r="H7" s="466"/>
      <c r="I7" s="466"/>
      <c r="J7" s="466"/>
      <c r="K7" s="466"/>
      <c r="L7" s="466"/>
      <c r="M7" s="466"/>
      <c r="N7" s="466"/>
      <c r="O7" s="466"/>
      <c r="P7" s="466"/>
    </row>
    <row r="8" spans="1:16" ht="18" customHeight="1" thickBot="1">
      <c r="A8" s="464" t="s">
        <v>14</v>
      </c>
      <c r="B8" s="464"/>
      <c r="C8" s="251" t="s">
        <v>27</v>
      </c>
      <c r="D8" s="243"/>
      <c r="E8" s="252">
        <f>+SOMCI!F9</f>
        <v>45474</v>
      </c>
      <c r="F8" s="252">
        <f>DATE(YEAR(E8),MONTH(E8)+1,1)</f>
        <v>45505</v>
      </c>
      <c r="G8" s="252">
        <f t="shared" ref="G8:P8" si="0">DATE(YEAR(F8),MONTH(F8)+1,1)</f>
        <v>45536</v>
      </c>
      <c r="H8" s="252">
        <f t="shared" si="0"/>
        <v>45566</v>
      </c>
      <c r="I8" s="252">
        <f t="shared" si="0"/>
        <v>45597</v>
      </c>
      <c r="J8" s="252">
        <f t="shared" si="0"/>
        <v>45627</v>
      </c>
      <c r="K8" s="252">
        <f t="shared" si="0"/>
        <v>45658</v>
      </c>
      <c r="L8" s="252">
        <f t="shared" si="0"/>
        <v>45689</v>
      </c>
      <c r="M8" s="252">
        <f t="shared" si="0"/>
        <v>45717</v>
      </c>
      <c r="N8" s="252">
        <f t="shared" si="0"/>
        <v>45748</v>
      </c>
      <c r="O8" s="252">
        <f t="shared" si="0"/>
        <v>45778</v>
      </c>
      <c r="P8" s="252">
        <f t="shared" si="0"/>
        <v>45809</v>
      </c>
    </row>
    <row r="9" spans="1:16" ht="24.6">
      <c r="A9" s="245" t="s">
        <v>13</v>
      </c>
      <c r="B9" s="246"/>
      <c r="C9" s="89"/>
      <c r="D9" s="89"/>
      <c r="E9" s="90"/>
      <c r="F9" s="90"/>
      <c r="G9" s="90"/>
      <c r="H9" s="90"/>
      <c r="I9" s="90"/>
      <c r="J9" s="90"/>
      <c r="K9" s="90"/>
      <c r="L9" s="90"/>
      <c r="M9" s="90"/>
      <c r="N9" s="90"/>
      <c r="O9" s="90"/>
      <c r="P9" s="90"/>
    </row>
    <row r="10" spans="1:16" ht="28.05" customHeight="1">
      <c r="A10" s="254" t="s">
        <v>5</v>
      </c>
      <c r="B10" s="248"/>
      <c r="C10" s="92"/>
      <c r="D10" s="93"/>
      <c r="E10" s="354">
        <f t="shared" ref="E10:P10" si="1">SUM(E11:E13)</f>
        <v>555177.55000000005</v>
      </c>
      <c r="F10" s="354">
        <f t="shared" si="1"/>
        <v>552977.55000000005</v>
      </c>
      <c r="G10" s="354">
        <f t="shared" si="1"/>
        <v>597282.55000000005</v>
      </c>
      <c r="H10" s="354">
        <f t="shared" si="1"/>
        <v>595082.55000000005</v>
      </c>
      <c r="I10" s="354">
        <f t="shared" si="1"/>
        <v>624990.55000000005</v>
      </c>
      <c r="J10" s="354">
        <f t="shared" si="1"/>
        <v>623890.55000000005</v>
      </c>
      <c r="K10" s="354">
        <f t="shared" si="1"/>
        <v>622790.55000000005</v>
      </c>
      <c r="L10" s="354">
        <f t="shared" si="1"/>
        <v>621690.55000000005</v>
      </c>
      <c r="M10" s="354">
        <f t="shared" si="1"/>
        <v>627520.55000000005</v>
      </c>
      <c r="N10" s="354">
        <f t="shared" si="1"/>
        <v>626420.55000000005</v>
      </c>
      <c r="O10" s="354">
        <f t="shared" si="1"/>
        <v>622270.55000000005</v>
      </c>
      <c r="P10" s="354">
        <f t="shared" si="1"/>
        <v>622270.55000000005</v>
      </c>
    </row>
    <row r="11" spans="1:16" ht="15.6">
      <c r="B11" s="249"/>
      <c r="C11" s="96"/>
      <c r="D11" s="93"/>
      <c r="E11" s="355"/>
      <c r="F11" s="355"/>
      <c r="G11" s="355"/>
      <c r="H11" s="355"/>
      <c r="I11" s="355"/>
      <c r="J11" s="355"/>
      <c r="K11" s="355"/>
      <c r="L11" s="355"/>
      <c r="M11" s="355"/>
      <c r="N11" s="355"/>
      <c r="O11" s="355"/>
      <c r="P11" s="355"/>
    </row>
    <row r="12" spans="1:16" ht="15.6">
      <c r="B12" s="249" t="s">
        <v>170</v>
      </c>
      <c r="C12" s="96"/>
      <c r="D12" s="93"/>
      <c r="E12" s="356">
        <v>555177.55000000005</v>
      </c>
      <c r="F12" s="356">
        <v>552977.55000000005</v>
      </c>
      <c r="G12" s="356">
        <v>597282.55000000005</v>
      </c>
      <c r="H12" s="356">
        <v>595082.55000000005</v>
      </c>
      <c r="I12" s="356">
        <v>624990.55000000005</v>
      </c>
      <c r="J12" s="356">
        <v>623890.55000000005</v>
      </c>
      <c r="K12" s="356">
        <v>622790.55000000005</v>
      </c>
      <c r="L12" s="356">
        <v>621690.55000000005</v>
      </c>
      <c r="M12" s="356">
        <v>627520.55000000005</v>
      </c>
      <c r="N12" s="356">
        <v>626420.55000000005</v>
      </c>
      <c r="O12" s="356">
        <v>622270.55000000005</v>
      </c>
      <c r="P12" s="356">
        <f>'Linked BS'!B58</f>
        <v>622270.55000000005</v>
      </c>
    </row>
    <row r="13" spans="1:16" ht="15.6">
      <c r="B13" s="249"/>
      <c r="C13" s="96"/>
      <c r="D13" s="93"/>
      <c r="E13" s="357"/>
      <c r="F13" s="357"/>
      <c r="G13" s="357"/>
      <c r="H13" s="357"/>
      <c r="I13" s="357"/>
      <c r="J13" s="357"/>
      <c r="K13" s="357"/>
      <c r="L13" s="357"/>
      <c r="M13" s="357"/>
      <c r="N13" s="357"/>
      <c r="O13" s="357"/>
      <c r="P13" s="357"/>
    </row>
    <row r="14" spans="1:16" ht="32.549999999999997" customHeight="1">
      <c r="A14" s="254" t="s">
        <v>8</v>
      </c>
      <c r="B14" s="254"/>
      <c r="C14" s="99"/>
      <c r="D14" s="97"/>
      <c r="E14" s="354">
        <f>SUM(E15:E24)</f>
        <v>448313.33999999997</v>
      </c>
      <c r="F14" s="354">
        <f t="shared" ref="F14:P14" si="2">SUM(F15:F24)</f>
        <v>440763.67999999993</v>
      </c>
      <c r="G14" s="354">
        <f t="shared" si="2"/>
        <v>440993.03999999992</v>
      </c>
      <c r="H14" s="354">
        <f t="shared" si="2"/>
        <v>399080.04</v>
      </c>
      <c r="I14" s="354">
        <f t="shared" si="2"/>
        <v>490269.58999999997</v>
      </c>
      <c r="J14" s="354">
        <f t="shared" si="2"/>
        <v>409144.03</v>
      </c>
      <c r="K14" s="354">
        <f t="shared" si="2"/>
        <v>408516.63</v>
      </c>
      <c r="L14" s="354">
        <f t="shared" si="2"/>
        <v>459578.56999999995</v>
      </c>
      <c r="M14" s="354">
        <f t="shared" si="2"/>
        <v>411020.9</v>
      </c>
      <c r="N14" s="354">
        <f t="shared" si="2"/>
        <v>410841.20000000007</v>
      </c>
      <c r="O14" s="354">
        <f t="shared" si="2"/>
        <v>394959</v>
      </c>
      <c r="P14" s="354">
        <f t="shared" si="2"/>
        <v>386321.54999999993</v>
      </c>
    </row>
    <row r="15" spans="1:16" ht="15.6">
      <c r="B15" s="249" t="s">
        <v>295</v>
      </c>
      <c r="C15" s="96"/>
      <c r="D15" s="93"/>
      <c r="E15" s="355">
        <v>29294.84</v>
      </c>
      <c r="F15" s="355">
        <v>55537.77</v>
      </c>
      <c r="G15" s="355">
        <v>31129.65</v>
      </c>
      <c r="H15" s="355">
        <v>2428.1</v>
      </c>
      <c r="I15" s="355">
        <v>91938.33</v>
      </c>
      <c r="J15" s="355">
        <v>16819.36</v>
      </c>
      <c r="K15" s="355">
        <v>17005.39</v>
      </c>
      <c r="L15" s="355">
        <v>53106.73</v>
      </c>
      <c r="M15" s="355">
        <v>6831.06</v>
      </c>
      <c r="N15" s="355">
        <v>17866.73</v>
      </c>
      <c r="O15" s="355">
        <v>20188.560000000001</v>
      </c>
      <c r="P15" s="358">
        <f>'Linked BS'!B12</f>
        <v>2948.1</v>
      </c>
    </row>
    <row r="16" spans="1:16" ht="15.6">
      <c r="B16" s="249" t="s">
        <v>296</v>
      </c>
      <c r="C16" s="96"/>
      <c r="D16" s="93"/>
      <c r="E16" s="356">
        <v>-299.05</v>
      </c>
      <c r="F16" s="356">
        <v>196.95</v>
      </c>
      <c r="G16" s="356">
        <v>196.95</v>
      </c>
      <c r="H16" s="356">
        <v>-281.10000000000002</v>
      </c>
      <c r="I16" s="356">
        <v>-193.1</v>
      </c>
      <c r="J16" s="356">
        <v>-17.100000000000001</v>
      </c>
      <c r="K16" s="356">
        <v>158.9</v>
      </c>
      <c r="L16" s="356">
        <v>113.9</v>
      </c>
      <c r="M16" s="356">
        <v>25.9</v>
      </c>
      <c r="N16" s="356">
        <v>-62.1</v>
      </c>
      <c r="O16" s="356">
        <v>-62.1</v>
      </c>
      <c r="P16" s="359">
        <f>'Linked BS'!B13</f>
        <v>-62.1</v>
      </c>
    </row>
    <row r="17" spans="1:16" ht="15.6">
      <c r="B17" s="249" t="s">
        <v>297</v>
      </c>
      <c r="C17" s="96"/>
      <c r="D17" s="93"/>
      <c r="E17" s="356">
        <v>15873.34</v>
      </c>
      <c r="F17" s="356">
        <v>-7016.66</v>
      </c>
      <c r="G17" s="356">
        <v>1087.3399999999999</v>
      </c>
      <c r="H17" s="356">
        <v>4118.34</v>
      </c>
      <c r="I17" s="356">
        <v>-2948.66</v>
      </c>
      <c r="J17" s="356">
        <v>878.34</v>
      </c>
      <c r="K17" s="356">
        <v>5338.34</v>
      </c>
      <c r="L17" s="356">
        <v>3156.34</v>
      </c>
      <c r="M17" s="356">
        <v>5789.34</v>
      </c>
      <c r="N17" s="356">
        <v>5991.34</v>
      </c>
      <c r="O17" s="356">
        <v>5345.34</v>
      </c>
      <c r="P17" s="359">
        <f>'Linked BS'!B14</f>
        <v>6684.34</v>
      </c>
    </row>
    <row r="18" spans="1:16" ht="15.6">
      <c r="B18" s="249" t="s">
        <v>298</v>
      </c>
      <c r="C18" s="96"/>
      <c r="D18" s="93"/>
      <c r="E18" s="356">
        <v>121786.5</v>
      </c>
      <c r="F18" s="356">
        <v>121286.5</v>
      </c>
      <c r="G18" s="356">
        <v>104206.5</v>
      </c>
      <c r="H18" s="356">
        <v>109706.5</v>
      </c>
      <c r="I18" s="356">
        <v>109706.5</v>
      </c>
      <c r="J18" s="356">
        <v>109206.5</v>
      </c>
      <c r="K18" s="356">
        <v>109206.5</v>
      </c>
      <c r="L18" s="356">
        <v>109206.5</v>
      </c>
      <c r="M18" s="356">
        <v>109206.5</v>
      </c>
      <c r="N18" s="356">
        <v>109206.5</v>
      </c>
      <c r="O18" s="356">
        <v>109206.5</v>
      </c>
      <c r="P18" s="359">
        <f>'Linked BS'!B15</f>
        <v>109206.5</v>
      </c>
    </row>
    <row r="19" spans="1:16" ht="15.6">
      <c r="B19" s="249" t="s">
        <v>299</v>
      </c>
      <c r="C19" s="96"/>
      <c r="D19" s="93"/>
      <c r="E19" s="356">
        <v>50331</v>
      </c>
      <c r="F19" s="356">
        <v>50331</v>
      </c>
      <c r="G19" s="356">
        <v>50331</v>
      </c>
      <c r="H19" s="356">
        <v>50331</v>
      </c>
      <c r="I19" s="356">
        <v>50331</v>
      </c>
      <c r="J19" s="356">
        <v>50331</v>
      </c>
      <c r="K19" s="356">
        <v>50331</v>
      </c>
      <c r="L19" s="356">
        <v>50331</v>
      </c>
      <c r="M19" s="356">
        <v>50331</v>
      </c>
      <c r="N19" s="356">
        <v>50331</v>
      </c>
      <c r="O19" s="356">
        <v>50331</v>
      </c>
      <c r="P19" s="359">
        <f>'Linked BS'!B16</f>
        <v>49326</v>
      </c>
    </row>
    <row r="20" spans="1:16" ht="15.6">
      <c r="B20" s="249" t="s">
        <v>300</v>
      </c>
      <c r="C20" s="96"/>
      <c r="D20" s="93"/>
      <c r="E20" s="356">
        <v>1746.83</v>
      </c>
      <c r="F20" s="356">
        <v>2603.29</v>
      </c>
      <c r="G20" s="356">
        <v>3770.49</v>
      </c>
      <c r="H20" s="356">
        <v>1504.06</v>
      </c>
      <c r="I20" s="356">
        <v>4885.28</v>
      </c>
      <c r="J20" s="356">
        <v>868</v>
      </c>
      <c r="K20" s="356">
        <v>733.47</v>
      </c>
      <c r="L20" s="356">
        <v>2543.8200000000002</v>
      </c>
      <c r="M20" s="356">
        <v>4719.3900000000003</v>
      </c>
      <c r="N20" s="356">
        <v>934.07</v>
      </c>
      <c r="O20" s="356">
        <v>1288.4000000000001</v>
      </c>
      <c r="P20" s="359">
        <f>'Linked BS'!B17</f>
        <v>1645.4</v>
      </c>
    </row>
    <row r="21" spans="1:16" ht="15.6">
      <c r="B21" s="249" t="s">
        <v>301</v>
      </c>
      <c r="C21" s="96"/>
      <c r="D21" s="93"/>
      <c r="E21" s="356">
        <v>97915.13</v>
      </c>
      <c r="F21" s="356">
        <v>96602.75</v>
      </c>
      <c r="G21" s="356">
        <v>107992.61</v>
      </c>
      <c r="H21" s="356">
        <v>106629.98</v>
      </c>
      <c r="I21" s="356">
        <v>107880.66</v>
      </c>
      <c r="J21" s="356">
        <v>104441.17</v>
      </c>
      <c r="K21" s="356">
        <v>102126.13</v>
      </c>
      <c r="L21" s="356">
        <v>98912.93</v>
      </c>
      <c r="M21" s="356">
        <v>93513.04</v>
      </c>
      <c r="N21" s="356">
        <v>94216.65</v>
      </c>
      <c r="O21" s="356">
        <v>83871.710000000006</v>
      </c>
      <c r="P21" s="359">
        <f>'Linked BS'!B18</f>
        <v>86361.36</v>
      </c>
    </row>
    <row r="22" spans="1:16" ht="15.6">
      <c r="B22" s="249" t="s">
        <v>302</v>
      </c>
      <c r="C22" s="96"/>
      <c r="D22" s="93"/>
      <c r="E22" s="356">
        <v>93014.78</v>
      </c>
      <c r="F22" s="356">
        <v>82572.11</v>
      </c>
      <c r="G22" s="356">
        <v>102788.53</v>
      </c>
      <c r="H22" s="356">
        <v>85053.19</v>
      </c>
      <c r="I22" s="356">
        <v>88189.61</v>
      </c>
      <c r="J22" s="356">
        <v>86036.790000000008</v>
      </c>
      <c r="K22" s="356">
        <v>79205.03</v>
      </c>
      <c r="L22" s="356">
        <v>82256.55</v>
      </c>
      <c r="M22" s="356">
        <v>77348.639999999999</v>
      </c>
      <c r="N22" s="356">
        <v>69053.73000000001</v>
      </c>
      <c r="O22" s="356">
        <v>60836.31</v>
      </c>
      <c r="P22" s="359">
        <f>'Linked BS'!B35</f>
        <v>66258.67</v>
      </c>
    </row>
    <row r="23" spans="1:16" ht="15.6">
      <c r="B23" s="249" t="s">
        <v>303</v>
      </c>
      <c r="C23" s="96"/>
      <c r="D23" s="93"/>
      <c r="E23" s="356">
        <v>4199.97</v>
      </c>
      <c r="F23" s="356">
        <v>4199.97</v>
      </c>
      <c r="G23" s="356">
        <v>5039.97</v>
      </c>
      <c r="H23" s="356">
        <v>5039.97</v>
      </c>
      <c r="I23" s="356">
        <v>5879.97</v>
      </c>
      <c r="J23" s="356">
        <v>5879.97</v>
      </c>
      <c r="K23" s="356">
        <v>9111.8700000000008</v>
      </c>
      <c r="L23" s="356">
        <v>24450.799999999999</v>
      </c>
      <c r="M23" s="356">
        <v>27196.03</v>
      </c>
      <c r="N23" s="356">
        <v>27243.279999999999</v>
      </c>
      <c r="O23" s="356">
        <v>27243.279999999999</v>
      </c>
      <c r="P23" s="359">
        <f>'Linked BS'!B9</f>
        <v>27243.279999999999</v>
      </c>
    </row>
    <row r="24" spans="1:16" ht="16.2" thickBot="1">
      <c r="B24" s="249" t="s">
        <v>304</v>
      </c>
      <c r="C24" s="96"/>
      <c r="D24" s="93"/>
      <c r="E24" s="356">
        <v>34450</v>
      </c>
      <c r="F24" s="356">
        <v>34450</v>
      </c>
      <c r="G24" s="356">
        <v>34450</v>
      </c>
      <c r="H24" s="356">
        <v>34550</v>
      </c>
      <c r="I24" s="356">
        <v>34600</v>
      </c>
      <c r="J24" s="356">
        <v>34700</v>
      </c>
      <c r="K24" s="356">
        <v>35300</v>
      </c>
      <c r="L24" s="356">
        <v>35500</v>
      </c>
      <c r="M24" s="356">
        <v>36060</v>
      </c>
      <c r="N24" s="356">
        <v>36060</v>
      </c>
      <c r="O24" s="356">
        <v>36710</v>
      </c>
      <c r="P24" s="359">
        <f>'Linked BS'!B42</f>
        <v>36710</v>
      </c>
    </row>
    <row r="25" spans="1:16" ht="13.5" customHeight="1" thickBot="1">
      <c r="A25" s="114"/>
      <c r="B25" s="114"/>
      <c r="C25" s="111"/>
      <c r="D25" s="112"/>
      <c r="E25" s="360"/>
      <c r="F25" s="360"/>
      <c r="G25" s="360"/>
      <c r="H25" s="360"/>
      <c r="I25" s="360"/>
      <c r="J25" s="360"/>
      <c r="K25" s="360"/>
      <c r="L25" s="360"/>
      <c r="M25" s="360"/>
      <c r="N25" s="360"/>
      <c r="O25" s="360"/>
      <c r="P25" s="360"/>
    </row>
    <row r="26" spans="1:16" ht="21" thickBot="1">
      <c r="A26" s="250" t="s">
        <v>34</v>
      </c>
      <c r="C26" s="101"/>
      <c r="D26" s="101"/>
      <c r="E26" s="361">
        <f t="shared" ref="E26:P26" si="3">+E10+E14</f>
        <v>1003490.89</v>
      </c>
      <c r="F26" s="361">
        <f t="shared" si="3"/>
        <v>993741.23</v>
      </c>
      <c r="G26" s="361">
        <f t="shared" si="3"/>
        <v>1038275.59</v>
      </c>
      <c r="H26" s="361">
        <f t="shared" si="3"/>
        <v>994162.59000000008</v>
      </c>
      <c r="I26" s="361">
        <f t="shared" si="3"/>
        <v>1115260.1400000001</v>
      </c>
      <c r="J26" s="361">
        <f t="shared" si="3"/>
        <v>1033034.5800000001</v>
      </c>
      <c r="K26" s="361">
        <f t="shared" si="3"/>
        <v>1031307.18</v>
      </c>
      <c r="L26" s="361">
        <f t="shared" si="3"/>
        <v>1081269.1200000001</v>
      </c>
      <c r="M26" s="361">
        <f t="shared" si="3"/>
        <v>1038541.4500000001</v>
      </c>
      <c r="N26" s="361">
        <f t="shared" si="3"/>
        <v>1037261.7500000001</v>
      </c>
      <c r="O26" s="361">
        <f t="shared" si="3"/>
        <v>1017229.55</v>
      </c>
      <c r="P26" s="361">
        <f t="shared" si="3"/>
        <v>1008592.1</v>
      </c>
    </row>
    <row r="27" spans="1:16" ht="21" thickTop="1">
      <c r="A27" s="245" t="s">
        <v>33</v>
      </c>
      <c r="B27" s="102"/>
      <c r="C27" s="103"/>
      <c r="D27" s="102"/>
      <c r="E27" s="104"/>
      <c r="F27" s="104"/>
      <c r="G27" s="104"/>
      <c r="H27" s="104"/>
      <c r="I27" s="104"/>
      <c r="J27" s="104"/>
      <c r="K27" s="104"/>
      <c r="L27" s="104"/>
      <c r="M27" s="104"/>
      <c r="N27" s="104"/>
      <c r="O27" s="104"/>
      <c r="P27" s="104"/>
    </row>
    <row r="28" spans="1:16" ht="21">
      <c r="A28" s="255" t="s">
        <v>4</v>
      </c>
      <c r="B28" s="254"/>
      <c r="C28" s="92"/>
      <c r="D28" s="93"/>
      <c r="E28" s="354">
        <f>SUM(E29:E33)</f>
        <v>-277520.66000000003</v>
      </c>
      <c r="F28" s="354">
        <f>SUM(F29:F33)</f>
        <v>-311876.46999999997</v>
      </c>
      <c r="G28" s="354">
        <f>SUM(G29:G33)</f>
        <v>-344697.49</v>
      </c>
      <c r="H28" s="354">
        <f t="shared" ref="H28:P28" si="4">SUM(H29:H33)</f>
        <v>-431078.34000000008</v>
      </c>
      <c r="I28" s="354">
        <f t="shared" si="4"/>
        <v>-443822.07000000007</v>
      </c>
      <c r="J28" s="354">
        <f t="shared" si="4"/>
        <v>-469270.86</v>
      </c>
      <c r="K28" s="354">
        <f t="shared" si="4"/>
        <v>-571710.96</v>
      </c>
      <c r="L28" s="354">
        <f t="shared" si="4"/>
        <v>-602342.01</v>
      </c>
      <c r="M28" s="354">
        <f t="shared" si="4"/>
        <v>-679885.22</v>
      </c>
      <c r="N28" s="354">
        <f t="shared" si="4"/>
        <v>-730309.02</v>
      </c>
      <c r="O28" s="354">
        <f t="shared" si="4"/>
        <v>-805316.16999999993</v>
      </c>
      <c r="P28" s="354">
        <f t="shared" si="4"/>
        <v>-877987.75</v>
      </c>
    </row>
    <row r="29" spans="1:16" s="107" customFormat="1" ht="15.6">
      <c r="B29" s="256" t="s">
        <v>305</v>
      </c>
      <c r="C29" s="105"/>
      <c r="D29" s="106"/>
      <c r="E29" s="362">
        <v>-221941.63</v>
      </c>
      <c r="F29" s="362">
        <v>-256329.84</v>
      </c>
      <c r="G29" s="362">
        <v>-289150.86</v>
      </c>
      <c r="H29" s="362">
        <v>-375531.71</v>
      </c>
      <c r="I29" s="362">
        <v>-388275.44</v>
      </c>
      <c r="J29" s="362">
        <v>-413724.23</v>
      </c>
      <c r="K29" s="362">
        <v>-102431.13</v>
      </c>
      <c r="L29" s="362">
        <v>-133054.91</v>
      </c>
      <c r="M29" s="362">
        <v>-210598.12</v>
      </c>
      <c r="N29" s="362">
        <v>-261021.92</v>
      </c>
      <c r="O29" s="362">
        <v>-336029.07</v>
      </c>
      <c r="P29" s="362">
        <f>'Linked BS'!B87</f>
        <v>-408700.65</v>
      </c>
    </row>
    <row r="30" spans="1:16" s="107" customFormat="1" ht="15.6">
      <c r="B30" s="256" t="s">
        <v>306</v>
      </c>
      <c r="C30" s="105"/>
      <c r="D30" s="106"/>
      <c r="E30" s="363">
        <v>267396.82</v>
      </c>
      <c r="F30" s="363">
        <v>267396.82</v>
      </c>
      <c r="G30" s="363">
        <v>267396.82</v>
      </c>
      <c r="H30" s="363">
        <v>267396.82</v>
      </c>
      <c r="I30" s="363">
        <v>267396.82</v>
      </c>
      <c r="J30" s="363">
        <v>267396.82</v>
      </c>
      <c r="K30" s="363">
        <v>267396.82</v>
      </c>
      <c r="L30" s="363">
        <v>267396.82</v>
      </c>
      <c r="M30" s="363">
        <v>267396.82</v>
      </c>
      <c r="N30" s="363">
        <v>267396.82</v>
      </c>
      <c r="O30" s="363">
        <v>267396.82</v>
      </c>
      <c r="P30" s="363">
        <f>'Linked BS'!B88</f>
        <v>267396.82</v>
      </c>
    </row>
    <row r="31" spans="1:16" s="107" customFormat="1" ht="15.6">
      <c r="B31" s="249" t="s">
        <v>307</v>
      </c>
      <c r="C31" s="105"/>
      <c r="D31" s="106"/>
      <c r="E31" s="363">
        <v>352691.19</v>
      </c>
      <c r="F31" s="363">
        <v>352723.59</v>
      </c>
      <c r="G31" s="363">
        <v>352723.59</v>
      </c>
      <c r="H31" s="363">
        <v>352723.59</v>
      </c>
      <c r="I31" s="363">
        <v>352723.59</v>
      </c>
      <c r="J31" s="363">
        <v>352723.59</v>
      </c>
      <c r="K31" s="363">
        <v>352723.59</v>
      </c>
      <c r="L31" s="363">
        <v>352723.59</v>
      </c>
      <c r="M31" s="363">
        <v>352723.59</v>
      </c>
      <c r="N31" s="363">
        <v>352723.59</v>
      </c>
      <c r="O31" s="363">
        <v>352723.59</v>
      </c>
      <c r="P31" s="363">
        <f>'Linked BS'!B89</f>
        <v>352723.59</v>
      </c>
    </row>
    <row r="32" spans="1:16" s="107" customFormat="1" ht="15.6">
      <c r="B32" s="249" t="s">
        <v>308</v>
      </c>
      <c r="C32" s="105"/>
      <c r="D32" s="106"/>
      <c r="E32" s="363">
        <v>-803620.56</v>
      </c>
      <c r="F32" s="363">
        <v>-803620.56</v>
      </c>
      <c r="G32" s="363">
        <v>-803620.56</v>
      </c>
      <c r="H32" s="363">
        <v>-803620.56</v>
      </c>
      <c r="I32" s="363">
        <v>-803620.56</v>
      </c>
      <c r="J32" s="363">
        <v>-803620.56</v>
      </c>
      <c r="K32" s="363">
        <v>-1217353.76</v>
      </c>
      <c r="L32" s="363">
        <v>-1217361.03</v>
      </c>
      <c r="M32" s="363">
        <v>-1217361.03</v>
      </c>
      <c r="N32" s="363">
        <v>-1217361.03</v>
      </c>
      <c r="O32" s="363">
        <v>-1217361.03</v>
      </c>
      <c r="P32" s="363">
        <f>'Linked BS'!B90</f>
        <v>-1217361.03</v>
      </c>
    </row>
    <row r="33" spans="1:16" s="107" customFormat="1" ht="16.2" thickBot="1">
      <c r="B33" s="257" t="s">
        <v>309</v>
      </c>
      <c r="C33" s="105"/>
      <c r="D33" s="106"/>
      <c r="E33" s="363">
        <v>127953.52</v>
      </c>
      <c r="F33" s="363">
        <v>127953.52</v>
      </c>
      <c r="G33" s="363">
        <v>127953.52</v>
      </c>
      <c r="H33" s="363">
        <v>127953.52</v>
      </c>
      <c r="I33" s="363">
        <v>127953.52</v>
      </c>
      <c r="J33" s="363">
        <v>127953.52</v>
      </c>
      <c r="K33" s="363">
        <v>127953.52</v>
      </c>
      <c r="L33" s="363">
        <v>127953.52</v>
      </c>
      <c r="M33" s="363">
        <v>127953.52</v>
      </c>
      <c r="N33" s="363">
        <v>127953.52</v>
      </c>
      <c r="O33" s="363">
        <v>127953.52</v>
      </c>
      <c r="P33" s="363">
        <f>'Linked BS'!B91</f>
        <v>127953.52</v>
      </c>
    </row>
    <row r="34" spans="1:16" s="107" customFormat="1" ht="10.5" customHeight="1">
      <c r="A34" s="258"/>
      <c r="B34" s="258"/>
      <c r="C34" s="109"/>
      <c r="D34" s="110"/>
      <c r="E34" s="364"/>
      <c r="F34" s="364"/>
      <c r="G34" s="364"/>
      <c r="H34" s="364"/>
      <c r="I34" s="364"/>
      <c r="J34" s="364"/>
      <c r="K34" s="364"/>
      <c r="L34" s="364"/>
      <c r="M34" s="364"/>
      <c r="N34" s="364"/>
      <c r="O34" s="364"/>
      <c r="P34" s="364"/>
    </row>
    <row r="35" spans="1:16" ht="21">
      <c r="A35" s="255" t="s">
        <v>26</v>
      </c>
      <c r="B35" s="254"/>
      <c r="C35" s="92"/>
      <c r="D35" s="93"/>
      <c r="E35" s="354">
        <f t="shared" ref="E35:L35" si="5">SUM(E36:E37)</f>
        <v>29210</v>
      </c>
      <c r="F35" s="354">
        <f t="shared" si="5"/>
        <v>22084</v>
      </c>
      <c r="G35" s="354">
        <f t="shared" si="5"/>
        <v>14958</v>
      </c>
      <c r="H35" s="354">
        <f t="shared" si="5"/>
        <v>706</v>
      </c>
      <c r="I35" s="354">
        <f t="shared" si="5"/>
        <v>24588</v>
      </c>
      <c r="J35" s="354">
        <f t="shared" si="5"/>
        <v>22004</v>
      </c>
      <c r="K35" s="354">
        <f t="shared" si="5"/>
        <v>10336</v>
      </c>
      <c r="L35" s="354">
        <f t="shared" si="5"/>
        <v>7752</v>
      </c>
      <c r="M35" s="354">
        <f t="shared" ref="M35:O35" si="6">SUM(M36:M37)</f>
        <v>5168</v>
      </c>
      <c r="N35" s="354">
        <f t="shared" si="6"/>
        <v>2584</v>
      </c>
      <c r="O35" s="354">
        <f t="shared" si="6"/>
        <v>0</v>
      </c>
      <c r="P35" s="354">
        <f t="shared" ref="P35" si="7">SUM(P36:P37)</f>
        <v>0</v>
      </c>
    </row>
    <row r="36" spans="1:16" ht="15.6">
      <c r="B36" s="257"/>
      <c r="C36" s="96"/>
      <c r="D36" s="93"/>
      <c r="E36" s="355"/>
      <c r="F36" s="355"/>
      <c r="G36" s="355"/>
      <c r="H36" s="355"/>
      <c r="I36" s="355"/>
      <c r="J36" s="355"/>
      <c r="K36" s="355"/>
      <c r="L36" s="355"/>
      <c r="M36" s="355"/>
      <c r="N36" s="355"/>
      <c r="O36" s="355"/>
      <c r="P36" s="355"/>
    </row>
    <row r="37" spans="1:16" ht="15.6">
      <c r="A37" s="81" t="s">
        <v>3</v>
      </c>
      <c r="B37" s="249" t="s">
        <v>419</v>
      </c>
      <c r="C37" s="96"/>
      <c r="D37" s="93"/>
      <c r="E37" s="384">
        <v>29210</v>
      </c>
      <c r="F37" s="384">
        <v>22084</v>
      </c>
      <c r="G37" s="384">
        <v>14958</v>
      </c>
      <c r="H37" s="384">
        <v>706</v>
      </c>
      <c r="I37" s="384">
        <v>24588</v>
      </c>
      <c r="J37" s="384">
        <v>22004</v>
      </c>
      <c r="K37" s="384">
        <v>10336</v>
      </c>
      <c r="L37" s="384">
        <v>7752</v>
      </c>
      <c r="M37" s="384">
        <v>5168</v>
      </c>
      <c r="N37" s="384">
        <v>2584</v>
      </c>
      <c r="O37" s="384">
        <v>0</v>
      </c>
      <c r="P37" s="357">
        <f>'Linked BS'!B83</f>
        <v>0</v>
      </c>
    </row>
    <row r="38" spans="1:16" ht="17.399999999999999">
      <c r="A38" s="114"/>
      <c r="B38" s="114"/>
      <c r="C38" s="111"/>
      <c r="D38" s="112"/>
      <c r="E38" s="354"/>
      <c r="F38" s="354"/>
      <c r="G38" s="354"/>
      <c r="H38" s="354"/>
      <c r="I38" s="354"/>
      <c r="J38" s="354"/>
      <c r="K38" s="354"/>
      <c r="L38" s="354"/>
      <c r="M38" s="354"/>
      <c r="N38" s="354"/>
      <c r="O38" s="354"/>
      <c r="P38" s="354"/>
    </row>
    <row r="39" spans="1:16" ht="21">
      <c r="A39" s="83" t="s">
        <v>7</v>
      </c>
      <c r="B39" s="254"/>
      <c r="C39" s="92"/>
      <c r="D39" s="93"/>
      <c r="E39" s="354">
        <f t="shared" ref="E39:P39" si="8">SUM(E40:E46)</f>
        <v>1251801.55</v>
      </c>
      <c r="F39" s="354">
        <f t="shared" si="8"/>
        <v>1283533.7000000002</v>
      </c>
      <c r="G39" s="354">
        <f t="shared" si="8"/>
        <v>1368015.0799999998</v>
      </c>
      <c r="H39" s="354">
        <f t="shared" si="8"/>
        <v>1424534.93</v>
      </c>
      <c r="I39" s="354">
        <f t="shared" si="8"/>
        <v>1534494.21</v>
      </c>
      <c r="J39" s="354">
        <f t="shared" si="8"/>
        <v>1480301.44</v>
      </c>
      <c r="K39" s="354">
        <f t="shared" si="8"/>
        <v>1592682.14</v>
      </c>
      <c r="L39" s="354">
        <f t="shared" si="8"/>
        <v>1675859.13</v>
      </c>
      <c r="M39" s="354">
        <f t="shared" si="8"/>
        <v>1713258.67</v>
      </c>
      <c r="N39" s="354">
        <f t="shared" si="8"/>
        <v>1764986.77</v>
      </c>
      <c r="O39" s="354">
        <f>SUM(O40:O46)</f>
        <v>1822545.72</v>
      </c>
      <c r="P39" s="354">
        <f t="shared" si="8"/>
        <v>1886579.85</v>
      </c>
    </row>
    <row r="40" spans="1:16" ht="15.6">
      <c r="B40" s="249" t="s">
        <v>310</v>
      </c>
      <c r="C40" s="96"/>
      <c r="D40" s="93"/>
      <c r="E40" s="355">
        <v>415337.73</v>
      </c>
      <c r="F40" s="355">
        <v>443741.62</v>
      </c>
      <c r="G40" s="355">
        <v>464079.69</v>
      </c>
      <c r="H40" s="355">
        <v>464786.16</v>
      </c>
      <c r="I40" s="355">
        <v>448207.73</v>
      </c>
      <c r="J40" s="355">
        <v>424476.68</v>
      </c>
      <c r="K40" s="355">
        <v>429271.98</v>
      </c>
      <c r="L40" s="355">
        <v>446938.99</v>
      </c>
      <c r="M40" s="355">
        <v>459993.56</v>
      </c>
      <c r="N40" s="355">
        <v>479530.81</v>
      </c>
      <c r="O40" s="355">
        <v>482625.15</v>
      </c>
      <c r="P40" s="355">
        <f>'Linked BS'!B63</f>
        <v>488234.51</v>
      </c>
    </row>
    <row r="41" spans="1:16" ht="15.6">
      <c r="B41" s="249" t="s">
        <v>311</v>
      </c>
      <c r="C41" s="96"/>
      <c r="D41" s="93"/>
      <c r="E41" s="356">
        <v>672869.98</v>
      </c>
      <c r="F41" s="356">
        <v>695369.98</v>
      </c>
      <c r="G41" s="356">
        <v>717869.98</v>
      </c>
      <c r="H41" s="356">
        <v>704043.73</v>
      </c>
      <c r="I41" s="356">
        <v>726543.73</v>
      </c>
      <c r="J41" s="356">
        <v>690217.48</v>
      </c>
      <c r="K41" s="356">
        <v>712717.48</v>
      </c>
      <c r="L41" s="356">
        <v>735217.48</v>
      </c>
      <c r="M41" s="356">
        <v>757717.48</v>
      </c>
      <c r="N41" s="356">
        <v>744212.98</v>
      </c>
      <c r="O41" s="356">
        <v>766712.98</v>
      </c>
      <c r="P41" s="356">
        <f>'Linked BS'!B65+'Linked BS'!B70+'Linked BS'!B71</f>
        <v>753208.48</v>
      </c>
    </row>
    <row r="42" spans="1:16" ht="15.6">
      <c r="B42" s="249" t="s">
        <v>312</v>
      </c>
      <c r="C42" s="96"/>
      <c r="D42" s="93"/>
      <c r="E42" s="356">
        <v>100000</v>
      </c>
      <c r="F42" s="356">
        <v>100000</v>
      </c>
      <c r="G42" s="356">
        <v>100000</v>
      </c>
      <c r="H42" s="356">
        <v>100000</v>
      </c>
      <c r="I42" s="356">
        <v>100000</v>
      </c>
      <c r="J42" s="356">
        <v>100000</v>
      </c>
      <c r="K42" s="356">
        <v>100000</v>
      </c>
      <c r="L42" s="356">
        <v>100000</v>
      </c>
      <c r="M42" s="356">
        <v>100000</v>
      </c>
      <c r="N42" s="356">
        <v>100000</v>
      </c>
      <c r="O42" s="356">
        <v>100000</v>
      </c>
      <c r="P42" s="356">
        <f>'Linked BS'!B68</f>
        <v>100000</v>
      </c>
    </row>
    <row r="43" spans="1:16" ht="15.6">
      <c r="B43" s="249" t="s">
        <v>313</v>
      </c>
      <c r="C43" s="96"/>
      <c r="D43" s="93"/>
      <c r="E43" s="356">
        <v>128723</v>
      </c>
      <c r="F43" s="356">
        <v>128723</v>
      </c>
      <c r="G43" s="356">
        <v>168723</v>
      </c>
      <c r="H43" s="356">
        <v>248723</v>
      </c>
      <c r="I43" s="356">
        <v>348723</v>
      </c>
      <c r="J43" s="356">
        <v>348723</v>
      </c>
      <c r="K43" s="356">
        <v>445723</v>
      </c>
      <c r="L43" s="356">
        <v>478286</v>
      </c>
      <c r="M43" s="356">
        <v>495286</v>
      </c>
      <c r="N43" s="356">
        <v>545286</v>
      </c>
      <c r="O43" s="356">
        <v>579786</v>
      </c>
      <c r="P43" s="356">
        <f>'Linked BS'!B69</f>
        <v>649786</v>
      </c>
    </row>
    <row r="44" spans="1:16" ht="15.6">
      <c r="B44" s="249" t="s">
        <v>314</v>
      </c>
      <c r="C44" s="96"/>
      <c r="D44" s="93"/>
      <c r="E44" s="356">
        <v>31900</v>
      </c>
      <c r="F44" s="356">
        <v>32734</v>
      </c>
      <c r="G44" s="356">
        <v>34084</v>
      </c>
      <c r="H44" s="356">
        <v>37200</v>
      </c>
      <c r="I44" s="356">
        <v>34550</v>
      </c>
      <c r="J44" s="356">
        <v>34500</v>
      </c>
      <c r="K44" s="356">
        <v>32500</v>
      </c>
      <c r="L44" s="356">
        <v>35250</v>
      </c>
      <c r="M44" s="356">
        <v>32866</v>
      </c>
      <c r="N44" s="356">
        <v>34950</v>
      </c>
      <c r="O44" s="356">
        <v>37416</v>
      </c>
      <c r="P44" s="356">
        <f>'Linked BS'!B74</f>
        <v>39200</v>
      </c>
    </row>
    <row r="45" spans="1:16" ht="15.6">
      <c r="B45" s="249" t="s">
        <v>315</v>
      </c>
      <c r="C45" s="96"/>
      <c r="D45" s="93"/>
      <c r="E45" s="356">
        <v>2500</v>
      </c>
      <c r="F45" s="356">
        <v>5000</v>
      </c>
      <c r="G45" s="356">
        <v>10000</v>
      </c>
      <c r="H45" s="356">
        <v>5000</v>
      </c>
      <c r="I45" s="356">
        <v>7500</v>
      </c>
      <c r="J45" s="356">
        <v>10000</v>
      </c>
      <c r="K45" s="356">
        <v>10000</v>
      </c>
      <c r="L45" s="356">
        <v>15000</v>
      </c>
      <c r="M45" s="356">
        <v>0</v>
      </c>
      <c r="N45" s="356">
        <v>0</v>
      </c>
      <c r="O45" s="356">
        <v>-7500</v>
      </c>
      <c r="P45" s="356">
        <f>'Linked BS'!B76</f>
        <v>-7500</v>
      </c>
    </row>
    <row r="46" spans="1:16" ht="21.6" thickBot="1">
      <c r="A46" s="254"/>
      <c r="B46" s="257" t="s">
        <v>316</v>
      </c>
      <c r="C46" s="92"/>
      <c r="D46" s="93"/>
      <c r="E46" s="365">
        <v>-99529.16</v>
      </c>
      <c r="F46" s="365">
        <v>-122034.9</v>
      </c>
      <c r="G46" s="365">
        <v>-126741.59000000001</v>
      </c>
      <c r="H46" s="365">
        <v>-135217.96000000002</v>
      </c>
      <c r="I46" s="365">
        <v>-131030.24999999999</v>
      </c>
      <c r="J46" s="365">
        <v>-127615.71999999999</v>
      </c>
      <c r="K46" s="365">
        <v>-137530.32</v>
      </c>
      <c r="L46" s="365">
        <v>-134833.34000000003</v>
      </c>
      <c r="M46" s="365">
        <v>-132604.37000000002</v>
      </c>
      <c r="N46" s="365">
        <v>-138993.01999999999</v>
      </c>
      <c r="O46" s="365">
        <v>-136494.40999999997</v>
      </c>
      <c r="P46" s="365">
        <f>'Linked BS'!B66+'Linked BS'!B73+'Linked BS'!B75+'Linked BS'!B78+'Linked BS'!B79</f>
        <v>-136349.13999999998</v>
      </c>
    </row>
    <row r="47" spans="1:16" ht="13.5" customHeight="1" thickBot="1">
      <c r="A47" s="81" t="s">
        <v>3</v>
      </c>
      <c r="B47" s="249"/>
      <c r="C47" s="111"/>
      <c r="D47" s="112"/>
      <c r="E47" s="354"/>
      <c r="F47" s="354"/>
      <c r="G47" s="354"/>
      <c r="H47" s="354"/>
      <c r="I47" s="354"/>
      <c r="J47" s="354"/>
      <c r="K47" s="354"/>
      <c r="L47" s="354"/>
      <c r="M47" s="354"/>
      <c r="N47" s="354"/>
      <c r="O47" s="354"/>
      <c r="P47" s="354"/>
    </row>
    <row r="48" spans="1:16" ht="16.2" thickBot="1">
      <c r="A48" s="259" t="s">
        <v>35</v>
      </c>
      <c r="C48" s="113"/>
      <c r="D48" s="114"/>
      <c r="E48" s="361">
        <f t="shared" ref="E48:P48" si="9">+E28+E35+E39</f>
        <v>1003490.89</v>
      </c>
      <c r="F48" s="361">
        <f t="shared" si="9"/>
        <v>993741.23000000021</v>
      </c>
      <c r="G48" s="361">
        <f t="shared" si="9"/>
        <v>1038275.5899999999</v>
      </c>
      <c r="H48" s="361">
        <f t="shared" si="9"/>
        <v>994162.58999999985</v>
      </c>
      <c r="I48" s="361">
        <f t="shared" si="9"/>
        <v>1115260.1399999999</v>
      </c>
      <c r="J48" s="361">
        <f t="shared" si="9"/>
        <v>1033034.58</v>
      </c>
      <c r="K48" s="361">
        <f t="shared" si="9"/>
        <v>1031307.1799999999</v>
      </c>
      <c r="L48" s="361">
        <f t="shared" si="9"/>
        <v>1081269.1199999999</v>
      </c>
      <c r="M48" s="361">
        <f t="shared" si="9"/>
        <v>1038541.45</v>
      </c>
      <c r="N48" s="361">
        <f>+N28+N35+N39</f>
        <v>1037261.75</v>
      </c>
      <c r="O48" s="361">
        <f>+O28+O35+O39</f>
        <v>1017229.55</v>
      </c>
      <c r="P48" s="361">
        <f t="shared" si="9"/>
        <v>1008592.1000000001</v>
      </c>
    </row>
    <row r="49" spans="1:16" ht="14.4" thickTop="1"/>
    <row r="50" spans="1:16">
      <c r="A50" s="81" t="s">
        <v>220</v>
      </c>
      <c r="E50" s="132">
        <f t="shared" ref="E50:O50" si="10">+E26-E48</f>
        <v>0</v>
      </c>
      <c r="F50" s="132">
        <f t="shared" si="10"/>
        <v>0</v>
      </c>
      <c r="G50" s="132">
        <f t="shared" si="10"/>
        <v>0</v>
      </c>
      <c r="H50" s="132">
        <f t="shared" si="10"/>
        <v>0</v>
      </c>
      <c r="I50" s="132">
        <f t="shared" si="10"/>
        <v>0</v>
      </c>
      <c r="J50" s="132">
        <f t="shared" si="10"/>
        <v>0</v>
      </c>
      <c r="K50" s="132">
        <f t="shared" si="10"/>
        <v>0</v>
      </c>
      <c r="L50" s="132">
        <f t="shared" si="10"/>
        <v>0</v>
      </c>
      <c r="M50" s="132">
        <f t="shared" si="10"/>
        <v>0</v>
      </c>
      <c r="N50" s="132">
        <f t="shared" si="10"/>
        <v>0</v>
      </c>
      <c r="O50" s="132">
        <f t="shared" si="10"/>
        <v>0</v>
      </c>
      <c r="P50" s="132">
        <f>+P26-P48</f>
        <v>0</v>
      </c>
    </row>
  </sheetData>
  <mergeCells count="5">
    <mergeCell ref="A8:B8"/>
    <mergeCell ref="A3:B3"/>
    <mergeCell ref="A5:P5"/>
    <mergeCell ref="A6:P6"/>
    <mergeCell ref="A7:P7"/>
  </mergeCells>
  <printOptions horizontalCentered="1"/>
  <pageMargins left="0.7" right="0.64" top="0.25" bottom="0.25" header="0.25" footer="0.25"/>
  <pageSetup paperSize="9" scale="63" orientation="landscape" r:id="rId1"/>
  <headerFooter>
    <oddFooter>&amp;R
Page &amp;P of &amp;N</oddFooter>
  </headerFooter>
  <ignoredErrors>
    <ignoredError sqref="P15:P24 P12 P40:P46 P29:P33 P37"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M68"/>
  <sheetViews>
    <sheetView showGridLines="0" view="pageBreakPreview" topLeftCell="A2" zoomScaleNormal="115" zoomScaleSheetLayoutView="100" workbookViewId="0">
      <selection activeCell="F8" sqref="F8"/>
    </sheetView>
  </sheetViews>
  <sheetFormatPr defaultColWidth="9.109375" defaultRowHeight="13.8" outlineLevelRow="1"/>
  <cols>
    <col min="1" max="1" width="7.6640625" style="81" customWidth="1"/>
    <col min="2" max="2" width="30.6640625" style="81" customWidth="1"/>
    <col min="3" max="3" width="15.6640625" style="81" customWidth="1"/>
    <col min="4" max="4" width="7.33203125" style="81" customWidth="1"/>
    <col min="5" max="5" width="1.5546875" style="81" customWidth="1"/>
    <col min="6" max="6" width="12.6640625" style="81" bestFit="1" customWidth="1"/>
    <col min="7" max="7" width="1.5546875" style="81" customWidth="1"/>
    <col min="8" max="8" width="12.109375" style="81" customWidth="1"/>
    <col min="9" max="9" width="1.6640625" style="81" customWidth="1"/>
    <col min="10" max="10" width="11.5546875" style="81" bestFit="1" customWidth="1"/>
    <col min="11" max="12" width="9.109375" style="81"/>
    <col min="13" max="13" width="9.44140625" style="81" bestFit="1" customWidth="1"/>
    <col min="14" max="16384" width="9.109375" style="81"/>
  </cols>
  <sheetData>
    <row r="1" spans="1:13" ht="20.25" customHeight="1">
      <c r="A1" s="78"/>
      <c r="B1" s="79"/>
      <c r="C1" s="115"/>
      <c r="D1" s="80"/>
      <c r="E1" s="80"/>
      <c r="F1" s="80"/>
      <c r="G1" s="80"/>
      <c r="H1" s="80"/>
      <c r="I1" s="80"/>
      <c r="J1" s="80"/>
    </row>
    <row r="2" spans="1:13" s="82" customFormat="1" ht="26.25" customHeight="1">
      <c r="A2" s="439" t="str">
        <f>Cover!A12</f>
        <v>Western Vending Machines LLC</v>
      </c>
      <c r="B2" s="439"/>
      <c r="C2" s="439"/>
      <c r="D2" s="439"/>
    </row>
    <row r="3" spans="1:13" s="83" customFormat="1" ht="21" customHeight="1">
      <c r="A3" s="440" t="str">
        <f>Cover!A13</f>
        <v xml:space="preserve">DUABI UAE </v>
      </c>
      <c r="B3" s="440"/>
      <c r="C3" s="440"/>
      <c r="D3" s="440"/>
    </row>
    <row r="4" spans="1:13" s="83" customFormat="1" ht="24.75" customHeight="1">
      <c r="A4" s="84"/>
      <c r="B4" s="84"/>
      <c r="C4" s="84"/>
      <c r="D4" s="84"/>
      <c r="J4" s="196"/>
    </row>
    <row r="5" spans="1:13" ht="24.9" customHeight="1">
      <c r="A5" s="441" t="s">
        <v>59</v>
      </c>
      <c r="B5" s="441"/>
      <c r="C5" s="441"/>
      <c r="D5" s="441"/>
      <c r="E5" s="441"/>
      <c r="F5" s="441"/>
      <c r="G5" s="441"/>
      <c r="H5" s="441"/>
      <c r="I5" s="441"/>
      <c r="J5" s="441"/>
    </row>
    <row r="6" spans="1:13" ht="20.100000000000001" customHeight="1">
      <c r="A6" s="467" t="str">
        <f>Galance!D20</f>
        <v>For the month of June - 2025</v>
      </c>
      <c r="B6" s="467"/>
      <c r="C6" s="467"/>
      <c r="D6" s="467"/>
      <c r="E6" s="467"/>
      <c r="F6" s="467"/>
      <c r="G6" s="467"/>
      <c r="H6" s="467"/>
      <c r="I6" s="467"/>
      <c r="J6" s="467"/>
    </row>
    <row r="7" spans="1:13" s="87" customFormat="1" ht="13.5" customHeight="1">
      <c r="A7" s="462" t="s">
        <v>25</v>
      </c>
      <c r="B7" s="462"/>
      <c r="C7" s="462"/>
      <c r="D7" s="462"/>
      <c r="E7" s="462"/>
      <c r="F7" s="462"/>
      <c r="G7" s="462"/>
      <c r="H7" s="462"/>
      <c r="I7" s="462"/>
      <c r="J7" s="462"/>
    </row>
    <row r="8" spans="1:13" ht="26.25" customHeight="1" thickBot="1">
      <c r="A8" s="463" t="s">
        <v>14</v>
      </c>
      <c r="B8" s="463"/>
      <c r="C8" s="243"/>
      <c r="D8" s="242" t="s">
        <v>62</v>
      </c>
      <c r="E8" s="260"/>
      <c r="F8" s="244">
        <f>VLOOKUP(Cover!$C$3,Cover!$G$4:$Q$17,4,)</f>
        <v>45809</v>
      </c>
      <c r="G8" s="260"/>
      <c r="H8" s="244">
        <f>DATE(YEAR(F8),MONTH(F8)-1,1)</f>
        <v>45778</v>
      </c>
      <c r="I8" s="260"/>
      <c r="J8" s="242" t="s">
        <v>32</v>
      </c>
    </row>
    <row r="9" spans="1:13" ht="26.25" customHeight="1">
      <c r="A9" s="198"/>
      <c r="B9" s="198"/>
      <c r="C9" s="199"/>
      <c r="D9" s="137"/>
      <c r="E9" s="137"/>
      <c r="F9" s="200"/>
      <c r="G9" s="137"/>
      <c r="H9" s="200"/>
      <c r="I9" s="137"/>
      <c r="J9" s="137"/>
      <c r="M9" s="421"/>
    </row>
    <row r="10" spans="1:13" ht="18.75" customHeight="1">
      <c r="A10" s="261" t="s">
        <v>29</v>
      </c>
      <c r="B10" s="246"/>
      <c r="C10" s="98"/>
      <c r="D10" s="105"/>
      <c r="E10" s="117"/>
      <c r="F10" s="118">
        <f>SUM(F11:F16)</f>
        <v>67980.55</v>
      </c>
      <c r="G10" s="118"/>
      <c r="H10" s="118">
        <f>SUM(H11:H16)</f>
        <v>87520.01999999999</v>
      </c>
      <c r="I10" s="119"/>
      <c r="J10" s="120">
        <f>SUM(J11:J16)</f>
        <v>1384387.17</v>
      </c>
    </row>
    <row r="11" spans="1:13" ht="15" customHeight="1" outlineLevel="1">
      <c r="A11" s="253"/>
      <c r="B11" s="249" t="str">
        <f>SOMCI!B12</f>
        <v>Sales</v>
      </c>
      <c r="C11" s="95"/>
      <c r="D11" s="117"/>
      <c r="E11" s="117"/>
      <c r="F11" s="121">
        <f>IFERROR(INDEX(SOMCI!$F$12:$Q$66,MATCH(SOCI!$B11,SOMCI!$B$12:$B$66,0),MATCH(SOCI!F$8,SOMCI!$F$9:$Q$9,0)),"")</f>
        <v>41684.76</v>
      </c>
      <c r="G11" s="122"/>
      <c r="H11" s="121">
        <f>IFERROR(INDEX(SOMCI!$F$12:$R$66,MATCH(SOCI!$B11,SOMCI!$B$12:$B$66,0),MATCH(SOCI!H$8,SOMCI!$F$9:$R$9,0)),"")</f>
        <v>54051.43</v>
      </c>
      <c r="I11" s="122"/>
      <c r="J11" s="121">
        <f>IFERROR(INDEX(SOMCI!$F$12:$R$66,MATCH(SOCI!$B11,SOMCI!$B$12:$B$66,0),MATCH(SOCI!J$8,SOMCI!$F$9:$R$9,0)),"")</f>
        <v>945931.38</v>
      </c>
    </row>
    <row r="12" spans="1:13" ht="15" customHeight="1" outlineLevel="1">
      <c r="A12" s="253"/>
      <c r="B12" s="249" t="str">
        <f>SOMCI!B13</f>
        <v>Sales of Product Income</v>
      </c>
      <c r="C12" s="95"/>
      <c r="D12" s="117"/>
      <c r="E12" s="117"/>
      <c r="F12" s="121">
        <f>IFERROR(INDEX(SOMCI!$F$12:$Q$66,MATCH(SOCI!$B12,SOMCI!$B$12:$B$66,0),MATCH(SOCI!F$8,SOMCI!$F$9:$Q$9,0)),"")</f>
        <v>0</v>
      </c>
      <c r="G12" s="122"/>
      <c r="H12" s="121">
        <f>IFERROR(INDEX(SOMCI!$F$12:$R$66,MATCH(SOCI!$B12,SOMCI!$B$12:$B$66,0),MATCH(SOCI!H$8,SOMCI!$F$9:$R$9,0)),"")</f>
        <v>0</v>
      </c>
      <c r="I12" s="122"/>
      <c r="J12" s="121">
        <f>IFERROR(INDEX(SOMCI!$F$12:$R$66,MATCH(SOCI!$B12,SOMCI!$B$12:$B$66,0),MATCH(SOCI!J$8,SOMCI!$F$9:$R$9,0)),"")</f>
        <v>6432</v>
      </c>
    </row>
    <row r="13" spans="1:13" ht="15" customHeight="1" outlineLevel="1">
      <c r="A13" s="253"/>
      <c r="B13" s="249" t="str">
        <f>SOMCI!B14</f>
        <v>Credit card Sales</v>
      </c>
      <c r="C13" s="95"/>
      <c r="D13" s="117"/>
      <c r="E13" s="117"/>
      <c r="F13" s="121">
        <f>IFERROR(INDEX(SOMCI!$F$12:$Q$66,MATCH(SOCI!$B13,SOMCI!$B$12:$B$66,0),MATCH(SOCI!F$8,SOMCI!$F$9:$Q$9,0)),"")</f>
        <v>26295.79</v>
      </c>
      <c r="G13" s="122"/>
      <c r="H13" s="121">
        <f>IFERROR(INDEX(SOMCI!$F$12:$R$66,MATCH(SOCI!$B13,SOMCI!$B$12:$B$66,0),MATCH(SOCI!H$8,SOMCI!$F$9:$R$9,0)),"")</f>
        <v>33468.589999999997</v>
      </c>
      <c r="I13" s="122"/>
      <c r="J13" s="121">
        <f>IFERROR(INDEX(SOMCI!$F$12:$R$66,MATCH(SOCI!$B13,SOMCI!$B$12:$B$66,0),MATCH(SOCI!J$8,SOMCI!$F$9:$R$9,0)),"")</f>
        <v>430423.79</v>
      </c>
    </row>
    <row r="14" spans="1:13" ht="15.6" outlineLevel="1">
      <c r="B14" s="249" t="str">
        <f>SOMCI!B15</f>
        <v>CID alain contract</v>
      </c>
      <c r="C14" s="95"/>
      <c r="D14" s="117"/>
      <c r="E14" s="117"/>
      <c r="F14" s="121">
        <f>IFERROR(INDEX(SOMCI!$F$12:$Q$66,MATCH(SOCI!$B14,SOMCI!$B$12:$B$66,0),MATCH(SOCI!F$8,SOMCI!$F$9:$Q$9,0)),"")</f>
        <v>0</v>
      </c>
      <c r="G14" s="122"/>
      <c r="H14" s="121">
        <f>IFERROR(INDEX(SOMCI!$F$12:$Q$66,MATCH(SOCI!$B14,SOMCI!$B$12:$B$66,0),MATCH(SOCI!H$8,SOMCI!$F$9:$Q$9,0)),"")</f>
        <v>0</v>
      </c>
      <c r="I14" s="122"/>
      <c r="J14" s="121">
        <f>IFERROR(INDEX(SOMCI!$F$12:$R$66,MATCH(SOCI!$B14,SOMCI!$B$12:$B$66,0),MATCH(SOCI!J$8,SOMCI!$F$9:$R$9,0)),"")</f>
        <v>0</v>
      </c>
    </row>
    <row r="15" spans="1:13" ht="15.6" outlineLevel="1">
      <c r="B15" s="249" t="str">
        <f>SOMCI!B16</f>
        <v>Homie portal AL WAHA</v>
      </c>
      <c r="C15" s="95"/>
      <c r="D15" s="117"/>
      <c r="E15" s="117"/>
      <c r="F15" s="121">
        <f>IFERROR(INDEX(SOMCI!$F$12:$Q$66,MATCH(SOCI!$B15,SOMCI!$B$12:$B$66,0),MATCH(SOCI!F$8,SOMCI!$F$9:$Q$9,0)),"")</f>
        <v>0</v>
      </c>
      <c r="G15" s="122"/>
      <c r="H15" s="121">
        <f>IFERROR(INDEX(SOMCI!$F$12:$Q$66,MATCH(SOCI!$B15,SOMCI!$B$12:$B$66,0),MATCH(SOCI!H$8,SOMCI!$F$9:$Q$9,0)),"")</f>
        <v>0</v>
      </c>
      <c r="I15" s="122"/>
      <c r="J15" s="121">
        <f>IFERROR(INDEX(SOMCI!$F$12:$R$66,MATCH(SOCI!$B15,SOMCI!$B$12:$B$66,0),MATCH(SOCI!J$8,SOMCI!$F$9:$R$9,0)),"")</f>
        <v>1600</v>
      </c>
    </row>
    <row r="16" spans="1:13" ht="15.6" outlineLevel="1">
      <c r="B16" s="249" t="str">
        <f>SOMCI!B17</f>
        <v>MOI Deewan Sales</v>
      </c>
      <c r="C16" s="95"/>
      <c r="D16" s="117"/>
      <c r="E16" s="117"/>
      <c r="F16" s="121">
        <f>IFERROR(INDEX(SOMCI!$F$12:$Q$66,MATCH(SOCI!$B16,SOMCI!$B$12:$B$66,0),MATCH(SOCI!F$8,SOMCI!$F$9:$Q$9,0)),"")</f>
        <v>0</v>
      </c>
      <c r="G16" s="122"/>
      <c r="H16" s="121">
        <f>IFERROR(INDEX(SOMCI!$F$12:$Q$66,MATCH(SOCI!$B16,SOMCI!$B$12:$B$66,0),MATCH(SOCI!H$8,SOMCI!$F$9:$Q$9,0)),"")</f>
        <v>0</v>
      </c>
      <c r="I16" s="122"/>
      <c r="J16" s="121">
        <f>IFERROR(INDEX(SOMCI!$F$12:$R$66,MATCH(SOCI!$B16,SOMCI!$B$12:$B$66,0),MATCH(SOCI!J$8,SOMCI!$F$9:$R$9,0)),"")</f>
        <v>0</v>
      </c>
    </row>
    <row r="17" spans="1:10" s="125" customFormat="1" ht="20.399999999999999">
      <c r="A17" s="261" t="s">
        <v>99</v>
      </c>
      <c r="B17" s="249"/>
      <c r="C17" s="100"/>
      <c r="D17" s="123"/>
      <c r="E17" s="124"/>
      <c r="F17" s="118">
        <f>SUM(F18:F19)</f>
        <v>38352.35</v>
      </c>
      <c r="G17" s="118">
        <f>SUM(G18:G19)</f>
        <v>0</v>
      </c>
      <c r="H17" s="118">
        <f>SUM(H18:H19)</f>
        <v>42536.15</v>
      </c>
      <c r="I17" s="118">
        <f>SUM(I18:I19)</f>
        <v>0</v>
      </c>
      <c r="J17" s="118">
        <f>SUM(J18:J19)</f>
        <v>679707.60000000009</v>
      </c>
    </row>
    <row r="18" spans="1:10" ht="15.6" outlineLevel="1">
      <c r="B18" s="249"/>
      <c r="C18" s="95"/>
      <c r="D18" s="117"/>
      <c r="E18" s="117"/>
      <c r="F18" s="121" t="str">
        <f>IFERROR(INDEX(SOMCI!$F$12:$Q$66,MATCH(SOCI!$B18,SOMCI!$B$12:$B$66,0),MATCH(SOCI!F$8,SOMCI!$F$9:$Q$9,0)),"")</f>
        <v/>
      </c>
      <c r="G18" s="122"/>
      <c r="H18" s="121" t="str">
        <f>IFERROR(INDEX(SOMCI!$F$12:$Q$66,MATCH(SOCI!$B18,SOMCI!$B$12:$B$66,0),MATCH(SOCI!H$8,SOMCI!$F$9:$Q$9,0)),"")</f>
        <v/>
      </c>
      <c r="I18" s="122"/>
      <c r="J18" s="121" t="str">
        <f>IFERROR(INDEX(SOMCI!$F$12:$R$66,MATCH(SOCI!$B18,SOMCI!$B$12:$B$66,0),MATCH(SOCI!J$8,SOMCI!$F$9:$R$9,0)),"")</f>
        <v/>
      </c>
    </row>
    <row r="19" spans="1:10" ht="15.6" outlineLevel="1">
      <c r="B19" s="249" t="str">
        <f>SOMCI!B20</f>
        <v>COST OF SALES</v>
      </c>
      <c r="C19" s="95"/>
      <c r="D19" s="117"/>
      <c r="E19" s="117"/>
      <c r="F19" s="121">
        <f>IFERROR(INDEX(SOMCI!$F$12:$Q$66,MATCH(SOCI!$B19,SOMCI!$B$12:$B$66,0),MATCH(SOCI!F$8,SOMCI!$F$9:$Q$9,0)),"")</f>
        <v>38352.35</v>
      </c>
      <c r="G19" s="122"/>
      <c r="H19" s="121">
        <f>IFERROR(INDEX(SOMCI!$F$12:$Q$66,MATCH(SOCI!$B19,SOMCI!$B$12:$B$66,0),MATCH(SOCI!H$8,SOMCI!$F$9:$Q$9,0)),"")</f>
        <v>42536.15</v>
      </c>
      <c r="I19" s="122"/>
      <c r="J19" s="121">
        <f>IFERROR(INDEX(SOMCI!$F$12:$R$66,MATCH(SOCI!$B19,SOMCI!$B$12:$B$66,0),MATCH(SOCI!J$8,SOMCI!$F$9:$R$9,0)),"")</f>
        <v>679707.60000000009</v>
      </c>
    </row>
    <row r="20" spans="1:10" ht="21.6" thickBot="1">
      <c r="A20" s="261" t="s">
        <v>24</v>
      </c>
      <c r="B20" s="254"/>
      <c r="C20" s="106"/>
      <c r="D20" s="117"/>
      <c r="E20" s="126"/>
      <c r="F20" s="202">
        <f>+F10-F17</f>
        <v>29628.200000000004</v>
      </c>
      <c r="G20" s="201">
        <f>+G10-G17</f>
        <v>0</v>
      </c>
      <c r="H20" s="202">
        <f>+H10-H17</f>
        <v>44983.869999999988</v>
      </c>
      <c r="I20" s="119"/>
      <c r="J20" s="202">
        <f>+J10-J17</f>
        <v>704679.56999999983</v>
      </c>
    </row>
    <row r="21" spans="1:10" ht="21.6" thickTop="1">
      <c r="A21" s="262" t="s">
        <v>100</v>
      </c>
      <c r="C21" s="106"/>
      <c r="D21" s="127"/>
      <c r="E21" s="128"/>
      <c r="F21" s="121" t="str">
        <f>IFERROR(INDEX(SOMCI!$F$12:$Q$66,MATCH(SOCI!#REF!,SOMCI!$B$12:$B$66,0),MATCH(SOCI!F$8,SOMCI!$F$9:$Q$9,0)),"")</f>
        <v/>
      </c>
      <c r="G21" s="122"/>
      <c r="H21" s="121" t="str">
        <f>IFERROR(INDEX(SOMCI!$F$12:$Q$66,MATCH(SOCI!#REF!,SOMCI!$B$12:$B$66,0),MATCH(SOCI!H$8,SOMCI!$F$9:$Q$9,0)),"")</f>
        <v/>
      </c>
      <c r="I21" s="122"/>
      <c r="J21" s="121"/>
    </row>
    <row r="22" spans="1:10" ht="16.8">
      <c r="A22" s="263" t="s">
        <v>268</v>
      </c>
      <c r="B22" s="256"/>
      <c r="C22" s="106"/>
      <c r="D22" s="129"/>
      <c r="E22" s="130"/>
      <c r="F22" s="118">
        <f>SUM(F23:F29)</f>
        <v>58793</v>
      </c>
      <c r="G22" s="118"/>
      <c r="H22" s="118">
        <f>SUM(H23:H29)</f>
        <v>58357.67</v>
      </c>
      <c r="I22" s="119"/>
      <c r="J22" s="120">
        <f>SUM(J23:J29)</f>
        <v>702399.43</v>
      </c>
    </row>
    <row r="23" spans="1:10" ht="15.6" outlineLevel="1">
      <c r="B23" s="249" t="s">
        <v>266</v>
      </c>
      <c r="C23" s="95"/>
      <c r="D23" s="117"/>
      <c r="E23" s="117"/>
      <c r="F23" s="121">
        <f>IFERROR(INDEX(SOMCI!$F$12:$Q$66,MATCH(SOCI!$B23,SOMCI!$B$12:$B$66,0),MATCH(SOCI!F$8,SOMCI!$F$9:$Q$9,0)),"")</f>
        <v>21100</v>
      </c>
      <c r="G23" s="122"/>
      <c r="H23" s="121">
        <f>IFERROR(INDEX(SOMCI!$F$12:$Q$66,MATCH(SOCI!$B23,SOMCI!$B$12:$B$66,0),MATCH(SOCI!H$8,SOMCI!$F$9:$Q$9,0)),"")</f>
        <v>21100</v>
      </c>
      <c r="I23" s="122"/>
      <c r="J23" s="121">
        <f>IFERROR(INDEX(SOMCI!$F$12:$R$66,MATCH(SOCI!$B23,SOMCI!$B$12:$B$66,0),MATCH(SOCI!J$8,SOMCI!$F$9:$R$9,0)),"")</f>
        <v>253200</v>
      </c>
    </row>
    <row r="24" spans="1:10" ht="15.6" outlineLevel="1">
      <c r="B24" s="249" t="s">
        <v>325</v>
      </c>
      <c r="C24" s="95"/>
      <c r="D24" s="117"/>
      <c r="E24" s="117"/>
      <c r="F24" s="121">
        <f>IFERROR(INDEX(SOMCI!$F$12:$Q$66,MATCH(SOCI!$B24,SOMCI!$B$12:$B$66,0),MATCH(SOCI!F$8,SOMCI!$F$9:$Q$9,0)),"")</f>
        <v>22500</v>
      </c>
      <c r="G24" s="122"/>
      <c r="H24" s="121">
        <f>IFERROR(INDEX(SOMCI!$F$12:$Q$66,MATCH(SOCI!$B24,SOMCI!$B$12:$B$66,0),MATCH(SOCI!H$8,SOMCI!$F$9:$Q$9,0)),"")</f>
        <v>22500</v>
      </c>
      <c r="I24" s="122"/>
      <c r="J24" s="121">
        <f>IFERROR(INDEX(SOMCI!$F$12:$R$66,MATCH(SOCI!$B24,SOMCI!$B$12:$B$66,0),MATCH(SOCI!J$8,SOMCI!$F$9:$R$9,0)),"")</f>
        <v>270000</v>
      </c>
    </row>
    <row r="25" spans="1:10" ht="15.6" outlineLevel="1">
      <c r="B25" s="249" t="s">
        <v>326</v>
      </c>
      <c r="C25" s="95"/>
      <c r="D25" s="117"/>
      <c r="E25" s="117"/>
      <c r="F25" s="121">
        <f>IFERROR(INDEX(SOMCI!$F$12:$Q$66,MATCH(SOCI!$B25,SOMCI!$B$12:$B$66,0),MATCH(SOCI!F$8,SOMCI!$F$9:$Q$9,0)),"")</f>
        <v>0</v>
      </c>
      <c r="G25" s="122"/>
      <c r="H25" s="121">
        <f>IFERROR(INDEX(SOMCI!$F$12:$Q$66,MATCH(SOCI!$B25,SOMCI!$B$12:$B$66,0),MATCH(SOCI!H$8,SOMCI!$F$9:$Q$9,0)),"")</f>
        <v>845</v>
      </c>
      <c r="I25" s="122"/>
      <c r="J25" s="121">
        <f>IFERROR(INDEX(SOMCI!$F$12:$R$66,MATCH(SOCI!$B25,SOMCI!$B$12:$B$66,0),MATCH(SOCI!J$8,SOMCI!$F$9:$R$9,0)),"")</f>
        <v>7844</v>
      </c>
    </row>
    <row r="26" spans="1:10" ht="15.6" outlineLevel="1">
      <c r="B26" s="249" t="s">
        <v>322</v>
      </c>
      <c r="C26" s="95"/>
      <c r="D26" s="117"/>
      <c r="E26" s="117"/>
      <c r="F26" s="121">
        <f>IFERROR(INDEX(SOMCI!$F$12:$Q$66,MATCH(SOCI!$B26,SOMCI!$B$12:$B$66,0),MATCH(SOCI!F$8,SOMCI!$F$9:$Q$9,0)),"")</f>
        <v>6950</v>
      </c>
      <c r="G26" s="122"/>
      <c r="H26" s="121">
        <f>IFERROR(INDEX(SOMCI!$F$12:$Q$66,MATCH(SOCI!$B26,SOMCI!$B$12:$B$66,0),MATCH(SOCI!H$8,SOMCI!$F$9:$Q$9,0)),"")</f>
        <v>4267</v>
      </c>
      <c r="I26" s="122"/>
      <c r="J26" s="121">
        <f>IFERROR(INDEX(SOMCI!$F$12:$R$66,MATCH(SOCI!$B26,SOMCI!$B$12:$B$66,0),MATCH(SOCI!J$8,SOMCI!$F$9:$R$9,0)),"")</f>
        <v>40566</v>
      </c>
    </row>
    <row r="27" spans="1:10" ht="15.6" outlineLevel="1">
      <c r="B27" s="249" t="s">
        <v>267</v>
      </c>
      <c r="C27" s="95"/>
      <c r="D27" s="117"/>
      <c r="E27" s="117"/>
      <c r="F27" s="121">
        <f>IFERROR(INDEX(SOMCI!$F$12:$Q$66,MATCH(SOCI!$B27,SOMCI!$B$12:$B$66,0),MATCH(SOCI!F$8,SOMCI!$F$9:$Q$9,0)),"")</f>
        <v>0</v>
      </c>
      <c r="G27" s="122"/>
      <c r="H27" s="121">
        <f>IFERROR(INDEX(SOMCI!$F$12:$Q$66,MATCH(SOCI!$B27,SOMCI!$B$12:$B$66,0),MATCH(SOCI!H$8,SOMCI!$F$9:$Q$9,0)),"")</f>
        <v>0</v>
      </c>
      <c r="I27" s="122"/>
      <c r="J27" s="121">
        <f>IFERROR(INDEX(SOMCI!$F$12:$R$66,MATCH(SOCI!$B27,SOMCI!$B$12:$B$66,0),MATCH(SOCI!J$8,SOMCI!$F$9:$R$9,0)),"")</f>
        <v>0</v>
      </c>
    </row>
    <row r="28" spans="1:10" ht="15.6" outlineLevel="1">
      <c r="B28" s="249" t="s">
        <v>323</v>
      </c>
      <c r="C28" s="95"/>
      <c r="D28" s="117"/>
      <c r="E28" s="117"/>
      <c r="F28" s="121">
        <f>IFERROR(INDEX(SOMCI!$F$12:$Q$66,MATCH(SOCI!$B28,SOMCI!$B$12:$B$66,0),MATCH(SOCI!F$8,SOMCI!$F$9:$Q$9,0)),"")</f>
        <v>7143</v>
      </c>
      <c r="G28" s="122"/>
      <c r="H28" s="121">
        <f>IFERROR(INDEX(SOMCI!$F$12:$Q$66,MATCH(SOCI!$B28,SOMCI!$B$12:$B$66,0),MATCH(SOCI!H$8,SOMCI!$F$9:$Q$9,0)),"")</f>
        <v>9645.67</v>
      </c>
      <c r="I28" s="122"/>
      <c r="J28" s="121">
        <f>IFERROR(INDEX(SOMCI!$F$12:$R$66,MATCH(SOCI!$B28,SOMCI!$B$12:$B$66,0),MATCH(SOCI!J$8,SOMCI!$F$9:$R$9,0)),"")</f>
        <v>128789.43000000001</v>
      </c>
    </row>
    <row r="29" spans="1:10" ht="15.6" outlineLevel="1">
      <c r="A29" s="81" t="s">
        <v>3</v>
      </c>
      <c r="B29" s="249" t="s">
        <v>324</v>
      </c>
      <c r="C29" s="95"/>
      <c r="D29" s="117"/>
      <c r="E29" s="117"/>
      <c r="F29" s="121">
        <f>IFERROR(INDEX(SOMCI!$F$12:$Q$66,MATCH(SOCI!$B29,SOMCI!$B$12:$B$66,0),MATCH(SOCI!F$8,SOMCI!$F$9:$Q$9,0)),"")</f>
        <v>1100</v>
      </c>
      <c r="G29" s="122"/>
      <c r="H29" s="121">
        <f>IFERROR(INDEX(SOMCI!$F$12:$Q$66,MATCH(SOCI!$B29,SOMCI!$B$12:$B$66,0),MATCH(SOCI!H$8,SOMCI!$F$9:$Q$9,0)),"")</f>
        <v>0</v>
      </c>
      <c r="I29" s="122"/>
      <c r="J29" s="121">
        <f>IFERROR(INDEX(SOMCI!$F$12:$R$66,MATCH(SOCI!$B29,SOMCI!$B$12:$B$66,0),MATCH(SOCI!J$8,SOMCI!$F$9:$R$9,0)),"")</f>
        <v>2000</v>
      </c>
    </row>
    <row r="30" spans="1:10" ht="16.8">
      <c r="A30" s="263" t="s">
        <v>103</v>
      </c>
      <c r="B30" s="256"/>
      <c r="C30" s="108"/>
      <c r="D30" s="117"/>
      <c r="E30" s="117"/>
      <c r="F30" s="118">
        <f>SUM(F31:F53)</f>
        <v>43973.020000000004</v>
      </c>
      <c r="G30" s="118"/>
      <c r="H30" s="118">
        <f>SUM(H31:H53)</f>
        <v>59307.360000000001</v>
      </c>
      <c r="I30" s="119"/>
      <c r="J30" s="118">
        <f>SUM(J31:J53)</f>
        <v>582074.17000000004</v>
      </c>
    </row>
    <row r="31" spans="1:10" ht="15.6" outlineLevel="1">
      <c r="B31" s="249" t="s">
        <v>269</v>
      </c>
      <c r="C31" s="95"/>
      <c r="D31" s="117"/>
      <c r="E31" s="117"/>
      <c r="F31" s="121">
        <f>IFERROR(INDEX(SOMCI!$F$12:$Q$66,MATCH(SOCI!$B31,SOMCI!$B$12:$B$66,0),MATCH(SOCI!F$8,SOMCI!$F$9:$Q$9,0)),"")</f>
        <v>14100</v>
      </c>
      <c r="G31" s="122"/>
      <c r="H31" s="121">
        <f>IFERROR(INDEX(SOMCI!$F$12:$Q$66,MATCH(SOCI!$B31,SOMCI!$B$12:$B$66,0),MATCH(SOCI!H$8,SOMCI!$F$9:$Q$9,0)),"")</f>
        <v>15016</v>
      </c>
      <c r="I31" s="122"/>
      <c r="J31" s="121">
        <f>IFERROR(INDEX(SOMCI!$F$12:$R$66,MATCH(SOCI!$B31,SOMCI!$B$12:$B$66,0),MATCH(SOCI!J$8,SOMCI!$F$9:$R$9,0)),"")</f>
        <v>158582</v>
      </c>
    </row>
    <row r="32" spans="1:10" ht="15.6" outlineLevel="1">
      <c r="B32" s="249" t="s">
        <v>270</v>
      </c>
      <c r="C32" s="95"/>
      <c r="D32" s="117"/>
      <c r="E32" s="117"/>
      <c r="F32" s="121">
        <f>IFERROR(INDEX(SOMCI!$F$12:$Q$66,MATCH(SOCI!$B32,SOMCI!$B$12:$B$66,0),MATCH(SOCI!F$8,SOMCI!$F$9:$Q$9,0)),"")</f>
        <v>0</v>
      </c>
      <c r="G32" s="122"/>
      <c r="H32" s="121">
        <f>IFERROR(INDEX(SOMCI!$F$12:$Q$66,MATCH(SOCI!$B32,SOMCI!$B$12:$B$66,0),MATCH(SOCI!H$8,SOMCI!$F$9:$Q$9,0)),"")</f>
        <v>584</v>
      </c>
      <c r="I32" s="122"/>
      <c r="J32" s="121">
        <f>IFERROR(INDEX(SOMCI!$F$12:$R$66,MATCH(SOCI!$B32,SOMCI!$B$12:$B$66,0),MATCH(SOCI!J$8,SOMCI!$F$9:$R$9,0)),"")</f>
        <v>1620</v>
      </c>
    </row>
    <row r="33" spans="2:10" ht="15.6" outlineLevel="1">
      <c r="B33" s="249" t="s">
        <v>271</v>
      </c>
      <c r="C33" s="95"/>
      <c r="D33" s="117"/>
      <c r="E33" s="117"/>
      <c r="F33" s="121">
        <f>IFERROR(INDEX(SOMCI!$F$12:$Q$66,MATCH(SOCI!$B33,SOMCI!$B$12:$B$66,0),MATCH(SOCI!F$8,SOMCI!$F$9:$Q$9,0)),"")</f>
        <v>1200</v>
      </c>
      <c r="G33" s="122"/>
      <c r="H33" s="121">
        <f>IFERROR(INDEX(SOMCI!$F$12:$Q$66,MATCH(SOCI!$B33,SOMCI!$B$12:$B$66,0),MATCH(SOCI!H$8,SOMCI!$F$9:$Q$9,0)),"")</f>
        <v>0</v>
      </c>
      <c r="I33" s="122"/>
      <c r="J33" s="121">
        <f>IFERROR(INDEX(SOMCI!$F$12:$R$66,MATCH(SOCI!$B33,SOMCI!$B$12:$B$66,0),MATCH(SOCI!J$8,SOMCI!$F$9:$R$9,0)),"")</f>
        <v>1227</v>
      </c>
    </row>
    <row r="34" spans="2:10" ht="15.6" outlineLevel="1">
      <c r="B34" s="249" t="s">
        <v>272</v>
      </c>
      <c r="C34" s="95"/>
      <c r="D34" s="117"/>
      <c r="E34" s="117"/>
      <c r="F34" s="121">
        <f>IFERROR(INDEX(SOMCI!$F$12:$Q$66,MATCH(SOCI!$B34,SOMCI!$B$12:$B$66,0),MATCH(SOCI!F$8,SOMCI!$F$9:$Q$9,0)),"")</f>
        <v>0</v>
      </c>
      <c r="G34" s="122"/>
      <c r="H34" s="121">
        <f>IFERROR(INDEX(SOMCI!$F$12:$Q$66,MATCH(SOCI!$B34,SOMCI!$B$12:$B$66,0),MATCH(SOCI!H$8,SOMCI!$F$9:$Q$9,0)),"")</f>
        <v>0</v>
      </c>
      <c r="I34" s="122"/>
      <c r="J34" s="121">
        <f>IFERROR(INDEX(SOMCI!$F$12:$R$66,MATCH(SOCI!$B34,SOMCI!$B$12:$B$66,0),MATCH(SOCI!J$8,SOMCI!$F$9:$R$9,0)),"")</f>
        <v>0</v>
      </c>
    </row>
    <row r="35" spans="2:10" ht="15.6" outlineLevel="1">
      <c r="B35" s="249" t="s">
        <v>273</v>
      </c>
      <c r="C35" s="95"/>
      <c r="D35" s="117"/>
      <c r="E35" s="117"/>
      <c r="F35" s="121">
        <f>IFERROR(INDEX(SOMCI!$F$12:$Q$66,MATCH(SOCI!$B35,SOMCI!$B$12:$B$66,0),MATCH(SOCI!F$8,SOMCI!$F$9:$Q$9,0)),"")</f>
        <v>0</v>
      </c>
      <c r="G35" s="122"/>
      <c r="H35" s="121">
        <f>IFERROR(INDEX(SOMCI!$F$12:$Q$66,MATCH(SOCI!$B35,SOMCI!$B$12:$B$66,0),MATCH(SOCI!H$8,SOMCI!$F$9:$Q$9,0)),"")</f>
        <v>90</v>
      </c>
      <c r="I35" s="122"/>
      <c r="J35" s="121">
        <f>IFERROR(INDEX(SOMCI!$F$12:$R$66,MATCH(SOCI!$B35,SOMCI!$B$12:$B$66,0),MATCH(SOCI!J$8,SOMCI!$F$9:$R$9,0)),"")</f>
        <v>2580</v>
      </c>
    </row>
    <row r="36" spans="2:10" ht="15.6" outlineLevel="1">
      <c r="B36" s="249" t="s">
        <v>274</v>
      </c>
      <c r="C36" s="95"/>
      <c r="D36" s="117"/>
      <c r="E36" s="117"/>
      <c r="F36" s="121">
        <f>IFERROR(INDEX(SOMCI!$F$12:$Q$66,MATCH(SOCI!$B36,SOMCI!$B$12:$B$66,0),MATCH(SOCI!F$8,SOMCI!$F$9:$Q$9,0)),"")</f>
        <v>0</v>
      </c>
      <c r="G36" s="122"/>
      <c r="H36" s="121">
        <f>IFERROR(INDEX(SOMCI!$F$12:$Q$66,MATCH(SOCI!$B36,SOMCI!$B$12:$B$66,0),MATCH(SOCI!H$8,SOMCI!$F$9:$Q$9,0)),"")</f>
        <v>1377.88</v>
      </c>
      <c r="I36" s="122"/>
      <c r="J36" s="121">
        <f>IFERROR(INDEX(SOMCI!$F$12:$R$66,MATCH(SOCI!$B36,SOMCI!$B$12:$B$66,0),MATCH(SOCI!J$8,SOMCI!$F$9:$R$9,0)),"")</f>
        <v>11307.5</v>
      </c>
    </row>
    <row r="37" spans="2:10" ht="15.6" outlineLevel="1">
      <c r="B37" s="249" t="s">
        <v>281</v>
      </c>
      <c r="C37" s="95"/>
      <c r="D37" s="117"/>
      <c r="E37" s="117"/>
      <c r="F37" s="121">
        <f>IFERROR(INDEX(SOMCI!$F$12:$Q$66,MATCH(SOCI!$B37,SOMCI!$B$12:$B$66,0),MATCH(SOCI!F$8,SOMCI!$F$9:$Q$9,0)),"")</f>
        <v>0</v>
      </c>
      <c r="G37" s="122"/>
      <c r="H37" s="121">
        <f>IFERROR(INDEX(SOMCI!$F$12:$Q$66,MATCH(SOCI!$B37,SOMCI!$B$12:$B$66,0),MATCH(SOCI!H$8,SOMCI!$F$9:$Q$9,0)),"")</f>
        <v>4586.57</v>
      </c>
      <c r="I37" s="122"/>
      <c r="J37" s="121">
        <f>IFERROR(INDEX(SOMCI!$F$12:$R$66,MATCH(SOCI!$B37,SOMCI!$B$12:$B$66,0),MATCH(SOCI!J$8,SOMCI!$F$9:$R$9,0)),"")</f>
        <v>28812.23</v>
      </c>
    </row>
    <row r="38" spans="2:10" ht="15.6" outlineLevel="1">
      <c r="B38" s="249" t="s">
        <v>282</v>
      </c>
      <c r="C38" s="95"/>
      <c r="D38" s="117"/>
      <c r="E38" s="117"/>
      <c r="F38" s="121">
        <f>IFERROR(INDEX(SOMCI!$F$12:$Q$66,MATCH(SOCI!$B38,SOMCI!$B$12:$B$66,0),MATCH(SOCI!F$8,SOMCI!$F$9:$Q$9,0)),"")</f>
        <v>0</v>
      </c>
      <c r="G38" s="122"/>
      <c r="H38" s="121">
        <f>IFERROR(INDEX(SOMCI!$F$12:$Q$66,MATCH(SOCI!$B38,SOMCI!$B$12:$B$66,0),MATCH(SOCI!H$8,SOMCI!$F$9:$Q$9,0)),"")</f>
        <v>610</v>
      </c>
      <c r="I38" s="122"/>
      <c r="J38" s="121">
        <f>IFERROR(INDEX(SOMCI!$F$12:$R$66,MATCH(SOCI!$B38,SOMCI!$B$12:$B$66,0),MATCH(SOCI!J$8,SOMCI!$F$9:$R$9,0)),"")</f>
        <v>3382</v>
      </c>
    </row>
    <row r="39" spans="2:10" ht="15.6" outlineLevel="1">
      <c r="B39" s="269" t="s">
        <v>490</v>
      </c>
      <c r="C39" s="95"/>
      <c r="D39" s="117"/>
      <c r="E39" s="117"/>
      <c r="F39" s="121">
        <f>IFERROR(INDEX(SOMCI!$F$12:$Q$66,MATCH(SOCI!$B39,SOMCI!$B$12:$B$66,0),MATCH(SOCI!F$8,SOMCI!$F$9:$Q$9,0)),"")</f>
        <v>200</v>
      </c>
      <c r="G39" s="122"/>
      <c r="H39" s="121">
        <f>IFERROR(INDEX(SOMCI!$F$12:$Q$66,MATCH(SOCI!$B39,SOMCI!$B$12:$B$66,0),MATCH(SOCI!H$8,SOMCI!$F$9:$Q$9,0)),"")</f>
        <v>1700</v>
      </c>
      <c r="I39" s="122"/>
      <c r="J39" s="121">
        <f>IFERROR(INDEX(SOMCI!$F$12:$R$66,MATCH(SOCI!$B39,SOMCI!$B$12:$B$66,0),MATCH(SOCI!J$8,SOMCI!$F$9:$R$9,0)),"")</f>
        <v>1900</v>
      </c>
    </row>
    <row r="40" spans="2:10" ht="15.6" outlineLevel="1">
      <c r="B40" s="249" t="s">
        <v>434</v>
      </c>
      <c r="C40" s="95"/>
      <c r="D40" s="117"/>
      <c r="E40" s="117"/>
      <c r="F40" s="121">
        <f>IFERROR(INDEX(SOMCI!$F$12:$Q$66,MATCH(SOCI!$B40,SOMCI!$B$12:$B$66,0),MATCH(SOCI!F$8,SOMCI!$F$9:$Q$9,0)),"")</f>
        <v>3795</v>
      </c>
      <c r="G40" s="122"/>
      <c r="H40" s="121">
        <f>IFERROR(INDEX(SOMCI!$F$12:$Q$66,MATCH(SOCI!$B40,SOMCI!$B$12:$B$66,0),MATCH(SOCI!H$8,SOMCI!$F$9:$Q$9,0)),"")</f>
        <v>3686.62</v>
      </c>
      <c r="I40" s="122"/>
      <c r="J40" s="121">
        <f>IFERROR(INDEX(SOMCI!$F$12:$R$66,MATCH(SOCI!$B40,SOMCI!$B$12:$B$66,0),MATCH(SOCI!J$8,SOMCI!$F$9:$R$9,0)),"")</f>
        <v>44347.82</v>
      </c>
    </row>
    <row r="41" spans="2:10" ht="15.6" outlineLevel="1">
      <c r="B41" s="249" t="s">
        <v>433</v>
      </c>
      <c r="C41" s="95"/>
      <c r="D41" s="117"/>
      <c r="E41" s="117"/>
      <c r="F41" s="121">
        <f>IFERROR(INDEX(SOMCI!$F$12:$Q$66,MATCH(SOCI!$B41,SOMCI!$B$12:$B$66,0),MATCH(SOCI!F$8,SOMCI!$F$9:$Q$9,0)),"")</f>
        <v>3989.15</v>
      </c>
      <c r="G41" s="122"/>
      <c r="H41" s="121">
        <f>IFERROR(INDEX(SOMCI!$F$12:$Q$66,MATCH(SOCI!$B41,SOMCI!$B$12:$B$66,0),MATCH(SOCI!H$8,SOMCI!$F$9:$Q$9,0)),"")</f>
        <v>3989.15</v>
      </c>
      <c r="I41" s="122"/>
      <c r="J41" s="121">
        <f>IFERROR(INDEX(SOMCI!$F$12:$R$66,MATCH(SOCI!$B41,SOMCI!$B$12:$B$66,0),MATCH(SOCI!J$8,SOMCI!$F$9:$R$9,0)),"")</f>
        <v>42230.350000000006</v>
      </c>
    </row>
    <row r="42" spans="2:10" ht="15.6" outlineLevel="1">
      <c r="B42" s="249" t="s">
        <v>275</v>
      </c>
      <c r="C42" s="95"/>
      <c r="D42" s="117"/>
      <c r="E42" s="117"/>
      <c r="F42" s="121">
        <f>IFERROR(INDEX(SOMCI!$F$12:$Q$66,MATCH(SOCI!$B42,SOMCI!$B$12:$B$66,0),MATCH(SOCI!F$8,SOMCI!$F$9:$Q$9,0)),"")</f>
        <v>3267.14</v>
      </c>
      <c r="G42" s="122"/>
      <c r="H42" s="121">
        <f>IFERROR(INDEX(SOMCI!$F$12:$Q$66,MATCH(SOCI!$B42,SOMCI!$B$12:$B$66,0),MATCH(SOCI!H$8,SOMCI!$F$9:$Q$9,0)),"")</f>
        <v>2567.14</v>
      </c>
      <c r="I42" s="122"/>
      <c r="J42" s="121">
        <f>IFERROR(INDEX(SOMCI!$F$12:$R$66,MATCH(SOCI!$B42,SOMCI!$B$12:$B$66,0),MATCH(SOCI!J$8,SOMCI!$F$9:$R$9,0)),"")</f>
        <v>31505.679999999997</v>
      </c>
    </row>
    <row r="43" spans="2:10" ht="15.6" outlineLevel="1">
      <c r="B43" s="249" t="s">
        <v>276</v>
      </c>
      <c r="C43" s="95"/>
      <c r="D43" s="117"/>
      <c r="E43" s="117"/>
      <c r="F43" s="121">
        <f>IFERROR(INDEX(SOMCI!$F$12:$Q$66,MATCH(SOCI!$B43,SOMCI!$B$12:$B$66,0),MATCH(SOCI!F$8,SOMCI!$F$9:$Q$9,0)),"")</f>
        <v>6000</v>
      </c>
      <c r="G43" s="122"/>
      <c r="H43" s="121">
        <f>IFERROR(INDEX(SOMCI!$F$12:$Q$66,MATCH(SOCI!$B43,SOMCI!$B$12:$B$66,0),MATCH(SOCI!H$8,SOMCI!$F$9:$Q$9,0)),"")</f>
        <v>1300</v>
      </c>
      <c r="I43" s="122"/>
      <c r="J43" s="121">
        <f>IFERROR(INDEX(SOMCI!$F$12:$R$66,MATCH(SOCI!$B43,SOMCI!$B$12:$B$66,0),MATCH(SOCI!J$8,SOMCI!$F$9:$R$9,0)),"")</f>
        <v>14200</v>
      </c>
    </row>
    <row r="44" spans="2:10" ht="15.6" outlineLevel="1">
      <c r="B44" s="249" t="s">
        <v>277</v>
      </c>
      <c r="C44" s="95"/>
      <c r="D44" s="117"/>
      <c r="E44" s="117"/>
      <c r="F44" s="121">
        <f>IFERROR(INDEX(SOMCI!$F$12:$Q$66,MATCH(SOCI!$B44,SOMCI!$B$12:$B$66,0),MATCH(SOCI!F$8,SOMCI!$F$9:$Q$9,0)),"")</f>
        <v>0</v>
      </c>
      <c r="G44" s="122"/>
      <c r="H44" s="121">
        <f>IFERROR(INDEX(SOMCI!$F$12:$Q$66,MATCH(SOCI!$B44,SOMCI!$B$12:$B$66,0),MATCH(SOCI!H$8,SOMCI!$F$9:$Q$9,0)),"")</f>
        <v>1350</v>
      </c>
      <c r="I44" s="122"/>
      <c r="J44" s="121">
        <f>IFERROR(INDEX(SOMCI!$F$12:$R$66,MATCH(SOCI!$B44,SOMCI!$B$12:$B$66,0),MATCH(SOCI!J$8,SOMCI!$F$9:$R$9,0)),"")</f>
        <v>6200</v>
      </c>
    </row>
    <row r="45" spans="2:10" ht="15.6" outlineLevel="1">
      <c r="B45" s="249" t="s">
        <v>278</v>
      </c>
      <c r="C45" s="95"/>
      <c r="D45" s="117"/>
      <c r="E45" s="117"/>
      <c r="F45" s="121">
        <f>IFERROR(INDEX(SOMCI!$F$12:$Q$66,MATCH(SOCI!$B45,SOMCI!$B$12:$B$66,0),MATCH(SOCI!F$8,SOMCI!$F$9:$Q$9,0)),"")</f>
        <v>1078</v>
      </c>
      <c r="G45" s="122"/>
      <c r="H45" s="121">
        <f>IFERROR(INDEX(SOMCI!$F$12:$Q$66,MATCH(SOCI!$B45,SOMCI!$B$12:$B$66,0),MATCH(SOCI!H$8,SOMCI!$F$9:$Q$9,0)),"")</f>
        <v>1078</v>
      </c>
      <c r="I45" s="122"/>
      <c r="J45" s="121">
        <f>IFERROR(INDEX(SOMCI!$F$12:$R$66,MATCH(SOCI!$B45,SOMCI!$B$12:$B$66,0),MATCH(SOCI!J$8,SOMCI!$F$9:$R$9,0)),"")</f>
        <v>12934.2</v>
      </c>
    </row>
    <row r="46" spans="2:10" ht="15.6" outlineLevel="1">
      <c r="B46" s="249" t="s">
        <v>279</v>
      </c>
      <c r="C46" s="95"/>
      <c r="D46" s="117"/>
      <c r="E46" s="117"/>
      <c r="F46" s="121">
        <f>IFERROR(INDEX(SOMCI!$F$12:$Q$66,MATCH(SOCI!$B46,SOMCI!$B$12:$B$66,0),MATCH(SOCI!F$8,SOMCI!$F$9:$Q$9,0)),"")</f>
        <v>0</v>
      </c>
      <c r="G46" s="122"/>
      <c r="H46" s="121">
        <f>IFERROR(INDEX(SOMCI!$F$12:$Q$66,MATCH(SOCI!$B46,SOMCI!$B$12:$B$66,0),MATCH(SOCI!H$8,SOMCI!$F$9:$Q$9,0)),"")</f>
        <v>0</v>
      </c>
      <c r="I46" s="122"/>
      <c r="J46" s="121">
        <f>IFERROR(INDEX(SOMCI!$F$12:$R$66,MATCH(SOCI!$B46,SOMCI!$B$12:$B$66,0),MATCH(SOCI!J$8,SOMCI!$F$9:$R$9,0)),"")</f>
        <v>1100</v>
      </c>
    </row>
    <row r="47" spans="2:10" ht="15.6" outlineLevel="1">
      <c r="B47" s="249" t="s">
        <v>283</v>
      </c>
      <c r="C47" s="95"/>
      <c r="D47" s="117"/>
      <c r="E47" s="117"/>
      <c r="F47" s="121">
        <f>IFERROR(INDEX(SOMCI!$F$12:$Q$66,MATCH(SOCI!$B47,SOMCI!$B$12:$B$66,0),MATCH(SOCI!F$8,SOMCI!$F$9:$Q$9,0)),"")</f>
        <v>1784</v>
      </c>
      <c r="G47" s="122"/>
      <c r="H47" s="121">
        <f>IFERROR(INDEX(SOMCI!$F$12:$Q$66,MATCH(SOCI!$B47,SOMCI!$B$12:$B$66,0),MATCH(SOCI!H$8,SOMCI!$F$9:$Q$9,0)),"")</f>
        <v>1784</v>
      </c>
      <c r="I47" s="122"/>
      <c r="J47" s="121">
        <f>IFERROR(INDEX(SOMCI!$F$12:$R$66,MATCH(SOCI!$B47,SOMCI!$B$12:$B$66,0),MATCH(SOCI!J$8,SOMCI!$F$9:$R$9,0)),"")</f>
        <v>16675.260000000002</v>
      </c>
    </row>
    <row r="48" spans="2:10" ht="15.6" outlineLevel="1">
      <c r="B48" s="249" t="s">
        <v>284</v>
      </c>
      <c r="C48" s="95"/>
      <c r="D48" s="117"/>
      <c r="E48" s="117"/>
      <c r="F48" s="121">
        <f>IFERROR(INDEX(SOMCI!$F$12:$Q$66,MATCH(SOCI!$B48,SOMCI!$B$12:$B$66,0),MATCH(SOCI!F$8,SOMCI!$F$9:$Q$9,0)),"")</f>
        <v>1559.73</v>
      </c>
      <c r="G48" s="122"/>
      <c r="H48" s="121">
        <f>IFERROR(INDEX(SOMCI!$F$12:$Q$66,MATCH(SOCI!$B48,SOMCI!$B$12:$B$66,0),MATCH(SOCI!H$8,SOMCI!$F$9:$Q$9,0)),"")</f>
        <v>0</v>
      </c>
      <c r="I48" s="122"/>
      <c r="J48" s="121">
        <f>IFERROR(INDEX(SOMCI!$F$12:$R$66,MATCH(SOCI!$B48,SOMCI!$B$12:$B$66,0),MATCH(SOCI!J$8,SOMCI!$F$9:$R$9,0)),"")</f>
        <v>3949.7400000000002</v>
      </c>
    </row>
    <row r="49" spans="1:10" ht="15.6" outlineLevel="1">
      <c r="B49" s="249" t="s">
        <v>454</v>
      </c>
      <c r="C49" s="95"/>
      <c r="D49" s="117"/>
      <c r="E49" s="117"/>
      <c r="F49" s="121">
        <f>IFERROR(INDEX(SOMCI!$F$12:$Q$66,MATCH(SOCI!$B49,SOMCI!$B$12:$B$66,0),MATCH(SOCI!F$8,SOMCI!$F$9:$Q$9,0)),"")</f>
        <v>0</v>
      </c>
      <c r="G49" s="122"/>
      <c r="H49" s="121">
        <f>IFERROR(INDEX(SOMCI!$F$12:$Q$66,MATCH(SOCI!$B49,SOMCI!$B$12:$B$66,0),MATCH(SOCI!H$8,SOMCI!$F$9:$Q$9,0)),"")</f>
        <v>16940</v>
      </c>
      <c r="I49" s="122"/>
      <c r="J49" s="121">
        <f>IFERROR(INDEX(SOMCI!$F$12:$R$66,MATCH(SOCI!$B49,SOMCI!$B$12:$B$66,0),MATCH(SOCI!J$8,SOMCI!$F$9:$R$9,0)),"")</f>
        <v>102953</v>
      </c>
    </row>
    <row r="50" spans="1:10" ht="15.6" outlineLevel="1">
      <c r="B50" s="249" t="s">
        <v>285</v>
      </c>
      <c r="C50" s="95"/>
      <c r="D50" s="117"/>
      <c r="E50" s="117"/>
      <c r="F50" s="121">
        <f>IFERROR(INDEX(SOMCI!$F$12:$Q$66,MATCH(SOCI!$B50,SOMCI!$B$12:$B$66,0),MATCH(SOCI!F$8,SOMCI!$F$9:$Q$9,0)),"")</f>
        <v>5000</v>
      </c>
      <c r="G50" s="122"/>
      <c r="H50" s="121">
        <f>IFERROR(INDEX(SOMCI!$F$12:$Q$66,MATCH(SOCI!$B50,SOMCI!$B$12:$B$66,0),MATCH(SOCI!H$8,SOMCI!$F$9:$Q$9,0)),"")</f>
        <v>648</v>
      </c>
      <c r="I50" s="122"/>
      <c r="J50" s="121">
        <f>IFERROR(INDEX(SOMCI!$F$12:$R$66,MATCH(SOCI!$B50,SOMCI!$B$12:$B$66,0),MATCH(SOCI!J$8,SOMCI!$F$9:$R$9,0)),"")</f>
        <v>63339</v>
      </c>
    </row>
    <row r="51" spans="1:10" ht="15.6" outlineLevel="1">
      <c r="B51" s="249" t="s">
        <v>472</v>
      </c>
      <c r="C51" s="95"/>
      <c r="D51" s="117"/>
      <c r="E51" s="117"/>
      <c r="F51" s="121">
        <f>IFERROR(INDEX(SOMCI!$F$12:$Q$66,MATCH(SOCI!$B51,SOMCI!$B$12:$B$66,0),MATCH(SOCI!F$8,SOMCI!$F$9:$Q$9,0)),"")</f>
        <v>0</v>
      </c>
      <c r="G51" s="122"/>
      <c r="H51" s="121">
        <f>IFERROR(INDEX(SOMCI!$F$12:$Q$66,MATCH(SOCI!$B51,SOMCI!$B$12:$B$66,0),MATCH(SOCI!H$8,SOMCI!$F$9:$Q$9,0)),"")</f>
        <v>0</v>
      </c>
      <c r="I51" s="122"/>
      <c r="J51" s="121">
        <f>IFERROR(INDEX(SOMCI!$F$12:$R$66,MATCH(SOCI!$B51,SOMCI!$B$12:$B$66,0),MATCH(SOCI!J$8,SOMCI!$F$9:$R$9,0)),"")</f>
        <v>-321.61</v>
      </c>
    </row>
    <row r="52" spans="1:10" ht="15.6" outlineLevel="1">
      <c r="B52" s="249" t="s">
        <v>286</v>
      </c>
      <c r="C52" s="95"/>
      <c r="D52" s="117"/>
      <c r="E52" s="117"/>
      <c r="F52" s="121">
        <f>IFERROR(INDEX(SOMCI!$F$12:$Q$66,MATCH(SOCI!$B52,SOMCI!$B$12:$B$66,0),MATCH(SOCI!F$8,SOMCI!$F$9:$Q$9,0)),"")</f>
        <v>2000</v>
      </c>
      <c r="G52" s="122"/>
      <c r="H52" s="121">
        <f>IFERROR(INDEX(SOMCI!$F$12:$Q$66,MATCH(SOCI!$B52,SOMCI!$B$12:$B$66,0),MATCH(SOCI!H$8,SOMCI!$F$9:$Q$9,0)),"")</f>
        <v>2000</v>
      </c>
      <c r="I52" s="122"/>
      <c r="J52" s="121">
        <f>IFERROR(INDEX(SOMCI!$F$12:$R$66,MATCH(SOCI!$B52,SOMCI!$B$12:$B$66,0),MATCH(SOCI!J$8,SOMCI!$F$9:$R$9,0)),"")</f>
        <v>24000</v>
      </c>
    </row>
    <row r="53" spans="1:10" ht="15.6" outlineLevel="1">
      <c r="B53" s="249" t="s">
        <v>287</v>
      </c>
      <c r="C53" s="95"/>
      <c r="D53" s="117"/>
      <c r="E53" s="117"/>
      <c r="F53" s="121">
        <f>IFERROR(INDEX(SOMCI!$F$12:$Q$66,MATCH(SOCI!$B53,SOMCI!$B$12:$B$66,0),MATCH(SOCI!F$8,SOMCI!$F$9:$Q$9,0)),"")</f>
        <v>0</v>
      </c>
      <c r="G53" s="122"/>
      <c r="H53" s="121">
        <f>IFERROR(INDEX(SOMCI!$F$12:$Q$66,MATCH(SOCI!$B53,SOMCI!$B$12:$B$66,0),MATCH(SOCI!H$8,SOMCI!$F$9:$Q$9,0)),"")</f>
        <v>0</v>
      </c>
      <c r="I53" s="122"/>
      <c r="J53" s="121">
        <f>IFERROR(INDEX(SOMCI!$F$12:$R$66,MATCH(SOCI!$B53,SOMCI!$B$12:$B$66,0),MATCH(SOCI!J$8,SOMCI!$F$9:$R$9,0)),"")</f>
        <v>9550</v>
      </c>
    </row>
    <row r="54" spans="1:10" ht="16.8">
      <c r="A54" s="263" t="s">
        <v>288</v>
      </c>
      <c r="B54" s="249"/>
      <c r="C54" s="93"/>
      <c r="D54" s="117"/>
      <c r="E54" s="126"/>
      <c r="F54" s="118">
        <f>SUM(F55:F57)</f>
        <v>238.35</v>
      </c>
      <c r="G54" s="118"/>
      <c r="H54" s="118">
        <f>SUM(H55:H57)</f>
        <v>876.25</v>
      </c>
      <c r="I54" s="119"/>
      <c r="J54" s="118">
        <f>SUM(J55:J57)</f>
        <v>14083.67</v>
      </c>
    </row>
    <row r="55" spans="1:10" ht="15.6" outlineLevel="1">
      <c r="B55" s="249" t="s">
        <v>289</v>
      </c>
      <c r="C55" s="95"/>
      <c r="D55" s="117"/>
      <c r="E55" s="117"/>
      <c r="F55" s="121">
        <f>IFERROR(INDEX(SOMCI!$F$12:$Q$66,MATCH(SOCI!$B55,SOMCI!$B$12:$B$66,0),MATCH(SOCI!F$8,SOMCI!$F$9:$Q$9,0)),"")</f>
        <v>175.35</v>
      </c>
      <c r="G55" s="122"/>
      <c r="H55" s="121">
        <f>IFERROR(INDEX(SOMCI!$F$12:$Q$66,MATCH(SOCI!$B55,SOMCI!$B$12:$B$66,0),MATCH(SOCI!H$8,SOMCI!$F$9:$Q$9,0)),"")</f>
        <v>653.25</v>
      </c>
      <c r="I55" s="122"/>
      <c r="J55" s="121">
        <f>IFERROR(INDEX(SOMCI!$F$12:$R$66,MATCH(SOCI!$B55,SOMCI!$B$12:$B$66,0),MATCH(SOCI!J$8,SOMCI!$F$9:$R$9,0)),"")</f>
        <v>5204.42</v>
      </c>
    </row>
    <row r="56" spans="1:10" ht="15.6" outlineLevel="1">
      <c r="B56" s="249" t="s">
        <v>290</v>
      </c>
      <c r="C56" s="95"/>
      <c r="D56" s="117"/>
      <c r="E56" s="117"/>
      <c r="F56" s="121">
        <f>IFERROR(INDEX(SOMCI!$F$12:$Q$66,MATCH(SOCI!$B56,SOMCI!$B$12:$B$66,0),MATCH(SOCI!F$8,SOMCI!$F$9:$Q$9,0)),"")</f>
        <v>63</v>
      </c>
      <c r="G56" s="122"/>
      <c r="H56" s="121">
        <f>IFERROR(INDEX(SOMCI!$F$12:$Q$66,MATCH(SOCI!$B56,SOMCI!$B$12:$B$66,0),MATCH(SOCI!H$8,SOMCI!$F$9:$Q$9,0)),"")</f>
        <v>223</v>
      </c>
      <c r="I56" s="122"/>
      <c r="J56" s="121">
        <f>IFERROR(INDEX(SOMCI!$F$12:$R$66,MATCH(SOCI!$B56,SOMCI!$B$12:$B$66,0),MATCH(SOCI!J$8,SOMCI!$F$9:$R$9,0)),"")</f>
        <v>1491.75</v>
      </c>
    </row>
    <row r="57" spans="1:10" ht="15.6" outlineLevel="1">
      <c r="B57" s="249" t="s">
        <v>292</v>
      </c>
      <c r="C57" s="95"/>
      <c r="D57" s="117"/>
      <c r="E57" s="117"/>
      <c r="F57" s="121">
        <f>IFERROR(INDEX(SOMCI!$F$12:$Q$66,MATCH(SOCI!$B57,SOMCI!$B$12:$B$66,0),MATCH(SOCI!F$8,SOMCI!$F$9:$Q$9,0)),"")</f>
        <v>0</v>
      </c>
      <c r="G57" s="122"/>
      <c r="H57" s="121">
        <f>IFERROR(INDEX(SOMCI!$F$12:$Q$66,MATCH(SOCI!$B57,SOMCI!$B$12:$B$66,0),MATCH(SOCI!H$8,SOMCI!$F$9:$Q$9,0)),"")</f>
        <v>0</v>
      </c>
      <c r="I57" s="122"/>
      <c r="J57" s="121">
        <f>IFERROR(INDEX(SOMCI!$F$12:$R$66,MATCH(SOCI!$B57,SOMCI!$B$12:$B$66,0),MATCH(SOCI!J$8,SOMCI!$F$9:$R$9,0)),"")</f>
        <v>7387.5</v>
      </c>
    </row>
    <row r="58" spans="1:10" ht="15.6" hidden="1" outlineLevel="1">
      <c r="B58" s="249"/>
      <c r="C58" s="95"/>
      <c r="D58" s="117"/>
      <c r="E58" s="117"/>
      <c r="F58" s="121"/>
      <c r="G58" s="122"/>
      <c r="H58" s="121"/>
      <c r="I58" s="122"/>
      <c r="J58" s="121"/>
    </row>
    <row r="59" spans="1:10" ht="21">
      <c r="A59" s="261" t="s">
        <v>112</v>
      </c>
      <c r="B59" s="254"/>
      <c r="C59" s="95"/>
      <c r="D59" s="105"/>
      <c r="E59" s="128"/>
      <c r="F59" s="118">
        <f>+F10-F17-F22-F30-F54</f>
        <v>-73376.170000000013</v>
      </c>
      <c r="G59" s="118"/>
      <c r="H59" s="118">
        <f>+H10-H17-H22-H30-H54</f>
        <v>-73557.41</v>
      </c>
      <c r="I59" s="119"/>
      <c r="J59" s="118">
        <f>+J10-J17-J22-J30-J54</f>
        <v>-593877.7000000003</v>
      </c>
    </row>
    <row r="60" spans="1:10" ht="15.6" outlineLevel="1">
      <c r="B60" s="276" t="s">
        <v>113</v>
      </c>
      <c r="C60" s="95"/>
      <c r="D60" s="117"/>
      <c r="E60" s="117"/>
      <c r="F60" s="121">
        <f>IFERROR(INDEX(SOMCI!$F$12:$Q$66,MATCH(SOCI!$B60,SOMCI!$B$12:$B$66,0),MATCH(SOCI!F$8,SOMCI!$F$9:$Q$9,0)),"")</f>
        <v>0</v>
      </c>
      <c r="G60" s="122"/>
      <c r="H60" s="121">
        <f>IFERROR(INDEX(SOMCI!$F$12:$Q$66,MATCH(SOCI!$B60,SOMCI!$B$12:$B$66,0),MATCH(SOCI!H$8,SOMCI!$F$9:$Q$9,0)),"")</f>
        <v>0</v>
      </c>
      <c r="I60" s="122"/>
      <c r="J60" s="121"/>
    </row>
    <row r="61" spans="1:10" ht="21">
      <c r="A61" s="261" t="s">
        <v>114</v>
      </c>
      <c r="B61" s="249"/>
      <c r="C61" s="98"/>
      <c r="D61" s="105"/>
      <c r="E61" s="126"/>
      <c r="F61" s="118">
        <f>IFERROR(F59-F60,0)</f>
        <v>-73376.170000000013</v>
      </c>
      <c r="G61" s="118"/>
      <c r="H61" s="118">
        <f>IFERROR(H59-H60,0)</f>
        <v>-73557.41</v>
      </c>
      <c r="I61" s="119"/>
      <c r="J61" s="118">
        <f>+J59-J60</f>
        <v>-593877.7000000003</v>
      </c>
    </row>
    <row r="62" spans="1:10" ht="15.6" outlineLevel="1">
      <c r="B62" s="269" t="s">
        <v>435</v>
      </c>
      <c r="C62" s="95"/>
      <c r="D62" s="117"/>
      <c r="E62" s="117"/>
      <c r="F62" s="121">
        <f>IFERROR(INDEX(SOMCI!$F$12:$Q$66,MATCH(SOCI!$B62,SOMCI!$B$12:$B$66,0),MATCH(SOCI!F$8,SOMCI!$F$9:$Q$9,0)),"")</f>
        <v>0</v>
      </c>
      <c r="G62" s="122"/>
      <c r="H62" s="121">
        <f>IFERROR(INDEX(SOMCI!$F$12:$Q$66,MATCH(SOCI!$B62,SOMCI!$B$12:$B$66,0),MATCH(SOCI!H$8,SOMCI!$F$9:$Q$9,0)),"")</f>
        <v>1100</v>
      </c>
      <c r="I62" s="122"/>
      <c r="J62" s="121">
        <f>IFERROR(INDEX(SOMCI!$F$12:$R$66,MATCH(SOCI!$B62,SOMCI!$B$12:$B$66,0),MATCH(SOCI!J$8,SOMCI!$F$9:$R$9,0)),"")</f>
        <v>11000</v>
      </c>
    </row>
    <row r="63" spans="1:10" ht="16.8">
      <c r="A63" s="261" t="str">
        <f>SOMCI!A63</f>
        <v>Other Income</v>
      </c>
      <c r="B63" s="249"/>
      <c r="C63" s="95"/>
      <c r="D63" s="117"/>
      <c r="E63" s="131"/>
      <c r="F63" s="118">
        <f>IFERROR(F61-F62,0)</f>
        <v>-73376.170000000013</v>
      </c>
      <c r="G63" s="118"/>
      <c r="H63" s="118">
        <f>IFERROR(H61-H62,0)</f>
        <v>-74657.41</v>
      </c>
      <c r="I63" s="119"/>
      <c r="J63" s="118">
        <f>+J61-J62</f>
        <v>-604877.7000000003</v>
      </c>
    </row>
    <row r="64" spans="1:10" ht="15.6" outlineLevel="1">
      <c r="B64" s="249" t="str">
        <f>SOMCI!B64</f>
        <v>Discount Income</v>
      </c>
      <c r="C64" s="95"/>
      <c r="D64" s="117"/>
      <c r="E64" s="117"/>
      <c r="F64" s="121">
        <f>IFERROR(INDEX(SOMCI!$F$12:$Q$66,MATCH(SOCI!$B64,SOMCI!$B$12:$B$66,0),MATCH(SOCI!F$8,SOMCI!$F$9:$Q$9,0)),"")</f>
        <v>0</v>
      </c>
      <c r="G64" s="122"/>
      <c r="H64" s="121">
        <f>IFERROR(INDEX(SOMCI!$F$12:$Q$66,MATCH(SOCI!$B64,SOMCI!$B$12:$B$66,0),MATCH(SOCI!H$8,SOMCI!$F$9:$Q$9,0)),"")</f>
        <v>0</v>
      </c>
      <c r="I64" s="122"/>
      <c r="J64" s="121">
        <f>IFERROR(INDEX(SOMCI!$F$12:$R$66,MATCH(SOCI!$B64,SOMCI!$B$12:$B$66,0),MATCH(SOCI!J$8,SOMCI!$F$9:$R$9,0)),"")</f>
        <v>262.5</v>
      </c>
    </row>
    <row r="65" spans="1:10" ht="17.399999999999999" thickBot="1">
      <c r="A65" s="261" t="s">
        <v>17</v>
      </c>
      <c r="B65" s="249"/>
      <c r="F65" s="203">
        <f>IFERROR(F63+F64,0)</f>
        <v>-73376.170000000013</v>
      </c>
      <c r="G65" s="203"/>
      <c r="H65" s="203">
        <f t="shared" ref="H65" si="0">IFERROR(H63+H64,0)</f>
        <v>-74657.41</v>
      </c>
      <c r="I65" s="125"/>
      <c r="J65" s="203">
        <f>IFERROR(J63+J64,0)</f>
        <v>-604615.2000000003</v>
      </c>
    </row>
    <row r="66" spans="1:10" ht="14.4" thickTop="1"/>
    <row r="68" spans="1:10">
      <c r="J68" s="132"/>
    </row>
  </sheetData>
  <mergeCells count="6">
    <mergeCell ref="A7:J7"/>
    <mergeCell ref="A8:B8"/>
    <mergeCell ref="A5:J5"/>
    <mergeCell ref="A6:J6"/>
    <mergeCell ref="A2:D2"/>
    <mergeCell ref="A3:D3"/>
  </mergeCells>
  <printOptions horizontalCentered="1"/>
  <pageMargins left="0.7" right="0.64" top="0.25" bottom="0.25" header="0.25" footer="0.25"/>
  <pageSetup paperSize="9" scale="72" orientation="portrait" r:id="rId1"/>
  <headerFooter>
    <oddFooter>&amp;R
Page &amp;P of &amp;N</oddFooter>
  </headerFooter>
  <ignoredErrors>
    <ignoredError sqref="H62 F62 J62"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R144"/>
  <sheetViews>
    <sheetView showGridLines="0" view="pageBreakPreview" topLeftCell="H48" zoomScale="80" zoomScaleNormal="85" zoomScaleSheetLayoutView="80" workbookViewId="0">
      <selection activeCell="R9" sqref="R9"/>
    </sheetView>
  </sheetViews>
  <sheetFormatPr defaultColWidth="9.109375" defaultRowHeight="13.8" outlineLevelRow="1"/>
  <cols>
    <col min="1" max="1" width="9" style="1" bestFit="1" customWidth="1"/>
    <col min="2" max="2" width="40.21875" style="1" bestFit="1" customWidth="1"/>
    <col min="3" max="3" width="1.5546875" style="1" customWidth="1"/>
    <col min="4" max="4" width="7.88671875" style="1" customWidth="1"/>
    <col min="5" max="5" width="1.5546875" style="1" customWidth="1"/>
    <col min="6" max="7" width="11.5546875" style="1" customWidth="1"/>
    <col min="8" max="8" width="12.6640625" style="1" customWidth="1"/>
    <col min="9" max="9" width="11.5546875" style="1" customWidth="1"/>
    <col min="10" max="10" width="12.5546875" style="1" customWidth="1"/>
    <col min="11" max="16" width="11.5546875" style="1" customWidth="1"/>
    <col min="17" max="17" width="13.109375" style="1" customWidth="1"/>
    <col min="18" max="18" width="13.44140625" style="1" customWidth="1"/>
    <col min="19" max="19" width="1.5546875" style="1" customWidth="1"/>
    <col min="20" max="16384" width="9.109375" style="1"/>
  </cols>
  <sheetData>
    <row r="1" spans="1:18" ht="20.25" customHeight="1">
      <c r="A1" s="35"/>
      <c r="B1" s="36"/>
      <c r="C1" s="37"/>
      <c r="D1" s="38"/>
      <c r="E1" s="38"/>
      <c r="F1" s="38"/>
      <c r="G1" s="38"/>
      <c r="H1" s="38"/>
    </row>
    <row r="2" spans="1:18" s="39" customFormat="1" ht="26.25" customHeight="1">
      <c r="A2" s="451" t="str">
        <f>Cover!A12</f>
        <v>Western Vending Machines LLC</v>
      </c>
      <c r="B2" s="451"/>
      <c r="C2" s="451"/>
      <c r="D2" s="451"/>
    </row>
    <row r="3" spans="1:18" s="40" customFormat="1" ht="21" customHeight="1">
      <c r="A3" s="457" t="str">
        <f>Cover!A13</f>
        <v xml:space="preserve">DUABI UAE </v>
      </c>
      <c r="B3" s="457"/>
      <c r="C3" s="457"/>
      <c r="D3" s="457"/>
    </row>
    <row r="4" spans="1:18" s="40" customFormat="1" ht="24.75" customHeight="1">
      <c r="A4" s="71"/>
      <c r="B4" s="71"/>
      <c r="C4" s="71"/>
      <c r="D4" s="71"/>
      <c r="R4" s="197"/>
    </row>
    <row r="5" spans="1:18" ht="30" customHeight="1">
      <c r="A5" s="471" t="s">
        <v>60</v>
      </c>
      <c r="B5" s="471"/>
      <c r="C5" s="471"/>
      <c r="D5" s="471"/>
      <c r="E5" s="471"/>
      <c r="F5" s="471"/>
      <c r="G5" s="471"/>
      <c r="H5" s="471"/>
      <c r="I5" s="471"/>
      <c r="J5" s="471"/>
      <c r="K5" s="471"/>
      <c r="L5" s="471"/>
      <c r="M5" s="471"/>
      <c r="N5" s="471"/>
      <c r="O5" s="471"/>
      <c r="P5" s="471"/>
      <c r="Q5" s="471"/>
      <c r="R5" s="471"/>
    </row>
    <row r="6" spans="1:18" ht="25.95" customHeight="1">
      <c r="A6" s="468" t="str">
        <f>SOCI!A6</f>
        <v>For the month of June - 2025</v>
      </c>
      <c r="B6" s="468"/>
      <c r="C6" s="468"/>
      <c r="D6" s="468"/>
      <c r="E6" s="468"/>
      <c r="F6" s="468"/>
      <c r="G6" s="468"/>
      <c r="H6" s="468"/>
      <c r="I6" s="468"/>
      <c r="J6" s="468"/>
      <c r="K6" s="468"/>
      <c r="L6" s="468"/>
      <c r="M6" s="468"/>
      <c r="N6" s="468"/>
      <c r="O6" s="468"/>
      <c r="P6" s="468"/>
      <c r="Q6" s="468"/>
      <c r="R6" s="468"/>
    </row>
    <row r="7" spans="1:18" ht="6.75" customHeight="1">
      <c r="A7" s="41"/>
      <c r="B7" s="41"/>
      <c r="C7" s="41"/>
      <c r="D7" s="41"/>
      <c r="E7" s="41"/>
      <c r="F7" s="41"/>
      <c r="G7" s="41"/>
      <c r="H7" s="41"/>
      <c r="I7" s="41"/>
      <c r="J7" s="41"/>
      <c r="K7" s="41"/>
      <c r="L7" s="41"/>
      <c r="M7" s="41"/>
      <c r="N7" s="41"/>
      <c r="O7" s="41"/>
      <c r="P7" s="41"/>
      <c r="Q7" s="41"/>
      <c r="R7" s="41"/>
    </row>
    <row r="8" spans="1:18" s="42" customFormat="1" ht="25.2">
      <c r="A8" s="469" t="s">
        <v>25</v>
      </c>
      <c r="B8" s="469"/>
      <c r="C8" s="469"/>
      <c r="D8" s="469"/>
      <c r="E8" s="469"/>
      <c r="F8" s="469"/>
      <c r="G8" s="469"/>
      <c r="H8" s="469"/>
      <c r="I8" s="469"/>
      <c r="J8" s="469"/>
      <c r="K8" s="469"/>
      <c r="L8" s="469"/>
      <c r="M8" s="469"/>
      <c r="N8" s="469"/>
      <c r="O8" s="469"/>
      <c r="P8" s="469"/>
      <c r="Q8" s="469"/>
      <c r="R8" s="469"/>
    </row>
    <row r="9" spans="1:18" ht="33.75" customHeight="1" thickBot="1">
      <c r="A9" s="470" t="s">
        <v>14</v>
      </c>
      <c r="B9" s="470"/>
      <c r="C9" s="264"/>
      <c r="D9" s="265" t="s">
        <v>62</v>
      </c>
      <c r="E9" s="264"/>
      <c r="F9" s="266">
        <v>45474</v>
      </c>
      <c r="G9" s="252">
        <f>DATE(YEAR(F9),MONTH(F9)+1,1)</f>
        <v>45505</v>
      </c>
      <c r="H9" s="252">
        <f t="shared" ref="H9:Q9" si="0">DATE(YEAR(G9),MONTH(G9)+1,1)</f>
        <v>45536</v>
      </c>
      <c r="I9" s="252">
        <f t="shared" si="0"/>
        <v>45566</v>
      </c>
      <c r="J9" s="252">
        <f t="shared" si="0"/>
        <v>45597</v>
      </c>
      <c r="K9" s="252">
        <f t="shared" si="0"/>
        <v>45627</v>
      </c>
      <c r="L9" s="252">
        <f t="shared" si="0"/>
        <v>45658</v>
      </c>
      <c r="M9" s="252">
        <f t="shared" si="0"/>
        <v>45689</v>
      </c>
      <c r="N9" s="252">
        <f t="shared" si="0"/>
        <v>45717</v>
      </c>
      <c r="O9" s="252">
        <f t="shared" si="0"/>
        <v>45748</v>
      </c>
      <c r="P9" s="252">
        <f t="shared" si="0"/>
        <v>45778</v>
      </c>
      <c r="Q9" s="252">
        <f t="shared" si="0"/>
        <v>45809</v>
      </c>
      <c r="R9" s="251" t="s">
        <v>32</v>
      </c>
    </row>
    <row r="10" spans="1:18" ht="7.5" customHeight="1">
      <c r="A10" s="43"/>
      <c r="B10" s="44"/>
      <c r="C10" s="45"/>
      <c r="D10" s="45"/>
      <c r="E10" s="45"/>
      <c r="F10" s="45"/>
    </row>
    <row r="11" spans="1:18" ht="21">
      <c r="A11" s="267" t="s">
        <v>29</v>
      </c>
      <c r="B11" s="268"/>
      <c r="C11" s="3"/>
      <c r="D11" s="21"/>
      <c r="E11" s="21"/>
      <c r="F11" s="147">
        <f t="shared" ref="F11:P11" si="1">SUM(F12:F17)</f>
        <v>136750.69999999998</v>
      </c>
      <c r="G11" s="148">
        <f t="shared" si="1"/>
        <v>133153.09</v>
      </c>
      <c r="H11" s="148">
        <f t="shared" si="1"/>
        <v>147771.74</v>
      </c>
      <c r="I11" s="148">
        <f t="shared" si="1"/>
        <v>142417.37</v>
      </c>
      <c r="J11" s="148">
        <f t="shared" si="1"/>
        <v>178389.79</v>
      </c>
      <c r="K11" s="148">
        <f t="shared" si="1"/>
        <v>119041.63</v>
      </c>
      <c r="L11" s="148">
        <f t="shared" si="1"/>
        <v>109659.69999999998</v>
      </c>
      <c r="M11" s="148">
        <f t="shared" si="1"/>
        <v>111884.84</v>
      </c>
      <c r="N11" s="148">
        <f t="shared" si="1"/>
        <v>61941.45</v>
      </c>
      <c r="O11" s="148">
        <f t="shared" si="1"/>
        <v>87876.290000000008</v>
      </c>
      <c r="P11" s="148">
        <f t="shared" si="1"/>
        <v>87520.01999999999</v>
      </c>
      <c r="Q11" s="148">
        <f>SUM(Q12:Q17)</f>
        <v>67980.55</v>
      </c>
      <c r="R11" s="149">
        <f>SUM(F11:Q11)</f>
        <v>1384387.17</v>
      </c>
    </row>
    <row r="12" spans="1:18" ht="15.6" outlineLevel="1">
      <c r="B12" s="269" t="s">
        <v>261</v>
      </c>
      <c r="C12" s="46"/>
      <c r="D12" s="21"/>
      <c r="E12" s="21"/>
      <c r="F12" s="72">
        <v>108452.4</v>
      </c>
      <c r="G12" s="72">
        <v>97999.07</v>
      </c>
      <c r="H12" s="72">
        <v>106394.29</v>
      </c>
      <c r="I12" s="72">
        <v>95559.05</v>
      </c>
      <c r="J12" s="72">
        <v>133550.48000000001</v>
      </c>
      <c r="K12" s="72">
        <v>78611.44</v>
      </c>
      <c r="L12" s="72">
        <v>68173.239999999991</v>
      </c>
      <c r="M12" s="72">
        <v>72350.460000000006</v>
      </c>
      <c r="N12" s="72">
        <v>35098.089999999997</v>
      </c>
      <c r="O12" s="72">
        <v>54006.67</v>
      </c>
      <c r="P12" s="285">
        <v>54051.43</v>
      </c>
      <c r="Q12" s="285">
        <f>SUMIF('Linked IS'!$B$3:$B$69,SOMCI!B12,'Linked IS'!$D$3:$D$69)</f>
        <v>41684.76</v>
      </c>
      <c r="R12" s="72">
        <f>SUM(F12:Q12)</f>
        <v>945931.38</v>
      </c>
    </row>
    <row r="13" spans="1:18" ht="15.6" outlineLevel="1">
      <c r="B13" s="269" t="s">
        <v>320</v>
      </c>
      <c r="C13" s="46"/>
      <c r="D13" s="21"/>
      <c r="E13" s="21"/>
      <c r="F13" s="73"/>
      <c r="G13" s="73"/>
      <c r="H13" s="73"/>
      <c r="I13" s="73"/>
      <c r="J13" s="73"/>
      <c r="K13" s="73"/>
      <c r="L13" s="73">
        <v>3078</v>
      </c>
      <c r="M13" s="73">
        <v>694.5</v>
      </c>
      <c r="N13" s="73">
        <v>2614.5</v>
      </c>
      <c r="O13" s="73">
        <v>45</v>
      </c>
      <c r="P13" s="382">
        <v>0</v>
      </c>
      <c r="Q13" s="382">
        <f>SUMIF('Linked IS'!$B$3:$B$69,SOMCI!B13,'Linked IS'!$D$3:$D$69)</f>
        <v>0</v>
      </c>
      <c r="R13" s="73">
        <f>SUM(F13:Q13)</f>
        <v>6432</v>
      </c>
    </row>
    <row r="14" spans="1:18" ht="15.6" outlineLevel="1">
      <c r="B14" s="269" t="s">
        <v>452</v>
      </c>
      <c r="C14" s="46"/>
      <c r="D14" s="21"/>
      <c r="E14" s="21"/>
      <c r="F14" s="73">
        <v>28298.3</v>
      </c>
      <c r="G14" s="73">
        <v>34354.019999999997</v>
      </c>
      <c r="H14" s="73">
        <v>41377.449999999997</v>
      </c>
      <c r="I14" s="73">
        <v>46858.32</v>
      </c>
      <c r="J14" s="73">
        <v>44039.31</v>
      </c>
      <c r="K14" s="73">
        <v>40430.19</v>
      </c>
      <c r="L14" s="73">
        <v>38408.46</v>
      </c>
      <c r="M14" s="73">
        <v>38839.879999999997</v>
      </c>
      <c r="N14" s="73">
        <v>24228.86</v>
      </c>
      <c r="O14" s="73">
        <v>33824.620000000003</v>
      </c>
      <c r="P14" s="382">
        <v>33468.589999999997</v>
      </c>
      <c r="Q14" s="382">
        <f>SUMIF('Linked IS'!$B$3:$B$69,SOMCI!B14,'Linked IS'!$D$3:$D$69)</f>
        <v>26295.79</v>
      </c>
      <c r="R14" s="73">
        <f>SUM(F14:Q14)</f>
        <v>430423.79</v>
      </c>
    </row>
    <row r="15" spans="1:18" ht="15.6" outlineLevel="1">
      <c r="B15" s="270" t="s">
        <v>262</v>
      </c>
      <c r="C15" s="46"/>
      <c r="D15" s="21"/>
      <c r="E15" s="21"/>
      <c r="F15" s="73">
        <v>0</v>
      </c>
      <c r="G15" s="73">
        <v>0</v>
      </c>
      <c r="H15" s="73">
        <v>0</v>
      </c>
      <c r="I15" s="73">
        <v>0</v>
      </c>
      <c r="J15" s="73">
        <v>0</v>
      </c>
      <c r="K15" s="73">
        <v>0</v>
      </c>
      <c r="L15" s="73">
        <v>0</v>
      </c>
      <c r="M15" s="73">
        <v>0</v>
      </c>
      <c r="N15" s="73">
        <v>0</v>
      </c>
      <c r="O15" s="73">
        <v>0</v>
      </c>
      <c r="P15" s="382">
        <v>0</v>
      </c>
      <c r="Q15" s="382">
        <f>SUMIF('Linked IS'!$B$3:$B$69,SOMCI!B15,'Linked IS'!$D$3:$D$69)</f>
        <v>0</v>
      </c>
      <c r="R15" s="73">
        <f t="shared" ref="R15:R20" si="2">SUM(F15:Q15)</f>
        <v>0</v>
      </c>
    </row>
    <row r="16" spans="1:18" ht="15.6" outlineLevel="1">
      <c r="B16" s="270" t="s">
        <v>263</v>
      </c>
      <c r="C16" s="46"/>
      <c r="D16" s="21"/>
      <c r="E16" s="21"/>
      <c r="F16" s="73">
        <v>0</v>
      </c>
      <c r="G16" s="73">
        <v>800</v>
      </c>
      <c r="H16" s="73">
        <v>0</v>
      </c>
      <c r="I16" s="73">
        <v>0</v>
      </c>
      <c r="J16" s="73">
        <v>800</v>
      </c>
      <c r="K16" s="73">
        <v>0</v>
      </c>
      <c r="L16" s="73">
        <v>0</v>
      </c>
      <c r="M16" s="73">
        <v>0</v>
      </c>
      <c r="N16" s="73">
        <v>0</v>
      </c>
      <c r="O16" s="73">
        <v>0</v>
      </c>
      <c r="P16" s="382">
        <v>0</v>
      </c>
      <c r="Q16" s="382">
        <f>SUMIF('Linked IS'!$B$3:$B$69,SOMCI!B16,'Linked IS'!$D$3:$D$69)</f>
        <v>0</v>
      </c>
      <c r="R16" s="73">
        <f t="shared" si="2"/>
        <v>1600</v>
      </c>
    </row>
    <row r="17" spans="1:18" ht="15.6" outlineLevel="1">
      <c r="B17" s="270" t="s">
        <v>264</v>
      </c>
      <c r="C17" s="46"/>
      <c r="D17" s="21"/>
      <c r="E17" s="21"/>
      <c r="F17" s="287">
        <v>0</v>
      </c>
      <c r="G17" s="287">
        <v>0</v>
      </c>
      <c r="H17" s="287">
        <v>0</v>
      </c>
      <c r="I17" s="287">
        <v>0</v>
      </c>
      <c r="J17" s="287">
        <v>0</v>
      </c>
      <c r="K17" s="287">
        <v>0</v>
      </c>
      <c r="L17" s="287">
        <v>0</v>
      </c>
      <c r="M17" s="287">
        <v>0</v>
      </c>
      <c r="N17" s="287">
        <v>0</v>
      </c>
      <c r="O17" s="287">
        <v>0</v>
      </c>
      <c r="P17" s="383">
        <v>0</v>
      </c>
      <c r="Q17" s="383">
        <f>SUMIF('Linked IS'!$B$3:$B$69,SOMCI!B17,'Linked IS'!$D$3:$D$69)</f>
        <v>0</v>
      </c>
      <c r="R17" s="287">
        <f t="shared" si="2"/>
        <v>0</v>
      </c>
    </row>
    <row r="18" spans="1:18" ht="21">
      <c r="A18" s="267" t="s">
        <v>99</v>
      </c>
      <c r="B18" s="268"/>
      <c r="C18" s="3"/>
      <c r="D18" s="21"/>
      <c r="E18" s="150"/>
      <c r="F18" s="400">
        <f t="shared" ref="F18:P18" si="3">SUM(F19:F20)</f>
        <v>67880.66</v>
      </c>
      <c r="G18" s="151">
        <f t="shared" si="3"/>
        <v>62184.86</v>
      </c>
      <c r="H18" s="151">
        <f t="shared" si="3"/>
        <v>66355.92</v>
      </c>
      <c r="I18" s="151">
        <f t="shared" si="3"/>
        <v>76644.679999999993</v>
      </c>
      <c r="J18" s="151">
        <f t="shared" si="3"/>
        <v>79293.56</v>
      </c>
      <c r="K18" s="151">
        <f t="shared" si="3"/>
        <v>52331.51</v>
      </c>
      <c r="L18" s="151">
        <f t="shared" si="3"/>
        <v>60816.33</v>
      </c>
      <c r="M18" s="151">
        <f t="shared" si="3"/>
        <v>57339.56</v>
      </c>
      <c r="N18" s="151">
        <f t="shared" si="3"/>
        <v>22914.83</v>
      </c>
      <c r="O18" s="151">
        <f t="shared" si="3"/>
        <v>53057.19</v>
      </c>
      <c r="P18" s="151">
        <f t="shared" si="3"/>
        <v>42536.15</v>
      </c>
      <c r="Q18" s="151">
        <f>SUM(Q19:Q20)</f>
        <v>38352.35</v>
      </c>
      <c r="R18" s="152">
        <f>SUM(F18:Q18)</f>
        <v>679707.60000000009</v>
      </c>
    </row>
    <row r="19" spans="1:18" ht="15.6" outlineLevel="1">
      <c r="A19" s="271"/>
      <c r="B19" s="272"/>
      <c r="C19" s="153"/>
      <c r="D19" s="21"/>
      <c r="E19" s="150"/>
      <c r="F19" s="72"/>
      <c r="G19" s="72"/>
      <c r="H19" s="72"/>
      <c r="I19" s="72"/>
      <c r="J19" s="72"/>
      <c r="K19" s="72"/>
      <c r="L19" s="72"/>
      <c r="M19" s="72"/>
      <c r="N19" s="72"/>
      <c r="O19" s="72"/>
      <c r="P19" s="72"/>
      <c r="Q19" s="285"/>
      <c r="R19" s="154">
        <f t="shared" si="2"/>
        <v>0</v>
      </c>
    </row>
    <row r="20" spans="1:18" s="271" customFormat="1" ht="21" outlineLevel="1">
      <c r="B20" s="368" t="s">
        <v>265</v>
      </c>
      <c r="C20" s="153"/>
      <c r="D20" s="369"/>
      <c r="E20" s="156"/>
      <c r="F20" s="370">
        <v>67880.66</v>
      </c>
      <c r="G20" s="370">
        <v>62184.86</v>
      </c>
      <c r="H20" s="370">
        <v>66355.92</v>
      </c>
      <c r="I20" s="370">
        <v>76644.679999999993</v>
      </c>
      <c r="J20" s="370">
        <v>79293.56</v>
      </c>
      <c r="K20" s="370">
        <v>52331.51</v>
      </c>
      <c r="L20" s="370">
        <v>60816.33</v>
      </c>
      <c r="M20" s="370">
        <v>57339.56</v>
      </c>
      <c r="N20" s="370">
        <v>22914.83</v>
      </c>
      <c r="O20" s="370">
        <v>53057.19</v>
      </c>
      <c r="P20" s="370">
        <v>42536.15</v>
      </c>
      <c r="Q20" s="371">
        <f>SUMIF('Linked IS'!$B$3:$B$69,SOMCI!B20,'Linked IS'!$D$3:$D$69)</f>
        <v>38352.35</v>
      </c>
      <c r="R20" s="372">
        <f t="shared" si="2"/>
        <v>679707.60000000009</v>
      </c>
    </row>
    <row r="21" spans="1:18" s="67" customFormat="1" ht="28.5" customHeight="1">
      <c r="A21" s="273" t="s">
        <v>24</v>
      </c>
      <c r="B21" s="273"/>
      <c r="C21" s="157"/>
      <c r="D21" s="159"/>
      <c r="E21" s="159"/>
      <c r="F21" s="401">
        <f t="shared" ref="F21:P21" si="4">+F11-F18</f>
        <v>68870.039999999979</v>
      </c>
      <c r="G21" s="367">
        <f t="shared" si="4"/>
        <v>70968.23</v>
      </c>
      <c r="H21" s="367">
        <f t="shared" si="4"/>
        <v>81415.819999999992</v>
      </c>
      <c r="I21" s="367">
        <f t="shared" si="4"/>
        <v>65772.69</v>
      </c>
      <c r="J21" s="367">
        <f t="shared" si="4"/>
        <v>99096.23000000001</v>
      </c>
      <c r="K21" s="367">
        <f t="shared" si="4"/>
        <v>66710.12</v>
      </c>
      <c r="L21" s="367">
        <f t="shared" si="4"/>
        <v>48843.369999999981</v>
      </c>
      <c r="M21" s="367">
        <f t="shared" si="4"/>
        <v>54545.279999999999</v>
      </c>
      <c r="N21" s="367">
        <f t="shared" si="4"/>
        <v>39026.619999999995</v>
      </c>
      <c r="O21" s="367">
        <f t="shared" si="4"/>
        <v>34819.100000000006</v>
      </c>
      <c r="P21" s="367">
        <f t="shared" si="4"/>
        <v>44983.869999999988</v>
      </c>
      <c r="Q21" s="367">
        <f>+Q11-Q18</f>
        <v>29628.200000000004</v>
      </c>
      <c r="R21" s="367">
        <f>+R11-R18</f>
        <v>704679.56999999983</v>
      </c>
    </row>
    <row r="22" spans="1:18" s="47" customFormat="1" ht="25.5" customHeight="1">
      <c r="A22" s="274" t="s">
        <v>100</v>
      </c>
      <c r="B22" s="273"/>
      <c r="C22" s="157"/>
      <c r="D22" s="158"/>
      <c r="E22" s="159"/>
      <c r="F22" s="402">
        <f t="shared" ref="F22:P22" si="5">+F23+F31+F55</f>
        <v>100987.46</v>
      </c>
      <c r="G22" s="160">
        <f t="shared" si="5"/>
        <v>102689.25</v>
      </c>
      <c r="H22" s="160">
        <f t="shared" si="5"/>
        <v>133727.42000000001</v>
      </c>
      <c r="I22" s="160">
        <f t="shared" si="5"/>
        <v>100157.03</v>
      </c>
      <c r="J22" s="160">
        <f t="shared" si="5"/>
        <v>111539.7</v>
      </c>
      <c r="K22" s="160">
        <f t="shared" si="5"/>
        <v>91200.3</v>
      </c>
      <c r="L22" s="160">
        <f t="shared" si="5"/>
        <v>147096.5</v>
      </c>
      <c r="M22" s="160">
        <f t="shared" si="5"/>
        <v>88613.98</v>
      </c>
      <c r="N22" s="160">
        <f t="shared" si="5"/>
        <v>116857.08</v>
      </c>
      <c r="O22" s="160">
        <f t="shared" si="5"/>
        <v>84142.9</v>
      </c>
      <c r="P22" s="160">
        <f t="shared" si="5"/>
        <v>118541.28</v>
      </c>
      <c r="Q22" s="160">
        <f t="shared" ref="Q22" si="6">+Q23+Q31+Q55</f>
        <v>103004.37000000001</v>
      </c>
      <c r="R22" s="160">
        <f t="shared" ref="R22:R32" si="7">SUM(F22:Q22)</f>
        <v>1298557.27</v>
      </c>
    </row>
    <row r="23" spans="1:18" ht="21">
      <c r="A23" s="268" t="s">
        <v>268</v>
      </c>
      <c r="B23" s="268"/>
      <c r="C23" s="3"/>
      <c r="D23" s="161"/>
      <c r="E23" s="161"/>
      <c r="F23" s="147">
        <f t="shared" ref="F23:P23" si="8">SUM(F24:F30)</f>
        <v>62846.54</v>
      </c>
      <c r="G23" s="288">
        <f t="shared" si="8"/>
        <v>64808.800000000003</v>
      </c>
      <c r="H23" s="288">
        <f t="shared" si="8"/>
        <v>59378.229999999996</v>
      </c>
      <c r="I23" s="288">
        <f t="shared" si="8"/>
        <v>61480.2</v>
      </c>
      <c r="J23" s="288">
        <f t="shared" si="8"/>
        <v>57938.78</v>
      </c>
      <c r="K23" s="288">
        <f t="shared" si="8"/>
        <v>55040.28</v>
      </c>
      <c r="L23" s="288">
        <f t="shared" si="8"/>
        <v>62965.53</v>
      </c>
      <c r="M23" s="288">
        <f t="shared" si="8"/>
        <v>53068.65</v>
      </c>
      <c r="N23" s="288">
        <f t="shared" si="8"/>
        <v>54036.43</v>
      </c>
      <c r="O23" s="288">
        <f t="shared" si="8"/>
        <v>53685.32</v>
      </c>
      <c r="P23" s="288">
        <f t="shared" si="8"/>
        <v>58357.67</v>
      </c>
      <c r="Q23" s="288">
        <f t="shared" ref="Q23" si="9">SUM(Q24:Q30)</f>
        <v>58793</v>
      </c>
      <c r="R23" s="292">
        <f t="shared" si="7"/>
        <v>702399.43000000017</v>
      </c>
    </row>
    <row r="24" spans="1:18" ht="15.6" outlineLevel="1">
      <c r="B24" s="269" t="s">
        <v>266</v>
      </c>
      <c r="C24" s="46"/>
      <c r="D24" s="162"/>
      <c r="E24" s="162"/>
      <c r="F24" s="74">
        <v>21100</v>
      </c>
      <c r="G24" s="74">
        <v>21100</v>
      </c>
      <c r="H24" s="74">
        <v>21100</v>
      </c>
      <c r="I24" s="74">
        <v>21100</v>
      </c>
      <c r="J24" s="74">
        <v>21100</v>
      </c>
      <c r="K24" s="74">
        <v>21100</v>
      </c>
      <c r="L24" s="74">
        <v>21100</v>
      </c>
      <c r="M24" s="74">
        <v>21100</v>
      </c>
      <c r="N24" s="74">
        <v>21100</v>
      </c>
      <c r="O24" s="74">
        <v>21100</v>
      </c>
      <c r="P24" s="74">
        <v>21100</v>
      </c>
      <c r="Q24" s="289">
        <f>SUMIF('Linked IS'!$B$3:$B$69,SOMCI!B24,'Linked IS'!$D$3:$D$69)</f>
        <v>21100</v>
      </c>
      <c r="R24" s="154">
        <f>SUM(F24:Q24)</f>
        <v>253200</v>
      </c>
    </row>
    <row r="25" spans="1:18" ht="15.6" outlineLevel="1">
      <c r="B25" s="269" t="s">
        <v>325</v>
      </c>
      <c r="C25" s="46"/>
      <c r="D25" s="21"/>
      <c r="E25" s="31"/>
      <c r="F25" s="75">
        <v>22500</v>
      </c>
      <c r="G25" s="75">
        <v>22500</v>
      </c>
      <c r="H25" s="75">
        <v>22500</v>
      </c>
      <c r="I25" s="75">
        <v>22500</v>
      </c>
      <c r="J25" s="75">
        <v>22500</v>
      </c>
      <c r="K25" s="75">
        <v>22500</v>
      </c>
      <c r="L25" s="75">
        <v>22500</v>
      </c>
      <c r="M25" s="75">
        <v>22500</v>
      </c>
      <c r="N25" s="75">
        <v>22500</v>
      </c>
      <c r="O25" s="75">
        <v>22500</v>
      </c>
      <c r="P25" s="75">
        <v>22500</v>
      </c>
      <c r="Q25" s="290">
        <f>SUMIF('Linked IS'!$B$3:$B$69,SOMCI!B25,'Linked IS'!$D$3:$D$69)</f>
        <v>22500</v>
      </c>
      <c r="R25" s="286">
        <f t="shared" si="7"/>
        <v>270000</v>
      </c>
    </row>
    <row r="26" spans="1:18" ht="15.6" outlineLevel="1">
      <c r="A26" s="1" t="s">
        <v>3</v>
      </c>
      <c r="B26" s="269" t="s">
        <v>326</v>
      </c>
      <c r="C26" s="46"/>
      <c r="D26" s="21"/>
      <c r="E26" s="150"/>
      <c r="F26" s="75">
        <v>241</v>
      </c>
      <c r="G26" s="75">
        <v>1567</v>
      </c>
      <c r="H26" s="75">
        <v>348</v>
      </c>
      <c r="I26" s="75">
        <v>292</v>
      </c>
      <c r="J26" s="75">
        <v>2106</v>
      </c>
      <c r="K26" s="75">
        <v>97</v>
      </c>
      <c r="L26" s="75">
        <v>2348</v>
      </c>
      <c r="M26" s="75">
        <v>0</v>
      </c>
      <c r="N26" s="75">
        <v>0</v>
      </c>
      <c r="O26" s="75">
        <v>0</v>
      </c>
      <c r="P26" s="75">
        <v>845</v>
      </c>
      <c r="Q26" s="290">
        <f>SUMIF('Linked IS'!$B$3:$B$69,SOMCI!B26,'Linked IS'!$D$3:$D$69)</f>
        <v>0</v>
      </c>
      <c r="R26" s="286">
        <f t="shared" si="7"/>
        <v>7844</v>
      </c>
    </row>
    <row r="27" spans="1:18" ht="15.6" outlineLevel="1">
      <c r="B27" s="269" t="s">
        <v>322</v>
      </c>
      <c r="C27" s="46"/>
      <c r="D27" s="21"/>
      <c r="E27" s="150"/>
      <c r="F27" s="75">
        <v>4554</v>
      </c>
      <c r="G27" s="75">
        <v>5564</v>
      </c>
      <c r="H27" s="75">
        <v>843</v>
      </c>
      <c r="I27" s="75">
        <v>4184</v>
      </c>
      <c r="J27" s="75">
        <v>479</v>
      </c>
      <c r="K27" s="75">
        <v>1901</v>
      </c>
      <c r="L27" s="75">
        <v>6883</v>
      </c>
      <c r="M27" s="75">
        <v>1279</v>
      </c>
      <c r="N27" s="75">
        <v>2362</v>
      </c>
      <c r="O27" s="75">
        <v>1300</v>
      </c>
      <c r="P27" s="75">
        <v>4267</v>
      </c>
      <c r="Q27" s="290">
        <f>SUMIF('Linked IS'!$B$3:$B$69,SOMCI!B27,'Linked IS'!$D$3:$D$69)</f>
        <v>6950</v>
      </c>
      <c r="R27" s="286">
        <f t="shared" si="7"/>
        <v>40566</v>
      </c>
    </row>
    <row r="28" spans="1:18" ht="15.6" hidden="1" outlineLevel="1">
      <c r="B28" s="269" t="s">
        <v>267</v>
      </c>
      <c r="C28" s="46"/>
      <c r="D28" s="21"/>
      <c r="E28" s="150"/>
      <c r="F28" s="75">
        <v>0</v>
      </c>
      <c r="G28" s="75">
        <v>0</v>
      </c>
      <c r="H28" s="75">
        <v>0</v>
      </c>
      <c r="I28" s="75">
        <v>0</v>
      </c>
      <c r="J28" s="75">
        <v>0</v>
      </c>
      <c r="K28" s="75">
        <v>0</v>
      </c>
      <c r="L28" s="75">
        <v>0</v>
      </c>
      <c r="M28" s="75">
        <v>0</v>
      </c>
      <c r="N28" s="75">
        <v>0</v>
      </c>
      <c r="O28" s="75">
        <v>0</v>
      </c>
      <c r="P28" s="75">
        <v>0</v>
      </c>
      <c r="Q28" s="290">
        <f>SUMIF('Linked IS'!$B$3:$B$69,SOMCI!B28,'Linked IS'!$D$3:$D$69)</f>
        <v>0</v>
      </c>
      <c r="R28" s="286">
        <f t="shared" si="7"/>
        <v>0</v>
      </c>
    </row>
    <row r="29" spans="1:18" ht="15.6" outlineLevel="1">
      <c r="B29" s="269" t="s">
        <v>323</v>
      </c>
      <c r="C29" s="46"/>
      <c r="D29" s="21"/>
      <c r="E29" s="150"/>
      <c r="F29" s="75">
        <v>14451.54</v>
      </c>
      <c r="G29" s="75">
        <v>14077.8</v>
      </c>
      <c r="H29" s="75">
        <v>14587.23</v>
      </c>
      <c r="I29" s="75">
        <v>12979.2</v>
      </c>
      <c r="J29" s="75">
        <v>11703.78</v>
      </c>
      <c r="K29" s="75">
        <v>9017.2800000000007</v>
      </c>
      <c r="L29" s="75">
        <v>10134.530000000001</v>
      </c>
      <c r="M29" s="75">
        <v>8189.65</v>
      </c>
      <c r="N29" s="75">
        <v>8074.43</v>
      </c>
      <c r="O29" s="75">
        <v>8785.32</v>
      </c>
      <c r="P29" s="75">
        <v>9645.67</v>
      </c>
      <c r="Q29" s="290">
        <f>SUMIF('Linked IS'!$B$3:$B$69,SOMCI!B29,'Linked IS'!$D$3:$D$69)</f>
        <v>7143</v>
      </c>
      <c r="R29" s="286">
        <f t="shared" si="7"/>
        <v>128789.43000000001</v>
      </c>
    </row>
    <row r="30" spans="1:18" ht="15.6" outlineLevel="1">
      <c r="B30" s="269" t="s">
        <v>324</v>
      </c>
      <c r="C30" s="46"/>
      <c r="D30" s="21"/>
      <c r="E30" s="150"/>
      <c r="F30" s="76">
        <v>0</v>
      </c>
      <c r="G30" s="76">
        <v>0</v>
      </c>
      <c r="H30" s="76">
        <v>0</v>
      </c>
      <c r="I30" s="76">
        <v>425</v>
      </c>
      <c r="J30" s="76">
        <v>50</v>
      </c>
      <c r="K30" s="76">
        <v>425</v>
      </c>
      <c r="L30" s="76">
        <v>0</v>
      </c>
      <c r="M30" s="76">
        <v>0</v>
      </c>
      <c r="N30" s="76">
        <v>0</v>
      </c>
      <c r="O30" s="76">
        <v>0</v>
      </c>
      <c r="P30" s="76">
        <v>0</v>
      </c>
      <c r="Q30" s="290">
        <f>SUMIF('Linked IS'!$B$3:$B$69,SOMCI!B30,'Linked IS'!$D$3:$D$69)+'Linked IS'!D52</f>
        <v>1100</v>
      </c>
      <c r="R30" s="375">
        <f t="shared" si="7"/>
        <v>2000</v>
      </c>
    </row>
    <row r="31" spans="1:18" ht="21">
      <c r="A31" s="275" t="s">
        <v>103</v>
      </c>
      <c r="B31" s="268"/>
      <c r="C31" s="3"/>
      <c r="D31" s="21"/>
      <c r="E31" s="150"/>
      <c r="F31" s="403">
        <f t="shared" ref="F31:P31" si="10">SUM(F32:F54)</f>
        <v>37773.869999999995</v>
      </c>
      <c r="G31" s="163">
        <f t="shared" si="10"/>
        <v>37600.119999999995</v>
      </c>
      <c r="H31" s="163">
        <f t="shared" si="10"/>
        <v>74053.09</v>
      </c>
      <c r="I31" s="163">
        <f t="shared" si="10"/>
        <v>37111.61</v>
      </c>
      <c r="J31" s="163">
        <f t="shared" si="10"/>
        <v>52715.719999999994</v>
      </c>
      <c r="K31" s="163">
        <f t="shared" si="10"/>
        <v>33737.32</v>
      </c>
      <c r="L31" s="163">
        <f t="shared" si="10"/>
        <v>78737.52</v>
      </c>
      <c r="M31" s="163">
        <f t="shared" si="10"/>
        <v>35154.68</v>
      </c>
      <c r="N31" s="163">
        <f t="shared" si="10"/>
        <v>61727.199999999997</v>
      </c>
      <c r="O31" s="163">
        <f t="shared" si="10"/>
        <v>30182.66</v>
      </c>
      <c r="P31" s="163">
        <f t="shared" si="10"/>
        <v>59307.360000000001</v>
      </c>
      <c r="Q31" s="163">
        <f t="shared" ref="Q31" si="11">SUM(Q32:Q54)</f>
        <v>43973.020000000004</v>
      </c>
      <c r="R31" s="291">
        <f t="shared" si="7"/>
        <v>582074.17000000004</v>
      </c>
    </row>
    <row r="32" spans="1:18" ht="21" outlineLevel="1">
      <c r="B32" s="269" t="s">
        <v>269</v>
      </c>
      <c r="C32" s="46"/>
      <c r="D32" s="155"/>
      <c r="E32" s="156"/>
      <c r="F32" s="74">
        <v>12134</v>
      </c>
      <c r="G32" s="74">
        <v>12984</v>
      </c>
      <c r="H32" s="74">
        <v>13682</v>
      </c>
      <c r="I32" s="74">
        <v>13500</v>
      </c>
      <c r="J32" s="74">
        <v>13400</v>
      </c>
      <c r="K32" s="74">
        <v>13900</v>
      </c>
      <c r="L32" s="74">
        <v>11400</v>
      </c>
      <c r="M32" s="74">
        <v>12850</v>
      </c>
      <c r="N32" s="74">
        <v>11766</v>
      </c>
      <c r="O32" s="74">
        <v>13850</v>
      </c>
      <c r="P32" s="74">
        <v>15016</v>
      </c>
      <c r="Q32" s="74">
        <f>SUMIF('Linked IS'!$B$3:$B$69,SOMCI!B32,'Linked IS'!$D$3:$D$69)</f>
        <v>14100</v>
      </c>
      <c r="R32" s="165">
        <f t="shared" si="7"/>
        <v>158582</v>
      </c>
    </row>
    <row r="33" spans="2:18" ht="21" outlineLevel="1">
      <c r="B33" s="269" t="s">
        <v>270</v>
      </c>
      <c r="C33" s="46"/>
      <c r="D33" s="155"/>
      <c r="E33" s="156"/>
      <c r="F33" s="75">
        <v>723</v>
      </c>
      <c r="G33" s="75">
        <v>0</v>
      </c>
      <c r="H33" s="75">
        <v>30</v>
      </c>
      <c r="I33" s="75">
        <v>0</v>
      </c>
      <c r="J33" s="75">
        <v>103</v>
      </c>
      <c r="K33" s="75">
        <v>45</v>
      </c>
      <c r="L33" s="75">
        <v>90</v>
      </c>
      <c r="M33" s="75">
        <v>45</v>
      </c>
      <c r="N33" s="75">
        <v>0</v>
      </c>
      <c r="O33" s="75">
        <v>0</v>
      </c>
      <c r="P33" s="75">
        <v>584</v>
      </c>
      <c r="Q33" s="75">
        <f>SUMIF('Linked IS'!$B$3:$B$69,SOMCI!B33,'Linked IS'!$D$3:$D$69)</f>
        <v>0</v>
      </c>
      <c r="R33" s="166">
        <f t="shared" ref="R33:R58" si="12">SUM(F33:Q33)</f>
        <v>1620</v>
      </c>
    </row>
    <row r="34" spans="2:18" ht="21" outlineLevel="1">
      <c r="B34" s="269" t="s">
        <v>271</v>
      </c>
      <c r="C34" s="46"/>
      <c r="D34" s="155"/>
      <c r="E34" s="156"/>
      <c r="F34" s="75">
        <v>0</v>
      </c>
      <c r="G34" s="75">
        <v>0</v>
      </c>
      <c r="H34" s="75">
        <v>0</v>
      </c>
      <c r="I34" s="75">
        <v>0</v>
      </c>
      <c r="J34" s="75">
        <v>0</v>
      </c>
      <c r="K34" s="75">
        <v>27</v>
      </c>
      <c r="L34" s="75">
        <v>0</v>
      </c>
      <c r="M34" s="75">
        <v>0</v>
      </c>
      <c r="N34" s="75">
        <v>0</v>
      </c>
      <c r="O34" s="75">
        <v>0</v>
      </c>
      <c r="P34" s="75">
        <v>0</v>
      </c>
      <c r="Q34" s="75">
        <f>SUMIF('Linked IS'!$B$3:$B$69,SOMCI!B34,'Linked IS'!$D$3:$D$69)</f>
        <v>1200</v>
      </c>
      <c r="R34" s="166">
        <f t="shared" si="12"/>
        <v>1227</v>
      </c>
    </row>
    <row r="35" spans="2:18" ht="21" outlineLevel="1">
      <c r="B35" s="270" t="s">
        <v>272</v>
      </c>
      <c r="C35" s="46"/>
      <c r="D35" s="155"/>
      <c r="E35" s="156"/>
      <c r="F35" s="75">
        <v>0</v>
      </c>
      <c r="G35" s="75">
        <v>0</v>
      </c>
      <c r="H35" s="75">
        <v>0</v>
      </c>
      <c r="I35" s="75">
        <v>0</v>
      </c>
      <c r="J35" s="75">
        <v>0</v>
      </c>
      <c r="K35" s="75">
        <v>0</v>
      </c>
      <c r="L35" s="75">
        <v>0</v>
      </c>
      <c r="M35" s="75">
        <v>0</v>
      </c>
      <c r="N35" s="75">
        <v>0</v>
      </c>
      <c r="O35" s="75">
        <v>0</v>
      </c>
      <c r="P35" s="75">
        <v>0</v>
      </c>
      <c r="Q35" s="75">
        <f>SUMIF('Linked IS'!$B$3:$B$69,SOMCI!B35,'Linked IS'!$D$3:$D$69)</f>
        <v>0</v>
      </c>
      <c r="R35" s="166">
        <f t="shared" ref="R35" si="13">SUM(F35:Q35)</f>
        <v>0</v>
      </c>
    </row>
    <row r="36" spans="2:18" ht="21" outlineLevel="1">
      <c r="B36" s="269" t="s">
        <v>273</v>
      </c>
      <c r="C36" s="46"/>
      <c r="D36" s="155"/>
      <c r="E36" s="156"/>
      <c r="F36" s="75">
        <v>55</v>
      </c>
      <c r="G36" s="75">
        <v>0</v>
      </c>
      <c r="H36" s="75">
        <v>320</v>
      </c>
      <c r="I36" s="75">
        <v>320</v>
      </c>
      <c r="J36" s="75">
        <v>320</v>
      </c>
      <c r="K36" s="75">
        <v>390</v>
      </c>
      <c r="L36" s="75">
        <v>320</v>
      </c>
      <c r="M36" s="75">
        <v>365</v>
      </c>
      <c r="N36" s="75">
        <v>400</v>
      </c>
      <c r="O36" s="75">
        <v>0</v>
      </c>
      <c r="P36" s="75">
        <v>90</v>
      </c>
      <c r="Q36" s="75">
        <f>SUMIF('Linked IS'!$B$3:$B$69,SOMCI!B36,'Linked IS'!$D$3:$D$69)</f>
        <v>0</v>
      </c>
      <c r="R36" s="166">
        <f t="shared" si="12"/>
        <v>2580</v>
      </c>
    </row>
    <row r="37" spans="2:18" ht="21" outlineLevel="1">
      <c r="B37" s="269" t="s">
        <v>274</v>
      </c>
      <c r="C37" s="46"/>
      <c r="D37" s="155"/>
      <c r="E37" s="156"/>
      <c r="F37" s="75">
        <v>976.08</v>
      </c>
      <c r="G37" s="75">
        <v>1288.03</v>
      </c>
      <c r="H37" s="75">
        <v>1349.84</v>
      </c>
      <c r="I37" s="75">
        <v>1305.5899999999999</v>
      </c>
      <c r="J37" s="75">
        <v>1528.97</v>
      </c>
      <c r="K37" s="75">
        <v>0</v>
      </c>
      <c r="L37" s="75">
        <v>703.78</v>
      </c>
      <c r="M37" s="75">
        <v>0</v>
      </c>
      <c r="N37" s="75">
        <v>2777.33</v>
      </c>
      <c r="O37" s="75">
        <v>0</v>
      </c>
      <c r="P37" s="75">
        <v>1377.88</v>
      </c>
      <c r="Q37" s="75">
        <f>SUMIF('Linked IS'!$B$3:$B$69,SOMCI!B37,'Linked IS'!$D$3:$D$69)</f>
        <v>0</v>
      </c>
      <c r="R37" s="166">
        <f t="shared" si="12"/>
        <v>11307.5</v>
      </c>
    </row>
    <row r="38" spans="2:18" ht="21" outlineLevel="1">
      <c r="B38" s="269" t="s">
        <v>281</v>
      </c>
      <c r="C38" s="46"/>
      <c r="D38" s="155"/>
      <c r="E38" s="156"/>
      <c r="F38" s="75">
        <v>2315.25</v>
      </c>
      <c r="G38" s="75">
        <v>3666.84</v>
      </c>
      <c r="H38" s="75">
        <v>2350.71</v>
      </c>
      <c r="I38" s="75">
        <v>2327.41</v>
      </c>
      <c r="J38" s="75">
        <v>2316.29</v>
      </c>
      <c r="K38" s="75">
        <v>0</v>
      </c>
      <c r="L38" s="75">
        <v>2315.25</v>
      </c>
      <c r="M38" s="75">
        <v>0</v>
      </c>
      <c r="N38" s="75">
        <v>8933.91</v>
      </c>
      <c r="O38" s="75">
        <v>0</v>
      </c>
      <c r="P38" s="75">
        <v>4586.57</v>
      </c>
      <c r="Q38" s="75">
        <f>SUMIF('Linked IS'!$B$3:$B$69,SOMCI!B38,'Linked IS'!$D$3:$D$69)</f>
        <v>0</v>
      </c>
      <c r="R38" s="166">
        <f t="shared" si="12"/>
        <v>28812.23</v>
      </c>
    </row>
    <row r="39" spans="2:18" ht="21" outlineLevel="1">
      <c r="B39" s="269" t="s">
        <v>282</v>
      </c>
      <c r="C39" s="46"/>
      <c r="D39" s="155"/>
      <c r="E39" s="156"/>
      <c r="F39" s="75">
        <v>200</v>
      </c>
      <c r="G39" s="75">
        <v>355</v>
      </c>
      <c r="H39" s="75">
        <v>450</v>
      </c>
      <c r="I39" s="75">
        <v>220</v>
      </c>
      <c r="J39" s="75">
        <v>437</v>
      </c>
      <c r="K39" s="75">
        <v>300</v>
      </c>
      <c r="L39" s="75">
        <v>200</v>
      </c>
      <c r="M39" s="75">
        <v>410</v>
      </c>
      <c r="N39" s="75">
        <v>200</v>
      </c>
      <c r="O39" s="75">
        <v>0</v>
      </c>
      <c r="P39" s="75">
        <v>610</v>
      </c>
      <c r="Q39" s="75">
        <f>SUMIF('Linked IS'!$B$3:$B$69,SOMCI!B39,'Linked IS'!$D$3:$D$69)</f>
        <v>0</v>
      </c>
      <c r="R39" s="166">
        <f t="shared" si="12"/>
        <v>3382</v>
      </c>
    </row>
    <row r="40" spans="2:18" ht="21" outlineLevel="1">
      <c r="B40" s="269" t="s">
        <v>490</v>
      </c>
      <c r="C40" s="46"/>
      <c r="D40" s="155"/>
      <c r="E40" s="156"/>
      <c r="F40" s="75">
        <v>0</v>
      </c>
      <c r="G40" s="75">
        <v>0</v>
      </c>
      <c r="H40" s="75">
        <v>0</v>
      </c>
      <c r="I40" s="75">
        <v>0</v>
      </c>
      <c r="J40" s="75">
        <v>0</v>
      </c>
      <c r="K40" s="75">
        <v>0</v>
      </c>
      <c r="L40" s="75">
        <v>0</v>
      </c>
      <c r="M40" s="75">
        <v>0</v>
      </c>
      <c r="N40" s="75">
        <v>0</v>
      </c>
      <c r="O40" s="75">
        <v>0</v>
      </c>
      <c r="P40" s="75">
        <v>1700</v>
      </c>
      <c r="Q40" s="75">
        <f>SUMIF('Linked IS'!$B$3:$B$69,SOMCI!B40,'Linked IS'!$D$3:$D$69)</f>
        <v>200</v>
      </c>
      <c r="R40" s="166">
        <f t="shared" si="12"/>
        <v>1900</v>
      </c>
    </row>
    <row r="41" spans="2:18" ht="21" outlineLevel="1">
      <c r="B41" s="269" t="s">
        <v>434</v>
      </c>
      <c r="C41" s="46"/>
      <c r="D41" s="155"/>
      <c r="E41" s="156"/>
      <c r="F41" s="75">
        <v>3686.62</v>
      </c>
      <c r="G41" s="75">
        <v>3686.62</v>
      </c>
      <c r="H41" s="75">
        <v>3686.62</v>
      </c>
      <c r="I41" s="75">
        <v>3686.62</v>
      </c>
      <c r="J41" s="75">
        <v>3686.62</v>
      </c>
      <c r="K41" s="75">
        <v>3686.62</v>
      </c>
      <c r="L41" s="75">
        <v>3686.62</v>
      </c>
      <c r="M41" s="75">
        <v>3686.62</v>
      </c>
      <c r="N41" s="75">
        <v>3686.62</v>
      </c>
      <c r="O41" s="75">
        <v>3686.62</v>
      </c>
      <c r="P41" s="75">
        <v>3686.62</v>
      </c>
      <c r="Q41" s="75">
        <f>SUMIF('Linked IS'!$B$3:$B$69,SOMCI!B41,'Linked IS'!$D$3:$D$69)</f>
        <v>3795</v>
      </c>
      <c r="R41" s="166">
        <f t="shared" si="12"/>
        <v>44347.82</v>
      </c>
    </row>
    <row r="42" spans="2:18" ht="21" outlineLevel="1">
      <c r="B42" s="269" t="s">
        <v>433</v>
      </c>
      <c r="C42" s="46"/>
      <c r="D42" s="155"/>
      <c r="E42" s="156"/>
      <c r="F42" s="75">
        <v>3243.87</v>
      </c>
      <c r="G42" s="75">
        <v>3274.58</v>
      </c>
      <c r="H42" s="75">
        <v>3302.3</v>
      </c>
      <c r="I42" s="75">
        <v>3289.94</v>
      </c>
      <c r="J42" s="75">
        <v>3258.35</v>
      </c>
      <c r="K42" s="75">
        <v>3776.15</v>
      </c>
      <c r="L42" s="75">
        <v>1723.63</v>
      </c>
      <c r="M42" s="75">
        <v>3989.15</v>
      </c>
      <c r="N42" s="75">
        <v>4404.93</v>
      </c>
      <c r="O42" s="75">
        <v>3989.15</v>
      </c>
      <c r="P42" s="75">
        <v>3989.15</v>
      </c>
      <c r="Q42" s="75">
        <f>SUMIF('Linked IS'!$B$3:$B$69,SOMCI!B42,'Linked IS'!$D$3:$D$69)</f>
        <v>3989.15</v>
      </c>
      <c r="R42" s="166">
        <f t="shared" si="12"/>
        <v>42230.350000000006</v>
      </c>
    </row>
    <row r="43" spans="2:18" ht="21" outlineLevel="1">
      <c r="B43" s="269" t="s">
        <v>275</v>
      </c>
      <c r="C43" s="46"/>
      <c r="D43" s="155"/>
      <c r="E43" s="156"/>
      <c r="F43" s="75">
        <v>2567.14</v>
      </c>
      <c r="G43" s="75">
        <v>2567.14</v>
      </c>
      <c r="H43" s="75">
        <v>2567.14</v>
      </c>
      <c r="I43" s="75">
        <v>2567.14</v>
      </c>
      <c r="J43" s="75">
        <v>2567.14</v>
      </c>
      <c r="K43" s="75">
        <v>2567.14</v>
      </c>
      <c r="L43" s="75">
        <v>2567.14</v>
      </c>
      <c r="M43" s="75">
        <v>2567.14</v>
      </c>
      <c r="N43" s="75">
        <v>2567.14</v>
      </c>
      <c r="O43" s="75">
        <v>2567.14</v>
      </c>
      <c r="P43" s="75">
        <v>2567.14</v>
      </c>
      <c r="Q43" s="75">
        <f>SUMIF('Linked IS'!$B$3:$B$69,SOMCI!B43,'Linked IS'!$D$3:$D$69)</f>
        <v>3267.14</v>
      </c>
      <c r="R43" s="166">
        <f t="shared" si="12"/>
        <v>31505.679999999997</v>
      </c>
    </row>
    <row r="44" spans="2:18" ht="21" outlineLevel="1">
      <c r="B44" s="269" t="s">
        <v>276</v>
      </c>
      <c r="C44" s="46"/>
      <c r="D44" s="155"/>
      <c r="E44" s="156"/>
      <c r="F44" s="75">
        <v>3000</v>
      </c>
      <c r="G44" s="75">
        <v>0</v>
      </c>
      <c r="H44" s="75">
        <v>0</v>
      </c>
      <c r="I44" s="75">
        <v>2600</v>
      </c>
      <c r="J44" s="75">
        <v>0</v>
      </c>
      <c r="K44" s="75">
        <v>0</v>
      </c>
      <c r="L44" s="75">
        <v>0</v>
      </c>
      <c r="M44" s="75">
        <v>1300</v>
      </c>
      <c r="N44" s="75">
        <v>0</v>
      </c>
      <c r="O44" s="75">
        <v>0</v>
      </c>
      <c r="P44" s="75">
        <v>1300</v>
      </c>
      <c r="Q44" s="75">
        <f>SUMIF('Linked IS'!$B$3:$B$69,SOMCI!B44,'Linked IS'!$D$3:$D$69)</f>
        <v>6000</v>
      </c>
      <c r="R44" s="166">
        <f t="shared" si="12"/>
        <v>14200</v>
      </c>
    </row>
    <row r="45" spans="2:18" ht="21" outlineLevel="1">
      <c r="B45" s="269" t="s">
        <v>277</v>
      </c>
      <c r="C45" s="46"/>
      <c r="D45" s="155"/>
      <c r="E45" s="156"/>
      <c r="F45" s="75">
        <v>450</v>
      </c>
      <c r="G45" s="75">
        <v>450</v>
      </c>
      <c r="H45" s="75">
        <v>450</v>
      </c>
      <c r="I45" s="75">
        <v>450</v>
      </c>
      <c r="J45" s="75">
        <v>650</v>
      </c>
      <c r="K45" s="75">
        <v>600</v>
      </c>
      <c r="L45" s="75">
        <v>600</v>
      </c>
      <c r="M45" s="75">
        <v>600</v>
      </c>
      <c r="N45" s="75">
        <v>600</v>
      </c>
      <c r="O45" s="75">
        <v>0</v>
      </c>
      <c r="P45" s="75">
        <v>1350</v>
      </c>
      <c r="Q45" s="75">
        <f>SUMIF('Linked IS'!$B$3:$B$69,SOMCI!B45,'Linked IS'!$D$3:$D$69)</f>
        <v>0</v>
      </c>
      <c r="R45" s="166">
        <f t="shared" si="12"/>
        <v>6200</v>
      </c>
    </row>
    <row r="46" spans="2:18" ht="21" outlineLevel="1">
      <c r="B46" s="269" t="s">
        <v>278</v>
      </c>
      <c r="C46" s="46"/>
      <c r="D46" s="155"/>
      <c r="E46" s="156"/>
      <c r="F46" s="75">
        <v>1077.7</v>
      </c>
      <c r="G46" s="75">
        <v>1077.7</v>
      </c>
      <c r="H46" s="75">
        <v>1077.7</v>
      </c>
      <c r="I46" s="75">
        <v>1077.7</v>
      </c>
      <c r="J46" s="75">
        <v>1077.7</v>
      </c>
      <c r="K46" s="75">
        <v>1077.7</v>
      </c>
      <c r="L46" s="75">
        <v>1078</v>
      </c>
      <c r="M46" s="75">
        <v>1078</v>
      </c>
      <c r="N46" s="75">
        <v>1078</v>
      </c>
      <c r="O46" s="75">
        <v>1078</v>
      </c>
      <c r="P46" s="75">
        <v>1078</v>
      </c>
      <c r="Q46" s="75">
        <f>SUMIF('Linked IS'!$B$3:$B$69,SOMCI!B46,'Linked IS'!$D$3:$D$69)</f>
        <v>1078</v>
      </c>
      <c r="R46" s="166">
        <f t="shared" si="12"/>
        <v>12934.2</v>
      </c>
    </row>
    <row r="47" spans="2:18" ht="21" outlineLevel="1">
      <c r="B47" s="269" t="s">
        <v>279</v>
      </c>
      <c r="C47" s="46"/>
      <c r="D47" s="155"/>
      <c r="E47" s="156"/>
      <c r="F47" s="75">
        <v>100</v>
      </c>
      <c r="G47" s="75">
        <v>100</v>
      </c>
      <c r="H47" s="75">
        <v>100</v>
      </c>
      <c r="I47" s="75">
        <v>100</v>
      </c>
      <c r="J47" s="75">
        <v>100</v>
      </c>
      <c r="K47" s="75">
        <v>150</v>
      </c>
      <c r="L47" s="75">
        <v>150</v>
      </c>
      <c r="M47" s="75">
        <v>150</v>
      </c>
      <c r="N47" s="75">
        <v>150</v>
      </c>
      <c r="O47" s="75">
        <v>0</v>
      </c>
      <c r="P47" s="75">
        <v>0</v>
      </c>
      <c r="Q47" s="75">
        <f>SUMIF('Linked IS'!$B$3:$B$69,SOMCI!B47,'Linked IS'!$D$3:$D$69)</f>
        <v>0</v>
      </c>
      <c r="R47" s="166">
        <f t="shared" si="12"/>
        <v>1100</v>
      </c>
    </row>
    <row r="48" spans="2:18" ht="21" outlineLevel="1">
      <c r="B48" s="269" t="s">
        <v>283</v>
      </c>
      <c r="C48" s="46"/>
      <c r="D48" s="155"/>
      <c r="E48" s="156"/>
      <c r="F48" s="75">
        <v>995.21</v>
      </c>
      <c r="G48" s="75">
        <v>995.21</v>
      </c>
      <c r="H48" s="75">
        <v>995.21</v>
      </c>
      <c r="I48" s="75">
        <v>995.21</v>
      </c>
      <c r="J48" s="75">
        <v>995.21</v>
      </c>
      <c r="K48" s="75">
        <v>995.21</v>
      </c>
      <c r="L48" s="75">
        <v>1784</v>
      </c>
      <c r="M48" s="75">
        <v>1784</v>
      </c>
      <c r="N48" s="75">
        <v>1784</v>
      </c>
      <c r="O48" s="75">
        <v>1784</v>
      </c>
      <c r="P48" s="75">
        <v>1784</v>
      </c>
      <c r="Q48" s="75">
        <f>SUMIF('Linked IS'!$B$3:$B$69,SOMCI!B48,'Linked IS'!$D$3:$D$69)</f>
        <v>1784</v>
      </c>
      <c r="R48" s="166">
        <f t="shared" si="12"/>
        <v>16675.260000000002</v>
      </c>
    </row>
    <row r="49" spans="1:18" ht="21" outlineLevel="1">
      <c r="B49" s="269" t="s">
        <v>284</v>
      </c>
      <c r="C49" s="46"/>
      <c r="D49" s="155"/>
      <c r="E49" s="156"/>
      <c r="F49" s="75">
        <v>1050</v>
      </c>
      <c r="G49" s="75">
        <v>0</v>
      </c>
      <c r="H49" s="75">
        <v>656.57</v>
      </c>
      <c r="I49" s="75">
        <v>0</v>
      </c>
      <c r="J49" s="75">
        <v>683.44</v>
      </c>
      <c r="K49" s="75">
        <v>0</v>
      </c>
      <c r="L49" s="75">
        <v>0</v>
      </c>
      <c r="M49" s="75">
        <v>0</v>
      </c>
      <c r="N49" s="75">
        <v>0</v>
      </c>
      <c r="O49" s="75">
        <v>0</v>
      </c>
      <c r="P49" s="75">
        <v>0</v>
      </c>
      <c r="Q49" s="75">
        <f>SUMIF('Linked IS'!$B$3:$B$69,SOMCI!B49,'Linked IS'!$D$3:$D$69)</f>
        <v>1559.73</v>
      </c>
      <c r="R49" s="166">
        <f t="shared" si="12"/>
        <v>3949.7400000000002</v>
      </c>
    </row>
    <row r="50" spans="1:18" ht="21" outlineLevel="1">
      <c r="B50" s="269" t="s">
        <v>454</v>
      </c>
      <c r="C50" s="46"/>
      <c r="D50" s="155"/>
      <c r="E50" s="156"/>
      <c r="F50" s="75">
        <v>0</v>
      </c>
      <c r="G50" s="75">
        <v>0</v>
      </c>
      <c r="H50" s="75">
        <v>35193</v>
      </c>
      <c r="I50" s="75">
        <v>0</v>
      </c>
      <c r="J50" s="75">
        <v>16940</v>
      </c>
      <c r="K50" s="75">
        <v>0</v>
      </c>
      <c r="L50" s="75">
        <v>16940</v>
      </c>
      <c r="M50" s="75">
        <v>0</v>
      </c>
      <c r="N50" s="75">
        <v>16940</v>
      </c>
      <c r="O50" s="75">
        <v>0</v>
      </c>
      <c r="P50" s="75">
        <v>16940</v>
      </c>
      <c r="Q50" s="75">
        <f>'Linked IS'!D60</f>
        <v>0</v>
      </c>
      <c r="R50" s="166">
        <f t="shared" si="12"/>
        <v>102953</v>
      </c>
    </row>
    <row r="51" spans="1:18" ht="21" outlineLevel="1">
      <c r="B51" s="269" t="s">
        <v>285</v>
      </c>
      <c r="C51" s="46"/>
      <c r="D51" s="155"/>
      <c r="E51" s="156"/>
      <c r="F51" s="75">
        <v>2500</v>
      </c>
      <c r="G51" s="75">
        <v>5155</v>
      </c>
      <c r="H51" s="75">
        <v>5842</v>
      </c>
      <c r="I51" s="75">
        <v>2672</v>
      </c>
      <c r="J51" s="75">
        <v>2652</v>
      </c>
      <c r="K51" s="75">
        <v>3237.5</v>
      </c>
      <c r="L51" s="75">
        <v>31983</v>
      </c>
      <c r="M51" s="75">
        <v>3489.5</v>
      </c>
      <c r="N51" s="75">
        <v>160</v>
      </c>
      <c r="O51" s="75">
        <v>0</v>
      </c>
      <c r="P51" s="75">
        <v>648</v>
      </c>
      <c r="Q51" s="75">
        <f>SUMIF('Linked IS'!$B$3:$B$69,SOMCI!B51,'Linked IS'!$D$3:$D$69)</f>
        <v>5000</v>
      </c>
      <c r="R51" s="166">
        <f t="shared" si="12"/>
        <v>63339</v>
      </c>
    </row>
    <row r="52" spans="1:18" ht="21" outlineLevel="1">
      <c r="B52" s="269" t="s">
        <v>472</v>
      </c>
      <c r="C52" s="46"/>
      <c r="D52" s="155"/>
      <c r="E52" s="156"/>
      <c r="F52" s="75"/>
      <c r="G52" s="75"/>
      <c r="H52" s="75"/>
      <c r="I52" s="75"/>
      <c r="J52" s="75"/>
      <c r="K52" s="75"/>
      <c r="L52" s="75">
        <v>-153.9</v>
      </c>
      <c r="M52" s="75">
        <v>-34.729999999999997</v>
      </c>
      <c r="N52" s="75">
        <v>-130.72999999999999</v>
      </c>
      <c r="O52" s="75">
        <v>-2.25</v>
      </c>
      <c r="P52" s="75">
        <v>0</v>
      </c>
      <c r="Q52" s="75">
        <f>SUMIF('Linked IS'!$B$3:$B$69,SOMCI!B52,'Linked IS'!$D$3:$D$69)</f>
        <v>0</v>
      </c>
      <c r="R52" s="166">
        <f t="shared" si="12"/>
        <v>-321.61</v>
      </c>
    </row>
    <row r="53" spans="1:18" ht="21" outlineLevel="1">
      <c r="B53" s="269" t="s">
        <v>286</v>
      </c>
      <c r="C53" s="46"/>
      <c r="D53" s="155"/>
      <c r="E53" s="156"/>
      <c r="F53" s="75">
        <v>2000</v>
      </c>
      <c r="G53" s="75">
        <v>2000</v>
      </c>
      <c r="H53" s="75">
        <v>2000</v>
      </c>
      <c r="I53" s="75">
        <v>2000</v>
      </c>
      <c r="J53" s="75">
        <v>2000</v>
      </c>
      <c r="K53" s="75">
        <v>2000</v>
      </c>
      <c r="L53" s="75">
        <v>2000</v>
      </c>
      <c r="M53" s="75">
        <v>2000</v>
      </c>
      <c r="N53" s="75">
        <v>2000</v>
      </c>
      <c r="O53" s="75">
        <v>2000</v>
      </c>
      <c r="P53" s="75">
        <v>2000</v>
      </c>
      <c r="Q53" s="75">
        <f>SUMIF('Linked IS'!$B$3:$B$69,SOMCI!B53,'Linked IS'!$D$3:$D$69)</f>
        <v>2000</v>
      </c>
      <c r="R53" s="166">
        <f t="shared" si="12"/>
        <v>24000</v>
      </c>
    </row>
    <row r="54" spans="1:18" ht="15.6" outlineLevel="1">
      <c r="B54" s="269" t="s">
        <v>287</v>
      </c>
      <c r="C54" s="46"/>
      <c r="D54" s="21"/>
      <c r="E54" s="31"/>
      <c r="F54" s="75">
        <v>700</v>
      </c>
      <c r="G54" s="75">
        <v>0</v>
      </c>
      <c r="H54" s="75">
        <v>0</v>
      </c>
      <c r="I54" s="75">
        <v>0</v>
      </c>
      <c r="J54" s="75">
        <v>0</v>
      </c>
      <c r="K54" s="75">
        <v>985</v>
      </c>
      <c r="L54" s="75">
        <v>1350</v>
      </c>
      <c r="M54" s="75">
        <v>875</v>
      </c>
      <c r="N54" s="75">
        <v>4410</v>
      </c>
      <c r="O54" s="75">
        <v>1230</v>
      </c>
      <c r="P54" s="75">
        <v>0</v>
      </c>
      <c r="Q54" s="75">
        <f>SUMIF('Linked IS'!$B$3:$B$69,SOMCI!B54,'Linked IS'!$D$3:$D$69)</f>
        <v>0</v>
      </c>
      <c r="R54" s="166">
        <f t="shared" si="12"/>
        <v>9550</v>
      </c>
    </row>
    <row r="55" spans="1:18" ht="21">
      <c r="A55" s="275" t="s">
        <v>288</v>
      </c>
      <c r="B55" s="268"/>
      <c r="C55" s="3"/>
      <c r="D55" s="21"/>
      <c r="E55" s="150"/>
      <c r="F55" s="403">
        <f t="shared" ref="F55:P55" si="14">SUM(F56:F58)</f>
        <v>367.05</v>
      </c>
      <c r="G55" s="163">
        <f t="shared" si="14"/>
        <v>280.33000000000004</v>
      </c>
      <c r="H55" s="163">
        <f t="shared" si="14"/>
        <v>296.10000000000002</v>
      </c>
      <c r="I55" s="163">
        <f t="shared" si="14"/>
        <v>1565.22</v>
      </c>
      <c r="J55" s="163">
        <f t="shared" si="14"/>
        <v>885.2</v>
      </c>
      <c r="K55" s="163">
        <f t="shared" si="14"/>
        <v>2422.6999999999998</v>
      </c>
      <c r="L55" s="163">
        <f t="shared" si="14"/>
        <v>5393.45</v>
      </c>
      <c r="M55" s="163">
        <f t="shared" si="14"/>
        <v>390.65</v>
      </c>
      <c r="N55" s="163">
        <f t="shared" si="14"/>
        <v>1093.45</v>
      </c>
      <c r="O55" s="163">
        <f t="shared" si="14"/>
        <v>274.91999999999996</v>
      </c>
      <c r="P55" s="163">
        <f t="shared" si="14"/>
        <v>876.25</v>
      </c>
      <c r="Q55" s="163">
        <f>SUM(Q56:Q58)</f>
        <v>238.35</v>
      </c>
      <c r="R55" s="164">
        <f t="shared" si="12"/>
        <v>14083.67</v>
      </c>
    </row>
    <row r="56" spans="1:18" ht="21" outlineLevel="1">
      <c r="B56" s="269" t="s">
        <v>289</v>
      </c>
      <c r="C56" s="46"/>
      <c r="D56" s="155"/>
      <c r="E56" s="156"/>
      <c r="F56" s="75">
        <v>262.05</v>
      </c>
      <c r="G56" s="75">
        <v>175.33</v>
      </c>
      <c r="H56" s="75">
        <v>185.85</v>
      </c>
      <c r="I56" s="75">
        <v>857.47</v>
      </c>
      <c r="J56" s="75">
        <v>754.95</v>
      </c>
      <c r="K56" s="75">
        <v>492.45</v>
      </c>
      <c r="L56" s="75">
        <v>258.45</v>
      </c>
      <c r="M56" s="75">
        <v>265.64999999999998</v>
      </c>
      <c r="N56" s="75">
        <v>906.45</v>
      </c>
      <c r="O56" s="75">
        <v>217.17</v>
      </c>
      <c r="P56" s="75">
        <v>653.25</v>
      </c>
      <c r="Q56" s="75">
        <f>SUMIF('Linked IS'!$B$3:$B$69,SOMCI!B56,'Linked IS'!$D$3:$D$69)</f>
        <v>175.35</v>
      </c>
      <c r="R56" s="166">
        <f t="shared" si="12"/>
        <v>5204.42</v>
      </c>
    </row>
    <row r="57" spans="1:18" ht="21" outlineLevel="1">
      <c r="B57" s="269" t="s">
        <v>290</v>
      </c>
      <c r="C57" s="46"/>
      <c r="D57" s="155"/>
      <c r="E57" s="156"/>
      <c r="F57" s="75">
        <v>105</v>
      </c>
      <c r="G57" s="75">
        <v>105</v>
      </c>
      <c r="H57" s="75">
        <v>110.25</v>
      </c>
      <c r="I57" s="75">
        <v>130.25</v>
      </c>
      <c r="J57" s="75">
        <v>130.25</v>
      </c>
      <c r="K57" s="75">
        <v>130.25</v>
      </c>
      <c r="L57" s="75">
        <v>125</v>
      </c>
      <c r="M57" s="75">
        <v>125</v>
      </c>
      <c r="N57" s="75">
        <v>187</v>
      </c>
      <c r="O57" s="75">
        <v>57.75</v>
      </c>
      <c r="P57" s="75">
        <v>223</v>
      </c>
      <c r="Q57" s="75">
        <f>SUMIF('Linked IS'!$B$3:$B$69,SOMCI!B57,'Linked IS'!$D$3:$D$69)</f>
        <v>63</v>
      </c>
      <c r="R57" s="166">
        <f t="shared" si="12"/>
        <v>1491.75</v>
      </c>
    </row>
    <row r="58" spans="1:18" ht="21" outlineLevel="1">
      <c r="B58" s="269" t="s">
        <v>292</v>
      </c>
      <c r="C58" s="46"/>
      <c r="D58" s="155"/>
      <c r="E58" s="156"/>
      <c r="F58" s="75">
        <v>0</v>
      </c>
      <c r="G58" s="75">
        <v>0</v>
      </c>
      <c r="H58" s="75">
        <v>0</v>
      </c>
      <c r="I58" s="75">
        <v>577.5</v>
      </c>
      <c r="J58" s="75">
        <v>0</v>
      </c>
      <c r="K58" s="75">
        <v>1800</v>
      </c>
      <c r="L58" s="75">
        <v>5010</v>
      </c>
      <c r="M58" s="75">
        <v>0</v>
      </c>
      <c r="N58" s="75">
        <v>0</v>
      </c>
      <c r="O58" s="75">
        <v>0</v>
      </c>
      <c r="P58" s="75">
        <v>0</v>
      </c>
      <c r="Q58" s="75">
        <f>SUMIF('Linked IS'!$B$3:$B$69,SOMCI!B58,'Linked IS'!$D$3:$D$69)</f>
        <v>0</v>
      </c>
      <c r="R58" s="166">
        <f t="shared" si="12"/>
        <v>7387.5</v>
      </c>
    </row>
    <row r="59" spans="1:18" s="47" customFormat="1" ht="15.6">
      <c r="A59" s="47" t="s">
        <v>112</v>
      </c>
      <c r="B59" s="276"/>
      <c r="C59" s="168"/>
      <c r="D59" s="33"/>
      <c r="E59" s="169"/>
      <c r="F59" s="170">
        <f t="shared" ref="F59:P59" si="15">+F11-F18-F23-F31-F55</f>
        <v>-32117.420000000016</v>
      </c>
      <c r="G59" s="171">
        <f t="shared" si="15"/>
        <v>-31721.020000000004</v>
      </c>
      <c r="H59" s="171">
        <f t="shared" si="15"/>
        <v>-52311.6</v>
      </c>
      <c r="I59" s="171">
        <f t="shared" si="15"/>
        <v>-34384.339999999997</v>
      </c>
      <c r="J59" s="171">
        <f t="shared" si="15"/>
        <v>-12443.469999999983</v>
      </c>
      <c r="K59" s="171">
        <f t="shared" si="15"/>
        <v>-24490.180000000004</v>
      </c>
      <c r="L59" s="171">
        <f t="shared" si="15"/>
        <v>-98253.130000000019</v>
      </c>
      <c r="M59" s="171">
        <f t="shared" si="15"/>
        <v>-34068.700000000004</v>
      </c>
      <c r="N59" s="171">
        <f t="shared" si="15"/>
        <v>-77830.460000000006</v>
      </c>
      <c r="O59" s="171">
        <f t="shared" si="15"/>
        <v>-49323.799999999988</v>
      </c>
      <c r="P59" s="171">
        <f t="shared" si="15"/>
        <v>-73557.41</v>
      </c>
      <c r="Q59" s="171">
        <f>+Q11-Q18-Q23-Q31-Q55</f>
        <v>-73376.170000000013</v>
      </c>
      <c r="R59" s="172">
        <f>+R11-R18-R23-R31-R55</f>
        <v>-593877.70000000042</v>
      </c>
    </row>
    <row r="60" spans="1:18" s="47" customFormat="1" ht="15.6">
      <c r="B60" s="276" t="s">
        <v>113</v>
      </c>
      <c r="C60" s="168"/>
      <c r="D60" s="33"/>
      <c r="E60" s="169"/>
      <c r="F60" s="404"/>
      <c r="G60" s="77"/>
      <c r="H60" s="77"/>
      <c r="I60" s="77"/>
      <c r="J60" s="77"/>
      <c r="K60" s="77"/>
      <c r="L60" s="77"/>
      <c r="M60" s="77"/>
      <c r="N60" s="77"/>
      <c r="O60" s="77"/>
      <c r="P60" s="77"/>
      <c r="Q60" s="77"/>
      <c r="R60" s="173"/>
    </row>
    <row r="61" spans="1:18" s="47" customFormat="1" ht="15.6">
      <c r="A61" s="47" t="s">
        <v>114</v>
      </c>
      <c r="B61" s="276"/>
      <c r="C61" s="168"/>
      <c r="D61" s="33"/>
      <c r="E61" s="169"/>
      <c r="F61" s="170">
        <f t="shared" ref="F61:P61" si="16">+F59-F60</f>
        <v>-32117.420000000016</v>
      </c>
      <c r="G61" s="171">
        <f t="shared" si="16"/>
        <v>-31721.020000000004</v>
      </c>
      <c r="H61" s="171">
        <f t="shared" si="16"/>
        <v>-52311.6</v>
      </c>
      <c r="I61" s="171">
        <f t="shared" si="16"/>
        <v>-34384.339999999997</v>
      </c>
      <c r="J61" s="171">
        <f t="shared" si="16"/>
        <v>-12443.469999999983</v>
      </c>
      <c r="K61" s="171">
        <f t="shared" si="16"/>
        <v>-24490.180000000004</v>
      </c>
      <c r="L61" s="171">
        <f t="shared" si="16"/>
        <v>-98253.130000000019</v>
      </c>
      <c r="M61" s="171">
        <f t="shared" si="16"/>
        <v>-34068.700000000004</v>
      </c>
      <c r="N61" s="171">
        <f t="shared" si="16"/>
        <v>-77830.460000000006</v>
      </c>
      <c r="O61" s="171">
        <f t="shared" si="16"/>
        <v>-49323.799999999988</v>
      </c>
      <c r="P61" s="171">
        <f t="shared" si="16"/>
        <v>-73557.41</v>
      </c>
      <c r="Q61" s="171">
        <f t="shared" ref="Q61:R61" si="17">+Q59-Q60</f>
        <v>-73376.170000000013</v>
      </c>
      <c r="R61" s="172">
        <f t="shared" si="17"/>
        <v>-593877.70000000042</v>
      </c>
    </row>
    <row r="62" spans="1:18" s="47" customFormat="1" ht="15.6">
      <c r="B62" s="269" t="s">
        <v>435</v>
      </c>
      <c r="C62" s="168"/>
      <c r="D62" s="33"/>
      <c r="E62" s="169"/>
      <c r="F62" s="405"/>
      <c r="G62" s="406">
        <v>1100</v>
      </c>
      <c r="H62" s="406">
        <v>1100</v>
      </c>
      <c r="I62" s="406">
        <v>1100</v>
      </c>
      <c r="J62" s="406">
        <v>1100</v>
      </c>
      <c r="K62" s="406">
        <v>1100</v>
      </c>
      <c r="L62" s="406">
        <v>1100</v>
      </c>
      <c r="M62" s="406">
        <v>1100</v>
      </c>
      <c r="N62" s="406">
        <v>1100</v>
      </c>
      <c r="O62" s="406">
        <v>1100</v>
      </c>
      <c r="P62" s="406">
        <v>1100</v>
      </c>
      <c r="Q62" s="373">
        <f>SUMIF('Linked IS'!$B$3:$B$69,SOMCI!B62,'Linked IS'!$D$3:$D$69)</f>
        <v>0</v>
      </c>
      <c r="R62" s="173">
        <f t="shared" ref="R62:R64" si="18">SUM(F62:Q62)</f>
        <v>11000</v>
      </c>
    </row>
    <row r="63" spans="1:18" s="47" customFormat="1" ht="15.6">
      <c r="A63" s="47" t="s">
        <v>171</v>
      </c>
      <c r="B63" s="276"/>
      <c r="C63" s="168"/>
      <c r="D63" s="33"/>
      <c r="E63" s="169"/>
      <c r="F63" s="170">
        <f t="shared" ref="F63:P63" si="19">+F61-F62</f>
        <v>-32117.420000000016</v>
      </c>
      <c r="G63" s="171">
        <f t="shared" si="19"/>
        <v>-32821.020000000004</v>
      </c>
      <c r="H63" s="171">
        <f t="shared" si="19"/>
        <v>-53411.6</v>
      </c>
      <c r="I63" s="171">
        <f t="shared" si="19"/>
        <v>-35484.339999999997</v>
      </c>
      <c r="J63" s="171">
        <f t="shared" si="19"/>
        <v>-13543.469999999983</v>
      </c>
      <c r="K63" s="171">
        <f t="shared" si="19"/>
        <v>-25590.180000000004</v>
      </c>
      <c r="L63" s="171">
        <f t="shared" si="19"/>
        <v>-99353.130000000019</v>
      </c>
      <c r="M63" s="171">
        <f t="shared" si="19"/>
        <v>-35168.700000000004</v>
      </c>
      <c r="N63" s="171">
        <f t="shared" si="19"/>
        <v>-78930.460000000006</v>
      </c>
      <c r="O63" s="171">
        <f t="shared" si="19"/>
        <v>-50423.799999999988</v>
      </c>
      <c r="P63" s="171">
        <f t="shared" si="19"/>
        <v>-74657.41</v>
      </c>
      <c r="Q63" s="171">
        <f t="shared" ref="Q63" si="20">+Q61-Q62</f>
        <v>-73376.170000000013</v>
      </c>
      <c r="R63" s="172">
        <f>+R61-R62</f>
        <v>-604877.70000000042</v>
      </c>
    </row>
    <row r="64" spans="1:18" s="47" customFormat="1" ht="15.6">
      <c r="B64" s="276" t="s">
        <v>293</v>
      </c>
      <c r="C64" s="168"/>
      <c r="D64" s="33"/>
      <c r="E64" s="169"/>
      <c r="F64" s="405">
        <v>0</v>
      </c>
      <c r="G64" s="406">
        <v>0</v>
      </c>
      <c r="H64" s="406">
        <v>0</v>
      </c>
      <c r="I64" s="406">
        <v>0</v>
      </c>
      <c r="J64" s="406">
        <v>0</v>
      </c>
      <c r="K64" s="406">
        <v>0</v>
      </c>
      <c r="L64" s="406">
        <v>0</v>
      </c>
      <c r="M64" s="406">
        <v>262.5</v>
      </c>
      <c r="N64" s="406">
        <v>0</v>
      </c>
      <c r="O64" s="406">
        <v>0</v>
      </c>
      <c r="P64" s="406">
        <v>0</v>
      </c>
      <c r="Q64" s="77">
        <f>SUMIF('Linked IS'!$B$3:$B$69,SOMCI!B64,'Linked IS'!$D$3:$D$69)</f>
        <v>0</v>
      </c>
      <c r="R64" s="173">
        <f t="shared" si="18"/>
        <v>262.5</v>
      </c>
    </row>
    <row r="65" spans="1:18" s="47" customFormat="1" ht="15.6">
      <c r="A65" s="47" t="s">
        <v>17</v>
      </c>
      <c r="B65" s="276"/>
      <c r="C65" s="168"/>
      <c r="D65" s="33"/>
      <c r="E65" s="169"/>
      <c r="F65" s="174">
        <f t="shared" ref="F65:P65" si="21">+F63+F64</f>
        <v>-32117.420000000016</v>
      </c>
      <c r="G65" s="174">
        <f t="shared" si="21"/>
        <v>-32821.020000000004</v>
      </c>
      <c r="H65" s="174">
        <f t="shared" si="21"/>
        <v>-53411.6</v>
      </c>
      <c r="I65" s="174">
        <f t="shared" si="21"/>
        <v>-35484.339999999997</v>
      </c>
      <c r="J65" s="174">
        <f t="shared" si="21"/>
        <v>-13543.469999999983</v>
      </c>
      <c r="K65" s="174">
        <f t="shared" si="21"/>
        <v>-25590.180000000004</v>
      </c>
      <c r="L65" s="174">
        <f t="shared" si="21"/>
        <v>-99353.130000000019</v>
      </c>
      <c r="M65" s="174">
        <f t="shared" si="21"/>
        <v>-34906.200000000004</v>
      </c>
      <c r="N65" s="174">
        <f t="shared" si="21"/>
        <v>-78930.460000000006</v>
      </c>
      <c r="O65" s="174">
        <f t="shared" si="21"/>
        <v>-50423.799999999988</v>
      </c>
      <c r="P65" s="174">
        <f t="shared" si="21"/>
        <v>-74657.41</v>
      </c>
      <c r="Q65" s="174">
        <f>+Q63+Q64</f>
        <v>-73376.170000000013</v>
      </c>
      <c r="R65" s="174">
        <f t="shared" ref="R65" si="22">+R63+R64</f>
        <v>-604615.20000000042</v>
      </c>
    </row>
    <row r="66" spans="1:18" s="47" customFormat="1" ht="15.6">
      <c r="A66" s="167"/>
      <c r="B66" s="168"/>
      <c r="C66" s="168"/>
      <c r="D66" s="33"/>
      <c r="E66" s="169"/>
      <c r="F66" s="174"/>
      <c r="G66" s="174"/>
      <c r="H66" s="174"/>
      <c r="I66" s="174"/>
      <c r="J66" s="174"/>
      <c r="K66" s="174"/>
      <c r="L66" s="174"/>
      <c r="M66" s="174"/>
      <c r="N66" s="174"/>
      <c r="O66" s="174"/>
      <c r="P66" s="174"/>
      <c r="Q66" s="174"/>
      <c r="R66" s="174"/>
    </row>
    <row r="67" spans="1:18" ht="15.6">
      <c r="D67" s="21"/>
      <c r="E67" s="150"/>
      <c r="F67" s="175"/>
      <c r="G67" s="175"/>
      <c r="H67" s="175"/>
      <c r="I67" s="175"/>
      <c r="J67" s="175"/>
      <c r="K67" s="175"/>
      <c r="L67" s="175"/>
      <c r="M67" s="175"/>
      <c r="N67" s="175"/>
      <c r="O67" s="175"/>
      <c r="P67" s="175"/>
      <c r="Q67" s="175"/>
      <c r="R67" s="175"/>
    </row>
    <row r="68" spans="1:18">
      <c r="F68" s="176"/>
      <c r="G68" s="176"/>
      <c r="H68" s="176"/>
      <c r="I68" s="176"/>
      <c r="J68" s="176"/>
      <c r="K68" s="176"/>
      <c r="L68" s="176"/>
      <c r="M68" s="176"/>
      <c r="N68" s="176"/>
      <c r="O68" s="176"/>
      <c r="P68" s="176"/>
      <c r="Q68" s="176"/>
      <c r="R68" s="176"/>
    </row>
    <row r="69" spans="1:18">
      <c r="F69" s="176"/>
      <c r="G69" s="176"/>
      <c r="H69" s="176"/>
      <c r="I69" s="176"/>
      <c r="J69" s="176"/>
      <c r="K69" s="176"/>
      <c r="L69" s="176"/>
      <c r="M69" s="176"/>
      <c r="N69" s="176"/>
      <c r="O69" s="176"/>
      <c r="P69" s="176"/>
      <c r="Q69" s="176"/>
      <c r="R69" s="176"/>
    </row>
    <row r="70" spans="1:18">
      <c r="F70" s="176"/>
      <c r="G70" s="176"/>
      <c r="H70" s="176"/>
      <c r="I70" s="176"/>
      <c r="J70" s="176"/>
      <c r="K70" s="176"/>
      <c r="L70" s="176"/>
      <c r="M70" s="176"/>
      <c r="N70" s="176"/>
      <c r="O70" s="176"/>
      <c r="P70" s="176"/>
      <c r="Q70" s="176"/>
      <c r="R70" s="176"/>
    </row>
    <row r="71" spans="1:18">
      <c r="F71" s="176"/>
      <c r="G71" s="176"/>
      <c r="H71" s="176"/>
      <c r="I71" s="176"/>
      <c r="J71" s="176"/>
      <c r="K71" s="176"/>
      <c r="L71" s="176"/>
      <c r="M71" s="176"/>
      <c r="N71" s="176"/>
      <c r="O71" s="176"/>
      <c r="P71" s="176"/>
      <c r="Q71" s="176"/>
      <c r="R71" s="176"/>
    </row>
    <row r="72" spans="1:18">
      <c r="F72" s="176"/>
      <c r="G72" s="176"/>
      <c r="H72" s="176"/>
      <c r="I72" s="176"/>
      <c r="J72" s="176"/>
      <c r="K72" s="176"/>
      <c r="L72" s="176"/>
      <c r="M72" s="176"/>
      <c r="N72" s="176"/>
      <c r="O72" s="176"/>
      <c r="P72" s="176"/>
      <c r="Q72" s="176"/>
      <c r="R72" s="176"/>
    </row>
    <row r="73" spans="1:18">
      <c r="F73" s="176"/>
      <c r="G73" s="176"/>
      <c r="H73" s="176"/>
      <c r="I73" s="176"/>
      <c r="J73" s="176"/>
      <c r="K73" s="176"/>
      <c r="L73" s="176"/>
      <c r="M73" s="176"/>
      <c r="N73" s="176"/>
      <c r="O73" s="176"/>
      <c r="P73" s="176"/>
      <c r="Q73" s="176"/>
      <c r="R73" s="176"/>
    </row>
    <row r="74" spans="1:18">
      <c r="F74" s="176"/>
      <c r="G74" s="176"/>
      <c r="H74" s="176"/>
      <c r="I74" s="176"/>
      <c r="J74" s="176"/>
      <c r="K74" s="176"/>
      <c r="L74" s="176"/>
      <c r="M74" s="176"/>
      <c r="N74" s="176"/>
      <c r="O74" s="176"/>
      <c r="P74" s="176"/>
      <c r="Q74" s="176"/>
      <c r="R74" s="176"/>
    </row>
    <row r="75" spans="1:18">
      <c r="F75" s="176"/>
      <c r="G75" s="176"/>
      <c r="H75" s="176"/>
      <c r="I75" s="176"/>
      <c r="J75" s="176"/>
      <c r="K75" s="176"/>
      <c r="L75" s="176"/>
      <c r="M75" s="176"/>
      <c r="N75" s="176"/>
      <c r="O75" s="176"/>
      <c r="P75" s="176"/>
      <c r="Q75" s="176"/>
      <c r="R75" s="176"/>
    </row>
    <row r="76" spans="1:18">
      <c r="F76" s="176"/>
      <c r="G76" s="176"/>
      <c r="H76" s="176"/>
      <c r="I76" s="176"/>
      <c r="J76" s="176"/>
      <c r="K76" s="176"/>
      <c r="L76" s="176"/>
      <c r="M76" s="176"/>
      <c r="N76" s="176"/>
      <c r="O76" s="176"/>
      <c r="P76" s="176"/>
      <c r="Q76" s="176"/>
      <c r="R76" s="176"/>
    </row>
    <row r="77" spans="1:18">
      <c r="F77" s="176"/>
      <c r="G77" s="176"/>
      <c r="H77" s="176"/>
      <c r="I77" s="176"/>
      <c r="J77" s="176"/>
      <c r="K77" s="176"/>
      <c r="L77" s="176"/>
      <c r="M77" s="176"/>
      <c r="N77" s="176"/>
      <c r="O77" s="176"/>
      <c r="P77" s="176"/>
      <c r="Q77" s="176"/>
      <c r="R77" s="176"/>
    </row>
    <row r="78" spans="1:18">
      <c r="F78" s="176"/>
      <c r="G78" s="176"/>
      <c r="H78" s="176"/>
      <c r="I78" s="176"/>
      <c r="J78" s="176"/>
      <c r="K78" s="176"/>
      <c r="L78" s="176"/>
      <c r="M78" s="176"/>
      <c r="N78" s="176"/>
      <c r="O78" s="176"/>
      <c r="P78" s="176"/>
      <c r="Q78" s="176"/>
      <c r="R78" s="176"/>
    </row>
    <row r="79" spans="1:18">
      <c r="F79" s="176"/>
      <c r="G79" s="176"/>
      <c r="H79" s="176"/>
      <c r="I79" s="176"/>
      <c r="J79" s="176"/>
      <c r="K79" s="176"/>
      <c r="L79" s="176"/>
      <c r="M79" s="176"/>
      <c r="N79" s="176"/>
      <c r="O79" s="176"/>
      <c r="P79" s="176"/>
      <c r="Q79" s="176"/>
      <c r="R79" s="176"/>
    </row>
    <row r="80" spans="1:18">
      <c r="F80" s="176"/>
      <c r="G80" s="176"/>
      <c r="H80" s="176"/>
      <c r="I80" s="176"/>
      <c r="J80" s="176"/>
      <c r="K80" s="176"/>
      <c r="L80" s="176"/>
      <c r="M80" s="176"/>
      <c r="N80" s="176"/>
      <c r="O80" s="176"/>
      <c r="P80" s="176"/>
      <c r="Q80" s="176"/>
      <c r="R80" s="176"/>
    </row>
    <row r="81" spans="6:18">
      <c r="F81" s="176"/>
      <c r="G81" s="176"/>
      <c r="H81" s="176"/>
      <c r="I81" s="176"/>
      <c r="J81" s="176"/>
      <c r="K81" s="176"/>
      <c r="L81" s="176"/>
      <c r="M81" s="176"/>
      <c r="N81" s="176"/>
      <c r="O81" s="176"/>
      <c r="P81" s="176"/>
      <c r="Q81" s="176"/>
      <c r="R81" s="176"/>
    </row>
    <row r="82" spans="6:18">
      <c r="F82" s="176"/>
      <c r="G82" s="176"/>
      <c r="H82" s="176"/>
      <c r="I82" s="176"/>
      <c r="J82" s="176"/>
      <c r="K82" s="176"/>
      <c r="L82" s="176"/>
      <c r="M82" s="176"/>
      <c r="N82" s="176"/>
      <c r="O82" s="176"/>
      <c r="P82" s="176"/>
      <c r="Q82" s="176"/>
      <c r="R82" s="176"/>
    </row>
    <row r="83" spans="6:18">
      <c r="F83" s="176"/>
      <c r="G83" s="176"/>
      <c r="H83" s="176"/>
      <c r="I83" s="176"/>
      <c r="J83" s="176"/>
      <c r="K83" s="176"/>
      <c r="L83" s="176"/>
      <c r="M83" s="176"/>
      <c r="N83" s="176"/>
      <c r="O83" s="176"/>
      <c r="P83" s="176"/>
      <c r="Q83" s="176"/>
      <c r="R83" s="176"/>
    </row>
    <row r="84" spans="6:18">
      <c r="F84" s="176"/>
      <c r="G84" s="176"/>
      <c r="H84" s="176"/>
      <c r="I84" s="176"/>
      <c r="J84" s="176"/>
      <c r="K84" s="176"/>
      <c r="L84" s="176"/>
      <c r="M84" s="176"/>
      <c r="N84" s="176"/>
      <c r="O84" s="176"/>
      <c r="P84" s="176"/>
      <c r="Q84" s="176"/>
      <c r="R84" s="176"/>
    </row>
    <row r="85" spans="6:18">
      <c r="F85" s="176"/>
      <c r="G85" s="176"/>
      <c r="H85" s="176"/>
      <c r="I85" s="176"/>
      <c r="J85" s="176"/>
      <c r="K85" s="176"/>
      <c r="L85" s="176"/>
      <c r="M85" s="176"/>
      <c r="N85" s="176"/>
      <c r="O85" s="176"/>
      <c r="P85" s="176"/>
      <c r="Q85" s="176"/>
      <c r="R85" s="176"/>
    </row>
    <row r="86" spans="6:18">
      <c r="F86" s="176"/>
      <c r="G86" s="176"/>
      <c r="H86" s="176"/>
      <c r="I86" s="176"/>
      <c r="J86" s="176"/>
      <c r="K86" s="176"/>
      <c r="L86" s="176"/>
      <c r="M86" s="176"/>
      <c r="N86" s="176"/>
      <c r="O86" s="176"/>
      <c r="P86" s="176"/>
      <c r="Q86" s="176"/>
      <c r="R86" s="176"/>
    </row>
    <row r="87" spans="6:18">
      <c r="F87" s="176"/>
      <c r="G87" s="176"/>
      <c r="H87" s="176"/>
      <c r="I87" s="176"/>
      <c r="J87" s="176"/>
      <c r="K87" s="176"/>
      <c r="L87" s="176"/>
      <c r="M87" s="176"/>
      <c r="N87" s="176"/>
      <c r="O87" s="176"/>
      <c r="P87" s="176"/>
      <c r="Q87" s="176"/>
      <c r="R87" s="176"/>
    </row>
    <row r="88" spans="6:18">
      <c r="F88" s="176"/>
      <c r="G88" s="176"/>
      <c r="H88" s="176"/>
      <c r="I88" s="176"/>
      <c r="J88" s="176"/>
      <c r="K88" s="176"/>
      <c r="L88" s="176"/>
      <c r="M88" s="176"/>
      <c r="N88" s="176"/>
      <c r="O88" s="176"/>
      <c r="P88" s="176"/>
      <c r="Q88" s="176"/>
      <c r="R88" s="176"/>
    </row>
    <row r="89" spans="6:18">
      <c r="F89" s="176"/>
      <c r="G89" s="176"/>
      <c r="H89" s="176"/>
      <c r="I89" s="176"/>
      <c r="J89" s="176"/>
      <c r="K89" s="176"/>
      <c r="L89" s="176"/>
      <c r="M89" s="176"/>
      <c r="N89" s="176"/>
      <c r="O89" s="176"/>
      <c r="P89" s="176"/>
      <c r="Q89" s="176"/>
      <c r="R89" s="176"/>
    </row>
    <row r="90" spans="6:18">
      <c r="F90" s="176"/>
      <c r="G90" s="176"/>
      <c r="H90" s="176"/>
      <c r="I90" s="176"/>
      <c r="J90" s="176"/>
      <c r="K90" s="176"/>
      <c r="L90" s="176"/>
      <c r="M90" s="176"/>
      <c r="N90" s="176"/>
      <c r="O90" s="176"/>
      <c r="P90" s="176"/>
      <c r="Q90" s="176"/>
      <c r="R90" s="176"/>
    </row>
    <row r="91" spans="6:18">
      <c r="F91" s="176"/>
      <c r="G91" s="176"/>
      <c r="H91" s="176"/>
      <c r="I91" s="176"/>
      <c r="J91" s="176"/>
      <c r="K91" s="176"/>
      <c r="L91" s="176"/>
      <c r="M91" s="176"/>
      <c r="N91" s="176"/>
      <c r="O91" s="176"/>
      <c r="P91" s="176"/>
      <c r="Q91" s="176"/>
      <c r="R91" s="176"/>
    </row>
    <row r="92" spans="6:18">
      <c r="F92" s="176"/>
      <c r="G92" s="176"/>
      <c r="H92" s="176"/>
      <c r="I92" s="176"/>
      <c r="J92" s="176"/>
      <c r="K92" s="176"/>
      <c r="L92" s="176"/>
      <c r="M92" s="176"/>
      <c r="N92" s="176"/>
      <c r="O92" s="176"/>
      <c r="P92" s="176"/>
      <c r="Q92" s="176"/>
      <c r="R92" s="176"/>
    </row>
    <row r="93" spans="6:18">
      <c r="F93" s="176"/>
      <c r="G93" s="176"/>
      <c r="H93" s="176"/>
      <c r="I93" s="176"/>
      <c r="J93" s="176"/>
      <c r="K93" s="176"/>
      <c r="L93" s="176"/>
      <c r="M93" s="176"/>
      <c r="N93" s="176"/>
      <c r="O93" s="176"/>
      <c r="P93" s="176"/>
      <c r="Q93" s="176"/>
      <c r="R93" s="176"/>
    </row>
    <row r="94" spans="6:18">
      <c r="F94" s="176"/>
      <c r="G94" s="176"/>
      <c r="H94" s="176"/>
      <c r="I94" s="176"/>
      <c r="J94" s="176"/>
      <c r="K94" s="176"/>
      <c r="L94" s="176"/>
      <c r="M94" s="176"/>
      <c r="N94" s="176"/>
      <c r="O94" s="176"/>
      <c r="P94" s="176"/>
      <c r="Q94" s="176"/>
      <c r="R94" s="176"/>
    </row>
    <row r="95" spans="6:18">
      <c r="F95" s="176"/>
      <c r="G95" s="176"/>
      <c r="H95" s="176"/>
      <c r="I95" s="176"/>
      <c r="J95" s="176"/>
      <c r="K95" s="176"/>
      <c r="L95" s="176"/>
      <c r="M95" s="176"/>
      <c r="N95" s="176"/>
      <c r="O95" s="176"/>
      <c r="P95" s="176"/>
      <c r="Q95" s="176"/>
      <c r="R95" s="176"/>
    </row>
    <row r="96" spans="6:18">
      <c r="F96" s="176"/>
      <c r="G96" s="176"/>
      <c r="H96" s="176"/>
      <c r="I96" s="176"/>
      <c r="J96" s="176"/>
      <c r="K96" s="176"/>
      <c r="L96" s="176"/>
      <c r="M96" s="176"/>
      <c r="N96" s="176"/>
      <c r="O96" s="176"/>
      <c r="P96" s="176"/>
      <c r="Q96" s="176"/>
      <c r="R96" s="176"/>
    </row>
    <row r="97" spans="6:18">
      <c r="F97" s="176"/>
      <c r="G97" s="176"/>
      <c r="H97" s="176"/>
      <c r="I97" s="176"/>
      <c r="J97" s="176"/>
      <c r="K97" s="176"/>
      <c r="L97" s="176"/>
      <c r="M97" s="176"/>
      <c r="N97" s="176"/>
      <c r="O97" s="176"/>
      <c r="P97" s="176"/>
      <c r="Q97" s="176"/>
      <c r="R97" s="176"/>
    </row>
    <row r="98" spans="6:18">
      <c r="F98" s="176"/>
      <c r="G98" s="176"/>
      <c r="H98" s="176"/>
      <c r="I98" s="176"/>
      <c r="J98" s="176"/>
      <c r="K98" s="176"/>
      <c r="L98" s="176"/>
      <c r="M98" s="176"/>
      <c r="N98" s="176"/>
      <c r="O98" s="176"/>
      <c r="P98" s="176"/>
      <c r="Q98" s="176"/>
      <c r="R98" s="176"/>
    </row>
    <row r="99" spans="6:18">
      <c r="F99" s="176"/>
      <c r="G99" s="176"/>
      <c r="H99" s="176"/>
      <c r="I99" s="176"/>
      <c r="J99" s="176"/>
      <c r="K99" s="176"/>
      <c r="L99" s="176"/>
      <c r="M99" s="176"/>
      <c r="N99" s="176"/>
      <c r="O99" s="176"/>
      <c r="P99" s="176"/>
      <c r="Q99" s="176"/>
      <c r="R99" s="176"/>
    </row>
    <row r="100" spans="6:18">
      <c r="F100" s="176"/>
      <c r="G100" s="176"/>
      <c r="H100" s="176"/>
      <c r="I100" s="176"/>
      <c r="J100" s="176"/>
      <c r="K100" s="176"/>
      <c r="L100" s="176"/>
      <c r="M100" s="176"/>
      <c r="N100" s="176"/>
      <c r="O100" s="176"/>
      <c r="P100" s="176"/>
      <c r="Q100" s="176"/>
      <c r="R100" s="176"/>
    </row>
    <row r="101" spans="6:18">
      <c r="F101" s="176"/>
      <c r="G101" s="176"/>
      <c r="H101" s="176"/>
      <c r="I101" s="176"/>
      <c r="J101" s="176"/>
      <c r="K101" s="176"/>
      <c r="L101" s="176"/>
      <c r="M101" s="176"/>
      <c r="N101" s="176"/>
      <c r="O101" s="176"/>
      <c r="P101" s="176"/>
      <c r="Q101" s="176"/>
      <c r="R101" s="176"/>
    </row>
    <row r="102" spans="6:18">
      <c r="F102" s="176"/>
      <c r="G102" s="176"/>
      <c r="H102" s="176"/>
      <c r="I102" s="176"/>
      <c r="J102" s="176"/>
      <c r="K102" s="176"/>
      <c r="L102" s="176"/>
      <c r="M102" s="176"/>
      <c r="N102" s="176"/>
      <c r="O102" s="176"/>
      <c r="P102" s="176"/>
      <c r="Q102" s="176"/>
      <c r="R102" s="176"/>
    </row>
    <row r="103" spans="6:18">
      <c r="F103" s="176"/>
      <c r="G103" s="176"/>
      <c r="H103" s="176"/>
      <c r="I103" s="176"/>
      <c r="J103" s="176"/>
      <c r="K103" s="176"/>
      <c r="L103" s="176"/>
      <c r="M103" s="176"/>
      <c r="N103" s="176"/>
      <c r="O103" s="176"/>
      <c r="P103" s="176"/>
      <c r="Q103" s="176"/>
      <c r="R103" s="176"/>
    </row>
    <row r="104" spans="6:18">
      <c r="F104" s="176"/>
      <c r="G104" s="176"/>
      <c r="H104" s="176"/>
      <c r="I104" s="176"/>
      <c r="J104" s="176"/>
      <c r="K104" s="176"/>
      <c r="L104" s="176"/>
      <c r="M104" s="176"/>
      <c r="N104" s="176"/>
      <c r="O104" s="176"/>
      <c r="P104" s="176"/>
      <c r="Q104" s="176"/>
      <c r="R104" s="176"/>
    </row>
    <row r="105" spans="6:18">
      <c r="F105" s="176"/>
      <c r="G105" s="176"/>
      <c r="H105" s="176"/>
      <c r="I105" s="176"/>
      <c r="J105" s="176"/>
      <c r="K105" s="176"/>
      <c r="L105" s="176"/>
      <c r="M105" s="176"/>
      <c r="N105" s="176"/>
      <c r="O105" s="176"/>
      <c r="P105" s="176"/>
      <c r="Q105" s="176"/>
      <c r="R105" s="176"/>
    </row>
    <row r="106" spans="6:18">
      <c r="F106" s="176"/>
      <c r="G106" s="176"/>
      <c r="H106" s="176"/>
      <c r="I106" s="176"/>
      <c r="J106" s="176"/>
      <c r="K106" s="176"/>
      <c r="L106" s="176"/>
      <c r="M106" s="176"/>
      <c r="N106" s="176"/>
      <c r="O106" s="176"/>
      <c r="P106" s="176"/>
      <c r="Q106" s="176"/>
      <c r="R106" s="176"/>
    </row>
    <row r="107" spans="6:18">
      <c r="F107" s="176"/>
      <c r="G107" s="176"/>
      <c r="H107" s="176"/>
      <c r="I107" s="176"/>
      <c r="J107" s="176"/>
      <c r="K107" s="176"/>
      <c r="L107" s="176"/>
      <c r="M107" s="176"/>
      <c r="N107" s="176"/>
      <c r="O107" s="176"/>
      <c r="P107" s="176"/>
      <c r="Q107" s="176"/>
      <c r="R107" s="176"/>
    </row>
    <row r="108" spans="6:18">
      <c r="F108" s="176"/>
      <c r="G108" s="176"/>
      <c r="H108" s="176"/>
      <c r="I108" s="176"/>
      <c r="J108" s="176"/>
      <c r="K108" s="176"/>
      <c r="L108" s="176"/>
      <c r="M108" s="176"/>
      <c r="N108" s="176"/>
      <c r="O108" s="176"/>
      <c r="P108" s="176"/>
      <c r="Q108" s="176"/>
      <c r="R108" s="176"/>
    </row>
    <row r="109" spans="6:18">
      <c r="F109" s="176"/>
      <c r="G109" s="176"/>
      <c r="H109" s="176"/>
      <c r="I109" s="176"/>
      <c r="J109" s="176"/>
      <c r="K109" s="176"/>
      <c r="L109" s="176"/>
      <c r="M109" s="176"/>
      <c r="N109" s="176"/>
      <c r="O109" s="176"/>
      <c r="P109" s="176"/>
      <c r="Q109" s="176"/>
      <c r="R109" s="176"/>
    </row>
    <row r="110" spans="6:18">
      <c r="F110" s="176"/>
      <c r="G110" s="176"/>
      <c r="H110" s="176"/>
      <c r="I110" s="176"/>
      <c r="J110" s="176"/>
      <c r="K110" s="176"/>
      <c r="L110" s="176"/>
      <c r="M110" s="176"/>
      <c r="N110" s="176"/>
      <c r="O110" s="176"/>
      <c r="P110" s="176"/>
      <c r="Q110" s="176"/>
      <c r="R110" s="176"/>
    </row>
    <row r="111" spans="6:18">
      <c r="F111" s="176"/>
      <c r="G111" s="176"/>
      <c r="H111" s="176"/>
      <c r="I111" s="176"/>
      <c r="J111" s="176"/>
      <c r="K111" s="176"/>
      <c r="L111" s="176"/>
      <c r="M111" s="176"/>
      <c r="N111" s="176"/>
      <c r="O111" s="176"/>
      <c r="P111" s="176"/>
      <c r="Q111" s="176"/>
      <c r="R111" s="176"/>
    </row>
    <row r="112" spans="6:18">
      <c r="F112" s="176"/>
      <c r="G112" s="176"/>
      <c r="H112" s="176"/>
      <c r="I112" s="176"/>
      <c r="J112" s="176"/>
      <c r="K112" s="176"/>
      <c r="L112" s="176"/>
      <c r="M112" s="176"/>
      <c r="N112" s="176"/>
      <c r="O112" s="176"/>
      <c r="P112" s="176"/>
      <c r="Q112" s="176"/>
      <c r="R112" s="176"/>
    </row>
    <row r="113" spans="6:18">
      <c r="F113" s="176"/>
      <c r="G113" s="176"/>
      <c r="H113" s="176"/>
      <c r="I113" s="176"/>
      <c r="J113" s="176"/>
      <c r="K113" s="176"/>
      <c r="L113" s="176"/>
      <c r="M113" s="176"/>
      <c r="N113" s="176"/>
      <c r="O113" s="176"/>
      <c r="P113" s="176"/>
      <c r="Q113" s="176"/>
      <c r="R113" s="176"/>
    </row>
    <row r="114" spans="6:18">
      <c r="F114" s="176"/>
      <c r="G114" s="176"/>
      <c r="H114" s="176"/>
      <c r="I114" s="176"/>
      <c r="J114" s="176"/>
      <c r="K114" s="176"/>
      <c r="L114" s="176"/>
      <c r="M114" s="176"/>
      <c r="N114" s="176"/>
      <c r="O114" s="176"/>
      <c r="P114" s="176"/>
      <c r="Q114" s="176"/>
      <c r="R114" s="176"/>
    </row>
    <row r="115" spans="6:18">
      <c r="F115" s="176"/>
      <c r="G115" s="176"/>
      <c r="H115" s="176"/>
      <c r="I115" s="176"/>
      <c r="J115" s="176"/>
      <c r="K115" s="176"/>
      <c r="L115" s="176"/>
      <c r="M115" s="176"/>
      <c r="N115" s="176"/>
      <c r="O115" s="176"/>
      <c r="P115" s="176"/>
      <c r="Q115" s="176"/>
      <c r="R115" s="176"/>
    </row>
    <row r="116" spans="6:18">
      <c r="F116" s="176"/>
      <c r="G116" s="176"/>
      <c r="H116" s="176"/>
      <c r="I116" s="176"/>
      <c r="J116" s="176"/>
      <c r="K116" s="176"/>
      <c r="L116" s="176"/>
      <c r="M116" s="176"/>
      <c r="N116" s="176"/>
      <c r="O116" s="176"/>
      <c r="P116" s="176"/>
      <c r="Q116" s="176"/>
      <c r="R116" s="176"/>
    </row>
    <row r="117" spans="6:18">
      <c r="F117" s="176"/>
      <c r="G117" s="176"/>
      <c r="H117" s="176"/>
      <c r="I117" s="176"/>
      <c r="J117" s="176"/>
      <c r="K117" s="176"/>
      <c r="L117" s="176"/>
      <c r="M117" s="176"/>
      <c r="N117" s="176"/>
      <c r="O117" s="176"/>
      <c r="P117" s="176"/>
      <c r="Q117" s="176"/>
      <c r="R117" s="176"/>
    </row>
    <row r="118" spans="6:18">
      <c r="F118" s="176"/>
      <c r="G118" s="176"/>
      <c r="H118" s="176"/>
      <c r="I118" s="176"/>
      <c r="J118" s="176"/>
      <c r="K118" s="176"/>
      <c r="L118" s="176"/>
      <c r="M118" s="176"/>
      <c r="N118" s="176"/>
      <c r="O118" s="176"/>
      <c r="P118" s="176"/>
      <c r="Q118" s="176"/>
      <c r="R118" s="176"/>
    </row>
    <row r="119" spans="6:18">
      <c r="F119" s="176"/>
      <c r="G119" s="176"/>
      <c r="H119" s="176"/>
      <c r="I119" s="176"/>
      <c r="J119" s="176"/>
      <c r="K119" s="176"/>
      <c r="L119" s="176"/>
      <c r="M119" s="176"/>
      <c r="N119" s="176"/>
      <c r="O119" s="176"/>
      <c r="P119" s="176"/>
      <c r="Q119" s="176"/>
      <c r="R119" s="176"/>
    </row>
    <row r="120" spans="6:18">
      <c r="F120" s="176"/>
      <c r="G120" s="176"/>
      <c r="H120" s="176"/>
      <c r="I120" s="176"/>
      <c r="J120" s="176"/>
      <c r="K120" s="176"/>
      <c r="L120" s="176"/>
      <c r="M120" s="176"/>
      <c r="N120" s="176"/>
      <c r="O120" s="176"/>
      <c r="P120" s="176"/>
      <c r="Q120" s="176"/>
      <c r="R120" s="176"/>
    </row>
    <row r="121" spans="6:18">
      <c r="F121" s="176"/>
      <c r="G121" s="176"/>
      <c r="H121" s="176"/>
      <c r="I121" s="176"/>
      <c r="J121" s="176"/>
      <c r="K121" s="176"/>
      <c r="L121" s="176"/>
      <c r="M121" s="176"/>
      <c r="N121" s="176"/>
      <c r="O121" s="176"/>
      <c r="P121" s="176"/>
      <c r="Q121" s="176"/>
      <c r="R121" s="176"/>
    </row>
    <row r="122" spans="6:18">
      <c r="F122" s="176"/>
      <c r="G122" s="176"/>
      <c r="H122" s="176"/>
      <c r="I122" s="176"/>
      <c r="J122" s="176"/>
      <c r="K122" s="176"/>
      <c r="L122" s="176"/>
      <c r="M122" s="176"/>
      <c r="N122" s="176"/>
      <c r="O122" s="176"/>
      <c r="P122" s="176"/>
      <c r="Q122" s="176"/>
      <c r="R122" s="176"/>
    </row>
    <row r="123" spans="6:18">
      <c r="F123" s="176"/>
      <c r="G123" s="176"/>
      <c r="H123" s="176"/>
      <c r="I123" s="176"/>
      <c r="J123" s="176"/>
      <c r="K123" s="176"/>
      <c r="L123" s="176"/>
      <c r="M123" s="176"/>
      <c r="N123" s="176"/>
      <c r="O123" s="176"/>
      <c r="P123" s="176"/>
      <c r="Q123" s="176"/>
      <c r="R123" s="176"/>
    </row>
    <row r="124" spans="6:18">
      <c r="F124" s="176"/>
      <c r="G124" s="176"/>
      <c r="H124" s="176"/>
      <c r="I124" s="176"/>
      <c r="J124" s="176"/>
      <c r="K124" s="176"/>
      <c r="L124" s="176"/>
      <c r="M124" s="176"/>
      <c r="N124" s="176"/>
      <c r="O124" s="176"/>
      <c r="P124" s="176"/>
      <c r="Q124" s="176"/>
      <c r="R124" s="176"/>
    </row>
    <row r="125" spans="6:18">
      <c r="F125" s="176"/>
      <c r="G125" s="176"/>
      <c r="H125" s="176"/>
      <c r="I125" s="176"/>
      <c r="J125" s="176"/>
      <c r="K125" s="176"/>
      <c r="L125" s="176"/>
      <c r="M125" s="176"/>
      <c r="N125" s="176"/>
      <c r="O125" s="176"/>
      <c r="P125" s="176"/>
      <c r="Q125" s="176"/>
      <c r="R125" s="176"/>
    </row>
    <row r="126" spans="6:18">
      <c r="F126" s="176"/>
      <c r="G126" s="176"/>
      <c r="H126" s="176"/>
      <c r="I126" s="176"/>
      <c r="J126" s="176"/>
      <c r="K126" s="176"/>
      <c r="L126" s="176"/>
      <c r="M126" s="176"/>
      <c r="N126" s="176"/>
      <c r="O126" s="176"/>
      <c r="P126" s="176"/>
      <c r="Q126" s="176"/>
      <c r="R126" s="176"/>
    </row>
    <row r="127" spans="6:18">
      <c r="F127" s="176"/>
      <c r="G127" s="176"/>
      <c r="H127" s="176"/>
      <c r="I127" s="176"/>
      <c r="J127" s="176"/>
      <c r="K127" s="176"/>
      <c r="L127" s="176"/>
      <c r="M127" s="176"/>
      <c r="N127" s="176"/>
      <c r="O127" s="176"/>
      <c r="P127" s="176"/>
      <c r="Q127" s="176"/>
      <c r="R127" s="176"/>
    </row>
    <row r="128" spans="6:18">
      <c r="F128" s="176"/>
      <c r="G128" s="176"/>
      <c r="H128" s="176"/>
      <c r="I128" s="176"/>
      <c r="J128" s="176"/>
      <c r="K128" s="176"/>
      <c r="L128" s="176"/>
      <c r="M128" s="176"/>
      <c r="N128" s="176"/>
      <c r="O128" s="176"/>
      <c r="P128" s="176"/>
      <c r="Q128" s="176"/>
      <c r="R128" s="176"/>
    </row>
    <row r="129" spans="6:18">
      <c r="F129" s="176"/>
      <c r="G129" s="176"/>
      <c r="H129" s="176"/>
      <c r="I129" s="176"/>
      <c r="J129" s="176"/>
      <c r="K129" s="176"/>
      <c r="L129" s="176"/>
      <c r="M129" s="176"/>
      <c r="N129" s="176"/>
      <c r="O129" s="176"/>
      <c r="P129" s="176"/>
      <c r="Q129" s="176"/>
      <c r="R129" s="176"/>
    </row>
    <row r="130" spans="6:18">
      <c r="F130" s="176"/>
      <c r="G130" s="176"/>
      <c r="H130" s="176"/>
      <c r="I130" s="176"/>
      <c r="J130" s="176"/>
      <c r="K130" s="176"/>
      <c r="L130" s="176"/>
      <c r="M130" s="176"/>
      <c r="N130" s="176"/>
      <c r="O130" s="176"/>
      <c r="P130" s="176"/>
      <c r="Q130" s="176"/>
      <c r="R130" s="176"/>
    </row>
    <row r="131" spans="6:18">
      <c r="F131" s="176"/>
      <c r="G131" s="176"/>
      <c r="H131" s="176"/>
      <c r="I131" s="176"/>
      <c r="J131" s="176"/>
      <c r="K131" s="176"/>
      <c r="L131" s="176"/>
      <c r="M131" s="176"/>
      <c r="N131" s="176"/>
      <c r="O131" s="176"/>
      <c r="P131" s="176"/>
      <c r="Q131" s="176"/>
      <c r="R131" s="176"/>
    </row>
    <row r="132" spans="6:18">
      <c r="F132" s="176"/>
      <c r="G132" s="176"/>
      <c r="H132" s="176"/>
      <c r="I132" s="176"/>
      <c r="J132" s="176"/>
      <c r="K132" s="176"/>
      <c r="L132" s="176"/>
      <c r="M132" s="176"/>
      <c r="N132" s="176"/>
      <c r="O132" s="176"/>
      <c r="P132" s="176"/>
      <c r="Q132" s="176"/>
      <c r="R132" s="176"/>
    </row>
    <row r="133" spans="6:18">
      <c r="F133" s="176"/>
      <c r="G133" s="176"/>
      <c r="H133" s="176"/>
      <c r="I133" s="176"/>
      <c r="J133" s="176"/>
      <c r="K133" s="176"/>
      <c r="L133" s="176"/>
      <c r="M133" s="176"/>
      <c r="N133" s="176"/>
      <c r="O133" s="176"/>
      <c r="P133" s="176"/>
      <c r="Q133" s="176"/>
      <c r="R133" s="176"/>
    </row>
    <row r="134" spans="6:18">
      <c r="F134" s="176"/>
      <c r="G134" s="176"/>
      <c r="H134" s="176"/>
      <c r="I134" s="176"/>
      <c r="J134" s="176"/>
      <c r="K134" s="176"/>
      <c r="L134" s="176"/>
      <c r="M134" s="176"/>
      <c r="N134" s="176"/>
      <c r="O134" s="176"/>
      <c r="P134" s="176"/>
      <c r="Q134" s="176"/>
      <c r="R134" s="176"/>
    </row>
    <row r="135" spans="6:18">
      <c r="F135" s="176"/>
      <c r="G135" s="176"/>
      <c r="H135" s="176"/>
      <c r="I135" s="176"/>
      <c r="J135" s="176"/>
      <c r="K135" s="176"/>
      <c r="L135" s="176"/>
      <c r="M135" s="176"/>
      <c r="N135" s="176"/>
      <c r="O135" s="176"/>
      <c r="P135" s="176"/>
      <c r="Q135" s="176"/>
      <c r="R135" s="176"/>
    </row>
    <row r="136" spans="6:18">
      <c r="F136" s="176"/>
      <c r="G136" s="176"/>
      <c r="H136" s="176"/>
      <c r="I136" s="176"/>
      <c r="J136" s="176"/>
      <c r="K136" s="176"/>
      <c r="L136" s="176"/>
      <c r="M136" s="176"/>
      <c r="N136" s="176"/>
      <c r="O136" s="176"/>
      <c r="P136" s="176"/>
      <c r="Q136" s="176"/>
      <c r="R136" s="176"/>
    </row>
    <row r="137" spans="6:18">
      <c r="F137" s="176"/>
      <c r="G137" s="176"/>
      <c r="H137" s="176"/>
      <c r="I137" s="176"/>
      <c r="J137" s="176"/>
      <c r="K137" s="176"/>
      <c r="L137" s="176"/>
      <c r="M137" s="176"/>
      <c r="N137" s="176"/>
      <c r="O137" s="176"/>
      <c r="P137" s="176"/>
      <c r="Q137" s="176"/>
      <c r="R137" s="176"/>
    </row>
    <row r="138" spans="6:18">
      <c r="F138" s="176"/>
      <c r="G138" s="176"/>
      <c r="H138" s="176"/>
      <c r="I138" s="176"/>
      <c r="J138" s="176"/>
      <c r="K138" s="176"/>
      <c r="L138" s="176"/>
      <c r="M138" s="176"/>
      <c r="N138" s="176"/>
      <c r="O138" s="176"/>
      <c r="P138" s="176"/>
      <c r="Q138" s="176"/>
      <c r="R138" s="176"/>
    </row>
    <row r="139" spans="6:18">
      <c r="F139" s="176"/>
      <c r="G139" s="176"/>
      <c r="H139" s="176"/>
      <c r="I139" s="176"/>
      <c r="J139" s="176"/>
      <c r="K139" s="176"/>
      <c r="L139" s="176"/>
      <c r="M139" s="176"/>
      <c r="N139" s="176"/>
      <c r="O139" s="176"/>
      <c r="P139" s="176"/>
      <c r="Q139" s="176"/>
      <c r="R139" s="176"/>
    </row>
    <row r="140" spans="6:18">
      <c r="F140" s="176"/>
      <c r="G140" s="176"/>
      <c r="H140" s="176"/>
      <c r="I140" s="176"/>
      <c r="J140" s="176"/>
      <c r="K140" s="176"/>
      <c r="L140" s="176"/>
      <c r="M140" s="176"/>
      <c r="N140" s="176"/>
      <c r="O140" s="176"/>
      <c r="P140" s="176"/>
      <c r="Q140" s="176"/>
      <c r="R140" s="176"/>
    </row>
    <row r="141" spans="6:18">
      <c r="F141" s="176"/>
      <c r="G141" s="176"/>
      <c r="H141" s="176"/>
      <c r="I141" s="176"/>
      <c r="J141" s="176"/>
      <c r="K141" s="176"/>
      <c r="L141" s="176"/>
      <c r="M141" s="176"/>
      <c r="N141" s="176"/>
      <c r="O141" s="176"/>
      <c r="P141" s="176"/>
      <c r="Q141" s="176"/>
      <c r="R141" s="176"/>
    </row>
    <row r="142" spans="6:18">
      <c r="F142" s="176"/>
      <c r="G142" s="176"/>
      <c r="H142" s="176"/>
      <c r="I142" s="176"/>
      <c r="J142" s="176"/>
      <c r="K142" s="176"/>
      <c r="L142" s="176"/>
      <c r="M142" s="176"/>
      <c r="N142" s="176"/>
      <c r="O142" s="176"/>
      <c r="P142" s="176"/>
      <c r="Q142" s="176"/>
      <c r="R142" s="176"/>
    </row>
    <row r="143" spans="6:18">
      <c r="F143" s="176"/>
      <c r="G143" s="176"/>
      <c r="H143" s="176"/>
      <c r="I143" s="176"/>
      <c r="J143" s="176"/>
      <c r="K143" s="176"/>
      <c r="L143" s="176"/>
      <c r="M143" s="176"/>
      <c r="N143" s="176"/>
      <c r="O143" s="176"/>
      <c r="P143" s="176"/>
      <c r="Q143" s="176"/>
      <c r="R143" s="176"/>
    </row>
    <row r="144" spans="6:18">
      <c r="F144" s="176"/>
      <c r="G144" s="176"/>
      <c r="H144" s="176"/>
      <c r="I144" s="176"/>
      <c r="J144" s="176"/>
      <c r="K144" s="176"/>
      <c r="L144" s="176"/>
      <c r="M144" s="176"/>
      <c r="N144" s="176"/>
      <c r="O144" s="176"/>
      <c r="P144" s="176"/>
      <c r="Q144" s="176"/>
      <c r="R144" s="176"/>
    </row>
  </sheetData>
  <mergeCells count="6">
    <mergeCell ref="A6:R6"/>
    <mergeCell ref="A8:R8"/>
    <mergeCell ref="A9:B9"/>
    <mergeCell ref="A5:R5"/>
    <mergeCell ref="A2:D2"/>
    <mergeCell ref="A3:D3"/>
  </mergeCells>
  <printOptions horizontalCentered="1"/>
  <pageMargins left="0.7" right="0.64" top="0.25" bottom="0.25" header="0.25" footer="0.25"/>
  <pageSetup paperSize="9" scale="43" orientation="landscape" r:id="rId1"/>
  <headerFooter>
    <oddFooter>&amp;R
Page &amp;P of &amp;N</oddFooter>
  </headerFooter>
  <ignoredErrors>
    <ignoredError sqref="Q20:R20 Q59:R59 Q64:R64 Q24:R26 Q27:Q30 Q41:R42 Q56:R56 R19 Q57:Q58 Q43:Q54 R54:R55 Q12:R17 Q32:R39 Q40" unlockedFormula="1"/>
    <ignoredError sqref="R62:R63" formula="1"/>
    <ignoredError sqref="Q62" formula="1" unlockedFormula="1"/>
    <ignoredError sqref="F11:P11 F18:P18 F23:Q23 F31:Q31 F55:Q55"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6901-E24A-4285-A38D-1B7A6400D4C4}">
  <dimension ref="A1:K43"/>
  <sheetViews>
    <sheetView zoomScaleNormal="100" workbookViewId="0">
      <selection activeCell="K4" sqref="K4"/>
    </sheetView>
  </sheetViews>
  <sheetFormatPr defaultColWidth="11.21875" defaultRowHeight="13.2"/>
  <cols>
    <col min="1" max="1" width="34.21875" style="294" customWidth="1"/>
    <col min="2" max="2" width="11.77734375" style="294" bestFit="1" customWidth="1"/>
    <col min="3" max="3" width="10.44140625" style="294" bestFit="1" customWidth="1"/>
    <col min="4" max="4" width="12" style="294" customWidth="1"/>
    <col min="5" max="5" width="8.5546875" style="294" bestFit="1" customWidth="1"/>
    <col min="6" max="6" width="3" style="309" bestFit="1" customWidth="1"/>
    <col min="7" max="7" width="11.77734375" style="294" bestFit="1" customWidth="1"/>
    <col min="8" max="8" width="10.44140625" style="294" bestFit="1" customWidth="1"/>
    <col min="9" max="9" width="12.21875" style="294" bestFit="1" customWidth="1"/>
    <col min="10" max="10" width="8.5546875" style="327" bestFit="1" customWidth="1"/>
    <col min="11" max="11" width="51" style="294" bestFit="1" customWidth="1"/>
    <col min="12" max="253" width="9.21875" style="294" customWidth="1"/>
    <col min="254" max="254" width="32.21875" style="294" customWidth="1"/>
    <col min="255" max="255" width="11.77734375" style="294" bestFit="1" customWidth="1"/>
    <col min="256" max="16384" width="11.21875" style="294"/>
  </cols>
  <sheetData>
    <row r="1" spans="1:11" s="1" customFormat="1" ht="15.6">
      <c r="A1" s="35"/>
      <c r="B1" s="36"/>
      <c r="C1" s="38"/>
      <c r="D1" s="38"/>
      <c r="E1" s="38"/>
      <c r="F1" s="38"/>
      <c r="G1" s="38"/>
      <c r="H1" s="38"/>
      <c r="J1" s="322"/>
    </row>
    <row r="2" spans="1:11" s="39" customFormat="1" ht="25.2">
      <c r="A2" s="313" t="str">
        <f>Cover!A12</f>
        <v>Western Vending Machines LLC</v>
      </c>
      <c r="B2" s="313"/>
      <c r="C2" s="68"/>
      <c r="J2" s="323"/>
    </row>
    <row r="3" spans="1:11" s="40" customFormat="1" ht="21">
      <c r="A3" s="457" t="str">
        <f>Cover!A13</f>
        <v xml:space="preserve">DUABI UAE </v>
      </c>
      <c r="B3" s="457"/>
      <c r="J3" s="324"/>
    </row>
    <row r="4" spans="1:11" s="40" customFormat="1" ht="28.5" customHeight="1">
      <c r="A4" s="71"/>
      <c r="B4" s="71"/>
      <c r="J4" s="324"/>
      <c r="K4" s="197"/>
    </row>
    <row r="5" spans="1:11" ht="26.25" customHeight="1">
      <c r="B5" s="311"/>
      <c r="C5" s="311">
        <f>SOCI!F8</f>
        <v>45809</v>
      </c>
      <c r="D5" s="312"/>
      <c r="E5" s="312"/>
      <c r="F5" s="295"/>
      <c r="G5" s="472" t="s">
        <v>221</v>
      </c>
      <c r="H5" s="472"/>
      <c r="I5" s="472"/>
      <c r="J5" s="472"/>
      <c r="K5" s="296" t="s">
        <v>222</v>
      </c>
    </row>
    <row r="6" spans="1:11">
      <c r="A6" s="297" t="s">
        <v>223</v>
      </c>
      <c r="B6" s="297" t="s">
        <v>224</v>
      </c>
      <c r="C6" s="298" t="s">
        <v>225</v>
      </c>
      <c r="D6" s="299" t="s">
        <v>226</v>
      </c>
      <c r="E6" s="298" t="s">
        <v>227</v>
      </c>
      <c r="F6" s="300"/>
      <c r="G6" s="297" t="s">
        <v>224</v>
      </c>
      <c r="H6" s="297" t="s">
        <v>225</v>
      </c>
      <c r="I6" s="297" t="s">
        <v>226</v>
      </c>
      <c r="J6" s="325" t="s">
        <v>227</v>
      </c>
      <c r="K6" s="297" t="s">
        <v>228</v>
      </c>
    </row>
    <row r="7" spans="1:11">
      <c r="A7" s="301"/>
      <c r="B7" s="301"/>
      <c r="C7" s="301"/>
      <c r="D7" s="301"/>
      <c r="E7" s="301"/>
      <c r="F7" s="302"/>
      <c r="G7" s="301"/>
      <c r="H7" s="301"/>
      <c r="I7" s="301"/>
      <c r="J7" s="326"/>
      <c r="K7" s="301"/>
    </row>
    <row r="8" spans="1:11" ht="16.5" customHeight="1">
      <c r="A8" s="316" t="s">
        <v>229</v>
      </c>
      <c r="B8" s="308">
        <f>SUM(B9:B12)</f>
        <v>0</v>
      </c>
      <c r="C8" s="308">
        <f>SUM(C9:C12)</f>
        <v>0</v>
      </c>
      <c r="D8" s="303">
        <f>B8-C8</f>
        <v>0</v>
      </c>
      <c r="E8" s="308">
        <f>IFERROR(+D8*100/B8,0)</f>
        <v>0</v>
      </c>
      <c r="F8" s="304"/>
      <c r="G8" s="303">
        <f>SUM(G9:G12)</f>
        <v>0</v>
      </c>
      <c r="H8" s="303">
        <f>IFERROR(SUM(H9:H12),0)</f>
        <v>0</v>
      </c>
      <c r="I8" s="303">
        <f>+H8-G8</f>
        <v>0</v>
      </c>
      <c r="J8" s="310">
        <f>IFERROR(+I8*100/G8,0)</f>
        <v>0</v>
      </c>
      <c r="K8" s="301" t="s">
        <v>230</v>
      </c>
    </row>
    <row r="9" spans="1:11" ht="15.6">
      <c r="A9" s="317" t="s">
        <v>247</v>
      </c>
      <c r="B9" s="301"/>
      <c r="C9" s="306"/>
      <c r="D9" s="303">
        <f>C9-B9</f>
        <v>0</v>
      </c>
      <c r="E9" s="301">
        <f>IFERROR(+D9*100/B9,0)</f>
        <v>0</v>
      </c>
      <c r="F9" s="302"/>
      <c r="G9" s="301">
        <f>+B9*5</f>
        <v>0</v>
      </c>
      <c r="H9" s="307">
        <v>0</v>
      </c>
      <c r="I9" s="303">
        <f>H9-G9</f>
        <v>0</v>
      </c>
      <c r="J9" s="326">
        <f>IFERROR(+I9*100/G9,0)</f>
        <v>0</v>
      </c>
      <c r="K9" s="301"/>
    </row>
    <row r="10" spans="1:11" ht="15.6">
      <c r="A10" s="317" t="s">
        <v>248</v>
      </c>
      <c r="B10" s="301"/>
      <c r="C10" s="306"/>
      <c r="D10" s="303">
        <f>C10-B10</f>
        <v>0</v>
      </c>
      <c r="E10" s="301">
        <f t="shared" ref="E10:E12" si="0">IFERROR(+D10*100/B10,0)</f>
        <v>0</v>
      </c>
      <c r="F10" s="302"/>
      <c r="G10" s="301">
        <f>+B10*5</f>
        <v>0</v>
      </c>
      <c r="H10" s="307">
        <v>0</v>
      </c>
      <c r="I10" s="303">
        <f t="shared" ref="I10:I12" si="1">H10-G10</f>
        <v>0</v>
      </c>
      <c r="J10" s="326">
        <f t="shared" ref="J10:J12" si="2">IFERROR(+I10*100/G10,0)</f>
        <v>0</v>
      </c>
      <c r="K10" s="301"/>
    </row>
    <row r="11" spans="1:11" ht="15.6">
      <c r="A11" s="317" t="s">
        <v>249</v>
      </c>
      <c r="B11" s="301"/>
      <c r="C11" s="306"/>
      <c r="D11" s="303">
        <f t="shared" ref="D11:D12" si="3">C11-B11</f>
        <v>0</v>
      </c>
      <c r="E11" s="301">
        <f t="shared" si="0"/>
        <v>0</v>
      </c>
      <c r="F11" s="302"/>
      <c r="G11" s="301">
        <f>+B11*5</f>
        <v>0</v>
      </c>
      <c r="H11" s="307">
        <v>0</v>
      </c>
      <c r="I11" s="303">
        <f t="shared" si="1"/>
        <v>0</v>
      </c>
      <c r="J11" s="326">
        <f t="shared" si="2"/>
        <v>0</v>
      </c>
      <c r="K11" s="301"/>
    </row>
    <row r="12" spans="1:11" ht="15.6">
      <c r="A12" s="317" t="s">
        <v>250</v>
      </c>
      <c r="B12" s="301"/>
      <c r="C12" s="301"/>
      <c r="D12" s="303">
        <f t="shared" si="3"/>
        <v>0</v>
      </c>
      <c r="E12" s="301">
        <f t="shared" si="0"/>
        <v>0</v>
      </c>
      <c r="F12" s="302"/>
      <c r="G12" s="301">
        <v>0</v>
      </c>
      <c r="H12" s="307">
        <v>0</v>
      </c>
      <c r="I12" s="303">
        <f t="shared" si="1"/>
        <v>0</v>
      </c>
      <c r="J12" s="326">
        <f t="shared" si="2"/>
        <v>0</v>
      </c>
      <c r="K12" s="301"/>
    </row>
    <row r="13" spans="1:11" s="1" customFormat="1" ht="13.8">
      <c r="J13" s="322"/>
    </row>
    <row r="14" spans="1:11" ht="17.399999999999999">
      <c r="A14" s="318" t="s">
        <v>232</v>
      </c>
      <c r="B14" s="301">
        <f>SUM(B15:B17)</f>
        <v>0</v>
      </c>
      <c r="C14" s="303">
        <f>SUM(C15:C17)</f>
        <v>0</v>
      </c>
      <c r="D14" s="303">
        <f>+B14-C14</f>
        <v>0</v>
      </c>
      <c r="E14" s="303">
        <f>IFERROR(+D14*100/B14,0)</f>
        <v>0</v>
      </c>
      <c r="F14" s="304"/>
      <c r="G14" s="303">
        <f>SUM(G15:G17)</f>
        <v>0</v>
      </c>
      <c r="H14" s="303">
        <f>SUM(H15:H17)</f>
        <v>0</v>
      </c>
      <c r="I14" s="303">
        <f>+G14-H14</f>
        <v>0</v>
      </c>
      <c r="J14" s="310">
        <f>IFERROR(+I14*100/G14,0)</f>
        <v>0</v>
      </c>
      <c r="K14" s="301" t="s">
        <v>233</v>
      </c>
    </row>
    <row r="15" spans="1:11" ht="15.6">
      <c r="A15" s="317" t="s">
        <v>234</v>
      </c>
      <c r="B15" s="301"/>
      <c r="C15" s="306">
        <v>0</v>
      </c>
      <c r="D15" s="301">
        <f>+B15-C15</f>
        <v>0</v>
      </c>
      <c r="E15" s="303">
        <f>IFERROR(+D15*100/B15,0)</f>
        <v>0</v>
      </c>
      <c r="F15" s="302"/>
      <c r="G15" s="301"/>
      <c r="H15" s="307"/>
      <c r="I15" s="301">
        <f>+G15-H15</f>
        <v>0</v>
      </c>
      <c r="J15" s="310">
        <f t="shared" ref="J15:J17" si="4">IFERROR(+I15*100/G15,0)</f>
        <v>0</v>
      </c>
      <c r="K15" s="301"/>
    </row>
    <row r="16" spans="1:11" ht="15.6">
      <c r="A16" s="317" t="s">
        <v>104</v>
      </c>
      <c r="B16" s="301">
        <v>0</v>
      </c>
      <c r="C16" s="306">
        <v>0</v>
      </c>
      <c r="D16" s="301">
        <f>+B16-C16</f>
        <v>0</v>
      </c>
      <c r="E16" s="303">
        <f>IFERROR(+D16*100/B16,0)</f>
        <v>0</v>
      </c>
      <c r="F16" s="302"/>
      <c r="G16" s="301"/>
      <c r="H16" s="307"/>
      <c r="I16" s="301">
        <f>+G16-H16</f>
        <v>0</v>
      </c>
      <c r="J16" s="310">
        <f t="shared" si="4"/>
        <v>0</v>
      </c>
      <c r="K16" s="301"/>
    </row>
    <row r="17" spans="1:11" ht="15.6">
      <c r="A17" s="319" t="s">
        <v>231</v>
      </c>
      <c r="B17" s="301">
        <v>0</v>
      </c>
      <c r="C17" s="306">
        <v>0</v>
      </c>
      <c r="D17" s="301">
        <v>0</v>
      </c>
      <c r="E17" s="303">
        <f>IFERROR(+D17*100/B17,0)</f>
        <v>0</v>
      </c>
      <c r="F17" s="302"/>
      <c r="G17" s="301"/>
      <c r="H17" s="307"/>
      <c r="I17" s="301">
        <v>0</v>
      </c>
      <c r="J17" s="310">
        <f t="shared" si="4"/>
        <v>0</v>
      </c>
      <c r="K17" s="301"/>
    </row>
    <row r="18" spans="1:11" s="1" customFormat="1" ht="13.8">
      <c r="J18" s="322"/>
    </row>
    <row r="19" spans="1:11" ht="17.399999999999999">
      <c r="A19" s="320" t="s">
        <v>235</v>
      </c>
      <c r="B19" s="303">
        <f>SUM(B20:B41)</f>
        <v>0</v>
      </c>
      <c r="C19" s="303">
        <f>SUM(C20:C41)</f>
        <v>0</v>
      </c>
      <c r="D19" s="303">
        <f t="shared" ref="D19:D43" si="5">+B19-C19</f>
        <v>0</v>
      </c>
      <c r="E19" s="303">
        <f>IFERROR((+D19*100/B19),0)</f>
        <v>0</v>
      </c>
      <c r="F19" s="304"/>
      <c r="G19" s="303">
        <f>SUM(G20:G41)</f>
        <v>0</v>
      </c>
      <c r="H19" s="303">
        <f>SUM(H20:H41)</f>
        <v>0</v>
      </c>
      <c r="I19" s="303">
        <f t="shared" ref="I19" si="6">+G19-H19</f>
        <v>0</v>
      </c>
      <c r="J19" s="310">
        <f>IFERROR((+I19*100/G19),0)</f>
        <v>0</v>
      </c>
      <c r="K19" s="301" t="s">
        <v>230</v>
      </c>
    </row>
    <row r="20" spans="1:11" ht="15.6">
      <c r="A20" s="317" t="s">
        <v>236</v>
      </c>
      <c r="B20" s="301"/>
      <c r="C20" s="306"/>
      <c r="D20" s="301">
        <f t="shared" si="5"/>
        <v>0</v>
      </c>
      <c r="E20" s="303">
        <f t="shared" ref="E20:E40" si="7">IFERROR((+D20*100/B20),0)</f>
        <v>0</v>
      </c>
      <c r="F20" s="302"/>
      <c r="G20" s="301"/>
      <c r="H20" s="307"/>
      <c r="I20" s="301">
        <f t="shared" ref="I20:I43" si="8">+G20-H20</f>
        <v>0</v>
      </c>
      <c r="J20" s="326">
        <f>IFERROR((+I20*100/G20),0)</f>
        <v>0</v>
      </c>
      <c r="K20" s="301"/>
    </row>
    <row r="21" spans="1:11" ht="15.6">
      <c r="A21" s="317" t="s">
        <v>237</v>
      </c>
      <c r="B21" s="301"/>
      <c r="C21" s="306"/>
      <c r="D21" s="301">
        <f t="shared" si="5"/>
        <v>0</v>
      </c>
      <c r="E21" s="303">
        <f t="shared" si="7"/>
        <v>0</v>
      </c>
      <c r="F21" s="302"/>
      <c r="G21" s="301"/>
      <c r="H21" s="307"/>
      <c r="I21" s="301">
        <f t="shared" si="8"/>
        <v>0</v>
      </c>
      <c r="J21" s="326">
        <f t="shared" ref="J21:J43" si="9">IFERROR((+I21*100/G21),0)</f>
        <v>0</v>
      </c>
      <c r="K21" s="301"/>
    </row>
    <row r="22" spans="1:11" ht="15.6">
      <c r="A22" s="319" t="s">
        <v>238</v>
      </c>
      <c r="B22" s="301"/>
      <c r="C22" s="306"/>
      <c r="D22" s="301">
        <f t="shared" si="5"/>
        <v>0</v>
      </c>
      <c r="E22" s="303">
        <f t="shared" si="7"/>
        <v>0</v>
      </c>
      <c r="F22" s="302"/>
      <c r="G22" s="301"/>
      <c r="H22" s="307"/>
      <c r="I22" s="301">
        <f t="shared" si="8"/>
        <v>0</v>
      </c>
      <c r="J22" s="326">
        <f t="shared" si="9"/>
        <v>0</v>
      </c>
      <c r="K22" s="301" t="s">
        <v>3</v>
      </c>
    </row>
    <row r="23" spans="1:11" ht="15.6">
      <c r="A23" s="319" t="s">
        <v>239</v>
      </c>
      <c r="B23" s="301"/>
      <c r="C23" s="306"/>
      <c r="D23" s="301">
        <f t="shared" si="5"/>
        <v>0</v>
      </c>
      <c r="E23" s="303">
        <f t="shared" si="7"/>
        <v>0</v>
      </c>
      <c r="F23" s="302"/>
      <c r="G23" s="301"/>
      <c r="H23" s="307"/>
      <c r="I23" s="301">
        <f t="shared" si="8"/>
        <v>0</v>
      </c>
      <c r="J23" s="326">
        <f t="shared" si="9"/>
        <v>0</v>
      </c>
      <c r="K23" s="301"/>
    </row>
    <row r="24" spans="1:11" ht="15.6">
      <c r="A24" s="317" t="s">
        <v>16</v>
      </c>
      <c r="B24" s="301"/>
      <c r="C24" s="306"/>
      <c r="D24" s="301">
        <f t="shared" si="5"/>
        <v>0</v>
      </c>
      <c r="E24" s="303">
        <f t="shared" si="7"/>
        <v>0</v>
      </c>
      <c r="F24" s="302"/>
      <c r="G24" s="301"/>
      <c r="H24" s="307"/>
      <c r="I24" s="301">
        <f t="shared" si="8"/>
        <v>0</v>
      </c>
      <c r="J24" s="326">
        <f t="shared" si="9"/>
        <v>0</v>
      </c>
      <c r="K24" s="301"/>
    </row>
    <row r="25" spans="1:11" ht="15.6">
      <c r="A25" s="317" t="s">
        <v>240</v>
      </c>
      <c r="B25" s="301"/>
      <c r="C25" s="306"/>
      <c r="D25" s="301"/>
      <c r="E25" s="303">
        <f t="shared" si="7"/>
        <v>0</v>
      </c>
      <c r="F25" s="302"/>
      <c r="G25" s="301"/>
      <c r="H25" s="307"/>
      <c r="I25" s="301"/>
      <c r="J25" s="326">
        <f t="shared" si="9"/>
        <v>0</v>
      </c>
      <c r="K25" s="301"/>
    </row>
    <row r="26" spans="1:11" ht="15.6">
      <c r="A26" s="317" t="s">
        <v>110</v>
      </c>
      <c r="B26" s="301"/>
      <c r="C26" s="306"/>
      <c r="D26" s="301"/>
      <c r="E26" s="303">
        <f t="shared" si="7"/>
        <v>0</v>
      </c>
      <c r="F26" s="302"/>
      <c r="G26" s="301"/>
      <c r="H26" s="307"/>
      <c r="I26" s="301"/>
      <c r="J26" s="326">
        <f t="shared" si="9"/>
        <v>0</v>
      </c>
      <c r="K26" s="301"/>
    </row>
    <row r="27" spans="1:11" ht="15.6">
      <c r="A27" s="317" t="s">
        <v>241</v>
      </c>
      <c r="B27" s="301"/>
      <c r="C27" s="306"/>
      <c r="D27" s="301">
        <f t="shared" si="5"/>
        <v>0</v>
      </c>
      <c r="E27" s="303">
        <f t="shared" si="7"/>
        <v>0</v>
      </c>
      <c r="F27" s="302"/>
      <c r="G27" s="301"/>
      <c r="H27" s="307"/>
      <c r="I27" s="301">
        <f t="shared" si="8"/>
        <v>0</v>
      </c>
      <c r="J27" s="326">
        <f t="shared" si="9"/>
        <v>0</v>
      </c>
      <c r="K27" s="301"/>
    </row>
    <row r="28" spans="1:11" ht="15.6">
      <c r="A28" s="317" t="s">
        <v>15</v>
      </c>
      <c r="B28" s="301"/>
      <c r="C28" s="306"/>
      <c r="D28" s="301">
        <f t="shared" si="5"/>
        <v>0</v>
      </c>
      <c r="E28" s="303">
        <f t="shared" si="7"/>
        <v>0</v>
      </c>
      <c r="F28" s="302"/>
      <c r="G28" s="301"/>
      <c r="H28" s="307"/>
      <c r="I28" s="301">
        <f t="shared" si="8"/>
        <v>0</v>
      </c>
      <c r="J28" s="326">
        <f t="shared" si="9"/>
        <v>0</v>
      </c>
      <c r="K28" s="301"/>
    </row>
    <row r="29" spans="1:11" ht="15.6">
      <c r="A29" s="317" t="s">
        <v>108</v>
      </c>
      <c r="B29" s="301"/>
      <c r="C29" s="306"/>
      <c r="D29" s="301">
        <f t="shared" si="5"/>
        <v>0</v>
      </c>
      <c r="E29" s="303">
        <f t="shared" si="7"/>
        <v>0</v>
      </c>
      <c r="F29" s="302"/>
      <c r="G29" s="301"/>
      <c r="H29" s="307"/>
      <c r="I29" s="301">
        <f t="shared" si="8"/>
        <v>0</v>
      </c>
      <c r="J29" s="326">
        <f t="shared" si="9"/>
        <v>0</v>
      </c>
      <c r="K29" s="301"/>
    </row>
    <row r="30" spans="1:11" ht="15.6">
      <c r="A30" s="317" t="s">
        <v>111</v>
      </c>
      <c r="B30" s="301"/>
      <c r="C30" s="306"/>
      <c r="D30" s="301">
        <f t="shared" si="5"/>
        <v>0</v>
      </c>
      <c r="E30" s="303">
        <f t="shared" si="7"/>
        <v>0</v>
      </c>
      <c r="F30" s="302"/>
      <c r="G30" s="301"/>
      <c r="H30" s="307"/>
      <c r="I30" s="301">
        <f t="shared" si="8"/>
        <v>0</v>
      </c>
      <c r="J30" s="326">
        <f t="shared" si="9"/>
        <v>0</v>
      </c>
      <c r="K30" s="301"/>
    </row>
    <row r="31" spans="1:11" ht="15.6">
      <c r="A31" s="317" t="s">
        <v>105</v>
      </c>
      <c r="B31" s="301"/>
      <c r="C31" s="306"/>
      <c r="D31" s="301">
        <f t="shared" si="5"/>
        <v>0</v>
      </c>
      <c r="E31" s="303">
        <f t="shared" si="7"/>
        <v>0</v>
      </c>
      <c r="F31" s="302"/>
      <c r="G31" s="301"/>
      <c r="H31" s="307"/>
      <c r="I31" s="301">
        <f t="shared" si="8"/>
        <v>0</v>
      </c>
      <c r="J31" s="326">
        <f t="shared" si="9"/>
        <v>0</v>
      </c>
      <c r="K31" s="301"/>
    </row>
    <row r="32" spans="1:11" ht="15.6">
      <c r="A32" s="317" t="s">
        <v>242</v>
      </c>
      <c r="B32" s="301"/>
      <c r="C32" s="306"/>
      <c r="D32" s="301">
        <f t="shared" si="5"/>
        <v>0</v>
      </c>
      <c r="E32" s="303">
        <f t="shared" si="7"/>
        <v>0</v>
      </c>
      <c r="F32" s="302"/>
      <c r="G32" s="301"/>
      <c r="H32" s="307"/>
      <c r="I32" s="301">
        <f t="shared" si="8"/>
        <v>0</v>
      </c>
      <c r="J32" s="326">
        <f t="shared" si="9"/>
        <v>0</v>
      </c>
      <c r="K32" s="301"/>
    </row>
    <row r="33" spans="1:11" ht="15.6">
      <c r="A33" s="317" t="s">
        <v>109</v>
      </c>
      <c r="B33" s="301"/>
      <c r="C33" s="306"/>
      <c r="D33" s="301">
        <f t="shared" si="5"/>
        <v>0</v>
      </c>
      <c r="E33" s="303">
        <f t="shared" si="7"/>
        <v>0</v>
      </c>
      <c r="F33" s="302"/>
      <c r="G33" s="301"/>
      <c r="H33" s="307"/>
      <c r="I33" s="301">
        <f t="shared" si="8"/>
        <v>0</v>
      </c>
      <c r="J33" s="326">
        <f t="shared" si="9"/>
        <v>0</v>
      </c>
      <c r="K33" s="301"/>
    </row>
    <row r="34" spans="1:11" ht="15.6">
      <c r="A34" s="317" t="s">
        <v>107</v>
      </c>
      <c r="B34" s="301"/>
      <c r="C34" s="306"/>
      <c r="D34" s="301">
        <f t="shared" si="5"/>
        <v>0</v>
      </c>
      <c r="E34" s="303">
        <f t="shared" si="7"/>
        <v>0</v>
      </c>
      <c r="F34" s="302"/>
      <c r="G34" s="301"/>
      <c r="H34" s="307"/>
      <c r="I34" s="301">
        <f t="shared" si="8"/>
        <v>0</v>
      </c>
      <c r="J34" s="326">
        <f t="shared" si="9"/>
        <v>0</v>
      </c>
      <c r="K34" s="301"/>
    </row>
    <row r="35" spans="1:11" ht="15.6">
      <c r="A35" s="317" t="s">
        <v>102</v>
      </c>
      <c r="B35" s="301"/>
      <c r="C35" s="306"/>
      <c r="D35" s="301">
        <f t="shared" si="5"/>
        <v>0</v>
      </c>
      <c r="E35" s="303">
        <f t="shared" si="7"/>
        <v>0</v>
      </c>
      <c r="F35" s="302"/>
      <c r="G35" s="301"/>
      <c r="H35" s="307"/>
      <c r="I35" s="301">
        <f t="shared" si="8"/>
        <v>0</v>
      </c>
      <c r="J35" s="326">
        <f t="shared" si="9"/>
        <v>0</v>
      </c>
      <c r="K35" s="301"/>
    </row>
    <row r="36" spans="1:11" ht="15.6">
      <c r="A36" s="317" t="s">
        <v>243</v>
      </c>
      <c r="B36" s="301"/>
      <c r="C36" s="306"/>
      <c r="D36" s="301">
        <f t="shared" si="5"/>
        <v>0</v>
      </c>
      <c r="E36" s="303">
        <f t="shared" si="7"/>
        <v>0</v>
      </c>
      <c r="F36" s="302"/>
      <c r="G36" s="301"/>
      <c r="H36" s="307"/>
      <c r="I36" s="301">
        <f t="shared" si="8"/>
        <v>0</v>
      </c>
      <c r="J36" s="326">
        <f t="shared" si="9"/>
        <v>0</v>
      </c>
      <c r="K36" s="301"/>
    </row>
    <row r="37" spans="1:11" ht="15.6">
      <c r="A37" s="317" t="s">
        <v>244</v>
      </c>
      <c r="B37" s="301"/>
      <c r="C37" s="306"/>
      <c r="D37" s="301">
        <f t="shared" si="5"/>
        <v>0</v>
      </c>
      <c r="E37" s="303">
        <f t="shared" si="7"/>
        <v>0</v>
      </c>
      <c r="F37" s="302"/>
      <c r="G37" s="301"/>
      <c r="H37" s="307"/>
      <c r="I37" s="301">
        <f t="shared" si="8"/>
        <v>0</v>
      </c>
      <c r="J37" s="326">
        <f t="shared" si="9"/>
        <v>0</v>
      </c>
      <c r="K37" s="301"/>
    </row>
    <row r="38" spans="1:11" ht="15.6">
      <c r="A38" s="317" t="s">
        <v>106</v>
      </c>
      <c r="B38" s="301"/>
      <c r="C38" s="306"/>
      <c r="D38" s="301">
        <f t="shared" si="5"/>
        <v>0</v>
      </c>
      <c r="E38" s="303">
        <f t="shared" si="7"/>
        <v>0</v>
      </c>
      <c r="F38" s="302"/>
      <c r="G38" s="301"/>
      <c r="H38" s="307"/>
      <c r="I38" s="301">
        <f t="shared" si="8"/>
        <v>0</v>
      </c>
      <c r="J38" s="326">
        <f t="shared" si="9"/>
        <v>0</v>
      </c>
      <c r="K38" s="301"/>
    </row>
    <row r="39" spans="1:11" ht="15.6">
      <c r="A39" s="317" t="s">
        <v>101</v>
      </c>
      <c r="B39" s="301"/>
      <c r="C39" s="306"/>
      <c r="D39" s="301">
        <f t="shared" si="5"/>
        <v>0</v>
      </c>
      <c r="E39" s="303">
        <f t="shared" si="7"/>
        <v>0</v>
      </c>
      <c r="F39" s="302"/>
      <c r="G39" s="301"/>
      <c r="H39" s="307"/>
      <c r="I39" s="301"/>
      <c r="J39" s="326">
        <f t="shared" si="9"/>
        <v>0</v>
      </c>
      <c r="K39" s="301"/>
    </row>
    <row r="40" spans="1:11" ht="15.6">
      <c r="A40" s="317" t="s">
        <v>245</v>
      </c>
      <c r="B40" s="301"/>
      <c r="C40" s="306"/>
      <c r="D40" s="301">
        <f t="shared" si="5"/>
        <v>0</v>
      </c>
      <c r="E40" s="303">
        <f t="shared" si="7"/>
        <v>0</v>
      </c>
      <c r="F40" s="302"/>
      <c r="G40" s="301"/>
      <c r="H40" s="307"/>
      <c r="I40" s="301"/>
      <c r="J40" s="326">
        <f t="shared" si="9"/>
        <v>0</v>
      </c>
      <c r="K40" s="301"/>
    </row>
    <row r="41" spans="1:11" ht="15.6">
      <c r="A41" s="225"/>
      <c r="B41" s="305"/>
      <c r="C41" s="301"/>
      <c r="D41" s="301">
        <f t="shared" si="5"/>
        <v>0</v>
      </c>
      <c r="E41" s="303">
        <f>IFERROR((+D41*100/B41),0)</f>
        <v>0</v>
      </c>
      <c r="F41" s="302"/>
      <c r="G41" s="301"/>
      <c r="H41" s="301"/>
      <c r="I41" s="301">
        <f t="shared" si="8"/>
        <v>0</v>
      </c>
      <c r="J41" s="326">
        <f t="shared" si="9"/>
        <v>0</v>
      </c>
      <c r="K41" s="301"/>
    </row>
    <row r="42" spans="1:11" ht="15.6">
      <c r="A42" s="321" t="s">
        <v>246</v>
      </c>
      <c r="B42" s="308">
        <f>+B14+B19</f>
        <v>0</v>
      </c>
      <c r="C42" s="308">
        <f>+C14+C19</f>
        <v>0</v>
      </c>
      <c r="D42" s="308">
        <f t="shared" si="5"/>
        <v>0</v>
      </c>
      <c r="E42" s="303">
        <f>IFERROR((+D42*100/B42),0)</f>
        <v>0</v>
      </c>
      <c r="F42" s="302"/>
      <c r="G42" s="308">
        <f>+G14+G19</f>
        <v>0</v>
      </c>
      <c r="H42" s="308">
        <f>+H14+H19</f>
        <v>0</v>
      </c>
      <c r="I42" s="308">
        <f t="shared" si="8"/>
        <v>0</v>
      </c>
      <c r="J42" s="326">
        <f t="shared" si="9"/>
        <v>0</v>
      </c>
      <c r="K42" s="301"/>
    </row>
    <row r="43" spans="1:11" ht="15.6">
      <c r="A43" s="321" t="s">
        <v>17</v>
      </c>
      <c r="B43" s="308">
        <f>+B8-B42</f>
        <v>0</v>
      </c>
      <c r="C43" s="308">
        <f>+C8-C42</f>
        <v>0</v>
      </c>
      <c r="D43" s="308">
        <f t="shared" si="5"/>
        <v>0</v>
      </c>
      <c r="E43" s="303">
        <f>IFERROR((+D43*100/B43),0)</f>
        <v>0</v>
      </c>
      <c r="F43" s="302"/>
      <c r="G43" s="308">
        <f>+G8-G42</f>
        <v>0</v>
      </c>
      <c r="H43" s="308">
        <f>+H8-H42</f>
        <v>0</v>
      </c>
      <c r="I43" s="308">
        <f t="shared" si="8"/>
        <v>0</v>
      </c>
      <c r="J43" s="326">
        <f t="shared" si="9"/>
        <v>0</v>
      </c>
      <c r="K43" s="301"/>
    </row>
  </sheetData>
  <mergeCells count="2">
    <mergeCell ref="A3:B3"/>
    <mergeCell ref="G5:J5"/>
  </mergeCells>
  <conditionalFormatting sqref="A15:A40">
    <cfRule type="duplicateValues" dxfId="1" priority="2"/>
  </conditionalFormatting>
  <conditionalFormatting sqref="A20:A40">
    <cfRule type="duplicateValues" dxfId="0" priority="1"/>
  </conditionalFormatting>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B128"/>
  <sheetViews>
    <sheetView showGridLines="0" view="pageBreakPreview" topLeftCell="A3" zoomScale="85" zoomScaleNormal="85" zoomScaleSheetLayoutView="85" workbookViewId="0">
      <selection activeCell="D12" sqref="D12"/>
    </sheetView>
  </sheetViews>
  <sheetFormatPr defaultColWidth="9.109375" defaultRowHeight="13.8"/>
  <cols>
    <col min="1" max="1" width="28" style="1" bestFit="1" customWidth="1"/>
    <col min="2" max="2" width="8.5546875" style="1" customWidth="1"/>
    <col min="3" max="3" width="8.5546875" style="1" bestFit="1" customWidth="1"/>
    <col min="4" max="5" width="6.33203125" style="1" bestFit="1" customWidth="1"/>
    <col min="6" max="8" width="7.44140625" style="1" bestFit="1" customWidth="1"/>
    <col min="9" max="9" width="6.33203125" style="1" bestFit="1" customWidth="1"/>
    <col min="10" max="13" width="7.44140625" style="1" bestFit="1" customWidth="1"/>
    <col min="14" max="14" width="8.44140625" style="1" bestFit="1" customWidth="1"/>
    <col min="15" max="15" width="6.33203125" style="1" bestFit="1" customWidth="1"/>
    <col min="16" max="16" width="8.44140625" style="1" bestFit="1" customWidth="1"/>
    <col min="17" max="17" width="9.5546875" style="1" customWidth="1"/>
    <col min="18" max="20" width="9.5546875" style="1" bestFit="1" customWidth="1"/>
    <col min="21" max="21" width="10.44140625" style="1" bestFit="1" customWidth="1"/>
    <col min="22" max="26" width="7.44140625" style="1" bestFit="1" customWidth="1"/>
    <col min="27" max="27" width="8" style="1" bestFit="1" customWidth="1"/>
    <col min="28" max="28" width="10.77734375" style="1" bestFit="1" customWidth="1"/>
    <col min="29" max="16384" width="9.109375" style="1"/>
  </cols>
  <sheetData>
    <row r="1" spans="1:28" ht="20.25" customHeight="1">
      <c r="A1" s="35"/>
      <c r="B1" s="36"/>
      <c r="C1" s="37"/>
      <c r="D1" s="38"/>
      <c r="E1" s="38"/>
      <c r="F1" s="38"/>
      <c r="G1" s="38"/>
      <c r="H1" s="38"/>
    </row>
    <row r="2" spans="1:28" s="39" customFormat="1" ht="26.25" customHeight="1">
      <c r="A2" s="473" t="str">
        <f>Cover!A12</f>
        <v>Western Vending Machines LLC</v>
      </c>
      <c r="B2" s="473"/>
      <c r="C2" s="473"/>
      <c r="D2" s="473"/>
    </row>
    <row r="3" spans="1:28" s="40" customFormat="1" ht="21" customHeight="1">
      <c r="A3" s="474" t="str">
        <f>Cover!A13</f>
        <v xml:space="preserve">DUABI UAE </v>
      </c>
      <c r="B3" s="474"/>
      <c r="C3" s="474"/>
      <c r="D3" s="474"/>
    </row>
    <row r="4" spans="1:28" s="40" customFormat="1" ht="24.75" customHeight="1">
      <c r="A4" s="71"/>
      <c r="B4" s="71"/>
      <c r="C4" s="71"/>
      <c r="D4" s="71"/>
      <c r="Y4" s="477" t="s">
        <v>21</v>
      </c>
      <c r="Z4" s="477"/>
      <c r="AA4" s="477"/>
      <c r="AB4" s="477"/>
    </row>
    <row r="5" spans="1:28" ht="30" customHeight="1">
      <c r="A5" s="475" t="s">
        <v>200</v>
      </c>
      <c r="B5" s="475"/>
      <c r="C5" s="475"/>
      <c r="D5" s="475"/>
      <c r="E5" s="475"/>
      <c r="F5" s="475"/>
      <c r="G5" s="475"/>
      <c r="H5" s="475"/>
      <c r="I5" s="475"/>
      <c r="J5" s="475"/>
      <c r="K5" s="475"/>
      <c r="L5" s="475"/>
      <c r="M5" s="475"/>
      <c r="N5" s="475"/>
      <c r="O5" s="475"/>
      <c r="P5" s="475"/>
      <c r="Q5" s="475"/>
      <c r="R5" s="475"/>
      <c r="S5" s="475"/>
      <c r="T5" s="475"/>
      <c r="U5" s="475"/>
      <c r="V5" s="475"/>
      <c r="W5" s="475"/>
      <c r="X5" s="475"/>
      <c r="Y5" s="475"/>
      <c r="Z5" s="475"/>
      <c r="AA5" s="475"/>
      <c r="AB5" s="475"/>
    </row>
    <row r="6" spans="1:28" ht="21.75" customHeight="1">
      <c r="A6" s="476" t="str">
        <f>"For The Period "</f>
        <v xml:space="preserve">For The Period </v>
      </c>
      <c r="B6" s="476"/>
      <c r="C6" s="476"/>
      <c r="D6" s="476"/>
      <c r="E6" s="476"/>
      <c r="F6" s="476"/>
      <c r="G6" s="476"/>
      <c r="H6" s="476"/>
      <c r="I6" s="476"/>
      <c r="J6" s="476"/>
      <c r="K6" s="476"/>
      <c r="L6" s="476"/>
      <c r="M6" s="476"/>
      <c r="N6" s="476"/>
      <c r="O6" s="476"/>
      <c r="P6" s="476"/>
      <c r="Q6" s="476"/>
      <c r="R6" s="476"/>
      <c r="S6" s="476"/>
      <c r="T6" s="476"/>
      <c r="U6" s="476"/>
      <c r="V6" s="476"/>
      <c r="W6" s="476"/>
      <c r="X6" s="476"/>
      <c r="Y6" s="476"/>
      <c r="Z6" s="476"/>
      <c r="AA6" s="476"/>
      <c r="AB6" s="476"/>
    </row>
    <row r="7" spans="1:28" ht="6.75" customHeight="1">
      <c r="A7" s="41"/>
      <c r="B7" s="41"/>
      <c r="C7" s="41"/>
      <c r="D7" s="41"/>
      <c r="E7" s="41"/>
      <c r="F7" s="41"/>
      <c r="G7" s="41"/>
      <c r="H7" s="41"/>
      <c r="I7" s="41"/>
      <c r="J7" s="41"/>
      <c r="K7" s="41"/>
      <c r="L7" s="41"/>
      <c r="M7" s="41"/>
      <c r="N7" s="41"/>
      <c r="O7" s="41"/>
      <c r="P7" s="41"/>
      <c r="Q7" s="41"/>
      <c r="R7" s="41"/>
    </row>
    <row r="8" spans="1:28" s="42" customFormat="1" ht="30">
      <c r="A8" s="226" t="s">
        <v>216</v>
      </c>
      <c r="B8" s="238" t="s">
        <v>173</v>
      </c>
      <c r="C8" s="238" t="s">
        <v>174</v>
      </c>
      <c r="D8" s="238" t="s">
        <v>175</v>
      </c>
      <c r="E8" s="238" t="s">
        <v>176</v>
      </c>
      <c r="F8" s="238" t="s">
        <v>177</v>
      </c>
      <c r="G8" s="238" t="s">
        <v>178</v>
      </c>
      <c r="H8" s="238" t="s">
        <v>179</v>
      </c>
      <c r="I8" s="238" t="s">
        <v>180</v>
      </c>
      <c r="J8" s="238" t="s">
        <v>181</v>
      </c>
      <c r="K8" s="238" t="s">
        <v>182</v>
      </c>
      <c r="L8" s="238" t="s">
        <v>183</v>
      </c>
      <c r="M8" s="238" t="s">
        <v>184</v>
      </c>
      <c r="N8" s="238" t="s">
        <v>185</v>
      </c>
      <c r="O8" s="238" t="s">
        <v>186</v>
      </c>
      <c r="P8" s="238" t="s">
        <v>187</v>
      </c>
      <c r="Q8" s="238" t="s">
        <v>188</v>
      </c>
      <c r="R8" s="238" t="s">
        <v>189</v>
      </c>
      <c r="S8" s="238" t="s">
        <v>190</v>
      </c>
      <c r="T8" s="238" t="s">
        <v>191</v>
      </c>
      <c r="U8" s="238" t="s">
        <v>192</v>
      </c>
      <c r="V8" s="238" t="s">
        <v>193</v>
      </c>
      <c r="W8" s="238" t="s">
        <v>194</v>
      </c>
      <c r="X8" s="238" t="s">
        <v>195</v>
      </c>
      <c r="Y8" s="238" t="s">
        <v>196</v>
      </c>
      <c r="Z8" s="238" t="s">
        <v>197</v>
      </c>
      <c r="AA8" s="238" t="s">
        <v>198</v>
      </c>
      <c r="AB8" s="238" t="s">
        <v>199</v>
      </c>
    </row>
    <row r="9" spans="1:28">
      <c r="A9" s="225" t="s">
        <v>212</v>
      </c>
      <c r="B9" s="227"/>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8"/>
    </row>
    <row r="10" spans="1:28">
      <c r="A10" s="225" t="s">
        <v>135</v>
      </c>
      <c r="B10" s="227"/>
      <c r="C10" s="227"/>
      <c r="D10" s="227"/>
      <c r="E10" s="227"/>
      <c r="F10" s="227"/>
      <c r="G10" s="227"/>
      <c r="H10" s="227"/>
      <c r="I10" s="227"/>
      <c r="J10" s="227"/>
      <c r="K10" s="227"/>
      <c r="L10" s="227"/>
      <c r="M10" s="227"/>
      <c r="N10" s="227"/>
      <c r="O10" s="227"/>
      <c r="P10" s="227"/>
      <c r="Q10" s="227">
        <v>14500</v>
      </c>
      <c r="R10" s="227">
        <v>97500</v>
      </c>
      <c r="S10" s="227">
        <v>75000</v>
      </c>
      <c r="T10" s="227">
        <v>20000</v>
      </c>
      <c r="U10" s="227">
        <v>640000</v>
      </c>
      <c r="V10" s="227"/>
      <c r="W10" s="227"/>
      <c r="X10" s="227"/>
      <c r="Y10" s="227"/>
      <c r="Z10" s="227"/>
      <c r="AA10" s="227"/>
      <c r="AB10" s="228">
        <f t="shared" ref="AB10:AB53" si="0">SUM(B10:AA10)</f>
        <v>847000</v>
      </c>
    </row>
    <row r="11" spans="1:28">
      <c r="A11" s="226" t="s">
        <v>171</v>
      </c>
      <c r="B11" s="227"/>
      <c r="C11" s="227"/>
      <c r="D11" s="227"/>
      <c r="E11" s="227"/>
      <c r="F11" s="227"/>
      <c r="G11" s="227"/>
      <c r="H11" s="227"/>
      <c r="I11" s="227"/>
      <c r="J11" s="227"/>
      <c r="K11" s="227"/>
      <c r="L11" s="227"/>
      <c r="M11" s="227"/>
      <c r="N11" s="227"/>
      <c r="O11" s="227"/>
      <c r="P11" s="227"/>
      <c r="Q11" s="227"/>
      <c r="R11" s="227"/>
      <c r="S11" s="227"/>
      <c r="T11" s="227"/>
      <c r="U11" s="227"/>
      <c r="V11" s="227"/>
      <c r="W11" s="227">
        <v>686.85</v>
      </c>
      <c r="X11" s="227"/>
      <c r="Y11" s="227"/>
      <c r="Z11" s="227"/>
      <c r="AA11" s="227"/>
      <c r="AB11" s="228">
        <f t="shared" si="0"/>
        <v>686.85</v>
      </c>
    </row>
    <row r="12" spans="1:28">
      <c r="A12" s="225" t="s">
        <v>215</v>
      </c>
      <c r="B12" s="237">
        <v>0</v>
      </c>
      <c r="C12" s="237">
        <v>0</v>
      </c>
      <c r="D12" s="237">
        <v>0</v>
      </c>
      <c r="E12" s="237">
        <v>0</v>
      </c>
      <c r="F12" s="237">
        <v>0</v>
      </c>
      <c r="G12" s="237">
        <v>0</v>
      </c>
      <c r="H12" s="237">
        <v>0</v>
      </c>
      <c r="I12" s="237">
        <v>0</v>
      </c>
      <c r="J12" s="237">
        <v>0</v>
      </c>
      <c r="K12" s="237">
        <v>0</v>
      </c>
      <c r="L12" s="237">
        <v>0</v>
      </c>
      <c r="M12" s="237">
        <v>0</v>
      </c>
      <c r="N12" s="237">
        <v>0</v>
      </c>
      <c r="O12" s="237">
        <v>0</v>
      </c>
      <c r="P12" s="237">
        <v>0</v>
      </c>
      <c r="Q12" s="237">
        <v>14500</v>
      </c>
      <c r="R12" s="237">
        <v>97500</v>
      </c>
      <c r="S12" s="237">
        <v>75000</v>
      </c>
      <c r="T12" s="237">
        <v>20000</v>
      </c>
      <c r="U12" s="237">
        <v>640000</v>
      </c>
      <c r="V12" s="237">
        <v>0</v>
      </c>
      <c r="W12" s="237">
        <v>686.85</v>
      </c>
      <c r="X12" s="237">
        <v>0</v>
      </c>
      <c r="Y12" s="237">
        <v>0</v>
      </c>
      <c r="Z12" s="237">
        <v>0</v>
      </c>
      <c r="AA12" s="237">
        <v>0</v>
      </c>
      <c r="AB12" s="228">
        <f>SUM(B12:AA12)</f>
        <v>847686.85</v>
      </c>
    </row>
    <row r="13" spans="1:28">
      <c r="A13" s="225"/>
      <c r="B13" s="237"/>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28">
        <f t="shared" si="0"/>
        <v>0</v>
      </c>
    </row>
    <row r="14" spans="1:28">
      <c r="A14" s="225" t="s">
        <v>154</v>
      </c>
      <c r="B14" s="237"/>
      <c r="C14" s="237"/>
      <c r="D14" s="237"/>
      <c r="E14" s="237"/>
      <c r="F14" s="237"/>
      <c r="G14" s="237"/>
      <c r="H14" s="237"/>
      <c r="I14" s="237"/>
      <c r="J14" s="237"/>
      <c r="K14" s="237"/>
      <c r="L14" s="237"/>
      <c r="M14" s="237"/>
      <c r="N14" s="237"/>
      <c r="O14" s="237"/>
      <c r="P14" s="237">
        <v>31250</v>
      </c>
      <c r="Q14" s="237"/>
      <c r="R14" s="237"/>
      <c r="S14" s="237"/>
      <c r="T14" s="237"/>
      <c r="U14" s="237"/>
      <c r="V14" s="237"/>
      <c r="W14" s="237"/>
      <c r="X14" s="237"/>
      <c r="Y14" s="237"/>
      <c r="Z14" s="237"/>
      <c r="AA14" s="237"/>
      <c r="AB14" s="228">
        <f t="shared" si="0"/>
        <v>31250</v>
      </c>
    </row>
    <row r="15" spans="1:28">
      <c r="A15" s="225" t="s">
        <v>153</v>
      </c>
      <c r="B15" s="237"/>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v>454</v>
      </c>
      <c r="AA15" s="237"/>
      <c r="AB15" s="228">
        <f t="shared" si="0"/>
        <v>454</v>
      </c>
    </row>
    <row r="16" spans="1:28">
      <c r="A16" s="225" t="s">
        <v>169</v>
      </c>
      <c r="B16" s="237"/>
      <c r="C16" s="237"/>
      <c r="D16" s="237"/>
      <c r="E16" s="237"/>
      <c r="F16" s="237"/>
      <c r="G16" s="237"/>
      <c r="H16" s="237"/>
      <c r="I16" s="237"/>
      <c r="J16" s="237"/>
      <c r="K16" s="237"/>
      <c r="L16" s="237"/>
      <c r="M16" s="237"/>
      <c r="N16" s="237"/>
      <c r="O16" s="237"/>
      <c r="P16" s="237"/>
      <c r="Q16" s="237"/>
      <c r="R16" s="237"/>
      <c r="S16" s="237"/>
      <c r="T16" s="237"/>
      <c r="U16" s="237"/>
      <c r="V16" s="237"/>
      <c r="W16" s="237">
        <v>4500</v>
      </c>
      <c r="X16" s="237"/>
      <c r="Y16" s="237"/>
      <c r="Z16" s="237"/>
      <c r="AA16" s="237"/>
      <c r="AB16" s="228">
        <f t="shared" si="0"/>
        <v>4500</v>
      </c>
    </row>
    <row r="17" spans="1:28">
      <c r="A17" s="225" t="s">
        <v>138</v>
      </c>
      <c r="B17" s="237"/>
      <c r="C17" s="237"/>
      <c r="D17" s="237"/>
      <c r="E17" s="237"/>
      <c r="F17" s="237"/>
      <c r="G17" s="237"/>
      <c r="H17" s="237"/>
      <c r="I17" s="237"/>
      <c r="J17" s="237"/>
      <c r="K17" s="237"/>
      <c r="L17" s="237">
        <v>2304</v>
      </c>
      <c r="M17" s="237"/>
      <c r="N17" s="237"/>
      <c r="O17" s="237"/>
      <c r="P17" s="237"/>
      <c r="Q17" s="237"/>
      <c r="R17" s="237"/>
      <c r="S17" s="237"/>
      <c r="T17" s="237"/>
      <c r="U17" s="237">
        <v>2304</v>
      </c>
      <c r="V17" s="237">
        <v>3483</v>
      </c>
      <c r="W17" s="237"/>
      <c r="X17" s="237"/>
      <c r="Y17" s="237"/>
      <c r="Z17" s="237"/>
      <c r="AA17" s="237"/>
      <c r="AB17" s="228">
        <f t="shared" si="0"/>
        <v>8091</v>
      </c>
    </row>
    <row r="18" spans="1:28">
      <c r="A18" s="225" t="s">
        <v>162</v>
      </c>
      <c r="B18" s="237"/>
      <c r="C18" s="237"/>
      <c r="D18" s="237"/>
      <c r="E18" s="237"/>
      <c r="F18" s="237"/>
      <c r="G18" s="237"/>
      <c r="H18" s="237"/>
      <c r="I18" s="237"/>
      <c r="J18" s="237"/>
      <c r="K18" s="237"/>
      <c r="L18" s="237"/>
      <c r="M18" s="237"/>
      <c r="N18" s="237"/>
      <c r="O18" s="237"/>
      <c r="P18" s="237"/>
      <c r="Q18" s="237"/>
      <c r="R18" s="237"/>
      <c r="S18" s="237"/>
      <c r="T18" s="237"/>
      <c r="U18" s="237"/>
      <c r="V18" s="237"/>
      <c r="W18" s="237">
        <v>500</v>
      </c>
      <c r="X18" s="237"/>
      <c r="Y18" s="237"/>
      <c r="Z18" s="237"/>
      <c r="AA18" s="237"/>
      <c r="AB18" s="228">
        <f t="shared" si="0"/>
        <v>500</v>
      </c>
    </row>
    <row r="19" spans="1:28">
      <c r="A19" s="225" t="s">
        <v>137</v>
      </c>
      <c r="B19" s="237"/>
      <c r="C19" s="237"/>
      <c r="D19" s="237"/>
      <c r="E19" s="237">
        <v>300</v>
      </c>
      <c r="F19" s="237"/>
      <c r="G19" s="237"/>
      <c r="H19" s="237"/>
      <c r="I19" s="237"/>
      <c r="J19" s="237">
        <v>1837.5</v>
      </c>
      <c r="K19" s="237"/>
      <c r="L19" s="237">
        <v>1150</v>
      </c>
      <c r="M19" s="237">
        <v>1150</v>
      </c>
      <c r="N19" s="237">
        <v>1150</v>
      </c>
      <c r="O19" s="237"/>
      <c r="P19" s="237">
        <v>2987.5</v>
      </c>
      <c r="Q19" s="237"/>
      <c r="R19" s="237"/>
      <c r="S19" s="237"/>
      <c r="T19" s="237"/>
      <c r="U19" s="237">
        <v>1150</v>
      </c>
      <c r="V19" s="237"/>
      <c r="W19" s="237"/>
      <c r="X19" s="237"/>
      <c r="Y19" s="237"/>
      <c r="Z19" s="237">
        <v>900</v>
      </c>
      <c r="AA19" s="237"/>
      <c r="AB19" s="228">
        <f t="shared" si="0"/>
        <v>10625</v>
      </c>
    </row>
    <row r="20" spans="1:28" s="47" customFormat="1">
      <c r="A20" s="225" t="s">
        <v>141</v>
      </c>
      <c r="B20" s="237"/>
      <c r="C20" s="237"/>
      <c r="D20" s="237"/>
      <c r="E20" s="237"/>
      <c r="F20" s="237"/>
      <c r="G20" s="237"/>
      <c r="H20" s="237"/>
      <c r="I20" s="237"/>
      <c r="J20" s="237"/>
      <c r="K20" s="237"/>
      <c r="L20" s="237"/>
      <c r="M20" s="237">
        <v>1010</v>
      </c>
      <c r="N20" s="237"/>
      <c r="O20" s="237"/>
      <c r="P20" s="237">
        <v>720</v>
      </c>
      <c r="Q20" s="237"/>
      <c r="R20" s="237"/>
      <c r="S20" s="237"/>
      <c r="T20" s="237"/>
      <c r="U20" s="237"/>
      <c r="V20" s="237"/>
      <c r="W20" s="237"/>
      <c r="X20" s="237"/>
      <c r="Y20" s="237">
        <v>2400</v>
      </c>
      <c r="Z20" s="237"/>
      <c r="AA20" s="237"/>
      <c r="AB20" s="228">
        <f t="shared" si="0"/>
        <v>4130</v>
      </c>
    </row>
    <row r="21" spans="1:28" s="47" customFormat="1">
      <c r="A21" s="225" t="s">
        <v>140</v>
      </c>
      <c r="B21" s="237"/>
      <c r="C21" s="237"/>
      <c r="D21" s="237"/>
      <c r="E21" s="237"/>
      <c r="F21" s="237"/>
      <c r="G21" s="237">
        <v>2624</v>
      </c>
      <c r="H21" s="237"/>
      <c r="I21" s="237"/>
      <c r="J21" s="237"/>
      <c r="K21" s="237">
        <v>4324</v>
      </c>
      <c r="L21" s="237"/>
      <c r="M21" s="237">
        <v>4262</v>
      </c>
      <c r="N21" s="237">
        <v>2530</v>
      </c>
      <c r="O21" s="237"/>
      <c r="P21" s="237">
        <v>2730</v>
      </c>
      <c r="Q21" s="237"/>
      <c r="R21" s="237"/>
      <c r="S21" s="237"/>
      <c r="T21" s="237"/>
      <c r="U21" s="237"/>
      <c r="V21" s="237"/>
      <c r="W21" s="237"/>
      <c r="X21" s="237"/>
      <c r="Y21" s="237">
        <v>15397</v>
      </c>
      <c r="Z21" s="237">
        <v>11040</v>
      </c>
      <c r="AA21" s="237"/>
      <c r="AB21" s="228">
        <f t="shared" si="0"/>
        <v>42907</v>
      </c>
    </row>
    <row r="22" spans="1:28">
      <c r="A22" s="225" t="s">
        <v>202</v>
      </c>
      <c r="B22" s="237"/>
      <c r="C22" s="237"/>
      <c r="D22" s="237"/>
      <c r="E22" s="237"/>
      <c r="F22" s="237"/>
      <c r="G22" s="237"/>
      <c r="H22" s="237"/>
      <c r="I22" s="237"/>
      <c r="J22" s="237"/>
      <c r="K22" s="237"/>
      <c r="L22" s="237"/>
      <c r="M22" s="237"/>
      <c r="N22" s="237"/>
      <c r="O22" s="237"/>
      <c r="P22" s="237"/>
      <c r="Q22" s="237"/>
      <c r="R22" s="237"/>
      <c r="S22" s="237"/>
      <c r="T22" s="237"/>
      <c r="U22" s="237">
        <v>57456</v>
      </c>
      <c r="V22" s="237"/>
      <c r="W22" s="237"/>
      <c r="X22" s="237"/>
      <c r="Y22" s="237"/>
      <c r="Z22" s="237"/>
      <c r="AA22" s="237"/>
      <c r="AB22" s="228">
        <f t="shared" si="0"/>
        <v>57456</v>
      </c>
    </row>
    <row r="23" spans="1:28">
      <c r="A23" s="225" t="s">
        <v>156</v>
      </c>
      <c r="B23" s="237"/>
      <c r="C23" s="237"/>
      <c r="D23" s="237"/>
      <c r="E23" s="237"/>
      <c r="F23" s="237"/>
      <c r="G23" s="237"/>
      <c r="H23" s="237"/>
      <c r="I23" s="237"/>
      <c r="J23" s="237"/>
      <c r="K23" s="237"/>
      <c r="L23" s="237"/>
      <c r="M23" s="237"/>
      <c r="N23" s="237"/>
      <c r="O23" s="237"/>
      <c r="P23" s="237"/>
      <c r="Q23" s="237"/>
      <c r="R23" s="237"/>
      <c r="S23" s="237"/>
      <c r="T23" s="237"/>
      <c r="U23" s="237">
        <v>54268.6</v>
      </c>
      <c r="V23" s="237"/>
      <c r="W23" s="237"/>
      <c r="X23" s="237"/>
      <c r="Y23" s="237"/>
      <c r="Z23" s="237"/>
      <c r="AA23" s="237"/>
      <c r="AB23" s="228">
        <f t="shared" si="0"/>
        <v>54268.6</v>
      </c>
    </row>
    <row r="24" spans="1:28">
      <c r="A24" s="225" t="s">
        <v>165</v>
      </c>
      <c r="B24" s="237"/>
      <c r="C24" s="237"/>
      <c r="D24" s="237"/>
      <c r="E24" s="237"/>
      <c r="F24" s="237"/>
      <c r="G24" s="237"/>
      <c r="H24" s="237">
        <v>235</v>
      </c>
      <c r="I24" s="237"/>
      <c r="J24" s="237"/>
      <c r="K24" s="237"/>
      <c r="L24" s="237">
        <v>1488.82</v>
      </c>
      <c r="M24" s="237"/>
      <c r="N24" s="237">
        <v>125</v>
      </c>
      <c r="O24" s="237">
        <v>120</v>
      </c>
      <c r="P24" s="237"/>
      <c r="Q24" s="237"/>
      <c r="R24" s="237"/>
      <c r="S24" s="237"/>
      <c r="T24" s="237"/>
      <c r="U24" s="237"/>
      <c r="V24" s="237"/>
      <c r="W24" s="237"/>
      <c r="X24" s="237"/>
      <c r="Y24" s="237"/>
      <c r="Z24" s="237"/>
      <c r="AA24" s="237"/>
      <c r="AB24" s="228">
        <f t="shared" si="0"/>
        <v>1968.82</v>
      </c>
    </row>
    <row r="25" spans="1:28">
      <c r="A25" s="225" t="s">
        <v>146</v>
      </c>
      <c r="B25" s="237"/>
      <c r="C25" s="237"/>
      <c r="D25" s="237"/>
      <c r="E25" s="237"/>
      <c r="F25" s="237"/>
      <c r="G25" s="237"/>
      <c r="H25" s="237"/>
      <c r="I25" s="237">
        <v>110</v>
      </c>
      <c r="J25" s="237"/>
      <c r="K25" s="237">
        <v>14972.980000000001</v>
      </c>
      <c r="L25" s="237">
        <v>3805.2099999999996</v>
      </c>
      <c r="M25" s="237"/>
      <c r="N25" s="237">
        <v>19974.529999999995</v>
      </c>
      <c r="O25" s="237"/>
      <c r="P25" s="237">
        <v>3889.33</v>
      </c>
      <c r="Q25" s="237"/>
      <c r="R25" s="237"/>
      <c r="S25" s="237"/>
      <c r="T25" s="237"/>
      <c r="U25" s="237"/>
      <c r="V25" s="237"/>
      <c r="W25" s="237">
        <v>816</v>
      </c>
      <c r="X25" s="237"/>
      <c r="Y25" s="237"/>
      <c r="Z25" s="237">
        <v>200</v>
      </c>
      <c r="AA25" s="237"/>
      <c r="AB25" s="228">
        <f t="shared" si="0"/>
        <v>43768.05</v>
      </c>
    </row>
    <row r="26" spans="1:28">
      <c r="A26" s="225" t="s">
        <v>147</v>
      </c>
      <c r="B26" s="237">
        <v>5160</v>
      </c>
      <c r="C26" s="237"/>
      <c r="D26" s="237">
        <v>7500</v>
      </c>
      <c r="E26" s="237"/>
      <c r="F26" s="237">
        <v>1890</v>
      </c>
      <c r="G26" s="237"/>
      <c r="H26" s="237"/>
      <c r="I26" s="237"/>
      <c r="J26" s="237"/>
      <c r="K26" s="237"/>
      <c r="L26" s="237"/>
      <c r="M26" s="237"/>
      <c r="N26" s="237">
        <v>26075</v>
      </c>
      <c r="O26" s="237"/>
      <c r="P26" s="237"/>
      <c r="Q26" s="237"/>
      <c r="R26" s="237"/>
      <c r="S26" s="237"/>
      <c r="T26" s="237"/>
      <c r="U26" s="237"/>
      <c r="V26" s="237"/>
      <c r="W26" s="237"/>
      <c r="X26" s="237"/>
      <c r="Y26" s="237"/>
      <c r="Z26" s="237"/>
      <c r="AA26" s="237"/>
      <c r="AB26" s="228">
        <f t="shared" si="0"/>
        <v>40625</v>
      </c>
    </row>
    <row r="27" spans="1:28">
      <c r="A27" s="225" t="s">
        <v>161</v>
      </c>
      <c r="B27" s="237"/>
      <c r="C27" s="237"/>
      <c r="D27" s="237"/>
      <c r="E27" s="237"/>
      <c r="F27" s="237"/>
      <c r="G27" s="237"/>
      <c r="H27" s="237"/>
      <c r="I27" s="237"/>
      <c r="J27" s="237"/>
      <c r="K27" s="237"/>
      <c r="L27" s="237"/>
      <c r="M27" s="237"/>
      <c r="N27" s="237"/>
      <c r="O27" s="237"/>
      <c r="P27" s="237"/>
      <c r="Q27" s="237"/>
      <c r="R27" s="237"/>
      <c r="S27" s="237"/>
      <c r="T27" s="237"/>
      <c r="U27" s="237"/>
      <c r="V27" s="237"/>
      <c r="W27" s="237">
        <v>290</v>
      </c>
      <c r="X27" s="237"/>
      <c r="Y27" s="237"/>
      <c r="Z27" s="237"/>
      <c r="AA27" s="237"/>
      <c r="AB27" s="228">
        <f t="shared" si="0"/>
        <v>290</v>
      </c>
    </row>
    <row r="28" spans="1:28">
      <c r="A28" s="225" t="s">
        <v>143</v>
      </c>
      <c r="B28" s="237">
        <v>7020</v>
      </c>
      <c r="C28" s="237"/>
      <c r="D28" s="237"/>
      <c r="E28" s="237"/>
      <c r="F28" s="237">
        <v>825</v>
      </c>
      <c r="G28" s="237">
        <v>900</v>
      </c>
      <c r="H28" s="237">
        <v>2940</v>
      </c>
      <c r="I28" s="237"/>
      <c r="J28" s="237">
        <v>630</v>
      </c>
      <c r="K28" s="237">
        <v>4675</v>
      </c>
      <c r="L28" s="237">
        <v>2250</v>
      </c>
      <c r="M28" s="237">
        <v>2325</v>
      </c>
      <c r="N28" s="237">
        <v>8905</v>
      </c>
      <c r="O28" s="237"/>
      <c r="P28" s="237">
        <v>840</v>
      </c>
      <c r="Q28" s="237">
        <v>1400</v>
      </c>
      <c r="R28" s="237"/>
      <c r="S28" s="237"/>
      <c r="T28" s="237"/>
      <c r="U28" s="237">
        <v>7750</v>
      </c>
      <c r="V28" s="237"/>
      <c r="W28" s="237"/>
      <c r="X28" s="237"/>
      <c r="Y28" s="237"/>
      <c r="Z28" s="237"/>
      <c r="AA28" s="237"/>
      <c r="AB28" s="228">
        <f t="shared" si="0"/>
        <v>40460</v>
      </c>
    </row>
    <row r="29" spans="1:28">
      <c r="A29" s="225" t="s">
        <v>163</v>
      </c>
      <c r="B29" s="237"/>
      <c r="C29" s="237"/>
      <c r="D29" s="237"/>
      <c r="E29" s="237"/>
      <c r="F29" s="237"/>
      <c r="G29" s="237"/>
      <c r="H29" s="237"/>
      <c r="I29" s="237"/>
      <c r="J29" s="237"/>
      <c r="K29" s="237"/>
      <c r="L29" s="237"/>
      <c r="M29" s="237"/>
      <c r="N29" s="237"/>
      <c r="O29" s="237"/>
      <c r="P29" s="237"/>
      <c r="Q29" s="237"/>
      <c r="R29" s="237"/>
      <c r="S29" s="237"/>
      <c r="T29" s="237"/>
      <c r="U29" s="237"/>
      <c r="V29" s="237"/>
      <c r="W29" s="237">
        <v>175</v>
      </c>
      <c r="X29" s="237"/>
      <c r="Y29" s="237"/>
      <c r="Z29" s="237"/>
      <c r="AA29" s="237"/>
      <c r="AB29" s="228">
        <f t="shared" si="0"/>
        <v>175</v>
      </c>
    </row>
    <row r="30" spans="1:28">
      <c r="A30" s="225" t="s">
        <v>148</v>
      </c>
      <c r="B30" s="237"/>
      <c r="C30" s="237"/>
      <c r="D30" s="237"/>
      <c r="E30" s="237"/>
      <c r="F30" s="237"/>
      <c r="G30" s="237"/>
      <c r="H30" s="237"/>
      <c r="I30" s="237"/>
      <c r="J30" s="237"/>
      <c r="K30" s="237"/>
      <c r="L30" s="237"/>
      <c r="M30" s="237"/>
      <c r="N30" s="237">
        <v>96000</v>
      </c>
      <c r="O30" s="237"/>
      <c r="P30" s="237"/>
      <c r="Q30" s="237"/>
      <c r="R30" s="237"/>
      <c r="S30" s="237"/>
      <c r="T30" s="237"/>
      <c r="U30" s="237"/>
      <c r="V30" s="237"/>
      <c r="W30" s="237"/>
      <c r="X30" s="237"/>
      <c r="Y30" s="237"/>
      <c r="Z30" s="237"/>
      <c r="AA30" s="237"/>
      <c r="AB30" s="228">
        <f t="shared" si="0"/>
        <v>96000</v>
      </c>
    </row>
    <row r="31" spans="1:28">
      <c r="A31" s="225" t="s">
        <v>172</v>
      </c>
      <c r="B31" s="237"/>
      <c r="C31" s="237"/>
      <c r="D31" s="237">
        <v>1344</v>
      </c>
      <c r="E31" s="237">
        <v>1306</v>
      </c>
      <c r="F31" s="237">
        <v>3118</v>
      </c>
      <c r="G31" s="237">
        <v>1529</v>
      </c>
      <c r="H31" s="237">
        <v>6969</v>
      </c>
      <c r="I31" s="237">
        <v>3462</v>
      </c>
      <c r="J31" s="237">
        <v>6109</v>
      </c>
      <c r="K31" s="237">
        <v>5694</v>
      </c>
      <c r="L31" s="237">
        <v>10417</v>
      </c>
      <c r="M31" s="237">
        <v>3430</v>
      </c>
      <c r="N31" s="237">
        <v>28279</v>
      </c>
      <c r="O31" s="237">
        <v>776</v>
      </c>
      <c r="P31" s="237">
        <v>15539</v>
      </c>
      <c r="Q31" s="237"/>
      <c r="R31" s="237"/>
      <c r="S31" s="237"/>
      <c r="T31" s="237"/>
      <c r="U31" s="237">
        <v>5808</v>
      </c>
      <c r="V31" s="237">
        <v>4075</v>
      </c>
      <c r="W31" s="237">
        <v>2125</v>
      </c>
      <c r="X31" s="237">
        <v>9415</v>
      </c>
      <c r="Y31" s="237">
        <v>15006</v>
      </c>
      <c r="Z31" s="237">
        <v>31747</v>
      </c>
      <c r="AA31" s="237">
        <v>24800</v>
      </c>
      <c r="AB31" s="228">
        <f t="shared" si="0"/>
        <v>180948</v>
      </c>
    </row>
    <row r="32" spans="1:28">
      <c r="A32" s="225" t="s">
        <v>158</v>
      </c>
      <c r="B32" s="237"/>
      <c r="C32" s="237"/>
      <c r="D32" s="237"/>
      <c r="E32" s="237"/>
      <c r="F32" s="237"/>
      <c r="G32" s="237"/>
      <c r="H32" s="237"/>
      <c r="I32" s="237"/>
      <c r="J32" s="237"/>
      <c r="K32" s="237"/>
      <c r="L32" s="237"/>
      <c r="M32" s="237"/>
      <c r="N32" s="237"/>
      <c r="O32" s="237"/>
      <c r="P32" s="237"/>
      <c r="Q32" s="237"/>
      <c r="R32" s="237"/>
      <c r="S32" s="237"/>
      <c r="T32" s="237"/>
      <c r="U32" s="237"/>
      <c r="V32" s="237"/>
      <c r="W32" s="237">
        <v>2400</v>
      </c>
      <c r="X32" s="237"/>
      <c r="Y32" s="237"/>
      <c r="Z32" s="237"/>
      <c r="AA32" s="237"/>
      <c r="AB32" s="228">
        <f t="shared" si="0"/>
        <v>2400</v>
      </c>
    </row>
    <row r="33" spans="1:28">
      <c r="A33" s="225" t="s">
        <v>136</v>
      </c>
      <c r="B33" s="237"/>
      <c r="C33" s="237"/>
      <c r="D33" s="237"/>
      <c r="E33" s="237"/>
      <c r="F33" s="237"/>
      <c r="G33" s="237"/>
      <c r="H33" s="237">
        <v>420</v>
      </c>
      <c r="I33" s="237"/>
      <c r="J33" s="237">
        <v>22469.38</v>
      </c>
      <c r="K33" s="237">
        <v>3450</v>
      </c>
      <c r="L33" s="237"/>
      <c r="M33" s="237">
        <v>310</v>
      </c>
      <c r="N33" s="237">
        <v>1450</v>
      </c>
      <c r="O33" s="237"/>
      <c r="P33" s="237">
        <v>21773</v>
      </c>
      <c r="Q33" s="237"/>
      <c r="R33" s="237"/>
      <c r="S33" s="237"/>
      <c r="T33" s="237"/>
      <c r="U33" s="237">
        <v>2850</v>
      </c>
      <c r="V33" s="237">
        <v>2818.8</v>
      </c>
      <c r="W33" s="237"/>
      <c r="X33" s="237"/>
      <c r="Y33" s="237">
        <v>4409</v>
      </c>
      <c r="Z33" s="237">
        <v>10983</v>
      </c>
      <c r="AA33" s="237"/>
      <c r="AB33" s="228">
        <f t="shared" si="0"/>
        <v>70933.180000000008</v>
      </c>
    </row>
    <row r="34" spans="1:28">
      <c r="A34" s="225" t="s">
        <v>167</v>
      </c>
      <c r="B34" s="237"/>
      <c r="C34" s="237"/>
      <c r="D34" s="237"/>
      <c r="E34" s="237"/>
      <c r="F34" s="237"/>
      <c r="G34" s="237"/>
      <c r="H34" s="237"/>
      <c r="I34" s="237"/>
      <c r="J34" s="237"/>
      <c r="K34" s="237"/>
      <c r="L34" s="237"/>
      <c r="M34" s="237">
        <v>6</v>
      </c>
      <c r="N34" s="237"/>
      <c r="O34" s="237"/>
      <c r="P34" s="237"/>
      <c r="Q34" s="237"/>
      <c r="R34" s="237"/>
      <c r="S34" s="237"/>
      <c r="T34" s="237"/>
      <c r="U34" s="237"/>
      <c r="V34" s="237"/>
      <c r="W34" s="237">
        <v>1143.52</v>
      </c>
      <c r="X34" s="237"/>
      <c r="Y34" s="237"/>
      <c r="Z34" s="237"/>
      <c r="AA34" s="237"/>
      <c r="AB34" s="228">
        <f t="shared" si="0"/>
        <v>1149.52</v>
      </c>
    </row>
    <row r="35" spans="1:28">
      <c r="A35" s="225" t="s">
        <v>157</v>
      </c>
      <c r="B35" s="237"/>
      <c r="C35" s="237"/>
      <c r="D35" s="237"/>
      <c r="E35" s="237"/>
      <c r="F35" s="237">
        <v>16740.310000000001</v>
      </c>
      <c r="G35" s="237">
        <v>16740.310000000001</v>
      </c>
      <c r="H35" s="237">
        <v>16740.310000000001</v>
      </c>
      <c r="I35" s="237"/>
      <c r="J35" s="237">
        <v>16740.310000000001</v>
      </c>
      <c r="K35" s="237">
        <v>16740.310000000001</v>
      </c>
      <c r="L35" s="237">
        <v>16740.310000000001</v>
      </c>
      <c r="M35" s="237">
        <v>16740.310000000001</v>
      </c>
      <c r="N35" s="237">
        <v>16740.310000000001</v>
      </c>
      <c r="O35" s="237"/>
      <c r="P35" s="237">
        <v>16740.310000000001</v>
      </c>
      <c r="Q35" s="237"/>
      <c r="R35" s="237"/>
      <c r="S35" s="237"/>
      <c r="T35" s="237"/>
      <c r="U35" s="237">
        <v>16740.310000000001</v>
      </c>
      <c r="V35" s="237">
        <v>16740.900000000001</v>
      </c>
      <c r="W35" s="237">
        <v>645</v>
      </c>
      <c r="X35" s="237"/>
      <c r="Y35" s="237"/>
      <c r="Z35" s="237"/>
      <c r="AA35" s="237"/>
      <c r="AB35" s="228">
        <f t="shared" si="0"/>
        <v>184789</v>
      </c>
    </row>
    <row r="36" spans="1:28">
      <c r="A36" s="225" t="s">
        <v>201</v>
      </c>
      <c r="B36" s="237"/>
      <c r="C36" s="237"/>
      <c r="D36" s="237"/>
      <c r="E36" s="237"/>
      <c r="F36" s="237"/>
      <c r="G36" s="237"/>
      <c r="H36" s="237"/>
      <c r="I36" s="237"/>
      <c r="J36" s="237"/>
      <c r="K36" s="237"/>
      <c r="L36" s="237"/>
      <c r="M36" s="237">
        <v>60</v>
      </c>
      <c r="N36" s="237"/>
      <c r="O36" s="237">
        <v>570</v>
      </c>
      <c r="P36" s="237">
        <v>299</v>
      </c>
      <c r="Q36" s="237"/>
      <c r="R36" s="237"/>
      <c r="S36" s="237"/>
      <c r="T36" s="237"/>
      <c r="U36" s="237"/>
      <c r="V36" s="237"/>
      <c r="W36" s="237"/>
      <c r="X36" s="237"/>
      <c r="Y36" s="237"/>
      <c r="Z36" s="237"/>
      <c r="AA36" s="237"/>
      <c r="AB36" s="228">
        <f t="shared" si="0"/>
        <v>929</v>
      </c>
    </row>
    <row r="37" spans="1:28">
      <c r="A37" s="225" t="s">
        <v>166</v>
      </c>
      <c r="B37" s="237"/>
      <c r="C37" s="237"/>
      <c r="D37" s="237"/>
      <c r="E37" s="237"/>
      <c r="F37" s="237"/>
      <c r="G37" s="237"/>
      <c r="H37" s="237"/>
      <c r="I37" s="237"/>
      <c r="J37" s="237"/>
      <c r="K37" s="237"/>
      <c r="L37" s="237"/>
      <c r="M37" s="237">
        <v>335</v>
      </c>
      <c r="N37" s="237"/>
      <c r="O37" s="237"/>
      <c r="P37" s="237"/>
      <c r="Q37" s="237"/>
      <c r="R37" s="237"/>
      <c r="S37" s="237"/>
      <c r="T37" s="237"/>
      <c r="U37" s="237">
        <v>100</v>
      </c>
      <c r="V37" s="237"/>
      <c r="W37" s="237">
        <v>10093.15</v>
      </c>
      <c r="X37" s="237"/>
      <c r="Y37" s="237"/>
      <c r="Z37" s="237"/>
      <c r="AA37" s="237"/>
      <c r="AB37" s="228">
        <f t="shared" si="0"/>
        <v>10528.15</v>
      </c>
    </row>
    <row r="38" spans="1:28">
      <c r="A38" s="225" t="s">
        <v>150</v>
      </c>
      <c r="B38" s="237"/>
      <c r="C38" s="237">
        <v>4845</v>
      </c>
      <c r="D38" s="237"/>
      <c r="E38" s="237"/>
      <c r="F38" s="237"/>
      <c r="G38" s="237"/>
      <c r="H38" s="237"/>
      <c r="I38" s="237"/>
      <c r="J38" s="237"/>
      <c r="K38" s="237"/>
      <c r="L38" s="237"/>
      <c r="M38" s="237"/>
      <c r="N38" s="237"/>
      <c r="O38" s="237"/>
      <c r="P38" s="237">
        <v>16156.8</v>
      </c>
      <c r="Q38" s="237"/>
      <c r="R38" s="237"/>
      <c r="S38" s="237"/>
      <c r="T38" s="237"/>
      <c r="U38" s="237"/>
      <c r="V38" s="237"/>
      <c r="W38" s="237"/>
      <c r="X38" s="237"/>
      <c r="Y38" s="237"/>
      <c r="Z38" s="237"/>
      <c r="AA38" s="237"/>
      <c r="AB38" s="228">
        <f t="shared" si="0"/>
        <v>21001.8</v>
      </c>
    </row>
    <row r="39" spans="1:28">
      <c r="A39" s="225" t="s">
        <v>145</v>
      </c>
      <c r="B39" s="237"/>
      <c r="C39" s="237"/>
      <c r="D39" s="237"/>
      <c r="E39" s="237"/>
      <c r="F39" s="237"/>
      <c r="G39" s="237"/>
      <c r="H39" s="237">
        <v>3321.5</v>
      </c>
      <c r="I39" s="237">
        <v>2678</v>
      </c>
      <c r="J39" s="237"/>
      <c r="K39" s="237">
        <v>42.5</v>
      </c>
      <c r="L39" s="237">
        <v>2895.55</v>
      </c>
      <c r="M39" s="237"/>
      <c r="N39" s="237">
        <v>15090.55</v>
      </c>
      <c r="O39" s="237"/>
      <c r="P39" s="237">
        <v>1154.5</v>
      </c>
      <c r="Q39" s="237"/>
      <c r="R39" s="237"/>
      <c r="S39" s="237"/>
      <c r="T39" s="237"/>
      <c r="U39" s="237"/>
      <c r="V39" s="237"/>
      <c r="W39" s="237"/>
      <c r="X39" s="237">
        <v>3644</v>
      </c>
      <c r="Y39" s="237"/>
      <c r="Z39" s="237"/>
      <c r="AA39" s="237"/>
      <c r="AB39" s="228">
        <f t="shared" si="0"/>
        <v>28826.6</v>
      </c>
    </row>
    <row r="40" spans="1:28">
      <c r="A40" s="225" t="s">
        <v>164</v>
      </c>
      <c r="B40" s="237"/>
      <c r="C40" s="237"/>
      <c r="D40" s="237"/>
      <c r="E40" s="237"/>
      <c r="F40" s="237"/>
      <c r="G40" s="237"/>
      <c r="H40" s="237"/>
      <c r="I40" s="237"/>
      <c r="J40" s="237"/>
      <c r="K40" s="237"/>
      <c r="L40" s="237"/>
      <c r="M40" s="237"/>
      <c r="N40" s="237"/>
      <c r="O40" s="237"/>
      <c r="P40" s="237"/>
      <c r="Q40" s="237"/>
      <c r="R40" s="237"/>
      <c r="S40" s="237"/>
      <c r="T40" s="237"/>
      <c r="U40" s="237"/>
      <c r="V40" s="237"/>
      <c r="W40" s="237">
        <v>665</v>
      </c>
      <c r="X40" s="237"/>
      <c r="Y40" s="237"/>
      <c r="Z40" s="237"/>
      <c r="AA40" s="237"/>
      <c r="AB40" s="228">
        <f t="shared" si="0"/>
        <v>665</v>
      </c>
    </row>
    <row r="41" spans="1:28">
      <c r="A41" s="225" t="s">
        <v>155</v>
      </c>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v>192</v>
      </c>
      <c r="AA41" s="237"/>
      <c r="AB41" s="228">
        <f t="shared" si="0"/>
        <v>192</v>
      </c>
    </row>
    <row r="42" spans="1:28">
      <c r="A42" s="225" t="s">
        <v>139</v>
      </c>
      <c r="B42" s="237"/>
      <c r="C42" s="237"/>
      <c r="D42" s="237"/>
      <c r="E42" s="237"/>
      <c r="F42" s="237">
        <v>1100</v>
      </c>
      <c r="G42" s="237"/>
      <c r="H42" s="237">
        <v>2180</v>
      </c>
      <c r="I42" s="237">
        <v>2140</v>
      </c>
      <c r="J42" s="237">
        <v>1270</v>
      </c>
      <c r="K42" s="237">
        <v>2250</v>
      </c>
      <c r="L42" s="237">
        <v>680</v>
      </c>
      <c r="M42" s="237">
        <v>270</v>
      </c>
      <c r="N42" s="237">
        <v>8080</v>
      </c>
      <c r="O42" s="237"/>
      <c r="P42" s="237">
        <v>3780</v>
      </c>
      <c r="Q42" s="237"/>
      <c r="R42" s="237"/>
      <c r="S42" s="237"/>
      <c r="T42" s="237"/>
      <c r="U42" s="237">
        <v>270</v>
      </c>
      <c r="V42" s="237">
        <v>1100</v>
      </c>
      <c r="W42" s="237"/>
      <c r="X42" s="237"/>
      <c r="Y42" s="237">
        <v>4150</v>
      </c>
      <c r="Z42" s="237">
        <v>1150</v>
      </c>
      <c r="AA42" s="237"/>
      <c r="AB42" s="228">
        <f t="shared" si="0"/>
        <v>28420</v>
      </c>
    </row>
    <row r="43" spans="1:28" s="47" customFormat="1">
      <c r="A43" s="225" t="s">
        <v>142</v>
      </c>
      <c r="B43" s="237"/>
      <c r="C43" s="237"/>
      <c r="D43" s="237"/>
      <c r="E43" s="237"/>
      <c r="F43" s="237"/>
      <c r="G43" s="237">
        <v>32</v>
      </c>
      <c r="H43" s="237"/>
      <c r="I43" s="237"/>
      <c r="J43" s="237"/>
      <c r="K43" s="237"/>
      <c r="L43" s="237"/>
      <c r="M43" s="237"/>
      <c r="N43" s="237"/>
      <c r="O43" s="237"/>
      <c r="P43" s="237"/>
      <c r="Q43" s="237"/>
      <c r="R43" s="237"/>
      <c r="S43" s="237"/>
      <c r="T43" s="237"/>
      <c r="U43" s="237"/>
      <c r="V43" s="237"/>
      <c r="W43" s="237"/>
      <c r="X43" s="237"/>
      <c r="Y43" s="237">
        <v>72</v>
      </c>
      <c r="Z43" s="237">
        <v>104</v>
      </c>
      <c r="AA43" s="237"/>
      <c r="AB43" s="228">
        <f t="shared" si="0"/>
        <v>208</v>
      </c>
    </row>
    <row r="44" spans="1:28" s="47" customFormat="1">
      <c r="A44" s="225" t="s">
        <v>160</v>
      </c>
      <c r="B44" s="237"/>
      <c r="C44" s="237"/>
      <c r="D44" s="237"/>
      <c r="E44" s="237"/>
      <c r="F44" s="237"/>
      <c r="G44" s="237"/>
      <c r="H44" s="237"/>
      <c r="I44" s="237"/>
      <c r="J44" s="237"/>
      <c r="K44" s="237"/>
      <c r="L44" s="237"/>
      <c r="M44" s="237"/>
      <c r="N44" s="237"/>
      <c r="O44" s="237"/>
      <c r="P44" s="237"/>
      <c r="Q44" s="237"/>
      <c r="R44" s="237"/>
      <c r="S44" s="237"/>
      <c r="T44" s="237"/>
      <c r="U44" s="237"/>
      <c r="V44" s="237"/>
      <c r="W44" s="237">
        <v>2809.7200000000003</v>
      </c>
      <c r="X44" s="237"/>
      <c r="Y44" s="237"/>
      <c r="Z44" s="237"/>
      <c r="AA44" s="237"/>
      <c r="AB44" s="228">
        <f t="shared" si="0"/>
        <v>2809.7200000000003</v>
      </c>
    </row>
    <row r="45" spans="1:28" s="47" customFormat="1">
      <c r="A45" s="225" t="s">
        <v>144</v>
      </c>
      <c r="B45" s="237"/>
      <c r="C45" s="237"/>
      <c r="D45" s="237"/>
      <c r="E45" s="237"/>
      <c r="F45" s="237"/>
      <c r="G45" s="237"/>
      <c r="H45" s="237"/>
      <c r="I45" s="237"/>
      <c r="J45" s="237"/>
      <c r="K45" s="237"/>
      <c r="L45" s="237"/>
      <c r="M45" s="237"/>
      <c r="N45" s="237"/>
      <c r="O45" s="237"/>
      <c r="P45" s="237">
        <v>26826.749999999996</v>
      </c>
      <c r="Q45" s="237"/>
      <c r="R45" s="237"/>
      <c r="S45" s="237"/>
      <c r="T45" s="237"/>
      <c r="U45" s="237"/>
      <c r="V45" s="237"/>
      <c r="W45" s="237"/>
      <c r="X45" s="237"/>
      <c r="Y45" s="237"/>
      <c r="Z45" s="237"/>
      <c r="AA45" s="237"/>
      <c r="AB45" s="228">
        <f t="shared" si="0"/>
        <v>26826.749999999996</v>
      </c>
    </row>
    <row r="46" spans="1:28" s="47" customFormat="1">
      <c r="A46" s="225" t="s">
        <v>168</v>
      </c>
      <c r="B46" s="237"/>
      <c r="C46" s="237"/>
      <c r="D46" s="237"/>
      <c r="E46" s="237"/>
      <c r="F46" s="237"/>
      <c r="G46" s="237"/>
      <c r="H46" s="237">
        <v>240</v>
      </c>
      <c r="I46" s="237"/>
      <c r="J46" s="237"/>
      <c r="K46" s="237"/>
      <c r="L46" s="237"/>
      <c r="M46" s="237"/>
      <c r="N46" s="237">
        <v>300</v>
      </c>
      <c r="O46" s="237"/>
      <c r="P46" s="237"/>
      <c r="Q46" s="237"/>
      <c r="R46" s="237"/>
      <c r="S46" s="237"/>
      <c r="T46" s="237"/>
      <c r="U46" s="237">
        <v>960</v>
      </c>
      <c r="V46" s="237">
        <v>140</v>
      </c>
      <c r="W46" s="237">
        <v>21.75</v>
      </c>
      <c r="X46" s="237"/>
      <c r="Y46" s="237"/>
      <c r="Z46" s="237"/>
      <c r="AA46" s="237"/>
      <c r="AB46" s="228">
        <f t="shared" si="0"/>
        <v>1661.75</v>
      </c>
    </row>
    <row r="47" spans="1:28" s="47" customFormat="1">
      <c r="A47" s="225" t="s">
        <v>159</v>
      </c>
      <c r="B47" s="237"/>
      <c r="C47" s="237"/>
      <c r="D47" s="237"/>
      <c r="E47" s="237"/>
      <c r="F47" s="237"/>
      <c r="G47" s="237"/>
      <c r="H47" s="237"/>
      <c r="I47" s="237"/>
      <c r="J47" s="237"/>
      <c r="K47" s="237"/>
      <c r="L47" s="237"/>
      <c r="M47" s="237"/>
      <c r="N47" s="237"/>
      <c r="O47" s="237"/>
      <c r="P47" s="237"/>
      <c r="Q47" s="237"/>
      <c r="R47" s="237"/>
      <c r="S47" s="237"/>
      <c r="T47" s="237"/>
      <c r="U47" s="237"/>
      <c r="V47" s="237"/>
      <c r="W47" s="237">
        <v>26693</v>
      </c>
      <c r="X47" s="237"/>
      <c r="Y47" s="237"/>
      <c r="Z47" s="237"/>
      <c r="AA47" s="237"/>
      <c r="AB47" s="228">
        <f t="shared" si="0"/>
        <v>26693</v>
      </c>
    </row>
    <row r="48" spans="1:28" s="47" customFormat="1">
      <c r="A48" s="225" t="s">
        <v>151</v>
      </c>
      <c r="B48" s="237"/>
      <c r="C48" s="237"/>
      <c r="D48" s="237"/>
      <c r="E48" s="237"/>
      <c r="F48" s="237"/>
      <c r="G48" s="237"/>
      <c r="H48" s="237"/>
      <c r="I48" s="237"/>
      <c r="J48" s="237"/>
      <c r="K48" s="237"/>
      <c r="L48" s="237"/>
      <c r="M48" s="237"/>
      <c r="N48" s="237">
        <v>1520</v>
      </c>
      <c r="O48" s="237"/>
      <c r="P48" s="237"/>
      <c r="Q48" s="237"/>
      <c r="R48" s="237"/>
      <c r="S48" s="237"/>
      <c r="T48" s="237"/>
      <c r="U48" s="237"/>
      <c r="V48" s="237"/>
      <c r="W48" s="237"/>
      <c r="X48" s="237"/>
      <c r="Y48" s="237">
        <v>2430</v>
      </c>
      <c r="Z48" s="237"/>
      <c r="AA48" s="237"/>
      <c r="AB48" s="228">
        <f t="shared" si="0"/>
        <v>3950</v>
      </c>
    </row>
    <row r="49" spans="1:28" s="47" customFormat="1">
      <c r="A49" s="226" t="s">
        <v>152</v>
      </c>
      <c r="B49" s="228"/>
      <c r="C49" s="228"/>
      <c r="D49" s="228"/>
      <c r="E49" s="228"/>
      <c r="F49" s="228"/>
      <c r="G49" s="228"/>
      <c r="H49" s="228"/>
      <c r="I49" s="228"/>
      <c r="J49" s="228"/>
      <c r="K49" s="228"/>
      <c r="L49" s="228"/>
      <c r="M49" s="228"/>
      <c r="N49" s="228">
        <v>280</v>
      </c>
      <c r="O49" s="228"/>
      <c r="P49" s="228"/>
      <c r="Q49" s="228"/>
      <c r="R49" s="228"/>
      <c r="S49" s="228"/>
      <c r="T49" s="228"/>
      <c r="U49" s="228"/>
      <c r="V49" s="228">
        <v>300</v>
      </c>
      <c r="W49" s="228"/>
      <c r="X49" s="228">
        <v>3250</v>
      </c>
      <c r="Y49" s="228">
        <v>8700</v>
      </c>
      <c r="Z49" s="228">
        <v>3600</v>
      </c>
      <c r="AA49" s="228"/>
      <c r="AB49" s="228">
        <f t="shared" si="0"/>
        <v>16130</v>
      </c>
    </row>
    <row r="50" spans="1:28" s="47" customFormat="1">
      <c r="A50" s="1" t="s">
        <v>149</v>
      </c>
      <c r="B50" s="51"/>
      <c r="C50" s="51"/>
      <c r="D50" s="51"/>
      <c r="E50" s="51"/>
      <c r="F50" s="51"/>
      <c r="G50" s="51">
        <v>60764</v>
      </c>
      <c r="H50" s="51"/>
      <c r="I50" s="51"/>
      <c r="J50" s="51"/>
      <c r="K50" s="51"/>
      <c r="L50" s="51"/>
      <c r="M50" s="51"/>
      <c r="N50" s="51"/>
      <c r="O50" s="51"/>
      <c r="P50" s="51"/>
      <c r="Q50" s="51"/>
      <c r="R50" s="51"/>
      <c r="S50" s="51"/>
      <c r="T50" s="51"/>
      <c r="U50" s="51"/>
      <c r="V50" s="51"/>
      <c r="W50" s="51"/>
      <c r="X50" s="51"/>
      <c r="Y50" s="51"/>
      <c r="Z50" s="51"/>
      <c r="AA50" s="51"/>
      <c r="AB50" s="228">
        <f t="shared" si="0"/>
        <v>60764</v>
      </c>
    </row>
    <row r="51" spans="1:28">
      <c r="A51" s="226" t="s">
        <v>213</v>
      </c>
      <c r="B51" s="228">
        <f>SUM(B14:B50)</f>
        <v>12180</v>
      </c>
      <c r="C51" s="228">
        <f t="shared" ref="C51:AA51" si="1">SUM(C14:C50)</f>
        <v>4845</v>
      </c>
      <c r="D51" s="228">
        <f t="shared" si="1"/>
        <v>8844</v>
      </c>
      <c r="E51" s="228">
        <f t="shared" si="1"/>
        <v>1606</v>
      </c>
      <c r="F51" s="228">
        <f t="shared" si="1"/>
        <v>23673.31</v>
      </c>
      <c r="G51" s="228">
        <f t="shared" si="1"/>
        <v>82589.31</v>
      </c>
      <c r="H51" s="228">
        <f t="shared" si="1"/>
        <v>33045.81</v>
      </c>
      <c r="I51" s="228">
        <f t="shared" si="1"/>
        <v>8390</v>
      </c>
      <c r="J51" s="228">
        <f t="shared" si="1"/>
        <v>49056.19</v>
      </c>
      <c r="K51" s="228">
        <f t="shared" si="1"/>
        <v>52148.790000000008</v>
      </c>
      <c r="L51" s="228">
        <f t="shared" si="1"/>
        <v>41730.89</v>
      </c>
      <c r="M51" s="228">
        <f t="shared" si="1"/>
        <v>29898.31</v>
      </c>
      <c r="N51" s="228">
        <f t="shared" si="1"/>
        <v>226499.38999999998</v>
      </c>
      <c r="O51" s="228">
        <f t="shared" si="1"/>
        <v>1466</v>
      </c>
      <c r="P51" s="228">
        <f t="shared" si="1"/>
        <v>144686.19</v>
      </c>
      <c r="Q51" s="228">
        <f t="shared" si="1"/>
        <v>1400</v>
      </c>
      <c r="R51" s="228">
        <f t="shared" si="1"/>
        <v>0</v>
      </c>
      <c r="S51" s="228">
        <f t="shared" si="1"/>
        <v>0</v>
      </c>
      <c r="T51" s="228">
        <f t="shared" si="1"/>
        <v>0</v>
      </c>
      <c r="U51" s="228">
        <f t="shared" si="1"/>
        <v>149656.91</v>
      </c>
      <c r="V51" s="228">
        <f t="shared" si="1"/>
        <v>28657.7</v>
      </c>
      <c r="W51" s="228">
        <f t="shared" si="1"/>
        <v>52877.14</v>
      </c>
      <c r="X51" s="228">
        <f t="shared" si="1"/>
        <v>16309</v>
      </c>
      <c r="Y51" s="228">
        <f t="shared" si="1"/>
        <v>52564</v>
      </c>
      <c r="Z51" s="228">
        <f t="shared" si="1"/>
        <v>60370</v>
      </c>
      <c r="AA51" s="228">
        <f t="shared" si="1"/>
        <v>24800</v>
      </c>
      <c r="AB51" s="228">
        <f t="shared" si="0"/>
        <v>1107293.94</v>
      </c>
    </row>
    <row r="52" spans="1:28">
      <c r="F52" s="176"/>
      <c r="G52" s="176"/>
      <c r="H52" s="176"/>
      <c r="I52" s="176"/>
      <c r="J52" s="176"/>
      <c r="K52" s="176"/>
      <c r="L52" s="176"/>
      <c r="M52" s="176"/>
      <c r="N52" s="176"/>
      <c r="O52" s="176"/>
      <c r="P52" s="176"/>
      <c r="Q52" s="176"/>
      <c r="R52" s="176"/>
      <c r="AB52" s="228">
        <f t="shared" si="0"/>
        <v>0</v>
      </c>
    </row>
    <row r="53" spans="1:28">
      <c r="A53" s="227" t="s">
        <v>214</v>
      </c>
      <c r="B53" s="227">
        <f>B12-B51</f>
        <v>-12180</v>
      </c>
      <c r="C53" s="227">
        <f t="shared" ref="C53:AA53" si="2">C12-C51</f>
        <v>-4845</v>
      </c>
      <c r="D53" s="227">
        <f t="shared" si="2"/>
        <v>-8844</v>
      </c>
      <c r="E53" s="227">
        <f t="shared" si="2"/>
        <v>-1606</v>
      </c>
      <c r="F53" s="227">
        <f t="shared" si="2"/>
        <v>-23673.31</v>
      </c>
      <c r="G53" s="227">
        <f t="shared" si="2"/>
        <v>-82589.31</v>
      </c>
      <c r="H53" s="227">
        <f t="shared" si="2"/>
        <v>-33045.81</v>
      </c>
      <c r="I53" s="227">
        <f t="shared" si="2"/>
        <v>-8390</v>
      </c>
      <c r="J53" s="227">
        <f t="shared" si="2"/>
        <v>-49056.19</v>
      </c>
      <c r="K53" s="227">
        <f t="shared" si="2"/>
        <v>-52148.790000000008</v>
      </c>
      <c r="L53" s="227">
        <f t="shared" si="2"/>
        <v>-41730.89</v>
      </c>
      <c r="M53" s="227">
        <f t="shared" si="2"/>
        <v>-29898.31</v>
      </c>
      <c r="N53" s="227">
        <f t="shared" si="2"/>
        <v>-226499.38999999998</v>
      </c>
      <c r="O53" s="227">
        <f t="shared" si="2"/>
        <v>-1466</v>
      </c>
      <c r="P53" s="227">
        <f t="shared" si="2"/>
        <v>-144686.19</v>
      </c>
      <c r="Q53" s="227">
        <f t="shared" si="2"/>
        <v>13100</v>
      </c>
      <c r="R53" s="227">
        <f t="shared" si="2"/>
        <v>97500</v>
      </c>
      <c r="S53" s="227">
        <f t="shared" si="2"/>
        <v>75000</v>
      </c>
      <c r="T53" s="227">
        <f t="shared" si="2"/>
        <v>20000</v>
      </c>
      <c r="U53" s="227">
        <f t="shared" si="2"/>
        <v>490343.08999999997</v>
      </c>
      <c r="V53" s="227">
        <f t="shared" si="2"/>
        <v>-28657.7</v>
      </c>
      <c r="W53" s="227">
        <f t="shared" si="2"/>
        <v>-52190.29</v>
      </c>
      <c r="X53" s="227">
        <f t="shared" si="2"/>
        <v>-16309</v>
      </c>
      <c r="Y53" s="227">
        <f t="shared" si="2"/>
        <v>-52564</v>
      </c>
      <c r="Z53" s="227">
        <f t="shared" si="2"/>
        <v>-60370</v>
      </c>
      <c r="AA53" s="227">
        <f t="shared" si="2"/>
        <v>-24800</v>
      </c>
      <c r="AB53" s="228">
        <f t="shared" si="0"/>
        <v>-259607.08999999997</v>
      </c>
    </row>
    <row r="54" spans="1:28">
      <c r="F54" s="176"/>
      <c r="G54" s="176"/>
      <c r="H54" s="176"/>
      <c r="I54" s="176"/>
      <c r="J54" s="176"/>
      <c r="K54" s="176"/>
      <c r="L54" s="176"/>
      <c r="M54" s="176"/>
      <c r="N54" s="176"/>
      <c r="O54" s="176"/>
      <c r="P54" s="176"/>
      <c r="Q54" s="176"/>
      <c r="R54" s="176"/>
    </row>
    <row r="55" spans="1:28">
      <c r="F55" s="176"/>
      <c r="G55" s="176"/>
      <c r="H55" s="176"/>
      <c r="I55" s="176"/>
      <c r="J55" s="176"/>
      <c r="K55" s="176"/>
      <c r="L55" s="176"/>
      <c r="M55" s="176"/>
      <c r="N55" s="176"/>
      <c r="O55" s="176"/>
      <c r="P55" s="176"/>
      <c r="Q55" s="176"/>
      <c r="R55" s="176"/>
    </row>
    <row r="56" spans="1:28">
      <c r="F56" s="176"/>
      <c r="G56" s="176"/>
      <c r="H56" s="176"/>
      <c r="I56" s="176"/>
      <c r="J56" s="176"/>
      <c r="K56" s="176"/>
      <c r="L56" s="176"/>
      <c r="M56" s="176"/>
      <c r="N56" s="176"/>
      <c r="O56" s="176"/>
      <c r="P56" s="176"/>
      <c r="Q56" s="176"/>
      <c r="R56" s="176"/>
    </row>
    <row r="57" spans="1:28">
      <c r="F57" s="176"/>
      <c r="G57" s="176"/>
      <c r="H57" s="176"/>
      <c r="I57" s="176"/>
      <c r="J57" s="176"/>
      <c r="K57" s="176"/>
      <c r="L57" s="176"/>
      <c r="M57" s="176"/>
      <c r="N57" s="176"/>
      <c r="O57" s="176"/>
      <c r="P57" s="176"/>
      <c r="Q57" s="176"/>
      <c r="R57" s="176"/>
    </row>
    <row r="58" spans="1:28">
      <c r="F58" s="176"/>
      <c r="G58" s="176"/>
      <c r="H58" s="176"/>
      <c r="I58" s="176"/>
      <c r="J58" s="176"/>
      <c r="K58" s="176"/>
      <c r="L58" s="176"/>
      <c r="M58" s="176"/>
      <c r="N58" s="176"/>
      <c r="O58" s="176"/>
      <c r="P58" s="176"/>
      <c r="Q58" s="176"/>
      <c r="R58" s="176"/>
    </row>
    <row r="59" spans="1:28">
      <c r="F59" s="176"/>
      <c r="G59" s="176"/>
      <c r="H59" s="176"/>
      <c r="I59" s="176"/>
      <c r="J59" s="176"/>
      <c r="K59" s="176"/>
      <c r="L59" s="176"/>
      <c r="M59" s="176"/>
      <c r="N59" s="176"/>
      <c r="O59" s="176"/>
      <c r="P59" s="176"/>
      <c r="Q59" s="176"/>
      <c r="R59" s="176"/>
    </row>
    <row r="60" spans="1:28">
      <c r="F60" s="176"/>
      <c r="G60" s="176"/>
      <c r="H60" s="176"/>
      <c r="I60" s="176"/>
      <c r="J60" s="176"/>
      <c r="K60" s="176"/>
      <c r="L60" s="176"/>
      <c r="M60" s="176"/>
      <c r="N60" s="176"/>
      <c r="O60" s="176"/>
      <c r="P60" s="176"/>
      <c r="Q60" s="176"/>
      <c r="R60" s="176"/>
    </row>
    <row r="61" spans="1:28">
      <c r="F61" s="176"/>
      <c r="G61" s="176"/>
      <c r="H61" s="176"/>
      <c r="I61" s="176"/>
      <c r="J61" s="176"/>
      <c r="K61" s="176"/>
      <c r="L61" s="176"/>
      <c r="M61" s="176"/>
      <c r="N61" s="176"/>
      <c r="O61" s="176"/>
      <c r="P61" s="176"/>
      <c r="Q61" s="176"/>
      <c r="R61" s="176"/>
    </row>
    <row r="62" spans="1:28">
      <c r="F62" s="176"/>
      <c r="G62" s="176"/>
      <c r="H62" s="176"/>
      <c r="I62" s="176"/>
      <c r="J62" s="176"/>
      <c r="K62" s="176"/>
      <c r="L62" s="176"/>
      <c r="M62" s="176"/>
      <c r="N62" s="176"/>
      <c r="O62" s="176"/>
      <c r="P62" s="176"/>
      <c r="Q62" s="176"/>
      <c r="R62" s="176"/>
    </row>
    <row r="63" spans="1:28">
      <c r="F63" s="176"/>
      <c r="G63" s="176"/>
      <c r="H63" s="176"/>
      <c r="I63" s="176"/>
      <c r="J63" s="176"/>
      <c r="K63" s="176"/>
      <c r="L63" s="176"/>
      <c r="M63" s="176"/>
      <c r="N63" s="176"/>
      <c r="O63" s="176"/>
      <c r="P63" s="176"/>
      <c r="Q63" s="176"/>
      <c r="R63" s="176"/>
    </row>
    <row r="64" spans="1:28">
      <c r="F64" s="176"/>
      <c r="G64" s="176"/>
      <c r="H64" s="176"/>
      <c r="I64" s="176"/>
      <c r="J64" s="176"/>
      <c r="K64" s="176"/>
      <c r="L64" s="176"/>
      <c r="M64" s="176"/>
      <c r="N64" s="176"/>
      <c r="O64" s="176"/>
      <c r="P64" s="176"/>
      <c r="Q64" s="176"/>
      <c r="R64" s="176"/>
    </row>
    <row r="65" spans="6:18">
      <c r="F65" s="176"/>
      <c r="G65" s="176"/>
      <c r="H65" s="176"/>
      <c r="I65" s="176"/>
      <c r="J65" s="176"/>
      <c r="K65" s="176"/>
      <c r="L65" s="176"/>
      <c r="M65" s="176"/>
      <c r="N65" s="176"/>
      <c r="O65" s="176"/>
      <c r="P65" s="176"/>
      <c r="Q65" s="176"/>
      <c r="R65" s="176"/>
    </row>
    <row r="66" spans="6:18">
      <c r="F66" s="176"/>
      <c r="G66" s="176"/>
      <c r="H66" s="176"/>
      <c r="I66" s="176"/>
      <c r="J66" s="176"/>
      <c r="K66" s="176"/>
      <c r="L66" s="176"/>
      <c r="M66" s="176"/>
      <c r="N66" s="176"/>
      <c r="O66" s="176"/>
      <c r="P66" s="176"/>
      <c r="Q66" s="176"/>
      <c r="R66" s="176"/>
    </row>
    <row r="67" spans="6:18">
      <c r="F67" s="176"/>
      <c r="G67" s="176"/>
      <c r="H67" s="176"/>
      <c r="I67" s="176"/>
      <c r="J67" s="176"/>
      <c r="K67" s="176"/>
      <c r="L67" s="176"/>
      <c r="M67" s="176"/>
      <c r="N67" s="176"/>
      <c r="O67" s="176"/>
      <c r="P67" s="176"/>
      <c r="Q67" s="176"/>
      <c r="R67" s="176"/>
    </row>
    <row r="68" spans="6:18">
      <c r="F68" s="176"/>
      <c r="G68" s="176"/>
      <c r="H68" s="176"/>
      <c r="I68" s="176"/>
      <c r="J68" s="176"/>
      <c r="K68" s="176"/>
      <c r="L68" s="176"/>
      <c r="M68" s="176"/>
      <c r="N68" s="176"/>
      <c r="O68" s="176"/>
      <c r="P68" s="176"/>
      <c r="Q68" s="176"/>
      <c r="R68" s="176"/>
    </row>
    <row r="69" spans="6:18">
      <c r="F69" s="176"/>
      <c r="G69" s="176"/>
      <c r="H69" s="176"/>
      <c r="I69" s="176"/>
      <c r="J69" s="176"/>
      <c r="K69" s="176"/>
      <c r="L69" s="176"/>
      <c r="M69" s="176"/>
      <c r="N69" s="176"/>
      <c r="O69" s="176"/>
      <c r="P69" s="176"/>
      <c r="Q69" s="176"/>
      <c r="R69" s="176"/>
    </row>
    <row r="70" spans="6:18">
      <c r="F70" s="176"/>
      <c r="G70" s="176"/>
      <c r="H70" s="176"/>
      <c r="I70" s="176"/>
      <c r="J70" s="176"/>
      <c r="K70" s="176"/>
      <c r="L70" s="176"/>
      <c r="M70" s="176"/>
      <c r="N70" s="176"/>
      <c r="O70" s="176"/>
      <c r="P70" s="176"/>
      <c r="Q70" s="176"/>
      <c r="R70" s="176"/>
    </row>
    <row r="71" spans="6:18">
      <c r="F71" s="176"/>
      <c r="G71" s="176"/>
      <c r="H71" s="176"/>
      <c r="I71" s="176"/>
      <c r="J71" s="176"/>
      <c r="K71" s="176"/>
      <c r="L71" s="176"/>
      <c r="M71" s="176"/>
      <c r="N71" s="176"/>
      <c r="O71" s="176"/>
      <c r="P71" s="176"/>
      <c r="Q71" s="176"/>
      <c r="R71" s="176"/>
    </row>
    <row r="72" spans="6:18">
      <c r="F72" s="176"/>
      <c r="G72" s="176"/>
      <c r="H72" s="176"/>
      <c r="I72" s="176"/>
      <c r="J72" s="176"/>
      <c r="K72" s="176"/>
      <c r="L72" s="176"/>
      <c r="M72" s="176"/>
      <c r="N72" s="176"/>
      <c r="O72" s="176"/>
      <c r="P72" s="176"/>
      <c r="Q72" s="176"/>
      <c r="R72" s="176"/>
    </row>
    <row r="73" spans="6:18">
      <c r="F73" s="176"/>
      <c r="G73" s="176"/>
      <c r="H73" s="176"/>
      <c r="I73" s="176"/>
      <c r="J73" s="176"/>
      <c r="K73" s="176"/>
      <c r="L73" s="176"/>
      <c r="M73" s="176"/>
      <c r="N73" s="176"/>
      <c r="O73" s="176"/>
      <c r="P73" s="176"/>
      <c r="Q73" s="176"/>
      <c r="R73" s="176"/>
    </row>
    <row r="74" spans="6:18">
      <c r="F74" s="176"/>
      <c r="G74" s="176"/>
      <c r="H74" s="176"/>
      <c r="I74" s="176"/>
      <c r="J74" s="176"/>
      <c r="K74" s="176"/>
      <c r="L74" s="176"/>
      <c r="M74" s="176"/>
      <c r="N74" s="176"/>
      <c r="O74" s="176"/>
      <c r="P74" s="176"/>
      <c r="Q74" s="176"/>
      <c r="R74" s="176"/>
    </row>
    <row r="75" spans="6:18">
      <c r="F75" s="176"/>
      <c r="G75" s="176"/>
      <c r="H75" s="176"/>
      <c r="I75" s="176"/>
      <c r="J75" s="176"/>
      <c r="K75" s="176"/>
      <c r="L75" s="176"/>
      <c r="M75" s="176"/>
      <c r="N75" s="176"/>
      <c r="O75" s="176"/>
      <c r="P75" s="176"/>
      <c r="Q75" s="176"/>
      <c r="R75" s="176"/>
    </row>
    <row r="76" spans="6:18">
      <c r="F76" s="176"/>
      <c r="G76" s="176"/>
      <c r="H76" s="176"/>
      <c r="I76" s="176"/>
      <c r="J76" s="176"/>
      <c r="K76" s="176"/>
      <c r="L76" s="176"/>
      <c r="M76" s="176"/>
      <c r="N76" s="176"/>
      <c r="O76" s="176"/>
      <c r="P76" s="176"/>
      <c r="Q76" s="176"/>
      <c r="R76" s="176"/>
    </row>
    <row r="77" spans="6:18">
      <c r="F77" s="176"/>
      <c r="G77" s="176"/>
      <c r="H77" s="176"/>
      <c r="I77" s="176"/>
      <c r="J77" s="176"/>
      <c r="K77" s="176"/>
      <c r="L77" s="176"/>
      <c r="M77" s="176"/>
      <c r="N77" s="176"/>
      <c r="O77" s="176"/>
      <c r="P77" s="176"/>
      <c r="Q77" s="176"/>
      <c r="R77" s="176"/>
    </row>
    <row r="78" spans="6:18">
      <c r="F78" s="176"/>
      <c r="G78" s="176"/>
      <c r="H78" s="176"/>
      <c r="I78" s="176"/>
      <c r="J78" s="176"/>
      <c r="K78" s="176"/>
      <c r="L78" s="176"/>
      <c r="M78" s="176"/>
      <c r="N78" s="176"/>
      <c r="O78" s="176"/>
      <c r="P78" s="176"/>
      <c r="Q78" s="176"/>
      <c r="R78" s="176"/>
    </row>
    <row r="79" spans="6:18">
      <c r="F79" s="176"/>
      <c r="G79" s="176"/>
      <c r="H79" s="176"/>
      <c r="I79" s="176"/>
      <c r="J79" s="176"/>
      <c r="K79" s="176"/>
      <c r="L79" s="176"/>
      <c r="M79" s="176"/>
      <c r="N79" s="176"/>
      <c r="O79" s="176"/>
      <c r="P79" s="176"/>
      <c r="Q79" s="176"/>
      <c r="R79" s="176"/>
    </row>
    <row r="80" spans="6:18">
      <c r="F80" s="176"/>
      <c r="G80" s="176"/>
      <c r="H80" s="176"/>
      <c r="I80" s="176"/>
      <c r="J80" s="176"/>
      <c r="K80" s="176"/>
      <c r="L80" s="176"/>
      <c r="M80" s="176"/>
      <c r="N80" s="176"/>
      <c r="O80" s="176"/>
      <c r="P80" s="176"/>
      <c r="Q80" s="176"/>
      <c r="R80" s="176"/>
    </row>
    <row r="81" spans="6:18">
      <c r="F81" s="176"/>
      <c r="G81" s="176"/>
      <c r="H81" s="176"/>
      <c r="I81" s="176"/>
      <c r="J81" s="176"/>
      <c r="K81" s="176"/>
      <c r="L81" s="176"/>
      <c r="M81" s="176"/>
      <c r="N81" s="176"/>
      <c r="O81" s="176"/>
      <c r="P81" s="176"/>
      <c r="Q81" s="176"/>
      <c r="R81" s="176"/>
    </row>
    <row r="82" spans="6:18">
      <c r="F82" s="176"/>
      <c r="G82" s="176"/>
      <c r="H82" s="176"/>
      <c r="I82" s="176"/>
      <c r="J82" s="176"/>
      <c r="K82" s="176"/>
      <c r="L82" s="176"/>
      <c r="M82" s="176"/>
      <c r="N82" s="176"/>
      <c r="O82" s="176"/>
      <c r="P82" s="176"/>
      <c r="Q82" s="176"/>
      <c r="R82" s="176"/>
    </row>
    <row r="83" spans="6:18">
      <c r="F83" s="176"/>
      <c r="G83" s="176"/>
      <c r="H83" s="176"/>
      <c r="I83" s="176"/>
      <c r="J83" s="176"/>
      <c r="K83" s="176"/>
      <c r="L83" s="176"/>
      <c r="M83" s="176"/>
      <c r="N83" s="176"/>
      <c r="O83" s="176"/>
      <c r="P83" s="176"/>
      <c r="Q83" s="176"/>
      <c r="R83" s="176"/>
    </row>
    <row r="84" spans="6:18">
      <c r="F84" s="176"/>
      <c r="G84" s="176"/>
      <c r="H84" s="176"/>
      <c r="I84" s="176"/>
      <c r="J84" s="176"/>
      <c r="K84" s="176"/>
      <c r="L84" s="176"/>
      <c r="M84" s="176"/>
      <c r="N84" s="176"/>
      <c r="O84" s="176"/>
      <c r="P84" s="176"/>
      <c r="Q84" s="176"/>
      <c r="R84" s="176"/>
    </row>
    <row r="85" spans="6:18">
      <c r="F85" s="176"/>
      <c r="G85" s="176"/>
      <c r="H85" s="176"/>
      <c r="I85" s="176"/>
      <c r="J85" s="176"/>
      <c r="K85" s="176"/>
      <c r="L85" s="176"/>
      <c r="M85" s="176"/>
      <c r="N85" s="176"/>
      <c r="O85" s="176"/>
      <c r="P85" s="176"/>
      <c r="Q85" s="176"/>
      <c r="R85" s="176"/>
    </row>
    <row r="86" spans="6:18">
      <c r="F86" s="176"/>
      <c r="G86" s="176"/>
      <c r="H86" s="176"/>
      <c r="I86" s="176"/>
      <c r="J86" s="176"/>
      <c r="K86" s="176"/>
      <c r="L86" s="176"/>
      <c r="M86" s="176"/>
      <c r="N86" s="176"/>
      <c r="O86" s="176"/>
      <c r="P86" s="176"/>
      <c r="Q86" s="176"/>
      <c r="R86" s="176"/>
    </row>
    <row r="87" spans="6:18">
      <c r="F87" s="176"/>
      <c r="G87" s="176"/>
      <c r="H87" s="176"/>
      <c r="I87" s="176"/>
      <c r="J87" s="176"/>
      <c r="K87" s="176"/>
      <c r="L87" s="176"/>
      <c r="M87" s="176"/>
      <c r="N87" s="176"/>
      <c r="O87" s="176"/>
      <c r="P87" s="176"/>
      <c r="Q87" s="176"/>
      <c r="R87" s="176"/>
    </row>
    <row r="88" spans="6:18">
      <c r="F88" s="176"/>
      <c r="G88" s="176"/>
      <c r="H88" s="176"/>
      <c r="I88" s="176"/>
      <c r="J88" s="176"/>
      <c r="K88" s="176"/>
      <c r="L88" s="176"/>
      <c r="M88" s="176"/>
      <c r="N88" s="176"/>
      <c r="O88" s="176"/>
      <c r="P88" s="176"/>
      <c r="Q88" s="176"/>
      <c r="R88" s="176"/>
    </row>
    <row r="89" spans="6:18">
      <c r="F89" s="176"/>
      <c r="G89" s="176"/>
      <c r="H89" s="176"/>
      <c r="I89" s="176"/>
      <c r="J89" s="176"/>
      <c r="K89" s="176"/>
      <c r="L89" s="176"/>
      <c r="M89" s="176"/>
      <c r="N89" s="176"/>
      <c r="O89" s="176"/>
      <c r="P89" s="176"/>
      <c r="Q89" s="176"/>
      <c r="R89" s="176"/>
    </row>
    <row r="90" spans="6:18">
      <c r="F90" s="176"/>
      <c r="G90" s="176"/>
      <c r="H90" s="176"/>
      <c r="I90" s="176"/>
      <c r="J90" s="176"/>
      <c r="K90" s="176"/>
      <c r="L90" s="176"/>
      <c r="M90" s="176"/>
      <c r="N90" s="176"/>
      <c r="O90" s="176"/>
      <c r="P90" s="176"/>
      <c r="Q90" s="176"/>
      <c r="R90" s="176"/>
    </row>
    <row r="91" spans="6:18">
      <c r="F91" s="176"/>
      <c r="G91" s="176"/>
      <c r="H91" s="176"/>
      <c r="I91" s="176"/>
      <c r="J91" s="176"/>
      <c r="K91" s="176"/>
      <c r="L91" s="176"/>
      <c r="M91" s="176"/>
      <c r="N91" s="176"/>
      <c r="O91" s="176"/>
      <c r="P91" s="176"/>
      <c r="Q91" s="176"/>
      <c r="R91" s="176"/>
    </row>
    <row r="92" spans="6:18">
      <c r="F92" s="176"/>
      <c r="G92" s="176"/>
      <c r="H92" s="176"/>
      <c r="I92" s="176"/>
      <c r="J92" s="176"/>
      <c r="K92" s="176"/>
      <c r="L92" s="176"/>
      <c r="M92" s="176"/>
      <c r="N92" s="176"/>
      <c r="O92" s="176"/>
      <c r="P92" s="176"/>
      <c r="Q92" s="176"/>
      <c r="R92" s="176"/>
    </row>
    <row r="93" spans="6:18">
      <c r="F93" s="176"/>
      <c r="G93" s="176"/>
      <c r="H93" s="176"/>
      <c r="I93" s="176"/>
      <c r="J93" s="176"/>
      <c r="K93" s="176"/>
      <c r="L93" s="176"/>
      <c r="M93" s="176"/>
      <c r="N93" s="176"/>
      <c r="O93" s="176"/>
      <c r="P93" s="176"/>
      <c r="Q93" s="176"/>
      <c r="R93" s="176"/>
    </row>
    <row r="94" spans="6:18">
      <c r="F94" s="176"/>
      <c r="G94" s="176"/>
      <c r="H94" s="176"/>
      <c r="I94" s="176"/>
      <c r="J94" s="176"/>
      <c r="K94" s="176"/>
      <c r="L94" s="176"/>
      <c r="M94" s="176"/>
      <c r="N94" s="176"/>
      <c r="O94" s="176"/>
      <c r="P94" s="176"/>
      <c r="Q94" s="176"/>
      <c r="R94" s="176"/>
    </row>
    <row r="95" spans="6:18">
      <c r="F95" s="176"/>
      <c r="G95" s="176"/>
      <c r="H95" s="176"/>
      <c r="I95" s="176"/>
      <c r="J95" s="176"/>
      <c r="K95" s="176"/>
      <c r="L95" s="176"/>
      <c r="M95" s="176"/>
      <c r="N95" s="176"/>
      <c r="O95" s="176"/>
      <c r="P95" s="176"/>
      <c r="Q95" s="176"/>
      <c r="R95" s="176"/>
    </row>
    <row r="96" spans="6:18">
      <c r="F96" s="176"/>
      <c r="G96" s="176"/>
      <c r="H96" s="176"/>
      <c r="I96" s="176"/>
      <c r="J96" s="176"/>
      <c r="K96" s="176"/>
      <c r="L96" s="176"/>
      <c r="M96" s="176"/>
      <c r="N96" s="176"/>
      <c r="O96" s="176"/>
      <c r="P96" s="176"/>
      <c r="Q96" s="176"/>
      <c r="R96" s="176"/>
    </row>
    <row r="97" spans="6:18">
      <c r="F97" s="176"/>
      <c r="G97" s="176"/>
      <c r="H97" s="176"/>
      <c r="I97" s="176"/>
      <c r="J97" s="176"/>
      <c r="K97" s="176"/>
      <c r="L97" s="176"/>
      <c r="M97" s="176"/>
      <c r="N97" s="176"/>
      <c r="O97" s="176"/>
      <c r="P97" s="176"/>
      <c r="Q97" s="176"/>
      <c r="R97" s="176"/>
    </row>
    <row r="98" spans="6:18">
      <c r="F98" s="176"/>
      <c r="G98" s="176"/>
      <c r="H98" s="176"/>
      <c r="I98" s="176"/>
      <c r="J98" s="176"/>
      <c r="K98" s="176"/>
      <c r="L98" s="176"/>
      <c r="M98" s="176"/>
      <c r="N98" s="176"/>
      <c r="O98" s="176"/>
      <c r="P98" s="176"/>
      <c r="Q98" s="176"/>
      <c r="R98" s="176"/>
    </row>
    <row r="99" spans="6:18">
      <c r="F99" s="176"/>
      <c r="G99" s="176"/>
      <c r="H99" s="176"/>
      <c r="I99" s="176"/>
      <c r="J99" s="176"/>
      <c r="K99" s="176"/>
      <c r="L99" s="176"/>
      <c r="M99" s="176"/>
      <c r="N99" s="176"/>
      <c r="O99" s="176"/>
      <c r="P99" s="176"/>
      <c r="Q99" s="176"/>
      <c r="R99" s="176"/>
    </row>
    <row r="100" spans="6:18">
      <c r="F100" s="176"/>
      <c r="G100" s="176"/>
      <c r="H100" s="176"/>
      <c r="I100" s="176"/>
      <c r="J100" s="176"/>
      <c r="K100" s="176"/>
      <c r="L100" s="176"/>
      <c r="M100" s="176"/>
      <c r="N100" s="176"/>
      <c r="O100" s="176"/>
      <c r="P100" s="176"/>
      <c r="Q100" s="176"/>
      <c r="R100" s="176"/>
    </row>
    <row r="101" spans="6:18">
      <c r="F101" s="176"/>
      <c r="G101" s="176"/>
      <c r="H101" s="176"/>
      <c r="I101" s="176"/>
      <c r="J101" s="176"/>
      <c r="K101" s="176"/>
      <c r="L101" s="176"/>
      <c r="M101" s="176"/>
      <c r="N101" s="176"/>
      <c r="O101" s="176"/>
      <c r="P101" s="176"/>
      <c r="Q101" s="176"/>
      <c r="R101" s="176"/>
    </row>
    <row r="102" spans="6:18">
      <c r="F102" s="176"/>
      <c r="G102" s="176"/>
      <c r="H102" s="176"/>
      <c r="I102" s="176"/>
      <c r="J102" s="176"/>
      <c r="K102" s="176"/>
      <c r="L102" s="176"/>
      <c r="M102" s="176"/>
      <c r="N102" s="176"/>
      <c r="O102" s="176"/>
      <c r="P102" s="176"/>
      <c r="Q102" s="176"/>
      <c r="R102" s="176"/>
    </row>
    <row r="103" spans="6:18">
      <c r="F103" s="176"/>
      <c r="G103" s="176"/>
      <c r="H103" s="176"/>
      <c r="I103" s="176"/>
      <c r="J103" s="176"/>
      <c r="K103" s="176"/>
      <c r="L103" s="176"/>
      <c r="M103" s="176"/>
      <c r="N103" s="176"/>
      <c r="O103" s="176"/>
      <c r="P103" s="176"/>
      <c r="Q103" s="176"/>
      <c r="R103" s="176"/>
    </row>
    <row r="104" spans="6:18">
      <c r="F104" s="176"/>
      <c r="G104" s="176"/>
      <c r="H104" s="176"/>
      <c r="I104" s="176"/>
      <c r="J104" s="176"/>
      <c r="K104" s="176"/>
      <c r="L104" s="176"/>
      <c r="M104" s="176"/>
      <c r="N104" s="176"/>
      <c r="O104" s="176"/>
      <c r="P104" s="176"/>
      <c r="Q104" s="176"/>
      <c r="R104" s="176"/>
    </row>
    <row r="105" spans="6:18">
      <c r="F105" s="176"/>
      <c r="G105" s="176"/>
      <c r="H105" s="176"/>
      <c r="I105" s="176"/>
      <c r="J105" s="176"/>
      <c r="K105" s="176"/>
      <c r="L105" s="176"/>
      <c r="M105" s="176"/>
      <c r="N105" s="176"/>
      <c r="O105" s="176"/>
      <c r="P105" s="176"/>
      <c r="Q105" s="176"/>
      <c r="R105" s="176"/>
    </row>
    <row r="106" spans="6:18">
      <c r="F106" s="176"/>
      <c r="G106" s="176"/>
      <c r="H106" s="176"/>
      <c r="I106" s="176"/>
      <c r="J106" s="176"/>
      <c r="K106" s="176"/>
      <c r="L106" s="176"/>
      <c r="M106" s="176"/>
      <c r="N106" s="176"/>
      <c r="O106" s="176"/>
      <c r="P106" s="176"/>
      <c r="Q106" s="176"/>
      <c r="R106" s="176"/>
    </row>
    <row r="107" spans="6:18">
      <c r="F107" s="176"/>
      <c r="G107" s="176"/>
      <c r="H107" s="176"/>
      <c r="I107" s="176"/>
      <c r="J107" s="176"/>
      <c r="K107" s="176"/>
      <c r="L107" s="176"/>
      <c r="M107" s="176"/>
      <c r="N107" s="176"/>
      <c r="O107" s="176"/>
      <c r="P107" s="176"/>
      <c r="Q107" s="176"/>
      <c r="R107" s="176"/>
    </row>
    <row r="108" spans="6:18">
      <c r="F108" s="176"/>
      <c r="G108" s="176"/>
      <c r="H108" s="176"/>
      <c r="I108" s="176"/>
      <c r="J108" s="176"/>
      <c r="K108" s="176"/>
      <c r="L108" s="176"/>
      <c r="M108" s="176"/>
      <c r="N108" s="176"/>
      <c r="O108" s="176"/>
      <c r="P108" s="176"/>
      <c r="Q108" s="176"/>
      <c r="R108" s="176"/>
    </row>
    <row r="109" spans="6:18">
      <c r="F109" s="176"/>
      <c r="G109" s="176"/>
      <c r="H109" s="176"/>
      <c r="I109" s="176"/>
      <c r="J109" s="176"/>
      <c r="K109" s="176"/>
      <c r="L109" s="176"/>
      <c r="M109" s="176"/>
      <c r="N109" s="176"/>
      <c r="O109" s="176"/>
      <c r="P109" s="176"/>
      <c r="Q109" s="176"/>
      <c r="R109" s="176"/>
    </row>
    <row r="110" spans="6:18">
      <c r="F110" s="176"/>
      <c r="G110" s="176"/>
      <c r="H110" s="176"/>
      <c r="I110" s="176"/>
      <c r="J110" s="176"/>
      <c r="K110" s="176"/>
      <c r="L110" s="176"/>
      <c r="M110" s="176"/>
      <c r="N110" s="176"/>
      <c r="O110" s="176"/>
      <c r="P110" s="176"/>
      <c r="Q110" s="176"/>
      <c r="R110" s="176"/>
    </row>
    <row r="111" spans="6:18">
      <c r="F111" s="176"/>
      <c r="G111" s="176"/>
      <c r="H111" s="176"/>
      <c r="I111" s="176"/>
      <c r="J111" s="176"/>
      <c r="K111" s="176"/>
      <c r="L111" s="176"/>
      <c r="M111" s="176"/>
      <c r="N111" s="176"/>
      <c r="O111" s="176"/>
      <c r="P111" s="176"/>
      <c r="Q111" s="176"/>
      <c r="R111" s="176"/>
    </row>
    <row r="112" spans="6:18">
      <c r="F112" s="176"/>
      <c r="G112" s="176"/>
      <c r="H112" s="176"/>
      <c r="I112" s="176"/>
      <c r="J112" s="176"/>
      <c r="K112" s="176"/>
      <c r="L112" s="176"/>
      <c r="M112" s="176"/>
      <c r="N112" s="176"/>
      <c r="O112" s="176"/>
      <c r="P112" s="176"/>
      <c r="Q112" s="176"/>
      <c r="R112" s="176"/>
    </row>
    <row r="113" spans="6:18">
      <c r="F113" s="176"/>
      <c r="G113" s="176"/>
      <c r="H113" s="176"/>
      <c r="I113" s="176"/>
      <c r="J113" s="176"/>
      <c r="K113" s="176"/>
      <c r="L113" s="176"/>
      <c r="M113" s="176"/>
      <c r="N113" s="176"/>
      <c r="O113" s="176"/>
      <c r="P113" s="176"/>
      <c r="Q113" s="176"/>
      <c r="R113" s="176"/>
    </row>
    <row r="114" spans="6:18">
      <c r="F114" s="176"/>
      <c r="G114" s="176"/>
      <c r="H114" s="176"/>
      <c r="I114" s="176"/>
      <c r="J114" s="176"/>
      <c r="K114" s="176"/>
      <c r="L114" s="176"/>
      <c r="M114" s="176"/>
      <c r="N114" s="176"/>
      <c r="O114" s="176"/>
      <c r="P114" s="176"/>
      <c r="Q114" s="176"/>
      <c r="R114" s="176"/>
    </row>
    <row r="115" spans="6:18">
      <c r="F115" s="176"/>
      <c r="G115" s="176"/>
      <c r="H115" s="176"/>
      <c r="I115" s="176"/>
      <c r="J115" s="176"/>
      <c r="K115" s="176"/>
      <c r="L115" s="176"/>
      <c r="M115" s="176"/>
      <c r="N115" s="176"/>
      <c r="O115" s="176"/>
      <c r="P115" s="176"/>
      <c r="Q115" s="176"/>
      <c r="R115" s="176"/>
    </row>
    <row r="116" spans="6:18">
      <c r="F116" s="176"/>
      <c r="G116" s="176"/>
      <c r="H116" s="176"/>
      <c r="I116" s="176"/>
      <c r="J116" s="176"/>
      <c r="K116" s="176"/>
      <c r="L116" s="176"/>
      <c r="M116" s="176"/>
      <c r="N116" s="176"/>
      <c r="O116" s="176"/>
      <c r="P116" s="176"/>
      <c r="Q116" s="176"/>
      <c r="R116" s="176"/>
    </row>
    <row r="117" spans="6:18">
      <c r="F117" s="176"/>
      <c r="G117" s="176"/>
      <c r="H117" s="176"/>
      <c r="I117" s="176"/>
      <c r="J117" s="176"/>
      <c r="K117" s="176"/>
      <c r="L117" s="176"/>
      <c r="M117" s="176"/>
      <c r="N117" s="176"/>
      <c r="O117" s="176"/>
      <c r="P117" s="176"/>
      <c r="Q117" s="176"/>
      <c r="R117" s="176"/>
    </row>
    <row r="118" spans="6:18">
      <c r="F118" s="176"/>
      <c r="G118" s="176"/>
      <c r="H118" s="176"/>
      <c r="I118" s="176"/>
      <c r="J118" s="176"/>
      <c r="K118" s="176"/>
      <c r="L118" s="176"/>
      <c r="M118" s="176"/>
      <c r="N118" s="176"/>
      <c r="O118" s="176"/>
      <c r="P118" s="176"/>
      <c r="Q118" s="176"/>
      <c r="R118" s="176"/>
    </row>
    <row r="119" spans="6:18">
      <c r="F119" s="176"/>
      <c r="G119" s="176"/>
      <c r="H119" s="176"/>
      <c r="I119" s="176"/>
      <c r="J119" s="176"/>
      <c r="K119" s="176"/>
      <c r="L119" s="176"/>
      <c r="M119" s="176"/>
      <c r="N119" s="176"/>
      <c r="O119" s="176"/>
      <c r="P119" s="176"/>
      <c r="Q119" s="176"/>
      <c r="R119" s="176"/>
    </row>
    <row r="120" spans="6:18">
      <c r="F120" s="176"/>
      <c r="G120" s="176"/>
      <c r="H120" s="176"/>
      <c r="I120" s="176"/>
      <c r="J120" s="176"/>
      <c r="K120" s="176"/>
      <c r="L120" s="176"/>
      <c r="M120" s="176"/>
      <c r="N120" s="176"/>
      <c r="O120" s="176"/>
      <c r="P120" s="176"/>
      <c r="Q120" s="176"/>
      <c r="R120" s="176"/>
    </row>
    <row r="121" spans="6:18">
      <c r="F121" s="176"/>
      <c r="G121" s="176"/>
      <c r="H121" s="176"/>
      <c r="I121" s="176"/>
      <c r="J121" s="176"/>
      <c r="K121" s="176"/>
      <c r="L121" s="176"/>
      <c r="M121" s="176"/>
      <c r="N121" s="176"/>
      <c r="O121" s="176"/>
      <c r="P121" s="176"/>
      <c r="Q121" s="176"/>
      <c r="R121" s="176"/>
    </row>
    <row r="122" spans="6:18">
      <c r="F122" s="176"/>
      <c r="G122" s="176"/>
      <c r="H122" s="176"/>
      <c r="I122" s="176"/>
      <c r="J122" s="176"/>
      <c r="K122" s="176"/>
      <c r="L122" s="176"/>
      <c r="M122" s="176"/>
      <c r="N122" s="176"/>
      <c r="O122" s="176"/>
      <c r="P122" s="176"/>
      <c r="Q122" s="176"/>
      <c r="R122" s="176"/>
    </row>
    <row r="123" spans="6:18">
      <c r="F123" s="176"/>
      <c r="G123" s="176"/>
      <c r="H123" s="176"/>
      <c r="I123" s="176"/>
      <c r="J123" s="176"/>
      <c r="K123" s="176"/>
      <c r="L123" s="176"/>
      <c r="M123" s="176"/>
      <c r="N123" s="176"/>
      <c r="O123" s="176"/>
      <c r="P123" s="176"/>
      <c r="Q123" s="176"/>
      <c r="R123" s="176"/>
    </row>
    <row r="124" spans="6:18">
      <c r="F124" s="176"/>
      <c r="G124" s="176"/>
      <c r="H124" s="176"/>
      <c r="I124" s="176"/>
      <c r="J124" s="176"/>
      <c r="K124" s="176"/>
      <c r="L124" s="176"/>
      <c r="M124" s="176"/>
      <c r="N124" s="176"/>
      <c r="O124" s="176"/>
      <c r="P124" s="176"/>
      <c r="Q124" s="176"/>
      <c r="R124" s="176"/>
    </row>
    <row r="125" spans="6:18">
      <c r="F125" s="176"/>
      <c r="G125" s="176"/>
      <c r="H125" s="176"/>
      <c r="I125" s="176"/>
      <c r="J125" s="176"/>
      <c r="K125" s="176"/>
      <c r="L125" s="176"/>
      <c r="M125" s="176"/>
      <c r="N125" s="176"/>
      <c r="O125" s="176"/>
      <c r="P125" s="176"/>
      <c r="Q125" s="176"/>
      <c r="R125" s="176"/>
    </row>
    <row r="126" spans="6:18">
      <c r="F126" s="176"/>
      <c r="G126" s="176"/>
      <c r="H126" s="176"/>
      <c r="I126" s="176"/>
      <c r="J126" s="176"/>
      <c r="K126" s="176"/>
      <c r="L126" s="176"/>
      <c r="M126" s="176"/>
      <c r="N126" s="176"/>
      <c r="O126" s="176"/>
      <c r="P126" s="176"/>
      <c r="Q126" s="176"/>
      <c r="R126" s="176"/>
    </row>
    <row r="127" spans="6:18">
      <c r="F127" s="176"/>
      <c r="G127" s="176"/>
      <c r="H127" s="176"/>
      <c r="I127" s="176"/>
      <c r="J127" s="176"/>
      <c r="K127" s="176"/>
      <c r="L127" s="176"/>
      <c r="M127" s="176"/>
      <c r="N127" s="176"/>
      <c r="O127" s="176"/>
      <c r="P127" s="176"/>
      <c r="Q127" s="176"/>
      <c r="R127" s="176"/>
    </row>
    <row r="128" spans="6:18">
      <c r="F128" s="176"/>
      <c r="G128" s="176"/>
      <c r="H128" s="176"/>
      <c r="I128" s="176"/>
      <c r="J128" s="176"/>
      <c r="K128" s="176"/>
      <c r="L128" s="176"/>
      <c r="M128" s="176"/>
      <c r="N128" s="176"/>
      <c r="O128" s="176"/>
      <c r="P128" s="176"/>
      <c r="Q128" s="176"/>
      <c r="R128" s="176"/>
    </row>
  </sheetData>
  <mergeCells count="5">
    <mergeCell ref="A2:D2"/>
    <mergeCell ref="A3:D3"/>
    <mergeCell ref="A5:AB5"/>
    <mergeCell ref="A6:AB6"/>
    <mergeCell ref="Y4:AB4"/>
  </mergeCells>
  <printOptions horizontalCentered="1"/>
  <pageMargins left="0.25" right="0.25" top="0.75" bottom="0.75" header="0.3" footer="0.3"/>
  <pageSetup paperSize="8" scale="83" orientation="landscape" r:id="rId1"/>
  <headerFooter>
    <oddFooter>&amp;R
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J55"/>
  <sheetViews>
    <sheetView showGridLines="0" view="pageBreakPreview" zoomScale="85" zoomScaleNormal="70" zoomScaleSheetLayoutView="85" workbookViewId="0">
      <selection activeCell="F21" sqref="F21"/>
    </sheetView>
  </sheetViews>
  <sheetFormatPr defaultColWidth="9.109375" defaultRowHeight="13.8"/>
  <cols>
    <col min="1" max="1" width="8.88671875" style="1" customWidth="1"/>
    <col min="2" max="2" width="25.6640625" style="1" customWidth="1"/>
    <col min="3" max="3" width="19.6640625" style="1" customWidth="1"/>
    <col min="4" max="4" width="11.33203125" style="1" bestFit="1" customWidth="1"/>
    <col min="5" max="5" width="1.5546875" style="1" customWidth="1"/>
    <col min="6" max="6" width="11.44140625" style="1" customWidth="1"/>
    <col min="7" max="7" width="1.5546875" style="1" customWidth="1"/>
    <col min="8" max="8" width="11.44140625" style="1" customWidth="1"/>
    <col min="9" max="9" width="1.5546875" style="1" customWidth="1"/>
    <col min="10" max="10" width="11.44140625" style="1" customWidth="1"/>
    <col min="11" max="16384" width="9.109375" style="1"/>
  </cols>
  <sheetData>
    <row r="1" spans="1:10" ht="15.6">
      <c r="A1" s="35"/>
      <c r="B1" s="36"/>
      <c r="C1" s="38"/>
      <c r="D1" s="38"/>
      <c r="E1" s="38"/>
      <c r="F1" s="38"/>
      <c r="G1" s="38"/>
      <c r="H1" s="38"/>
    </row>
    <row r="2" spans="1:10" s="39" customFormat="1" ht="25.2">
      <c r="A2" s="313" t="str">
        <f>Cover!A12</f>
        <v>Western Vending Machines LLC</v>
      </c>
      <c r="B2" s="313"/>
      <c r="C2" s="68"/>
    </row>
    <row r="3" spans="1:10" s="40" customFormat="1" ht="21">
      <c r="A3" s="457" t="str">
        <f>Cover!A13</f>
        <v xml:space="preserve">DUABI UAE </v>
      </c>
      <c r="B3" s="457"/>
    </row>
    <row r="4" spans="1:10" s="40" customFormat="1" ht="33" customHeight="1">
      <c r="A4" s="71"/>
      <c r="B4" s="71"/>
      <c r="J4" s="197"/>
    </row>
    <row r="5" spans="1:10" ht="22.5" customHeight="1">
      <c r="A5" s="479" t="s">
        <v>20</v>
      </c>
      <c r="B5" s="479"/>
      <c r="C5" s="479"/>
      <c r="D5" s="479"/>
      <c r="E5" s="479"/>
      <c r="F5" s="479"/>
      <c r="G5" s="479"/>
      <c r="H5" s="479"/>
      <c r="I5" s="479"/>
      <c r="J5" s="479"/>
    </row>
    <row r="6" spans="1:10" ht="21.75" customHeight="1">
      <c r="A6" s="480" t="str">
        <f>Galance!D20</f>
        <v>For the month of June - 2025</v>
      </c>
      <c r="B6" s="480"/>
      <c r="C6" s="480"/>
      <c r="D6" s="480"/>
      <c r="E6" s="480"/>
      <c r="F6" s="480"/>
      <c r="G6" s="480"/>
      <c r="H6" s="480"/>
      <c r="I6" s="480"/>
      <c r="J6" s="480"/>
    </row>
    <row r="7" spans="1:10" ht="6.75" customHeight="1">
      <c r="A7" s="41"/>
      <c r="B7" s="41"/>
      <c r="C7" s="41"/>
      <c r="D7" s="41"/>
      <c r="E7" s="41"/>
      <c r="F7" s="41"/>
      <c r="G7" s="41"/>
      <c r="H7" s="41"/>
      <c r="I7" s="41"/>
      <c r="J7" s="41"/>
    </row>
    <row r="8" spans="1:10" s="42" customFormat="1" ht="25.2">
      <c r="A8" s="478" t="s">
        <v>25</v>
      </c>
      <c r="B8" s="478"/>
      <c r="C8" s="478"/>
      <c r="D8" s="478"/>
      <c r="E8" s="478"/>
      <c r="F8" s="478"/>
      <c r="G8" s="478"/>
      <c r="H8" s="478"/>
      <c r="I8" s="478"/>
      <c r="J8" s="478"/>
    </row>
    <row r="9" spans="1:10" ht="25.2" thickBot="1">
      <c r="A9" s="470" t="s">
        <v>14</v>
      </c>
      <c r="B9" s="470"/>
      <c r="C9" s="264"/>
      <c r="D9" s="265" t="s">
        <v>27</v>
      </c>
      <c r="E9" s="264"/>
      <c r="F9" s="277">
        <f>SOCI!F8</f>
        <v>45809</v>
      </c>
      <c r="G9" s="264"/>
      <c r="H9" s="277">
        <f>SOCI!H8</f>
        <v>45778</v>
      </c>
      <c r="I9" s="264"/>
      <c r="J9" s="265" t="s">
        <v>32</v>
      </c>
    </row>
    <row r="10" spans="1:10" ht="7.5" customHeight="1">
      <c r="A10" s="43"/>
      <c r="B10" s="44"/>
      <c r="C10" s="45"/>
      <c r="D10" s="45"/>
      <c r="E10" s="45"/>
      <c r="F10" s="65"/>
      <c r="H10" s="65"/>
      <c r="J10" s="65"/>
    </row>
    <row r="11" spans="1:10" ht="23.25" customHeight="1">
      <c r="A11" s="278" t="s">
        <v>39</v>
      </c>
      <c r="B11" s="279"/>
      <c r="C11" s="279"/>
      <c r="D11" s="49"/>
      <c r="E11" s="49"/>
      <c r="F11" s="50"/>
      <c r="G11" s="51"/>
      <c r="H11" s="50"/>
      <c r="I11" s="51"/>
      <c r="J11" s="50"/>
    </row>
    <row r="12" spans="1:10" ht="21">
      <c r="A12" s="280" t="s">
        <v>115</v>
      </c>
      <c r="B12" s="268"/>
      <c r="C12" s="268"/>
      <c r="D12" s="21"/>
      <c r="E12" s="21"/>
      <c r="F12" s="30"/>
      <c r="G12" s="51"/>
      <c r="H12" s="30"/>
      <c r="I12" s="51"/>
      <c r="J12" s="30"/>
    </row>
    <row r="13" spans="1:10" ht="21">
      <c r="A13" s="280" t="s">
        <v>40</v>
      </c>
      <c r="B13" s="268"/>
      <c r="C13" s="268"/>
      <c r="D13" s="21"/>
      <c r="E13" s="21"/>
      <c r="F13" s="30"/>
      <c r="G13" s="51"/>
      <c r="H13" s="30"/>
      <c r="I13" s="51"/>
      <c r="J13" s="30"/>
    </row>
    <row r="14" spans="1:10" ht="15.6">
      <c r="B14" s="269" t="s">
        <v>16</v>
      </c>
      <c r="C14" s="269"/>
      <c r="D14" s="21"/>
      <c r="E14" s="21"/>
      <c r="F14" s="222" t="e">
        <f>INDEX(SOCI!$F$10:$H$65,MATCH(SOCF!$B$14,SOCI!$B$10:$B$65,0),MATCH(SOCF!$F$9,SOCI!$F$8:$H$8,0))</f>
        <v>#N/A</v>
      </c>
      <c r="G14" s="205"/>
      <c r="H14" s="222">
        <v>0</v>
      </c>
      <c r="I14" s="205"/>
      <c r="J14" s="222">
        <v>0</v>
      </c>
    </row>
    <row r="15" spans="1:10" s="47" customFormat="1" ht="20.399999999999999">
      <c r="A15" s="281" t="s">
        <v>41</v>
      </c>
      <c r="B15" s="282"/>
      <c r="C15" s="282"/>
      <c r="D15" s="32"/>
      <c r="E15" s="32"/>
      <c r="F15" s="206" t="e">
        <f>SUM(F14:F14)</f>
        <v>#N/A</v>
      </c>
      <c r="G15" s="207"/>
      <c r="H15" s="206">
        <f>SUM(H14:H14)</f>
        <v>0</v>
      </c>
      <c r="I15" s="207"/>
      <c r="J15" s="206">
        <f>SUM(J14:J14)</f>
        <v>0</v>
      </c>
    </row>
    <row r="16" spans="1:10" ht="23.25" customHeight="1">
      <c r="A16" s="278" t="s">
        <v>42</v>
      </c>
      <c r="B16" s="279"/>
      <c r="C16" s="279"/>
      <c r="D16" s="49"/>
      <c r="E16" s="49"/>
      <c r="F16" s="208"/>
      <c r="G16" s="209"/>
      <c r="H16" s="208"/>
      <c r="I16" s="210"/>
      <c r="J16" s="208"/>
    </row>
    <row r="17" spans="1:10" ht="21">
      <c r="A17" s="280" t="s">
        <v>43</v>
      </c>
      <c r="B17" s="268"/>
      <c r="C17" s="268"/>
      <c r="D17" s="21"/>
      <c r="E17" s="21"/>
      <c r="F17" s="211"/>
      <c r="G17" s="209"/>
      <c r="H17" s="211"/>
      <c r="I17" s="210"/>
      <c r="J17" s="211"/>
    </row>
    <row r="18" spans="1:10" ht="15.6">
      <c r="B18" s="269" t="s">
        <v>9</v>
      </c>
      <c r="C18" s="269"/>
      <c r="D18" s="21"/>
      <c r="E18" s="21"/>
      <c r="F18" s="204">
        <v>0</v>
      </c>
      <c r="G18" s="205"/>
      <c r="H18" s="204">
        <v>0</v>
      </c>
      <c r="I18" s="205"/>
      <c r="J18" s="204">
        <v>0</v>
      </c>
    </row>
    <row r="19" spans="1:10" ht="15.6">
      <c r="B19" s="269" t="s">
        <v>125</v>
      </c>
      <c r="C19" s="269"/>
      <c r="D19" s="21"/>
      <c r="E19" s="21"/>
      <c r="F19" s="212">
        <v>0</v>
      </c>
      <c r="G19" s="205"/>
      <c r="H19" s="212">
        <v>0</v>
      </c>
      <c r="I19" s="205"/>
      <c r="J19" s="212">
        <v>0</v>
      </c>
    </row>
    <row r="20" spans="1:10" ht="15.6">
      <c r="B20" s="269" t="s">
        <v>126</v>
      </c>
      <c r="C20" s="269"/>
      <c r="D20" s="21"/>
      <c r="E20" s="21"/>
      <c r="F20" s="212">
        <v>0</v>
      </c>
      <c r="G20" s="205"/>
      <c r="H20" s="212">
        <v>0</v>
      </c>
      <c r="I20" s="205"/>
      <c r="J20" s="212">
        <v>0</v>
      </c>
    </row>
    <row r="21" spans="1:10" ht="15.6">
      <c r="B21" s="269" t="s">
        <v>127</v>
      </c>
      <c r="C21" s="269"/>
      <c r="D21" s="21"/>
      <c r="E21" s="21"/>
      <c r="F21" s="212">
        <v>0</v>
      </c>
      <c r="G21" s="205"/>
      <c r="H21" s="212">
        <v>0</v>
      </c>
      <c r="I21" s="205"/>
      <c r="J21" s="212">
        <v>0</v>
      </c>
    </row>
    <row r="22" spans="1:10" ht="15.6">
      <c r="B22" s="269" t="s">
        <v>128</v>
      </c>
      <c r="C22" s="269"/>
      <c r="D22" s="21"/>
      <c r="E22" s="21"/>
      <c r="F22" s="212">
        <v>0</v>
      </c>
      <c r="G22" s="205"/>
      <c r="H22" s="212">
        <v>0</v>
      </c>
      <c r="I22" s="205"/>
      <c r="J22" s="212">
        <v>0</v>
      </c>
    </row>
    <row r="23" spans="1:10" ht="15.6">
      <c r="B23" s="269" t="s">
        <v>129</v>
      </c>
      <c r="C23" s="269"/>
      <c r="D23" s="21"/>
      <c r="E23" s="21"/>
      <c r="F23" s="212">
        <v>0</v>
      </c>
      <c r="G23" s="205"/>
      <c r="H23" s="212">
        <v>0</v>
      </c>
      <c r="I23" s="205"/>
      <c r="J23" s="212">
        <v>0</v>
      </c>
    </row>
    <row r="24" spans="1:10" ht="15.6">
      <c r="B24" s="269" t="s">
        <v>130</v>
      </c>
      <c r="C24" s="269"/>
      <c r="D24" s="21"/>
      <c r="E24" s="21"/>
      <c r="F24" s="223">
        <f>SOFP!G25-SOFP!E25</f>
        <v>0</v>
      </c>
      <c r="G24" s="205"/>
      <c r="H24" s="223">
        <f>SOFP!I25-SOFP!G25</f>
        <v>-36710</v>
      </c>
      <c r="I24" s="205"/>
      <c r="J24" s="223">
        <f>SOFP!K25-SOFP!I25</f>
        <v>0</v>
      </c>
    </row>
    <row r="25" spans="1:10" ht="15.6">
      <c r="A25" s="283" t="s">
        <v>3</v>
      </c>
      <c r="B25" s="283"/>
      <c r="C25" s="283"/>
      <c r="D25" s="31"/>
      <c r="E25" s="31"/>
      <c r="F25" s="214">
        <f>SUM(F18:F24)</f>
        <v>0</v>
      </c>
      <c r="G25" s="205"/>
      <c r="H25" s="214">
        <f>SUM(H18:H24)</f>
        <v>-36710</v>
      </c>
      <c r="I25" s="205"/>
      <c r="J25" s="214">
        <f>SUM(J18:J24)</f>
        <v>0</v>
      </c>
    </row>
    <row r="26" spans="1:10" ht="21">
      <c r="A26" s="280" t="s">
        <v>44</v>
      </c>
      <c r="B26" s="268"/>
      <c r="C26" s="268"/>
      <c r="D26" s="21"/>
      <c r="E26" s="21"/>
      <c r="F26" s="211"/>
      <c r="G26" s="209"/>
      <c r="H26" s="211"/>
      <c r="I26" s="210"/>
      <c r="J26" s="211"/>
    </row>
    <row r="27" spans="1:10" ht="15.6">
      <c r="B27" s="269" t="s">
        <v>121</v>
      </c>
      <c r="C27" s="269"/>
      <c r="D27" s="21"/>
      <c r="E27" s="21"/>
      <c r="F27" s="204">
        <v>0</v>
      </c>
      <c r="G27" s="205"/>
      <c r="H27" s="204">
        <v>0</v>
      </c>
      <c r="I27" s="205"/>
      <c r="J27" s="204">
        <v>0</v>
      </c>
    </row>
    <row r="28" spans="1:10" ht="15.6">
      <c r="B28" s="269" t="s">
        <v>122</v>
      </c>
      <c r="C28" s="269"/>
      <c r="D28" s="21"/>
      <c r="E28" s="21"/>
      <c r="F28" s="212">
        <v>0</v>
      </c>
      <c r="G28" s="205"/>
      <c r="H28" s="212">
        <v>0</v>
      </c>
      <c r="I28" s="205"/>
      <c r="J28" s="212">
        <v>0</v>
      </c>
    </row>
    <row r="29" spans="1:10" ht="15.6">
      <c r="B29" s="269" t="s">
        <v>10</v>
      </c>
      <c r="C29" s="269"/>
      <c r="D29" s="21"/>
      <c r="E29" s="21"/>
      <c r="F29" s="212">
        <v>0</v>
      </c>
      <c r="G29" s="205"/>
      <c r="H29" s="212">
        <v>0</v>
      </c>
      <c r="I29" s="205"/>
      <c r="J29" s="212">
        <v>0</v>
      </c>
    </row>
    <row r="30" spans="1:10" ht="15.6">
      <c r="B30" s="269" t="s">
        <v>11</v>
      </c>
      <c r="C30" s="269"/>
      <c r="D30" s="21"/>
      <c r="E30" s="21"/>
      <c r="F30" s="212">
        <v>0</v>
      </c>
      <c r="G30" s="205"/>
      <c r="H30" s="212">
        <v>0</v>
      </c>
      <c r="I30" s="205"/>
      <c r="J30" s="212">
        <v>0</v>
      </c>
    </row>
    <row r="31" spans="1:10" ht="16.2" thickBot="1">
      <c r="B31" s="269" t="s">
        <v>12</v>
      </c>
      <c r="C31" s="269"/>
      <c r="D31" s="21"/>
      <c r="E31" s="21"/>
      <c r="F31" s="212">
        <v>0</v>
      </c>
      <c r="G31" s="205"/>
      <c r="H31" s="212">
        <v>0</v>
      </c>
      <c r="I31" s="205"/>
      <c r="J31" s="212">
        <v>0</v>
      </c>
    </row>
    <row r="32" spans="1:10" s="47" customFormat="1" ht="16.2" thickBot="1">
      <c r="A32" s="282" t="s">
        <v>3</v>
      </c>
      <c r="B32" s="282"/>
      <c r="C32" s="282"/>
      <c r="D32" s="32"/>
      <c r="E32" s="32"/>
      <c r="F32" s="215">
        <f>SUM(F27:F31)</f>
        <v>0</v>
      </c>
      <c r="G32" s="207"/>
      <c r="H32" s="215">
        <f>SUM(H27:H31)</f>
        <v>0</v>
      </c>
      <c r="I32" s="207"/>
      <c r="J32" s="215">
        <f>SUM(J27:J31)</f>
        <v>0</v>
      </c>
    </row>
    <row r="33" spans="1:10" s="47" customFormat="1" ht="20.399999999999999">
      <c r="A33" s="281" t="s">
        <v>45</v>
      </c>
      <c r="B33" s="267"/>
      <c r="C33" s="267"/>
      <c r="D33" s="33"/>
      <c r="E33" s="33"/>
      <c r="F33" s="216" t="e">
        <f>F15+F25+F32</f>
        <v>#N/A</v>
      </c>
      <c r="G33" s="217"/>
      <c r="H33" s="216">
        <f>H15+H25+H32</f>
        <v>-36710</v>
      </c>
      <c r="I33" s="218"/>
      <c r="J33" s="216">
        <f>J15+J25+J32</f>
        <v>0</v>
      </c>
    </row>
    <row r="34" spans="1:10" ht="21.6" thickBot="1">
      <c r="A34" s="280" t="s">
        <v>57</v>
      </c>
      <c r="B34" s="268"/>
      <c r="C34" s="268"/>
      <c r="D34" s="21"/>
      <c r="E34" s="21"/>
      <c r="F34" s="211"/>
      <c r="G34" s="209"/>
      <c r="H34" s="211"/>
      <c r="I34" s="210"/>
      <c r="J34" s="211"/>
    </row>
    <row r="35" spans="1:10" s="47" customFormat="1" ht="21" thickBot="1">
      <c r="A35" s="281" t="s">
        <v>46</v>
      </c>
      <c r="B35" s="267"/>
      <c r="C35" s="267"/>
      <c r="D35" s="33"/>
      <c r="E35" s="33"/>
      <c r="F35" s="219" t="e">
        <f>SUM(F33:F34)</f>
        <v>#N/A</v>
      </c>
      <c r="G35" s="217"/>
      <c r="H35" s="219">
        <f>SUM(H33:H34)</f>
        <v>-36710</v>
      </c>
      <c r="I35" s="218"/>
      <c r="J35" s="219">
        <f>SUM(J33:J34)</f>
        <v>0</v>
      </c>
    </row>
    <row r="36" spans="1:10" ht="23.25" customHeight="1">
      <c r="A36" s="278" t="s">
        <v>47</v>
      </c>
      <c r="B36" s="279"/>
      <c r="C36" s="279"/>
      <c r="D36" s="49"/>
      <c r="E36" s="49"/>
      <c r="F36" s="208"/>
      <c r="G36" s="209"/>
      <c r="H36" s="208"/>
      <c r="I36" s="210"/>
      <c r="J36" s="208"/>
    </row>
    <row r="37" spans="1:10" ht="21">
      <c r="A37" s="280" t="s">
        <v>51</v>
      </c>
      <c r="B37" s="268"/>
      <c r="C37" s="268"/>
      <c r="D37" s="21"/>
      <c r="E37" s="21"/>
      <c r="F37" s="211"/>
      <c r="G37" s="209"/>
      <c r="H37" s="211"/>
      <c r="I37" s="210"/>
      <c r="J37" s="211"/>
    </row>
    <row r="38" spans="1:10" ht="15.6">
      <c r="B38" s="269" t="s">
        <v>52</v>
      </c>
      <c r="C38" s="269"/>
      <c r="D38" s="21"/>
      <c r="E38" s="21"/>
      <c r="F38" s="204">
        <v>0</v>
      </c>
      <c r="G38" s="205"/>
      <c r="H38" s="204">
        <v>0</v>
      </c>
      <c r="I38" s="205"/>
      <c r="J38" s="204">
        <v>0</v>
      </c>
    </row>
    <row r="39" spans="1:10" ht="15.6">
      <c r="B39" s="269" t="s">
        <v>6</v>
      </c>
      <c r="C39" s="269"/>
      <c r="D39" s="21"/>
      <c r="E39" s="21"/>
      <c r="F39" s="212">
        <v>0</v>
      </c>
      <c r="G39" s="205"/>
      <c r="H39" s="212">
        <v>0</v>
      </c>
      <c r="I39" s="205"/>
      <c r="J39" s="212">
        <v>0</v>
      </c>
    </row>
    <row r="40" spans="1:10" ht="16.2" thickBot="1">
      <c r="B40" s="269" t="s">
        <v>28</v>
      </c>
      <c r="C40" s="269"/>
      <c r="D40" s="21"/>
      <c r="E40" s="21"/>
      <c r="F40" s="213">
        <v>0</v>
      </c>
      <c r="G40" s="205"/>
      <c r="H40" s="213">
        <v>0</v>
      </c>
      <c r="I40" s="205"/>
      <c r="J40" s="213">
        <v>0</v>
      </c>
    </row>
    <row r="41" spans="1:10" s="47" customFormat="1" ht="21" thickBot="1">
      <c r="A41" s="281" t="s">
        <v>48</v>
      </c>
      <c r="B41" s="282"/>
      <c r="C41" s="282"/>
      <c r="D41" s="32"/>
      <c r="E41" s="32"/>
      <c r="F41" s="215">
        <f>SUM(F38:F40)</f>
        <v>0</v>
      </c>
      <c r="G41" s="207"/>
      <c r="H41" s="215">
        <f>SUM(H38:H40)</f>
        <v>0</v>
      </c>
      <c r="I41" s="207"/>
      <c r="J41" s="215">
        <f>SUM(J38:J40)</f>
        <v>0</v>
      </c>
    </row>
    <row r="42" spans="1:10" ht="23.25" customHeight="1">
      <c r="A42" s="278" t="s">
        <v>49</v>
      </c>
      <c r="B42" s="279"/>
      <c r="C42" s="279"/>
      <c r="D42" s="49"/>
      <c r="E42" s="49"/>
      <c r="F42" s="208"/>
      <c r="G42" s="209"/>
      <c r="H42" s="208"/>
      <c r="I42" s="210"/>
      <c r="J42" s="208"/>
    </row>
    <row r="43" spans="1:10" ht="21">
      <c r="A43" s="280" t="s">
        <v>53</v>
      </c>
      <c r="B43" s="268"/>
      <c r="C43" s="268"/>
      <c r="D43" s="21"/>
      <c r="E43" s="21"/>
      <c r="F43" s="211"/>
      <c r="G43" s="209"/>
      <c r="H43" s="211"/>
      <c r="I43" s="210"/>
      <c r="J43" s="211"/>
    </row>
    <row r="44" spans="1:10" ht="15.6">
      <c r="B44" s="269" t="s">
        <v>116</v>
      </c>
      <c r="C44" s="269"/>
      <c r="D44" s="21"/>
      <c r="E44" s="21"/>
      <c r="F44" s="204">
        <v>0</v>
      </c>
      <c r="G44" s="205"/>
      <c r="H44" s="204">
        <v>0</v>
      </c>
      <c r="I44" s="205"/>
      <c r="J44" s="204">
        <v>0</v>
      </c>
    </row>
    <row r="45" spans="1:10" ht="15.6">
      <c r="B45" s="269" t="s">
        <v>117</v>
      </c>
      <c r="C45" s="269"/>
      <c r="D45" s="21"/>
      <c r="E45" s="21"/>
      <c r="F45" s="212">
        <v>0</v>
      </c>
      <c r="G45" s="205"/>
      <c r="H45" s="212">
        <v>0</v>
      </c>
      <c r="I45" s="205"/>
      <c r="J45" s="212">
        <v>0</v>
      </c>
    </row>
    <row r="46" spans="1:10" ht="15.6">
      <c r="B46" s="269" t="s">
        <v>123</v>
      </c>
      <c r="C46" s="269"/>
      <c r="D46" s="21"/>
      <c r="E46" s="21"/>
      <c r="F46" s="212">
        <v>0</v>
      </c>
      <c r="G46" s="205"/>
      <c r="H46" s="212">
        <v>0</v>
      </c>
      <c r="I46" s="205"/>
      <c r="J46" s="212">
        <v>0</v>
      </c>
    </row>
    <row r="47" spans="1:10" ht="15.6">
      <c r="B47" s="269" t="s">
        <v>124</v>
      </c>
      <c r="C47" s="269"/>
      <c r="D47" s="21"/>
      <c r="E47" s="21"/>
      <c r="F47" s="212">
        <v>0</v>
      </c>
      <c r="G47" s="205"/>
      <c r="H47" s="212">
        <v>0</v>
      </c>
      <c r="I47" s="205"/>
      <c r="J47" s="212">
        <v>0</v>
      </c>
    </row>
    <row r="48" spans="1:10" ht="15.6">
      <c r="B48" s="269" t="s">
        <v>118</v>
      </c>
      <c r="C48" s="269"/>
      <c r="D48" s="21"/>
      <c r="E48" s="21"/>
      <c r="F48" s="212">
        <v>0</v>
      </c>
      <c r="G48" s="205"/>
      <c r="H48" s="212">
        <v>0</v>
      </c>
      <c r="I48" s="205"/>
      <c r="J48" s="212">
        <v>0</v>
      </c>
    </row>
    <row r="49" spans="1:10" ht="15.6">
      <c r="B49" s="269" t="s">
        <v>119</v>
      </c>
      <c r="C49" s="269"/>
      <c r="D49" s="21"/>
      <c r="E49" s="21"/>
      <c r="F49" s="212">
        <v>0</v>
      </c>
      <c r="G49" s="205"/>
      <c r="H49" s="212">
        <v>0</v>
      </c>
      <c r="I49" s="205"/>
      <c r="J49" s="212">
        <v>0</v>
      </c>
    </row>
    <row r="50" spans="1:10" ht="16.2" thickBot="1">
      <c r="B50" s="269" t="s">
        <v>120</v>
      </c>
      <c r="C50" s="269"/>
      <c r="D50" s="21"/>
      <c r="E50" s="21"/>
      <c r="F50" s="212">
        <v>0</v>
      </c>
      <c r="G50" s="205"/>
      <c r="H50" s="212">
        <v>0</v>
      </c>
      <c r="I50" s="205"/>
      <c r="J50" s="212">
        <v>0</v>
      </c>
    </row>
    <row r="51" spans="1:10" s="47" customFormat="1" ht="21" thickBot="1">
      <c r="A51" s="281" t="s">
        <v>50</v>
      </c>
      <c r="B51" s="282"/>
      <c r="C51" s="282"/>
      <c r="D51" s="32"/>
      <c r="E51" s="32"/>
      <c r="F51" s="215">
        <f>SUM(F44:F50)</f>
        <v>0</v>
      </c>
      <c r="G51" s="207"/>
      <c r="H51" s="215">
        <f>SUM(H44:H50)</f>
        <v>0</v>
      </c>
      <c r="I51" s="207"/>
      <c r="J51" s="215">
        <f>SUM(J44:J50)</f>
        <v>0</v>
      </c>
    </row>
    <row r="52" spans="1:10" s="47" customFormat="1" ht="20.399999999999999">
      <c r="A52" s="267" t="s">
        <v>54</v>
      </c>
      <c r="B52" s="17"/>
      <c r="C52" s="284"/>
      <c r="D52" s="66"/>
      <c r="E52" s="67"/>
      <c r="F52" s="220" t="e">
        <f>F51+F41+F35</f>
        <v>#N/A</v>
      </c>
      <c r="G52" s="220"/>
      <c r="H52" s="220">
        <f>H51+H41+H35</f>
        <v>-36710</v>
      </c>
      <c r="I52" s="220"/>
      <c r="J52" s="220">
        <f>J51+J41+J35</f>
        <v>0</v>
      </c>
    </row>
    <row r="53" spans="1:10" s="47" customFormat="1" ht="21" thickBot="1">
      <c r="A53" s="267" t="s">
        <v>56</v>
      </c>
      <c r="B53" s="17"/>
      <c r="C53" s="284"/>
      <c r="D53" s="66"/>
      <c r="E53" s="67"/>
      <c r="F53" s="220"/>
      <c r="G53" s="220"/>
      <c r="H53" s="220"/>
      <c r="I53" s="220"/>
      <c r="J53" s="220"/>
    </row>
    <row r="54" spans="1:10" s="47" customFormat="1" ht="21" thickBot="1">
      <c r="A54" s="267" t="s">
        <v>55</v>
      </c>
      <c r="B54" s="17"/>
      <c r="C54" s="284"/>
      <c r="D54" s="66"/>
      <c r="E54" s="67"/>
      <c r="F54" s="221" t="e">
        <f>SUM(F52:F53)</f>
        <v>#N/A</v>
      </c>
      <c r="G54" s="220"/>
      <c r="H54" s="221">
        <f>SUM(H52:H53)</f>
        <v>-36710</v>
      </c>
      <c r="I54" s="220"/>
      <c r="J54" s="221">
        <f>SUM(J52:J53)</f>
        <v>0</v>
      </c>
    </row>
    <row r="55" spans="1:10" ht="14.4" thickTop="1">
      <c r="F55" s="51"/>
      <c r="H55" s="51"/>
      <c r="J55" s="51"/>
    </row>
  </sheetData>
  <mergeCells count="5">
    <mergeCell ref="A8:J8"/>
    <mergeCell ref="A9:B9"/>
    <mergeCell ref="A5:J5"/>
    <mergeCell ref="A6:J6"/>
    <mergeCell ref="A3:B3"/>
  </mergeCells>
  <printOptions horizontalCentered="1"/>
  <pageMargins left="0.7" right="0.64" top="0.25" bottom="0.25" header="0.25" footer="0.25"/>
  <pageSetup paperSize="9" scale="78" orientation="portrait" r:id="rId1"/>
  <headerFooter>
    <oddFooter>&amp;R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9"/>
  <sheetViews>
    <sheetView zoomScaleNormal="100" workbookViewId="0">
      <pane ySplit="2" topLeftCell="A3" activePane="bottomLeft" state="frozen"/>
      <selection activeCell="D21" sqref="D21"/>
      <selection pane="bottomLeft" activeCell="D6" sqref="D6"/>
    </sheetView>
  </sheetViews>
  <sheetFormatPr defaultColWidth="9.109375" defaultRowHeight="13.2"/>
  <cols>
    <col min="1" max="1" width="24.33203125" style="229" customWidth="1"/>
    <col min="2" max="2" width="25.33203125" style="229" customWidth="1"/>
    <col min="3" max="3" width="29" style="229" hidden="1" customWidth="1"/>
    <col min="4" max="4" width="15.6640625" style="418" customWidth="1"/>
    <col min="5" max="5" width="9.109375" style="229"/>
    <col min="6" max="6" width="11.21875" style="229" bestFit="1" customWidth="1"/>
    <col min="7" max="7" width="10.88671875" style="488" bestFit="1" customWidth="1"/>
    <col min="8" max="16384" width="9.109375" style="229"/>
  </cols>
  <sheetData>
    <row r="1" spans="2:7">
      <c r="C1" s="234"/>
      <c r="D1" s="234"/>
    </row>
    <row r="2" spans="2:7" s="235" customFormat="1">
      <c r="B2" s="235" t="s">
        <v>211</v>
      </c>
      <c r="C2" s="236" t="s">
        <v>134</v>
      </c>
      <c r="D2" s="236" t="s">
        <v>494</v>
      </c>
      <c r="G2" s="489"/>
    </row>
    <row r="3" spans="2:7">
      <c r="C3" s="231" t="s">
        <v>203</v>
      </c>
      <c r="D3" s="415"/>
    </row>
    <row r="4" spans="2:7">
      <c r="B4" s="229" t="s">
        <v>263</v>
      </c>
      <c r="C4" s="231" t="s">
        <v>317</v>
      </c>
      <c r="D4" s="415"/>
    </row>
    <row r="5" spans="2:7">
      <c r="B5" s="229" t="s">
        <v>261</v>
      </c>
      <c r="C5" s="231" t="s">
        <v>318</v>
      </c>
      <c r="D5" s="407">
        <v>41684.76</v>
      </c>
    </row>
    <row r="6" spans="2:7">
      <c r="B6" s="229" t="s">
        <v>320</v>
      </c>
      <c r="C6" s="231" t="s">
        <v>319</v>
      </c>
      <c r="D6" s="407">
        <v>0</v>
      </c>
    </row>
    <row r="7" spans="2:7">
      <c r="B7" s="229" t="s">
        <v>452</v>
      </c>
      <c r="C7" s="229" t="s">
        <v>452</v>
      </c>
      <c r="D7" s="407">
        <v>26295.79</v>
      </c>
    </row>
    <row r="8" spans="2:7">
      <c r="C8" s="231"/>
      <c r="D8" s="415"/>
    </row>
    <row r="9" spans="2:7" customFormat="1" ht="14.4">
      <c r="C9" s="232"/>
      <c r="D9" s="417"/>
      <c r="G9" s="490"/>
    </row>
    <row r="10" spans="2:7">
      <c r="C10" s="231" t="s">
        <v>204</v>
      </c>
      <c r="D10" s="415">
        <f>ROUND(SUBTOTAL(9, D3:D9), 5)</f>
        <v>67980.55</v>
      </c>
    </row>
    <row r="11" spans="2:7" customFormat="1" ht="14.4">
      <c r="C11" s="232"/>
      <c r="D11" s="417"/>
      <c r="G11" s="490"/>
    </row>
    <row r="12" spans="2:7">
      <c r="C12" s="230" t="s">
        <v>133</v>
      </c>
    </row>
    <row r="13" spans="2:7">
      <c r="B13" s="229" t="s">
        <v>321</v>
      </c>
      <c r="C13" s="231" t="s">
        <v>205</v>
      </c>
      <c r="D13" s="407">
        <f>38096.35+256</f>
        <v>38352.35</v>
      </c>
    </row>
    <row r="14" spans="2:7">
      <c r="C14" s="231"/>
      <c r="D14" s="415"/>
    </row>
    <row r="15" spans="2:7">
      <c r="C15" s="231"/>
      <c r="D15" s="415"/>
    </row>
    <row r="16" spans="2:7">
      <c r="C16" s="231"/>
      <c r="D16" s="415"/>
    </row>
    <row r="17" spans="1:7" customFormat="1" ht="14.4">
      <c r="C17" s="232"/>
      <c r="D17" s="417"/>
      <c r="G17" s="490"/>
    </row>
    <row r="18" spans="1:7" ht="14.4">
      <c r="C18" s="231" t="s">
        <v>206</v>
      </c>
      <c r="D18" s="417">
        <f>D13</f>
        <v>38352.35</v>
      </c>
    </row>
    <row r="19" spans="1:7" customFormat="1" ht="14.4">
      <c r="C19" s="232"/>
      <c r="D19" s="417"/>
      <c r="G19" s="490"/>
    </row>
    <row r="20" spans="1:7">
      <c r="C20" s="231" t="s">
        <v>207</v>
      </c>
      <c r="D20" s="415">
        <f>-(ROUND(-D10+D18, 5))</f>
        <v>29628.2</v>
      </c>
    </row>
    <row r="21" spans="1:7" customFormat="1" ht="14.4">
      <c r="C21" s="232"/>
      <c r="D21" s="417"/>
      <c r="G21" s="490"/>
    </row>
    <row r="22" spans="1:7" ht="15.6">
      <c r="C22" s="336" t="s">
        <v>268</v>
      </c>
    </row>
    <row r="23" spans="1:7">
      <c r="A23" s="229" t="s">
        <v>346</v>
      </c>
      <c r="B23" s="335" t="s">
        <v>266</v>
      </c>
      <c r="C23" s="334" t="s">
        <v>266</v>
      </c>
      <c r="D23" s="407">
        <v>21100</v>
      </c>
      <c r="F23" s="485"/>
    </row>
    <row r="24" spans="1:7">
      <c r="A24" s="229" t="s">
        <v>338</v>
      </c>
      <c r="B24" s="335" t="s">
        <v>325</v>
      </c>
      <c r="C24" s="334" t="s">
        <v>325</v>
      </c>
      <c r="D24" s="407">
        <v>22500</v>
      </c>
      <c r="F24" s="485"/>
    </row>
    <row r="25" spans="1:7">
      <c r="A25" s="229" t="s">
        <v>339</v>
      </c>
      <c r="B25" s="335" t="s">
        <v>326</v>
      </c>
      <c r="C25" s="334" t="s">
        <v>326</v>
      </c>
      <c r="D25" s="422"/>
      <c r="F25" s="485"/>
    </row>
    <row r="26" spans="1:7">
      <c r="A26" s="229" t="s">
        <v>340</v>
      </c>
      <c r="B26" s="335" t="s">
        <v>326</v>
      </c>
      <c r="C26" s="334" t="s">
        <v>326</v>
      </c>
      <c r="D26" s="422"/>
      <c r="F26" s="485"/>
    </row>
    <row r="27" spans="1:7">
      <c r="A27" s="229" t="s">
        <v>354</v>
      </c>
      <c r="B27" s="335" t="s">
        <v>322</v>
      </c>
      <c r="C27" s="334" t="s">
        <v>322</v>
      </c>
      <c r="D27" s="407">
        <v>6950</v>
      </c>
      <c r="F27" s="485"/>
    </row>
    <row r="28" spans="1:7">
      <c r="A28" s="229" t="s">
        <v>334</v>
      </c>
      <c r="B28" s="335" t="s">
        <v>323</v>
      </c>
      <c r="C28" s="334" t="s">
        <v>323</v>
      </c>
      <c r="D28" s="407">
        <v>7143</v>
      </c>
      <c r="F28" s="485"/>
    </row>
    <row r="29" spans="1:7">
      <c r="A29" s="229" t="s">
        <v>333</v>
      </c>
      <c r="B29" s="335" t="s">
        <v>324</v>
      </c>
      <c r="C29" s="334" t="s">
        <v>324</v>
      </c>
      <c r="D29" s="491">
        <v>1100</v>
      </c>
      <c r="F29" s="486"/>
    </row>
    <row r="30" spans="1:7" ht="15.6">
      <c r="C30" s="336" t="s">
        <v>103</v>
      </c>
      <c r="D30" s="415"/>
      <c r="F30" s="487"/>
    </row>
    <row r="31" spans="1:7">
      <c r="A31" s="229" t="s">
        <v>346</v>
      </c>
      <c r="B31" s="338" t="s">
        <v>269</v>
      </c>
      <c r="C31" s="337" t="s">
        <v>269</v>
      </c>
      <c r="D31" s="407">
        <v>14100</v>
      </c>
      <c r="F31" s="485"/>
    </row>
    <row r="32" spans="1:7">
      <c r="A32" s="229" t="s">
        <v>350</v>
      </c>
      <c r="B32" s="338" t="s">
        <v>270</v>
      </c>
      <c r="C32" s="337" t="s">
        <v>270</v>
      </c>
      <c r="D32" s="422"/>
      <c r="F32" s="485"/>
    </row>
    <row r="33" spans="1:6">
      <c r="A33" s="229" t="s">
        <v>344</v>
      </c>
      <c r="B33" s="338" t="s">
        <v>271</v>
      </c>
      <c r="C33" s="337" t="s">
        <v>271</v>
      </c>
      <c r="D33" s="491">
        <v>1200</v>
      </c>
      <c r="F33" s="486"/>
    </row>
    <row r="34" spans="1:6">
      <c r="A34" s="229" t="s">
        <v>341</v>
      </c>
      <c r="B34" s="338" t="s">
        <v>272</v>
      </c>
      <c r="C34" s="337" t="s">
        <v>272</v>
      </c>
      <c r="D34" s="415"/>
      <c r="F34" s="487"/>
    </row>
    <row r="35" spans="1:6">
      <c r="A35" s="229" t="s">
        <v>349</v>
      </c>
      <c r="B35" s="338" t="s">
        <v>273</v>
      </c>
      <c r="C35" s="337" t="s">
        <v>273</v>
      </c>
      <c r="D35" s="422"/>
      <c r="F35" s="485"/>
    </row>
    <row r="36" spans="1:6">
      <c r="A36" s="229" t="s">
        <v>351</v>
      </c>
      <c r="B36" s="338" t="s">
        <v>274</v>
      </c>
      <c r="C36" s="337" t="s">
        <v>274</v>
      </c>
      <c r="D36" s="422"/>
      <c r="F36" s="485"/>
    </row>
    <row r="37" spans="1:6">
      <c r="A37" s="229" t="s">
        <v>342</v>
      </c>
      <c r="B37" s="338" t="s">
        <v>281</v>
      </c>
      <c r="C37" s="337" t="s">
        <v>281</v>
      </c>
      <c r="D37" s="422"/>
      <c r="F37" s="485"/>
    </row>
    <row r="38" spans="1:6">
      <c r="A38" s="229" t="s">
        <v>491</v>
      </c>
      <c r="B38" s="338" t="s">
        <v>490</v>
      </c>
      <c r="C38" s="337"/>
      <c r="D38" s="422">
        <v>200</v>
      </c>
      <c r="F38" s="485"/>
    </row>
    <row r="39" spans="1:6">
      <c r="A39" s="229" t="s">
        <v>343</v>
      </c>
      <c r="B39" s="338" t="s">
        <v>282</v>
      </c>
      <c r="C39" s="337" t="s">
        <v>282</v>
      </c>
      <c r="D39" s="422"/>
      <c r="F39" s="485"/>
    </row>
    <row r="40" spans="1:6">
      <c r="A40" s="229" t="s">
        <v>345</v>
      </c>
      <c r="B40" s="338" t="s">
        <v>434</v>
      </c>
      <c r="C40" s="338" t="s">
        <v>434</v>
      </c>
      <c r="D40" s="407">
        <v>3795</v>
      </c>
      <c r="F40" s="485"/>
    </row>
    <row r="41" spans="1:6">
      <c r="A41" s="229" t="s">
        <v>329</v>
      </c>
      <c r="B41" s="338" t="s">
        <v>433</v>
      </c>
      <c r="C41" s="338" t="s">
        <v>433</v>
      </c>
      <c r="D41" s="407">
        <v>2360.15</v>
      </c>
      <c r="F41" s="485"/>
    </row>
    <row r="42" spans="1:6">
      <c r="A42" s="229" t="s">
        <v>432</v>
      </c>
      <c r="B42" s="338" t="s">
        <v>433</v>
      </c>
      <c r="C42" s="338" t="s">
        <v>433</v>
      </c>
      <c r="D42" s="407">
        <v>1629</v>
      </c>
      <c r="F42" s="485"/>
    </row>
    <row r="43" spans="1:6">
      <c r="A43" s="229" t="s">
        <v>355</v>
      </c>
      <c r="B43" s="338" t="s">
        <v>275</v>
      </c>
      <c r="C43" s="337" t="s">
        <v>275</v>
      </c>
      <c r="D43" s="407">
        <v>3267.14</v>
      </c>
      <c r="F43" s="485"/>
    </row>
    <row r="44" spans="1:6">
      <c r="A44" s="229" t="s">
        <v>335</v>
      </c>
      <c r="B44" s="338" t="s">
        <v>276</v>
      </c>
      <c r="C44" s="337" t="s">
        <v>276</v>
      </c>
      <c r="D44" s="415"/>
      <c r="F44" s="487"/>
    </row>
    <row r="45" spans="1:6">
      <c r="A45" s="229" t="s">
        <v>352</v>
      </c>
      <c r="B45" s="338" t="s">
        <v>276</v>
      </c>
      <c r="C45" s="337" t="s">
        <v>276</v>
      </c>
      <c r="D45" s="422">
        <v>6000</v>
      </c>
      <c r="F45" s="485"/>
    </row>
    <row r="46" spans="1:6">
      <c r="A46" s="229" t="s">
        <v>328</v>
      </c>
      <c r="B46" s="338" t="s">
        <v>277</v>
      </c>
      <c r="C46" s="337" t="s">
        <v>277</v>
      </c>
      <c r="D46" s="422"/>
      <c r="F46" s="485"/>
    </row>
    <row r="47" spans="1:6">
      <c r="A47" s="229" t="s">
        <v>347</v>
      </c>
      <c r="B47" s="338" t="s">
        <v>278</v>
      </c>
      <c r="C47" s="337" t="s">
        <v>278</v>
      </c>
      <c r="D47" s="407">
        <v>1078</v>
      </c>
      <c r="F47" s="485"/>
    </row>
    <row r="48" spans="1:6">
      <c r="A48" s="229" t="s">
        <v>348</v>
      </c>
      <c r="B48" s="338" t="s">
        <v>279</v>
      </c>
      <c r="C48" s="337" t="s">
        <v>279</v>
      </c>
      <c r="D48" s="416"/>
      <c r="F48" s="486"/>
    </row>
    <row r="49" spans="1:6">
      <c r="A49" s="229" t="s">
        <v>331</v>
      </c>
      <c r="B49" s="338" t="s">
        <v>283</v>
      </c>
      <c r="C49" s="337" t="s">
        <v>283</v>
      </c>
      <c r="D49" s="407">
        <v>1784</v>
      </c>
      <c r="F49" s="485"/>
    </row>
    <row r="50" spans="1:6">
      <c r="A50" s="229" t="s">
        <v>332</v>
      </c>
      <c r="B50" s="338" t="s">
        <v>284</v>
      </c>
      <c r="C50" s="337" t="s">
        <v>284</v>
      </c>
      <c r="D50" s="491">
        <v>1559.73</v>
      </c>
      <c r="F50" s="486"/>
    </row>
    <row r="51" spans="1:6">
      <c r="A51" s="229" t="s">
        <v>337</v>
      </c>
      <c r="B51" s="338" t="s">
        <v>285</v>
      </c>
      <c r="C51" s="337" t="s">
        <v>285</v>
      </c>
      <c r="D51" s="491">
        <v>5000</v>
      </c>
      <c r="F51" s="485"/>
    </row>
    <row r="52" spans="1:6">
      <c r="A52" s="229" t="s">
        <v>446</v>
      </c>
      <c r="B52" s="378" t="s">
        <v>445</v>
      </c>
      <c r="C52" s="378" t="s">
        <v>445</v>
      </c>
      <c r="D52" s="415"/>
      <c r="F52" s="487"/>
    </row>
    <row r="53" spans="1:6">
      <c r="B53" s="338" t="s">
        <v>280</v>
      </c>
      <c r="C53" s="337" t="s">
        <v>280</v>
      </c>
      <c r="D53" s="415"/>
      <c r="F53" s="487"/>
    </row>
    <row r="54" spans="1:6">
      <c r="A54" s="229" t="s">
        <v>474</v>
      </c>
      <c r="B54" s="338" t="s">
        <v>472</v>
      </c>
      <c r="C54" s="338" t="s">
        <v>473</v>
      </c>
      <c r="D54" s="407"/>
      <c r="F54" s="485"/>
    </row>
    <row r="55" spans="1:6">
      <c r="A55" s="229" t="s">
        <v>356</v>
      </c>
      <c r="B55" s="338" t="s">
        <v>286</v>
      </c>
      <c r="C55" s="337" t="s">
        <v>286</v>
      </c>
      <c r="D55" s="407">
        <v>2000</v>
      </c>
      <c r="F55" s="485"/>
    </row>
    <row r="56" spans="1:6">
      <c r="A56" s="229" t="s">
        <v>353</v>
      </c>
      <c r="B56" s="338" t="s">
        <v>287</v>
      </c>
      <c r="C56" s="337" t="s">
        <v>287</v>
      </c>
      <c r="D56" s="407"/>
      <c r="F56" s="485"/>
    </row>
    <row r="57" spans="1:6">
      <c r="A57" s="229" t="s">
        <v>330</v>
      </c>
      <c r="B57" s="339" t="s">
        <v>289</v>
      </c>
      <c r="C57" s="340"/>
      <c r="D57" s="407">
        <v>175.35</v>
      </c>
      <c r="F57" s="485"/>
    </row>
    <row r="58" spans="1:6">
      <c r="A58" s="229" t="s">
        <v>327</v>
      </c>
      <c r="B58" s="339" t="s">
        <v>290</v>
      </c>
      <c r="C58" s="340"/>
      <c r="D58" s="407">
        <v>63</v>
      </c>
      <c r="F58" s="485"/>
    </row>
    <row r="59" spans="1:6">
      <c r="A59" s="229" t="s">
        <v>336</v>
      </c>
      <c r="B59" s="339" t="s">
        <v>291</v>
      </c>
      <c r="C59" s="340"/>
      <c r="D59" s="415"/>
      <c r="F59" s="487"/>
    </row>
    <row r="60" spans="1:6">
      <c r="A60" s="229" t="s">
        <v>453</v>
      </c>
      <c r="B60" s="339" t="s">
        <v>455</v>
      </c>
      <c r="C60" s="340" t="s">
        <v>455</v>
      </c>
      <c r="D60" s="422"/>
      <c r="F60" s="485"/>
    </row>
    <row r="61" spans="1:6">
      <c r="A61" s="229" t="s">
        <v>439</v>
      </c>
      <c r="B61" s="339" t="s">
        <v>292</v>
      </c>
      <c r="C61" s="340"/>
      <c r="D61" s="416"/>
      <c r="F61" s="486"/>
    </row>
    <row r="62" spans="1:6">
      <c r="A62" s="229" t="s">
        <v>475</v>
      </c>
      <c r="B62" s="339"/>
      <c r="C62" s="340"/>
      <c r="D62" s="416"/>
      <c r="F62" s="486"/>
    </row>
    <row r="63" spans="1:6">
      <c r="A63" s="229" t="s">
        <v>435</v>
      </c>
      <c r="B63" s="229" t="s">
        <v>435</v>
      </c>
      <c r="C63" s="231" t="s">
        <v>435</v>
      </c>
      <c r="D63" s="392"/>
      <c r="F63" s="486"/>
    </row>
    <row r="64" spans="1:6">
      <c r="C64" s="231"/>
      <c r="D64" s="415"/>
      <c r="F64" s="487"/>
    </row>
    <row r="65" spans="1:7" customFormat="1" ht="14.4">
      <c r="C65" s="232"/>
      <c r="D65" s="417"/>
      <c r="F65" s="394"/>
      <c r="G65" s="488"/>
    </row>
    <row r="66" spans="1:7">
      <c r="C66" s="231" t="s">
        <v>208</v>
      </c>
      <c r="D66" s="415">
        <f>ROUND(SUBTOTAL(9, D23:D65), 5)</f>
        <v>103004.37</v>
      </c>
      <c r="F66" s="487"/>
    </row>
    <row r="67" spans="1:7" customFormat="1" ht="14.4">
      <c r="A67" t="s">
        <v>171</v>
      </c>
      <c r="B67" t="s">
        <v>293</v>
      </c>
      <c r="C67" t="s">
        <v>476</v>
      </c>
      <c r="D67" s="417"/>
      <c r="G67" s="490"/>
    </row>
    <row r="68" spans="1:7" ht="13.8" thickBot="1">
      <c r="C68" s="231" t="s">
        <v>209</v>
      </c>
      <c r="D68" s="415">
        <f>-(ROUND(-D20+D66, 5))+D67</f>
        <v>-73376.17</v>
      </c>
    </row>
    <row r="69" spans="1:7" customFormat="1" ht="15.6" thickTop="1" thickBot="1">
      <c r="C69" s="233"/>
      <c r="D69" s="419"/>
      <c r="G69" s="490"/>
    </row>
  </sheetData>
  <pageMargins left="0.7" right="0.7" top="0.75" bottom="0.65277777777777779" header="0.3" footer="0.3"/>
  <pageSetup paperSize="9" orientation="landscape" r:id="rId1"/>
  <headerFooter>
    <oddFooter>&amp;L&amp;10&amp;"Times New Roman"&amp;D at &amp;T&amp;R&amp;10&amp;"Times New Roman"Page: &amp;P&amp;C&amp;10&amp;"Times New Roman"For Management Purposes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97"/>
  <sheetViews>
    <sheetView workbookViewId="0">
      <selection activeCell="E65" sqref="E65"/>
    </sheetView>
  </sheetViews>
  <sheetFormatPr defaultRowHeight="14.4"/>
  <cols>
    <col min="1" max="1" width="45.5546875" customWidth="1"/>
    <col min="2" max="2" width="21.44140625" customWidth="1"/>
    <col min="3" max="3" width="24.33203125" bestFit="1" customWidth="1"/>
  </cols>
  <sheetData>
    <row r="1" spans="1:2" ht="17.399999999999999">
      <c r="A1" s="483" t="s">
        <v>357</v>
      </c>
      <c r="B1" s="482"/>
    </row>
    <row r="2" spans="1:2" ht="17.399999999999999">
      <c r="A2" s="483" t="s">
        <v>210</v>
      </c>
      <c r="B2" s="482"/>
    </row>
    <row r="3" spans="1:2">
      <c r="A3" s="484" t="s">
        <v>492</v>
      </c>
      <c r="B3" s="482"/>
    </row>
    <row r="5" spans="1:2">
      <c r="A5" s="341"/>
      <c r="B5" s="408" t="s">
        <v>358</v>
      </c>
    </row>
    <row r="6" spans="1:2">
      <c r="A6" s="342" t="s">
        <v>359</v>
      </c>
      <c r="B6" s="409"/>
    </row>
    <row r="7" spans="1:2">
      <c r="A7" s="342" t="s">
        <v>360</v>
      </c>
      <c r="B7" s="409"/>
    </row>
    <row r="8" spans="1:2">
      <c r="A8" s="342" t="s">
        <v>361</v>
      </c>
      <c r="B8" s="409"/>
    </row>
    <row r="9" spans="1:2">
      <c r="A9" s="345" t="s">
        <v>362</v>
      </c>
      <c r="B9" s="393">
        <v>27243.279999999999</v>
      </c>
    </row>
    <row r="10" spans="1:2">
      <c r="A10" s="342" t="s">
        <v>363</v>
      </c>
      <c r="B10" s="411">
        <f>B9</f>
        <v>27243.279999999999</v>
      </c>
    </row>
    <row r="11" spans="1:2">
      <c r="A11" s="344" t="s">
        <v>364</v>
      </c>
      <c r="B11" s="398">
        <v>0</v>
      </c>
    </row>
    <row r="12" spans="1:2">
      <c r="A12" s="344" t="s">
        <v>295</v>
      </c>
      <c r="B12" s="391">
        <v>2948.1</v>
      </c>
    </row>
    <row r="13" spans="1:2">
      <c r="A13" s="344" t="s">
        <v>296</v>
      </c>
      <c r="B13" s="391">
        <v>-62.1</v>
      </c>
    </row>
    <row r="14" spans="1:2">
      <c r="A14" s="344" t="s">
        <v>297</v>
      </c>
      <c r="B14" s="391">
        <v>6684.34</v>
      </c>
    </row>
    <row r="15" spans="1:2">
      <c r="A15" s="344" t="s">
        <v>298</v>
      </c>
      <c r="B15" s="391">
        <v>109206.5</v>
      </c>
    </row>
    <row r="16" spans="1:2">
      <c r="A16" s="344" t="s">
        <v>299</v>
      </c>
      <c r="B16" s="391">
        <v>49326</v>
      </c>
    </row>
    <row r="17" spans="1:2">
      <c r="A17" s="344" t="s">
        <v>300</v>
      </c>
      <c r="B17" s="391">
        <v>1645.4</v>
      </c>
    </row>
    <row r="18" spans="1:2">
      <c r="A18" s="344" t="s">
        <v>301</v>
      </c>
      <c r="B18" s="391">
        <v>86361.36</v>
      </c>
    </row>
    <row r="19" spans="1:2">
      <c r="A19" s="344" t="s">
        <v>365</v>
      </c>
      <c r="B19" s="398">
        <v>0</v>
      </c>
    </row>
    <row r="20" spans="1:2">
      <c r="A20" s="342" t="s">
        <v>366</v>
      </c>
      <c r="B20" s="398">
        <v>0</v>
      </c>
    </row>
    <row r="21" spans="1:2">
      <c r="A21" s="343" t="s">
        <v>367</v>
      </c>
      <c r="B21" s="398">
        <v>0</v>
      </c>
    </row>
    <row r="22" spans="1:2">
      <c r="A22" s="343" t="s">
        <v>368</v>
      </c>
      <c r="B22" s="391">
        <v>6918.23</v>
      </c>
    </row>
    <row r="23" spans="1:2">
      <c r="A23" s="343" t="s">
        <v>369</v>
      </c>
      <c r="B23" s="398">
        <v>0</v>
      </c>
    </row>
    <row r="24" spans="1:2">
      <c r="A24" s="343" t="s">
        <v>370</v>
      </c>
      <c r="B24" s="398">
        <v>0</v>
      </c>
    </row>
    <row r="25" spans="1:2">
      <c r="A25" s="343" t="s">
        <v>371</v>
      </c>
      <c r="B25" s="391">
        <v>4876.71</v>
      </c>
    </row>
    <row r="26" spans="1:2">
      <c r="A26" s="343" t="s">
        <v>372</v>
      </c>
      <c r="B26" s="391">
        <v>7910.95</v>
      </c>
    </row>
    <row r="27" spans="1:2">
      <c r="A27" s="343" t="s">
        <v>373</v>
      </c>
      <c r="B27" s="398">
        <v>0</v>
      </c>
    </row>
    <row r="28" spans="1:2">
      <c r="A28" s="343" t="s">
        <v>374</v>
      </c>
      <c r="B28" s="391">
        <v>-5390.25</v>
      </c>
    </row>
    <row r="29" spans="1:2">
      <c r="A29" s="343" t="s">
        <v>375</v>
      </c>
      <c r="B29" s="391">
        <v>48972.05</v>
      </c>
    </row>
    <row r="30" spans="1:2">
      <c r="A30" s="343" t="s">
        <v>376</v>
      </c>
      <c r="B30" s="391">
        <v>2970.98</v>
      </c>
    </row>
    <row r="31" spans="1:2">
      <c r="A31" s="343" t="s">
        <v>377</v>
      </c>
      <c r="B31" s="398">
        <v>0</v>
      </c>
    </row>
    <row r="32" spans="1:2">
      <c r="A32" s="343" t="s">
        <v>378</v>
      </c>
      <c r="B32" s="398">
        <v>0</v>
      </c>
    </row>
    <row r="33" spans="1:4">
      <c r="A33" s="343" t="s">
        <v>379</v>
      </c>
      <c r="B33" s="398">
        <v>0</v>
      </c>
    </row>
    <row r="34" spans="1:4">
      <c r="A34" s="343" t="s">
        <v>380</v>
      </c>
      <c r="B34" s="398">
        <v>0</v>
      </c>
      <c r="C34" t="s">
        <v>440</v>
      </c>
    </row>
    <row r="35" spans="1:4">
      <c r="A35" s="346" t="s">
        <v>426</v>
      </c>
      <c r="B35" s="412">
        <f>SUM(B21:B34)</f>
        <v>66258.67</v>
      </c>
    </row>
    <row r="36" spans="1:4">
      <c r="A36" s="347" t="s">
        <v>381</v>
      </c>
      <c r="B36" s="391">
        <v>2460</v>
      </c>
    </row>
    <row r="37" spans="1:4">
      <c r="A37" s="347" t="s">
        <v>382</v>
      </c>
      <c r="B37" s="398">
        <v>0</v>
      </c>
    </row>
    <row r="38" spans="1:4">
      <c r="A38" s="347" t="s">
        <v>383</v>
      </c>
      <c r="B38" s="398">
        <v>1750</v>
      </c>
    </row>
    <row r="39" spans="1:4">
      <c r="A39" s="347" t="s">
        <v>384</v>
      </c>
      <c r="B39" s="398">
        <v>3000</v>
      </c>
    </row>
    <row r="40" spans="1:4">
      <c r="A40" s="347" t="s">
        <v>385</v>
      </c>
      <c r="B40" s="398">
        <v>4500</v>
      </c>
    </row>
    <row r="41" spans="1:4">
      <c r="A41" s="347" t="s">
        <v>386</v>
      </c>
      <c r="B41" s="398">
        <v>25000</v>
      </c>
    </row>
    <row r="42" spans="1:4">
      <c r="A42" s="348" t="s">
        <v>427</v>
      </c>
      <c r="B42" s="412">
        <f>SUM(B36:B41)</f>
        <v>36710</v>
      </c>
    </row>
    <row r="43" spans="1:4">
      <c r="A43" s="342" t="s">
        <v>387</v>
      </c>
      <c r="B43" s="413">
        <f>((((((((((((((((((((((((((((((B10)+(B11))+(B12))+(B13))+(B14))+(B15))+(B16))+(B17))+(B18))+(B19))+(B20))+(B21))+(B22))+(B23))+(B24))+(B25))+(B26))+(B27))+(B28))+(B29))+(B30))+(B31))+(B32))+(B33))+(B34))+(B36))+(B37))+(B38))+(B39))+(B40))+(B41)</f>
        <v>386321.55</v>
      </c>
      <c r="C43" s="399"/>
      <c r="D43" s="394"/>
    </row>
    <row r="44" spans="1:4">
      <c r="A44" s="349" t="s">
        <v>388</v>
      </c>
      <c r="B44" s="409"/>
    </row>
    <row r="45" spans="1:4">
      <c r="A45" s="374" t="s">
        <v>436</v>
      </c>
      <c r="B45" s="391">
        <v>-20900</v>
      </c>
    </row>
    <row r="46" spans="1:4">
      <c r="A46" s="349" t="s">
        <v>389</v>
      </c>
      <c r="B46" s="410">
        <v>-20787.5</v>
      </c>
    </row>
    <row r="47" spans="1:4">
      <c r="A47" s="349" t="s">
        <v>390</v>
      </c>
      <c r="B47" s="398">
        <v>0</v>
      </c>
    </row>
    <row r="48" spans="1:4">
      <c r="A48" s="349" t="s">
        <v>391</v>
      </c>
      <c r="B48" s="410">
        <v>-4449.03</v>
      </c>
    </row>
    <row r="49" spans="1:3">
      <c r="A49" s="349" t="s">
        <v>392</v>
      </c>
      <c r="B49" s="410">
        <v>-8880</v>
      </c>
    </row>
    <row r="50" spans="1:3">
      <c r="A50" s="349" t="s">
        <v>393</v>
      </c>
      <c r="B50" s="410">
        <v>-224609.72</v>
      </c>
    </row>
    <row r="51" spans="1:3">
      <c r="A51" s="374" t="s">
        <v>437</v>
      </c>
      <c r="B51" s="391">
        <v>109610</v>
      </c>
    </row>
    <row r="52" spans="1:3">
      <c r="A52" s="349" t="s">
        <v>394</v>
      </c>
      <c r="B52" s="410">
        <v>48050</v>
      </c>
    </row>
    <row r="53" spans="1:3">
      <c r="A53" s="349" t="s">
        <v>395</v>
      </c>
      <c r="B53" s="410">
        <v>-5050</v>
      </c>
    </row>
    <row r="54" spans="1:3">
      <c r="A54" s="349" t="s">
        <v>396</v>
      </c>
      <c r="B54" s="410">
        <v>14437.8</v>
      </c>
    </row>
    <row r="55" spans="1:3">
      <c r="A55" s="349" t="s">
        <v>397</v>
      </c>
      <c r="B55" s="410">
        <v>14800</v>
      </c>
    </row>
    <row r="56" spans="1:3">
      <c r="A56" s="349" t="s">
        <v>398</v>
      </c>
      <c r="B56" s="410">
        <v>720049</v>
      </c>
    </row>
    <row r="57" spans="1:3">
      <c r="A57" s="349" t="s">
        <v>399</v>
      </c>
      <c r="B57" s="410">
        <v>0</v>
      </c>
    </row>
    <row r="58" spans="1:3">
      <c r="A58" s="350" t="s">
        <v>400</v>
      </c>
      <c r="B58" s="414">
        <f>((((((((((B46)+(B47))+(B48))+(B49))+(B50))+(B52))+(B53))+(B54))+(B55))+(B56))+(B57)+B45+B51</f>
        <v>622270.55000000005</v>
      </c>
    </row>
    <row r="59" spans="1:3">
      <c r="A59" s="342" t="s">
        <v>34</v>
      </c>
      <c r="B59" s="413">
        <f>(B43)+(B58)</f>
        <v>1008592.1000000001</v>
      </c>
      <c r="C59" s="394">
        <f>B59-'[55]Balance Sheet'!$B$57</f>
        <v>1008592.1000000001</v>
      </c>
    </row>
    <row r="60" spans="1:3">
      <c r="A60" s="342" t="s">
        <v>401</v>
      </c>
      <c r="B60" s="409"/>
    </row>
    <row r="61" spans="1:3">
      <c r="A61" s="342" t="s">
        <v>402</v>
      </c>
      <c r="B61" s="409"/>
    </row>
    <row r="62" spans="1:3">
      <c r="A62" s="342" t="s">
        <v>403</v>
      </c>
      <c r="B62" s="409"/>
    </row>
    <row r="63" spans="1:3">
      <c r="A63" s="342" t="s">
        <v>404</v>
      </c>
      <c r="B63" s="391">
        <v>488234.51</v>
      </c>
      <c r="C63" s="351" t="s">
        <v>404</v>
      </c>
    </row>
    <row r="64" spans="1:3">
      <c r="A64" s="342" t="s">
        <v>405</v>
      </c>
      <c r="B64" s="411">
        <v>488234.51</v>
      </c>
    </row>
    <row r="65" spans="1:3">
      <c r="A65" s="342" t="s">
        <v>406</v>
      </c>
      <c r="B65" s="410">
        <v>-672084</v>
      </c>
      <c r="C65" t="s">
        <v>311</v>
      </c>
    </row>
    <row r="66" spans="1:3">
      <c r="A66" s="342" t="s">
        <v>407</v>
      </c>
      <c r="B66" s="391">
        <v>-203363.23</v>
      </c>
      <c r="C66" t="s">
        <v>316</v>
      </c>
    </row>
    <row r="67" spans="1:3">
      <c r="A67" s="342" t="s">
        <v>408</v>
      </c>
      <c r="B67" s="398">
        <v>0</v>
      </c>
    </row>
    <row r="68" spans="1:3">
      <c r="A68" s="342" t="s">
        <v>312</v>
      </c>
      <c r="B68" s="398">
        <v>100000</v>
      </c>
      <c r="C68" t="s">
        <v>312</v>
      </c>
    </row>
    <row r="69" spans="1:3">
      <c r="A69" s="342" t="s">
        <v>313</v>
      </c>
      <c r="B69" s="391">
        <v>649786</v>
      </c>
      <c r="C69" t="s">
        <v>313</v>
      </c>
    </row>
    <row r="70" spans="1:3">
      <c r="A70" s="342" t="s">
        <v>311</v>
      </c>
      <c r="B70" s="391">
        <v>1723414</v>
      </c>
      <c r="C70" t="s">
        <v>311</v>
      </c>
    </row>
    <row r="71" spans="1:3">
      <c r="A71" s="342" t="s">
        <v>409</v>
      </c>
      <c r="B71" s="398">
        <v>-298121.52</v>
      </c>
      <c r="C71" t="s">
        <v>311</v>
      </c>
    </row>
    <row r="72" spans="1:3">
      <c r="A72" s="342" t="s">
        <v>410</v>
      </c>
      <c r="B72" s="398">
        <v>0</v>
      </c>
    </row>
    <row r="73" spans="1:3">
      <c r="A73" s="342" t="s">
        <v>411</v>
      </c>
      <c r="B73" s="398">
        <v>-12384.83</v>
      </c>
      <c r="C73" t="s">
        <v>316</v>
      </c>
    </row>
    <row r="74" spans="1:3">
      <c r="A74" s="342" t="s">
        <v>314</v>
      </c>
      <c r="B74" s="391">
        <v>39200</v>
      </c>
      <c r="C74" t="s">
        <v>314</v>
      </c>
    </row>
    <row r="75" spans="1:3">
      <c r="A75" s="342" t="s">
        <v>412</v>
      </c>
      <c r="B75" s="398">
        <v>32482.639999999999</v>
      </c>
      <c r="C75" t="s">
        <v>316</v>
      </c>
    </row>
    <row r="76" spans="1:3">
      <c r="A76" s="342" t="s">
        <v>315</v>
      </c>
      <c r="B76" s="391">
        <v>-7500</v>
      </c>
      <c r="C76" t="s">
        <v>315</v>
      </c>
    </row>
    <row r="77" spans="1:3">
      <c r="A77" s="342" t="s">
        <v>413</v>
      </c>
      <c r="B77" s="398">
        <v>0</v>
      </c>
    </row>
    <row r="78" spans="1:3">
      <c r="A78" s="342" t="s">
        <v>414</v>
      </c>
      <c r="B78" s="391">
        <v>41040</v>
      </c>
      <c r="C78" s="423" t="s">
        <v>316</v>
      </c>
    </row>
    <row r="79" spans="1:3">
      <c r="A79" s="342" t="s">
        <v>415</v>
      </c>
      <c r="B79" s="391">
        <v>5876.28</v>
      </c>
      <c r="C79" s="423" t="s">
        <v>316</v>
      </c>
    </row>
    <row r="80" spans="1:3">
      <c r="A80" s="342" t="s">
        <v>416</v>
      </c>
      <c r="B80" s="398">
        <v>0</v>
      </c>
    </row>
    <row r="81" spans="1:3">
      <c r="A81" s="342" t="s">
        <v>417</v>
      </c>
      <c r="B81" s="411">
        <f>((((((((((((((((B64)+(B65))+(B66))+(B67))+(B68))+(B69))+(B70))+(B71))+(B72))+(B73))+(B74))+(B75))+(B76))+(B77))+(B78))+(B79))+(B80)</f>
        <v>1886579.8499999999</v>
      </c>
    </row>
    <row r="82" spans="1:3">
      <c r="A82" s="342" t="s">
        <v>418</v>
      </c>
      <c r="B82" s="409"/>
    </row>
    <row r="83" spans="1:3">
      <c r="A83" s="342" t="s">
        <v>419</v>
      </c>
      <c r="B83" s="420">
        <v>0</v>
      </c>
    </row>
    <row r="84" spans="1:3">
      <c r="A84" s="342" t="s">
        <v>420</v>
      </c>
      <c r="B84" s="398">
        <v>0</v>
      </c>
    </row>
    <row r="85" spans="1:3">
      <c r="A85" s="342" t="s">
        <v>421</v>
      </c>
      <c r="B85" s="411">
        <f>(B83)+(B84)</f>
        <v>0</v>
      </c>
    </row>
    <row r="86" spans="1:3">
      <c r="A86" s="342" t="s">
        <v>422</v>
      </c>
      <c r="B86" s="409"/>
    </row>
    <row r="87" spans="1:3">
      <c r="A87" s="342" t="s">
        <v>305</v>
      </c>
      <c r="B87" s="391">
        <v>-408700.65</v>
      </c>
      <c r="C87" t="s">
        <v>305</v>
      </c>
    </row>
    <row r="88" spans="1:3">
      <c r="A88" s="342" t="s">
        <v>306</v>
      </c>
      <c r="B88" s="420">
        <v>267396.82</v>
      </c>
      <c r="C88" t="s">
        <v>306</v>
      </c>
    </row>
    <row r="89" spans="1:3">
      <c r="A89" s="342" t="s">
        <v>307</v>
      </c>
      <c r="B89" s="420">
        <v>352723.59</v>
      </c>
      <c r="C89" t="s">
        <v>307</v>
      </c>
    </row>
    <row r="90" spans="1:3">
      <c r="A90" s="342" t="s">
        <v>308</v>
      </c>
      <c r="B90" s="420">
        <v>-1217361.03</v>
      </c>
      <c r="C90" t="s">
        <v>308</v>
      </c>
    </row>
    <row r="91" spans="1:3">
      <c r="A91" s="342" t="s">
        <v>309</v>
      </c>
      <c r="B91" s="420">
        <v>127953.52</v>
      </c>
      <c r="C91" t="s">
        <v>309</v>
      </c>
    </row>
    <row r="92" spans="1:3">
      <c r="A92" s="342" t="s">
        <v>423</v>
      </c>
      <c r="B92" s="411">
        <f>((((B87)+(B88))+(B89))+(B90))+(B91)</f>
        <v>-877987.75</v>
      </c>
    </row>
    <row r="93" spans="1:3">
      <c r="A93" s="342" t="s">
        <v>424</v>
      </c>
      <c r="B93" s="411">
        <f>((B81)+(B85))+(B92)</f>
        <v>1008592.0999999999</v>
      </c>
    </row>
    <row r="94" spans="1:3">
      <c r="A94" s="342"/>
      <c r="B94" s="409"/>
    </row>
    <row r="95" spans="1:3">
      <c r="B95" s="394">
        <f>B59-B93</f>
        <v>0</v>
      </c>
    </row>
    <row r="97" spans="1:2">
      <c r="A97" s="481" t="s">
        <v>425</v>
      </c>
      <c r="B97" s="482"/>
    </row>
  </sheetData>
  <autoFilter ref="C1:C97" xr:uid="{00000000-0001-0000-0B00-000000000000}"/>
  <mergeCells count="4">
    <mergeCell ref="A97:B97"/>
    <mergeCell ref="A1:B1"/>
    <mergeCell ref="A2:B2"/>
    <mergeCell ref="A3:B3"/>
  </mergeCells>
  <pageMargins left="0.7" right="0.7" top="0.75" bottom="0.65277777777777779" header="0.3" footer="0.3"/>
  <pageSetup paperSize="9" orientation="landscape" r:id="rId1"/>
  <headerFooter>
    <oddFooter>&amp;L&amp;10&amp;"Times New Roman"&amp;D at &amp;T&amp;C&amp;10&amp;"Times New Roman"Unaudited - For Management Purposes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Cover</vt:lpstr>
      <vt:lpstr>Contents</vt:lpstr>
      <vt:lpstr>Observations &amp; Recommendations </vt:lpstr>
      <vt:lpstr>Galance</vt:lpstr>
      <vt:lpstr>KPI Comparisons</vt:lpstr>
      <vt:lpstr>Credit Card Machines</vt:lpstr>
      <vt:lpstr>SOFP</vt:lpstr>
      <vt:lpstr>SOMFP</vt:lpstr>
      <vt:lpstr>SOCI</vt:lpstr>
      <vt:lpstr>SOMCI</vt:lpstr>
      <vt:lpstr>Budget</vt:lpstr>
      <vt:lpstr>Job P&amp;L</vt:lpstr>
      <vt:lpstr>SOCF</vt:lpstr>
      <vt:lpstr>Linked IS</vt:lpstr>
      <vt:lpstr>Linked BS</vt:lpstr>
      <vt:lpstr>'Job P&amp;L'!acclist</vt:lpstr>
      <vt:lpstr>acclist</vt:lpstr>
      <vt:lpstr>Date_data</vt:lpstr>
      <vt:lpstr>Contents!Print_Area</vt:lpstr>
      <vt:lpstr>Cover!Print_Area</vt:lpstr>
      <vt:lpstr>Galance!Print_Area</vt:lpstr>
      <vt:lpstr>'Job P&amp;L'!Print_Area</vt:lpstr>
      <vt:lpstr>'KPI Comparisons'!Print_Area</vt:lpstr>
      <vt:lpstr>'Observations &amp; Recommendations '!Print_Area</vt:lpstr>
      <vt:lpstr>SOCF!Print_Area</vt:lpstr>
      <vt:lpstr>SOCI!Print_Area</vt:lpstr>
      <vt:lpstr>SOFP!Print_Area</vt:lpstr>
      <vt:lpstr>SOMCI!Print_Area</vt:lpstr>
      <vt:lpstr>SOMFP!Print_Area</vt:lpstr>
      <vt:lpstr>'Linked BS'!Print_Titles</vt:lpstr>
      <vt:lpstr>'Linked IS'!Print_Titles</vt:lpstr>
      <vt:lpstr>'Job P&amp;L'!Yearlydata</vt:lpstr>
      <vt:lpstr>Yearlydata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2017-01-10T10:43:59Z</dcterms:created>
  <dcterms:modified xsi:type="dcterms:W3CDTF">2025-07-08T12:34:21Z</dcterms:modified>
</cp:coreProperties>
</file>